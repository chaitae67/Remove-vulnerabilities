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표지" sheetId="1" state="visible" r:id="rId1"/>
    <sheet xmlns:r="http://schemas.openxmlformats.org/officeDocument/2006/relationships" name="1. 진단 대상" sheetId="2" state="visible" r:id="rId2"/>
    <sheet xmlns:r="http://schemas.openxmlformats.org/officeDocument/2006/relationships" name="2-1. 요약결과(그래프)" sheetId="3" state="visible" r:id="rId3"/>
    <sheet xmlns:r="http://schemas.openxmlformats.org/officeDocument/2006/relationships" name="2-2. 요약 진단결과" sheetId="4" state="visible" r:id="rId4"/>
    <sheet xmlns:r="http://schemas.openxmlformats.org/officeDocument/2006/relationships" name="3-1. 진단 결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sz val="24"/>
    </font>
    <font>
      <b val="1"/>
      <sz val="14"/>
    </font>
    <font>
      <color rgb="FF808080"/>
      <sz val="10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BFBFBF"/>
      </patternFill>
    </fill>
    <fill>
      <patternFill patternType="solid">
        <fgColor rgb="FFD9D9D9"/>
      </patternFill>
    </fill>
    <fill>
      <patternFill patternType="solid">
        <fgColor rgb="FFFCD5B5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3">
    <dxf>
      <font>
        <b val="1"/>
        <color rgb="FFFF0000"/>
      </font>
    </dxf>
    <dxf>
      <font>
        <color rgb="FF808080"/>
      </font>
    </dxf>
    <dxf>
      <font>
        <b val="1"/>
        <color rgb="FF0070C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영역별 양호율</a:t>
            </a:r>
          </a:p>
        </rich>
      </tx>
    </title>
    <view3D>
      <rotX val="15"/>
      <rotY val="20"/>
      <rAngAx val="1"/>
    </view3D>
    <floor/>
    <sideWall/>
    <backWall/>
    <plotArea>
      <bar3DChart>
        <barDir val="col"/>
        <grouping val="clustered"/>
        <ser>
          <idx val="0"/>
          <order val="0"/>
          <tx>
            <strRef>
              <f>'2-1. 요약결과(그래프)'!B3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'2-1. 요약결과(그래프)'!$A$4:$A$7</f>
            </numRef>
          </cat>
          <val>
            <numRef>
              <f>'2-1. 요약결과(그래프)'!$B$4:$B$7</f>
            </numRef>
          </val>
        </ser>
        <dLbls>
          <showVal val="1"/>
        </dLbls>
        <gapWidth val="150"/>
        <gapDepth val="150"/>
        <axId val="10"/>
        <axId val="100"/>
        <axId val="1000"/>
      </bar3D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진단 결과 분포</a:t>
            </a:r>
          </a:p>
        </rich>
      </tx>
    </title>
    <plotArea>
      <pie3DChart>
        <varyColors val="1"/>
        <ser>
          <idx val="0"/>
          <order val="0"/>
          <tx>
            <strRef>
              <f>'2-1. 요약결과(그래프)'!E3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'2-1. 요약결과(그래프)'!$D$4:$D$7</f>
            </numRef>
          </cat>
          <val>
            <numRef>
              <f>'2-1. 요약결과(그래프)'!$E$4:$E$7</f>
            </numRef>
          </val>
        </ser>
        <dLbls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영역별 양호율(레이더)</a:t>
            </a:r>
          </a:p>
        </rich>
      </tx>
    </title>
    <plotArea>
      <radarChart>
        <radarStyle val="filled"/>
        <ser>
          <idx val="0"/>
          <order val="0"/>
          <tx>
            <strRef>
              <f>'2-1. 요약결과(그래프)'!B3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'2-1. 요약결과(그래프)'!$A$4:$A$7</f>
            </numRef>
          </cat>
          <val>
            <numRef>
              <f>'2-1. 요약결과(그래프)'!$B$4:$B$7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9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27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L21"/>
  <sheetViews>
    <sheetView showGridLines="0" workbookViewId="0">
      <selection activeCell="A1" sqref="A1"/>
    </sheetView>
  </sheetViews>
  <sheetFormatPr baseColWidth="8" defaultRowHeight="15"/>
  <cols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4" customWidth="1" min="10" max="10"/>
    <col width="11" customWidth="1" min="11" max="11"/>
    <col width="22" customWidth="1" min="12" max="12"/>
  </cols>
  <sheetData>
    <row r="3">
      <c r="K3" s="1" t="inlineStr">
        <is>
          <t>문서번호</t>
        </is>
      </c>
      <c r="L3" s="2" t="inlineStr">
        <is>
          <t>XXXXX-VA-2026XXX</t>
        </is>
      </c>
    </row>
    <row r="4">
      <c r="K4" s="1" t="inlineStr">
        <is>
          <t>작성자</t>
        </is>
      </c>
      <c r="L4" s="2" t="inlineStr">
        <is>
          <t>취약점진단팀</t>
        </is>
      </c>
    </row>
    <row r="5">
      <c r="K5" s="1" t="inlineStr">
        <is>
          <t>보안등급</t>
        </is>
      </c>
      <c r="L5" s="2" t="inlineStr">
        <is>
          <t>Confidential</t>
        </is>
      </c>
    </row>
    <row r="6">
      <c r="K6" s="1" t="inlineStr">
        <is>
          <t>Ver</t>
        </is>
      </c>
      <c r="L6" s="2" t="inlineStr">
        <is>
          <t>ver 1.0</t>
        </is>
      </c>
    </row>
    <row r="11">
      <c r="B11" s="3" t="inlineStr">
        <is>
          <t>"진단대상" 취약점 진단</t>
        </is>
      </c>
    </row>
    <row r="13">
      <c r="B13" s="4" t="inlineStr">
        <is>
          <t>클라우드(AWS) 진단 상세결과</t>
        </is>
      </c>
    </row>
    <row r="18">
      <c r="B18" s="5" t="inlineStr"/>
    </row>
    <row r="21">
      <c r="B21" s="6" t="inlineStr">
        <is>
          <t>SK Shieldus 2024 클라우드 보안가이드 (AWS)</t>
        </is>
      </c>
    </row>
  </sheetData>
  <mergeCells count="4">
    <mergeCell ref="B18:I18"/>
    <mergeCell ref="B11:I11"/>
    <mergeCell ref="B21:I21"/>
    <mergeCell ref="B13:I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5"/>
  <sheetViews>
    <sheetView workbookViewId="0">
      <selection activeCell="A1" sqref="A1"/>
    </sheetView>
  </sheetViews>
  <sheetFormatPr baseColWidth="8" defaultRowHeight="15"/>
  <cols>
    <col width="8" customWidth="1" min="2" max="2"/>
    <col width="22" customWidth="1" min="3" max="3"/>
    <col width="22" customWidth="1" min="4" max="4"/>
    <col width="20" customWidth="1" min="5" max="5"/>
    <col width="24" customWidth="1" min="6" max="6"/>
    <col width="6" customWidth="1" min="7" max="7"/>
  </cols>
  <sheetData>
    <row r="1">
      <c r="B1" s="7" t="inlineStr">
        <is>
          <t xml:space="preserve">  ※ 진단 대상 리스트 - 클라우드(AWS) 1대</t>
        </is>
      </c>
    </row>
    <row r="2">
      <c r="B2" s="8" t="inlineStr">
        <is>
          <t>순번</t>
        </is>
      </c>
      <c r="C2" s="8" t="inlineStr">
        <is>
          <t>진단 대상</t>
        </is>
      </c>
      <c r="D2" s="9" t="n"/>
      <c r="E2" s="9" t="n"/>
      <c r="F2" s="10" t="n"/>
      <c r="G2" s="8" t="inlineStr">
        <is>
          <t>비고</t>
        </is>
      </c>
    </row>
    <row r="3">
      <c r="C3" s="8" t="inlineStr">
        <is>
          <t>계정/구독</t>
        </is>
      </c>
      <c r="D3" s="8" t="inlineStr">
        <is>
          <t>ID</t>
        </is>
      </c>
      <c r="E3" s="8" t="inlineStr">
        <is>
          <t>리전/버전</t>
        </is>
      </c>
      <c r="F3" s="8" t="inlineStr">
        <is>
          <t>용도</t>
        </is>
      </c>
    </row>
    <row r="4">
      <c r="B4" s="11" t="inlineStr">
        <is>
          <t>AWS</t>
        </is>
      </c>
    </row>
    <row r="5">
      <c r="B5" s="2" t="n"/>
      <c r="C5" s="2" t="n"/>
      <c r="D5" s="2" t="n"/>
      <c r="E5" s="2" t="n"/>
      <c r="F5" s="2" t="n"/>
    </row>
  </sheetData>
  <mergeCells count="1">
    <mergeCell ref="C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4" max="4"/>
  </cols>
  <sheetData>
    <row r="1">
      <c r="A1" s="7" t="inlineStr">
        <is>
          <t>클라우드(AWS) 진단 요약</t>
        </is>
      </c>
    </row>
    <row r="3">
      <c r="A3" s="8" t="inlineStr">
        <is>
          <t>진단 영역</t>
        </is>
      </c>
      <c r="B3" s="8" t="inlineStr">
        <is>
          <t>양호율</t>
        </is>
      </c>
      <c r="D3" s="8" t="inlineStr">
        <is>
          <t>구분</t>
        </is>
      </c>
      <c r="E3" s="8" t="inlineStr">
        <is>
          <t>건수</t>
        </is>
      </c>
    </row>
    <row r="4">
      <c r="A4" s="12" t="inlineStr">
        <is>
          <t>1. 계정 관리</t>
        </is>
      </c>
      <c r="B4" s="13">
        <f>'2-2. 요약 진단결과'!I6</f>
        <v/>
      </c>
      <c r="D4" s="12" t="inlineStr">
        <is>
          <t>양호</t>
        </is>
      </c>
      <c r="E4" s="12">
        <f>COUNTIF('2-2. 요약 진단결과'!$F$6:$F$46,"양호")</f>
        <v/>
      </c>
    </row>
    <row r="5">
      <c r="A5" s="12" t="inlineStr">
        <is>
          <t>2. 권한 관리</t>
        </is>
      </c>
      <c r="B5" s="13">
        <f>'2-2. 요약 진단결과'!I7</f>
        <v/>
      </c>
      <c r="D5" s="12" t="inlineStr">
        <is>
          <t>취약</t>
        </is>
      </c>
      <c r="E5" s="12">
        <f>COUNTIF('2-2. 요약 진단결과'!$F$6:$F$46,"취약")</f>
        <v/>
      </c>
    </row>
    <row r="6">
      <c r="A6" s="12" t="inlineStr">
        <is>
          <t>3. 가상 리소스 관리</t>
        </is>
      </c>
      <c r="B6" s="13">
        <f>'2-2. 요약 진단결과'!I8</f>
        <v/>
      </c>
      <c r="D6" s="12" t="inlineStr">
        <is>
          <t>인터뷰 필요</t>
        </is>
      </c>
      <c r="E6" s="12">
        <f>COUNTIF('2-2. 요약 진단결과'!$F$6:$F$46,"인터뷰 필요")</f>
        <v/>
      </c>
    </row>
    <row r="7">
      <c r="A7" s="12" t="inlineStr">
        <is>
          <t>4. 운영 관리</t>
        </is>
      </c>
      <c r="B7" s="13">
        <f>'2-2. 요약 진단결과'!I9</f>
        <v/>
      </c>
      <c r="D7" s="12" t="inlineStr">
        <is>
          <t>N/A</t>
        </is>
      </c>
      <c r="E7" s="12">
        <f>COUNTIF('2-2. 요약 진단결과'!$F$6:$F$46,"N/A")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46"/>
  <sheetViews>
    <sheetView workbookViewId="0">
      <selection activeCell="A1" sqref="A1"/>
    </sheetView>
  </sheetViews>
  <sheetFormatPr baseColWidth="8" defaultRowHeight="15"/>
  <cols>
    <col width="16" customWidth="1" min="2" max="2"/>
    <col width="11" customWidth="1" min="3" max="3"/>
    <col width="30" customWidth="1" min="4" max="4"/>
    <col width="8" customWidth="1" min="5" max="5"/>
    <col width="12" customWidth="1" min="6" max="6"/>
    <col width="20" customWidth="1" min="8" max="8"/>
    <col width="10" customWidth="1" min="9" max="9"/>
  </cols>
  <sheetData>
    <row r="2">
      <c r="B2" s="14" t="inlineStr">
        <is>
          <t>클라우드(AWS) 취약점 진단 요약결과(41항목)</t>
        </is>
      </c>
    </row>
    <row r="3">
      <c r="B3" s="8" t="inlineStr">
        <is>
          <t>진단항목</t>
        </is>
      </c>
      <c r="C3" s="8" t="inlineStr">
        <is>
          <t>항목코드</t>
        </is>
      </c>
      <c r="D3" s="8" t="inlineStr">
        <is>
          <t>세부 진단항목</t>
        </is>
      </c>
      <c r="E3" s="8" t="inlineStr">
        <is>
          <t>중요도</t>
        </is>
      </c>
      <c r="F3" s="8" t="inlineStr">
        <is>
          <t>진단결과</t>
        </is>
      </c>
      <c r="H3" s="8" t="inlineStr">
        <is>
          <t>진단 영역</t>
        </is>
      </c>
      <c r="I3" s="8" t="inlineStr">
        <is>
          <t>양호율</t>
        </is>
      </c>
    </row>
    <row r="6">
      <c r="B6" s="15" t="inlineStr">
        <is>
          <t>1. 계정 관리</t>
        </is>
      </c>
      <c r="C6" s="2" t="inlineStr">
        <is>
          <t>1.1</t>
        </is>
      </c>
      <c r="D6" s="15" t="inlineStr">
        <is>
          <t>사용자 계정 관리</t>
        </is>
      </c>
      <c r="E6" s="2" t="inlineStr">
        <is>
          <t>상</t>
        </is>
      </c>
      <c r="F6" s="2">
        <f>'3-1. 진단 결과'!F6</f>
        <v/>
      </c>
      <c r="H6" s="15" t="inlineStr">
        <is>
          <t>1. 계정 관리</t>
        </is>
      </c>
      <c r="I6" s="13">
        <f>IFERROR(COUNTIF(F6:F18,"양호")/(COUNTA(F6:F18)-COUNTIF(F6:F18,"N/A")-COUNTIF(F6:F18,"인터뷰 필요")),1)</f>
        <v/>
      </c>
    </row>
    <row r="7">
      <c r="B7" s="16" t="n"/>
      <c r="C7" s="2" t="inlineStr">
        <is>
          <t>1.2</t>
        </is>
      </c>
      <c r="D7" s="15" t="inlineStr">
        <is>
          <t>IAM 사용자 계정 단일화 관리</t>
        </is>
      </c>
      <c r="E7" s="2" t="inlineStr">
        <is>
          <t>상</t>
        </is>
      </c>
      <c r="F7" s="2">
        <f>'3-1. 진단 결과'!F7</f>
        <v/>
      </c>
      <c r="H7" s="15" t="inlineStr">
        <is>
          <t>2. 권한 관리</t>
        </is>
      </c>
      <c r="I7" s="13">
        <f>IFERROR(COUNTIF(F19:F21,"양호")/(COUNTA(F19:F21)-COUNTIF(F19:F21,"N/A")-COUNTIF(F19:F21,"인터뷰 필요")),1)</f>
        <v/>
      </c>
    </row>
    <row r="8">
      <c r="B8" s="16" t="n"/>
      <c r="C8" s="2" t="inlineStr">
        <is>
          <t>1.3</t>
        </is>
      </c>
      <c r="D8" s="15" t="inlineStr">
        <is>
          <t>IAM 사용자 계정 식별 관리</t>
        </is>
      </c>
      <c r="E8" s="2" t="inlineStr">
        <is>
          <t>중</t>
        </is>
      </c>
      <c r="F8" s="2">
        <f>'3-1. 진단 결과'!F8</f>
        <v/>
      </c>
      <c r="H8" s="15" t="inlineStr">
        <is>
          <t>3. 가상 리소스 관리</t>
        </is>
      </c>
      <c r="I8" s="13">
        <f>IFERROR(COUNTIF(F22:F31,"양호")/(COUNTA(F22:F31)-COUNTIF(F22:F31,"N/A")-COUNTIF(F22:F31,"인터뷰 필요")),1)</f>
        <v/>
      </c>
    </row>
    <row r="9">
      <c r="B9" s="16" t="n"/>
      <c r="C9" s="2" t="inlineStr">
        <is>
          <t>1.4</t>
        </is>
      </c>
      <c r="D9" s="15" t="inlineStr">
        <is>
          <t>IAM 그룹 사용자 계정 관리</t>
        </is>
      </c>
      <c r="E9" s="2" t="inlineStr">
        <is>
          <t>중</t>
        </is>
      </c>
      <c r="F9" s="2">
        <f>'3-1. 진단 결과'!F9</f>
        <v/>
      </c>
      <c r="H9" s="15" t="inlineStr">
        <is>
          <t>4. 운영 관리</t>
        </is>
      </c>
      <c r="I9" s="13">
        <f>IFERROR(COUNTIF(F32:F46,"양호")/(COUNTA(F32:F46)-COUNTIF(F32:F46,"N/A")-COUNTIF(F32:F46,"인터뷰 필요")),1)</f>
        <v/>
      </c>
    </row>
    <row r="10">
      <c r="B10" s="16" t="n"/>
      <c r="C10" s="2" t="inlineStr">
        <is>
          <t>1.5</t>
        </is>
      </c>
      <c r="D10" s="15" t="inlineStr">
        <is>
          <t>Key Pair 접근 관리</t>
        </is>
      </c>
      <c r="E10" s="2" t="inlineStr">
        <is>
          <t>상</t>
        </is>
      </c>
      <c r="F10" s="2">
        <f>'3-1. 진단 결과'!F10</f>
        <v/>
      </c>
    </row>
    <row r="11">
      <c r="B11" s="16" t="n"/>
      <c r="C11" s="2" t="inlineStr">
        <is>
          <t>1.6</t>
        </is>
      </c>
      <c r="D11" s="15" t="inlineStr">
        <is>
          <t>Key Pair 보관 관리</t>
        </is>
      </c>
      <c r="E11" s="2" t="inlineStr">
        <is>
          <t>상</t>
        </is>
      </c>
      <c r="F11" s="2">
        <f>'3-1. 진단 결과'!F11</f>
        <v/>
      </c>
    </row>
    <row r="12">
      <c r="B12" s="16" t="n"/>
      <c r="C12" s="2" t="inlineStr">
        <is>
          <t>1.7</t>
        </is>
      </c>
      <c r="D12" s="15" t="inlineStr">
        <is>
          <t>Admin Console 관리자 정책 관리</t>
        </is>
      </c>
      <c r="E12" s="2" t="inlineStr">
        <is>
          <t>중</t>
        </is>
      </c>
      <c r="F12" s="2">
        <f>'3-1. 진단 결과'!F12</f>
        <v/>
      </c>
    </row>
    <row r="13">
      <c r="B13" s="16" t="n"/>
      <c r="C13" s="2" t="inlineStr">
        <is>
          <t>1.8</t>
        </is>
      </c>
      <c r="D13" s="15" t="inlineStr">
        <is>
          <t>Admin Console 계정 Access Key 활성화 및 사용주기 관리</t>
        </is>
      </c>
      <c r="E13" s="2" t="inlineStr">
        <is>
          <t>상</t>
        </is>
      </c>
      <c r="F13" s="2">
        <f>'3-1. 진단 결과'!F13</f>
        <v/>
      </c>
    </row>
    <row r="14">
      <c r="B14" s="16" t="n"/>
      <c r="C14" s="2" t="inlineStr">
        <is>
          <t>1.9</t>
        </is>
      </c>
      <c r="D14" s="15" t="inlineStr">
        <is>
          <t>MFA (Multi-Factor Authentication) 설정</t>
        </is>
      </c>
      <c r="E14" s="2" t="inlineStr">
        <is>
          <t>중</t>
        </is>
      </c>
      <c r="F14" s="2">
        <f>'3-1. 진단 결과'!F14</f>
        <v/>
      </c>
    </row>
    <row r="15">
      <c r="B15" s="16" t="n"/>
      <c r="C15" s="2" t="inlineStr">
        <is>
          <t>1.10</t>
        </is>
      </c>
      <c r="D15" s="15" t="inlineStr">
        <is>
          <t>AWS 계정 패스워드 정책 관리</t>
        </is>
      </c>
      <c r="E15" s="2" t="inlineStr">
        <is>
          <t>중</t>
        </is>
      </c>
      <c r="F15" s="2">
        <f>'3-1. 진단 결과'!F15</f>
        <v/>
      </c>
    </row>
    <row r="16">
      <c r="B16" s="16" t="n"/>
      <c r="C16" s="2" t="inlineStr">
        <is>
          <t>1.11</t>
        </is>
      </c>
      <c r="D16" s="15" t="inlineStr">
        <is>
          <t>EKS 사용자 관리</t>
        </is>
      </c>
      <c r="E16" s="2" t="inlineStr">
        <is>
          <t>상</t>
        </is>
      </c>
      <c r="F16" s="2">
        <f>'3-1. 진단 결과'!F16</f>
        <v/>
      </c>
    </row>
    <row r="17">
      <c r="B17" s="16" t="n"/>
      <c r="C17" s="2" t="inlineStr">
        <is>
          <t>1.12</t>
        </is>
      </c>
      <c r="D17" s="15" t="inlineStr">
        <is>
          <t>EKS 서비스 어카운트 관리</t>
        </is>
      </c>
      <c r="E17" s="2" t="inlineStr">
        <is>
          <t>중</t>
        </is>
      </c>
      <c r="F17" s="2">
        <f>'3-1. 진단 결과'!F17</f>
        <v/>
      </c>
    </row>
    <row r="18">
      <c r="B18" s="17" t="n"/>
      <c r="C18" s="2" t="inlineStr">
        <is>
          <t>1.13</t>
        </is>
      </c>
      <c r="D18" s="15" t="inlineStr">
        <is>
          <t>EKS 불필요한 익명 접근 관리</t>
        </is>
      </c>
      <c r="E18" s="2" t="inlineStr">
        <is>
          <t>상</t>
        </is>
      </c>
      <c r="F18" s="2">
        <f>'3-1. 진단 결과'!F18</f>
        <v/>
      </c>
    </row>
    <row r="19">
      <c r="B19" s="15" t="inlineStr">
        <is>
          <t>2. 권한 관리</t>
        </is>
      </c>
      <c r="C19" s="2" t="inlineStr">
        <is>
          <t>2.1</t>
        </is>
      </c>
      <c r="D19" s="15" t="inlineStr">
        <is>
          <t>인스턴스 서비스 정책 관리</t>
        </is>
      </c>
      <c r="E19" s="2" t="inlineStr">
        <is>
          <t>상</t>
        </is>
      </c>
      <c r="F19" s="2">
        <f>'3-1. 진단 결과'!F19</f>
        <v/>
      </c>
    </row>
    <row r="20">
      <c r="B20" s="16" t="n"/>
      <c r="C20" s="2" t="inlineStr">
        <is>
          <t>2.2</t>
        </is>
      </c>
      <c r="D20" s="15" t="inlineStr">
        <is>
          <t>네트워크 서비스 정책 관리</t>
        </is>
      </c>
      <c r="E20" s="2" t="inlineStr">
        <is>
          <t>상</t>
        </is>
      </c>
      <c r="F20" s="2">
        <f>'3-1. 진단 결과'!F20</f>
        <v/>
      </c>
    </row>
    <row r="21">
      <c r="B21" s="17" t="n"/>
      <c r="C21" s="2" t="inlineStr">
        <is>
          <t>2.3</t>
        </is>
      </c>
      <c r="D21" s="15" t="inlineStr">
        <is>
          <t>기타 서비스 정책 관리</t>
        </is>
      </c>
      <c r="E21" s="2" t="inlineStr">
        <is>
          <t>상</t>
        </is>
      </c>
      <c r="F21" s="2">
        <f>'3-1. 진단 결과'!F21</f>
        <v/>
      </c>
    </row>
    <row r="22">
      <c r="B22" s="15" t="inlineStr">
        <is>
          <t>3. 가상 리소스 관리</t>
        </is>
      </c>
      <c r="C22" s="2" t="inlineStr">
        <is>
          <t>3.1</t>
        </is>
      </c>
      <c r="D22" s="15" t="inlineStr">
        <is>
          <t>보안 그룹 인/아웃바운드 ANY 설정 관리</t>
        </is>
      </c>
      <c r="E22" s="2" t="inlineStr">
        <is>
          <t>상</t>
        </is>
      </c>
      <c r="F22" s="2">
        <f>'3-1. 진단 결과'!F22</f>
        <v/>
      </c>
    </row>
    <row r="23">
      <c r="B23" s="16" t="n"/>
      <c r="C23" s="2" t="inlineStr">
        <is>
          <t>3.2</t>
        </is>
      </c>
      <c r="D23" s="15" t="inlineStr">
        <is>
          <t>보안 그룹 인/아웃바운드 불필요 정책 관리</t>
        </is>
      </c>
      <c r="E23" s="2" t="inlineStr">
        <is>
          <t>상</t>
        </is>
      </c>
      <c r="F23" s="2">
        <f>'3-1. 진단 결과'!F23</f>
        <v/>
      </c>
    </row>
    <row r="24">
      <c r="B24" s="16" t="n"/>
      <c r="C24" s="2" t="inlineStr">
        <is>
          <t>3.3</t>
        </is>
      </c>
      <c r="D24" s="15" t="inlineStr">
        <is>
          <t>네트워크 ACL 인/아웃바운드 트래픽 정책 관리</t>
        </is>
      </c>
      <c r="E24" s="2" t="inlineStr">
        <is>
          <t>중</t>
        </is>
      </c>
      <c r="F24" s="2">
        <f>'3-1. 진단 결과'!F24</f>
        <v/>
      </c>
    </row>
    <row r="25">
      <c r="B25" s="16" t="n"/>
      <c r="C25" s="2" t="inlineStr">
        <is>
          <t>3.4</t>
        </is>
      </c>
      <c r="D25" s="15" t="inlineStr">
        <is>
          <t>라우팅 테이블 정책 관리</t>
        </is>
      </c>
      <c r="E25" s="2" t="inlineStr">
        <is>
          <t>중</t>
        </is>
      </c>
      <c r="F25" s="2">
        <f>'3-1. 진단 결과'!F25</f>
        <v/>
      </c>
    </row>
    <row r="26">
      <c r="B26" s="16" t="n"/>
      <c r="C26" s="2" t="inlineStr">
        <is>
          <t>3.5</t>
        </is>
      </c>
      <c r="D26" s="15" t="inlineStr">
        <is>
          <t>인터넷 게이트웨이 연결 관리</t>
        </is>
      </c>
      <c r="E26" s="2" t="inlineStr">
        <is>
          <t>하</t>
        </is>
      </c>
      <c r="F26" s="2">
        <f>'3-1. 진단 결과'!F26</f>
        <v/>
      </c>
    </row>
    <row r="27">
      <c r="B27" s="16" t="n"/>
      <c r="C27" s="2" t="inlineStr">
        <is>
          <t>3.6</t>
        </is>
      </c>
      <c r="D27" s="15" t="inlineStr">
        <is>
          <t>NAT 게이트웨이 연결 관리</t>
        </is>
      </c>
      <c r="E27" s="2" t="inlineStr">
        <is>
          <t>중</t>
        </is>
      </c>
      <c r="F27" s="2">
        <f>'3-1. 진단 결과'!F27</f>
        <v/>
      </c>
    </row>
    <row r="28">
      <c r="B28" s="16" t="n"/>
      <c r="C28" s="2" t="inlineStr">
        <is>
          <t>3.7</t>
        </is>
      </c>
      <c r="D28" s="15" t="inlineStr">
        <is>
          <t>S3 버킷/객체 접근 관리</t>
        </is>
      </c>
      <c r="E28" s="2" t="inlineStr">
        <is>
          <t>중</t>
        </is>
      </c>
      <c r="F28" s="2">
        <f>'3-1. 진단 결과'!F28</f>
        <v/>
      </c>
    </row>
    <row r="29">
      <c r="B29" s="16" t="n"/>
      <c r="C29" s="2" t="inlineStr">
        <is>
          <t>3.8</t>
        </is>
      </c>
      <c r="D29" s="15" t="inlineStr">
        <is>
          <t>RDS 서브넷 가용 영역 관리</t>
        </is>
      </c>
      <c r="E29" s="2" t="inlineStr">
        <is>
          <t>중</t>
        </is>
      </c>
      <c r="F29" s="2">
        <f>'3-1. 진단 결과'!F29</f>
        <v/>
      </c>
    </row>
    <row r="30">
      <c r="B30" s="16" t="n"/>
      <c r="C30" s="2" t="inlineStr">
        <is>
          <t>3.9</t>
        </is>
      </c>
      <c r="D30" s="15" t="inlineStr">
        <is>
          <t>EKS Pod 보안 정책 관리</t>
        </is>
      </c>
      <c r="E30" s="2" t="inlineStr">
        <is>
          <t>상</t>
        </is>
      </c>
      <c r="F30" s="2">
        <f>'3-1. 진단 결과'!F30</f>
        <v/>
      </c>
    </row>
    <row r="31">
      <c r="B31" s="17" t="n"/>
      <c r="C31" s="2" t="inlineStr">
        <is>
          <t>3.10</t>
        </is>
      </c>
      <c r="D31" s="15" t="inlineStr">
        <is>
          <t>ELB(Elastic Load Balancing) 연결 관리</t>
        </is>
      </c>
      <c r="E31" s="2" t="inlineStr">
        <is>
          <t>중</t>
        </is>
      </c>
      <c r="F31" s="2">
        <f>'3-1. 진단 결과'!F31</f>
        <v/>
      </c>
    </row>
    <row r="32">
      <c r="B32" s="15" t="inlineStr">
        <is>
          <t>4. 운영 관리</t>
        </is>
      </c>
      <c r="C32" s="2" t="inlineStr">
        <is>
          <t>4.1</t>
        </is>
      </c>
      <c r="D32" s="15" t="inlineStr">
        <is>
          <t>EBS 및 볼륨 암호화 설정</t>
        </is>
      </c>
      <c r="E32" s="2" t="inlineStr">
        <is>
          <t>중</t>
        </is>
      </c>
      <c r="F32" s="2">
        <f>'3-1. 진단 결과'!F32</f>
        <v/>
      </c>
    </row>
    <row r="33">
      <c r="B33" s="16" t="n"/>
      <c r="C33" s="2" t="inlineStr">
        <is>
          <t>4.2</t>
        </is>
      </c>
      <c r="D33" s="15" t="inlineStr">
        <is>
          <t>RDS 암호화 설정</t>
        </is>
      </c>
      <c r="E33" s="2" t="inlineStr">
        <is>
          <t>중</t>
        </is>
      </c>
      <c r="F33" s="2">
        <f>'3-1. 진단 결과'!F33</f>
        <v/>
      </c>
    </row>
    <row r="34">
      <c r="B34" s="16" t="n"/>
      <c r="C34" s="2" t="inlineStr">
        <is>
          <t>4.3</t>
        </is>
      </c>
      <c r="D34" s="15" t="inlineStr">
        <is>
          <t>S3 암호화 설정</t>
        </is>
      </c>
      <c r="E34" s="2" t="inlineStr">
        <is>
          <t>중</t>
        </is>
      </c>
      <c r="F34" s="2">
        <f>'3-1. 진단 결과'!F34</f>
        <v/>
      </c>
    </row>
    <row r="35">
      <c r="B35" s="16" t="n"/>
      <c r="C35" s="2" t="inlineStr">
        <is>
          <t>4.4</t>
        </is>
      </c>
      <c r="D35" s="15" t="inlineStr">
        <is>
          <t>통신구간 암호화 설정</t>
        </is>
      </c>
      <c r="E35" s="2" t="inlineStr">
        <is>
          <t>중</t>
        </is>
      </c>
      <c r="F35" s="2">
        <f>'3-1. 진단 결과'!F35</f>
        <v/>
      </c>
    </row>
    <row r="36">
      <c r="B36" s="16" t="n"/>
      <c r="C36" s="2" t="inlineStr">
        <is>
          <t>4.5</t>
        </is>
      </c>
      <c r="D36" s="15" t="inlineStr">
        <is>
          <t>CloudTrail 암호화 설정</t>
        </is>
      </c>
      <c r="E36" s="2" t="inlineStr">
        <is>
          <t>중</t>
        </is>
      </c>
      <c r="F36" s="2">
        <f>'3-1. 진단 결과'!F36</f>
        <v/>
      </c>
    </row>
    <row r="37">
      <c r="B37" s="16" t="n"/>
      <c r="C37" s="2" t="inlineStr">
        <is>
          <t>4.6</t>
        </is>
      </c>
      <c r="D37" s="15" t="inlineStr">
        <is>
          <t>CloudWatch 암호화 설정</t>
        </is>
      </c>
      <c r="E37" s="2" t="inlineStr">
        <is>
          <t>중</t>
        </is>
      </c>
      <c r="F37" s="2">
        <f>'3-1. 진단 결과'!F37</f>
        <v/>
      </c>
    </row>
    <row r="38">
      <c r="B38" s="16" t="n"/>
      <c r="C38" s="2" t="inlineStr">
        <is>
          <t>4.7</t>
        </is>
      </c>
      <c r="D38" s="15" t="inlineStr">
        <is>
          <t>AWS 사용자 계정 로깅 설정</t>
        </is>
      </c>
      <c r="E38" s="2" t="inlineStr">
        <is>
          <t>상</t>
        </is>
      </c>
      <c r="F38" s="2">
        <f>'3-1. 진단 결과'!F38</f>
        <v/>
      </c>
    </row>
    <row r="39">
      <c r="B39" s="16" t="n"/>
      <c r="C39" s="2" t="inlineStr">
        <is>
          <t>4.8</t>
        </is>
      </c>
      <c r="D39" s="15" t="inlineStr">
        <is>
          <t>인스턴스 로깅 설정</t>
        </is>
      </c>
      <c r="E39" s="2" t="inlineStr">
        <is>
          <t>중</t>
        </is>
      </c>
      <c r="F39" s="2">
        <f>'3-1. 진단 결과'!F39</f>
        <v/>
      </c>
    </row>
    <row r="40">
      <c r="B40" s="16" t="n"/>
      <c r="C40" s="2" t="inlineStr">
        <is>
          <t>4.9</t>
        </is>
      </c>
      <c r="D40" s="15" t="inlineStr">
        <is>
          <t>RDS 로깅 설정</t>
        </is>
      </c>
      <c r="E40" s="2" t="inlineStr">
        <is>
          <t>중</t>
        </is>
      </c>
      <c r="F40" s="2">
        <f>'3-1. 진단 결과'!F40</f>
        <v/>
      </c>
    </row>
    <row r="41">
      <c r="B41" s="16" t="n"/>
      <c r="C41" s="2" t="inlineStr">
        <is>
          <t>4.10</t>
        </is>
      </c>
      <c r="D41" s="15" t="inlineStr">
        <is>
          <t>S3 버킷 로깅 설정</t>
        </is>
      </c>
      <c r="E41" s="2" t="inlineStr">
        <is>
          <t>중</t>
        </is>
      </c>
      <c r="F41" s="2">
        <f>'3-1. 진단 결과'!F41</f>
        <v/>
      </c>
    </row>
    <row r="42">
      <c r="B42" s="16" t="n"/>
      <c r="C42" s="2" t="inlineStr">
        <is>
          <t>4.11</t>
        </is>
      </c>
      <c r="D42" s="15" t="inlineStr">
        <is>
          <t>VPC 플로우 로깅 설정</t>
        </is>
      </c>
      <c r="E42" s="2" t="inlineStr">
        <is>
          <t>중</t>
        </is>
      </c>
      <c r="F42" s="2">
        <f>'3-1. 진단 결과'!F42</f>
        <v/>
      </c>
    </row>
    <row r="43">
      <c r="B43" s="16" t="n"/>
      <c r="C43" s="2" t="inlineStr">
        <is>
          <t>4.12</t>
        </is>
      </c>
      <c r="D43" s="15" t="inlineStr">
        <is>
          <t>로그 보관 기간 설정</t>
        </is>
      </c>
      <c r="E43" s="2" t="inlineStr">
        <is>
          <t>중</t>
        </is>
      </c>
      <c r="F43" s="2">
        <f>'3-1. 진단 결과'!F43</f>
        <v/>
      </c>
    </row>
    <row r="44">
      <c r="B44" s="16" t="n"/>
      <c r="C44" s="2" t="inlineStr">
        <is>
          <t>4.13</t>
        </is>
      </c>
      <c r="D44" s="15" t="inlineStr">
        <is>
          <t>백업 사용 여부</t>
        </is>
      </c>
      <c r="E44" s="2" t="inlineStr">
        <is>
          <t>중</t>
        </is>
      </c>
      <c r="F44" s="2">
        <f>'3-1. 진단 결과'!F44</f>
        <v/>
      </c>
    </row>
    <row r="45">
      <c r="B45" s="16" t="n"/>
      <c r="C45" s="2" t="inlineStr">
        <is>
          <t>4.14</t>
        </is>
      </c>
      <c r="D45" s="15" t="inlineStr">
        <is>
          <t>EKS Cluster 제어 플레인 로깅 설정</t>
        </is>
      </c>
      <c r="E45" s="2" t="inlineStr">
        <is>
          <t>중</t>
        </is>
      </c>
      <c r="F45" s="2">
        <f>'3-1. 진단 결과'!F45</f>
        <v/>
      </c>
    </row>
    <row r="46">
      <c r="B46" s="17" t="n"/>
      <c r="C46" s="2" t="inlineStr">
        <is>
          <t>4.15</t>
        </is>
      </c>
      <c r="D46" s="15" t="inlineStr">
        <is>
          <t>EKS Cluster 암호화 설정</t>
        </is>
      </c>
      <c r="E46" s="2" t="inlineStr">
        <is>
          <t>중</t>
        </is>
      </c>
      <c r="F46" s="2">
        <f>'3-1. 진단 결과'!F46</f>
        <v/>
      </c>
    </row>
  </sheetData>
  <mergeCells count="4">
    <mergeCell ref="B6:B18"/>
    <mergeCell ref="B22:B31"/>
    <mergeCell ref="B32:B46"/>
    <mergeCell ref="B19:B21"/>
  </mergeCells>
  <conditionalFormatting sqref="F6:F46">
    <cfRule type="cellIs" priority="1" operator="equal" dxfId="0">
      <formula>"취약"</formula>
    </cfRule>
    <cfRule type="cellIs" priority="2" operator="equal" dxfId="1">
      <formula>"N/A"</formula>
    </cfRule>
    <cfRule type="expression" priority="3" dxfId="2">
      <formula>ISNUMBER(SEARCH("인터뷰",F6))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2" max="2"/>
    <col width="11" customWidth="1" min="3" max="3"/>
    <col width="26" customWidth="1" min="4" max="4"/>
    <col width="46" customWidth="1" min="5" max="5"/>
    <col width="8" customWidth="1" min="6" max="6"/>
    <col width="60" customWidth="1" min="7" max="7"/>
  </cols>
  <sheetData>
    <row r="2">
      <c r="B2" s="14" t="inlineStr">
        <is>
          <t>클라우드(AWS) 취약점 진단 상세결과(41항목)</t>
        </is>
      </c>
    </row>
    <row r="3">
      <c r="B3" s="8" t="inlineStr">
        <is>
          <t>진단항목</t>
        </is>
      </c>
      <c r="C3" s="8" t="inlineStr">
        <is>
          <t>항목코드</t>
        </is>
      </c>
      <c r="D3" s="8" t="inlineStr">
        <is>
          <t>세부 진단항목</t>
        </is>
      </c>
      <c r="E3" s="8" t="inlineStr">
        <is>
          <t>진단기준</t>
        </is>
      </c>
      <c r="F3" s="8" t="inlineStr">
        <is>
          <t>판정</t>
        </is>
      </c>
      <c r="G3" s="8" t="inlineStr">
        <is>
          <t>상세 내용 / 근거</t>
        </is>
      </c>
    </row>
    <row r="6">
      <c r="B6" s="15" t="inlineStr">
        <is>
          <t>1. 계정 관리</t>
        </is>
      </c>
      <c r="C6" s="2" t="inlineStr">
        <is>
          <t>1.1</t>
        </is>
      </c>
      <c r="D6" s="15" t="inlineStr">
        <is>
          <t>사용자 계정 관리</t>
        </is>
      </c>
      <c r="E6" s="15" t="inlineStr">
        <is>
          <t>양호 - 관리자 권한을 보유한 다수 계정이 존재하지 않고 불필요한 계정이 존재하지 않을 경우
취약 - 관리자 권한을 보유한 다수 계정이 존재하거나 불필요한 계정이 존재할 경우</t>
        </is>
      </c>
      <c r="F6" s="2" t="n"/>
      <c r="G6" s="15" t="n"/>
    </row>
    <row r="7">
      <c r="B7" s="16" t="n"/>
      <c r="C7" s="2" t="inlineStr">
        <is>
          <t>1.2</t>
        </is>
      </c>
      <c r="D7" s="15" t="inlineStr">
        <is>
          <t>IAM 사용자 계정 단일화 관리</t>
        </is>
      </c>
      <c r="E7" s="15" t="inlineStr">
        <is>
          <t>양호 - IAM 사용자 계정을 1인 1계정으로 사용하고 있는 경우
취약 - IAM 사용자 계정을 1인 1계정으로 사용하고 있지 않은 경우</t>
        </is>
      </c>
      <c r="F7" s="2" t="n"/>
      <c r="G7" s="15" t="n"/>
    </row>
    <row r="8">
      <c r="B8" s="16" t="n"/>
      <c r="C8" s="2" t="inlineStr">
        <is>
          <t>1.3</t>
        </is>
      </c>
      <c r="D8" s="15" t="inlineStr">
        <is>
          <t>IAM 사용자 계정 식별 관리</t>
        </is>
      </c>
      <c r="E8" s="15" t="inlineStr">
        <is>
          <t>양호 - 사용자 정보(이름, 이메일, 부서 등)가 IAM 사용자 태그에 설정되어 있을 경우
취약 - 사용자 정보(이름, 이메일, 부서 등)가 IAM 사용자 태그에 설정되어 있지 않을 경우</t>
        </is>
      </c>
      <c r="F8" s="2" t="n"/>
      <c r="G8" s="15" t="n"/>
    </row>
    <row r="9">
      <c r="B9" s="16" t="n"/>
      <c r="C9" s="2" t="inlineStr">
        <is>
          <t>1.4</t>
        </is>
      </c>
      <c r="D9" s="15" t="inlineStr">
        <is>
          <t>IAM 그룹 사용자 계정 관리</t>
        </is>
      </c>
      <c r="E9" s="15" t="inlineStr">
        <is>
          <t>양호 - IAM 그룹에 포함된 사용자 계정 중 불필요한 계정이 존재하지 않을 경우
취약 - IAM 그룹에 포함된 사용자 계정 중 불필요한 계정이 존재할 경우</t>
        </is>
      </c>
      <c r="F9" s="2" t="n"/>
      <c r="G9" s="15" t="n"/>
    </row>
    <row r="10">
      <c r="B10" s="16" t="n"/>
      <c r="C10" s="2" t="inlineStr">
        <is>
          <t>1.5</t>
        </is>
      </c>
      <c r="D10" s="15" t="inlineStr">
        <is>
          <t>Key Pair 접근 관리</t>
        </is>
      </c>
      <c r="E10" s="15" t="inlineStr">
        <is>
          <t>양호 - Key Pair(PEM)를 통해 EC2 인스턴스에 접근할 경우
취약 - Key Pair(PEM)가 아닌 일반 패스워드로 EC2 인스턴스에 접근할 경우</t>
        </is>
      </c>
      <c r="F10" s="2" t="n"/>
      <c r="G10" s="15" t="n"/>
    </row>
    <row r="11">
      <c r="B11" s="16" t="n"/>
      <c r="C11" s="2" t="inlineStr">
        <is>
          <t>1.6</t>
        </is>
      </c>
      <c r="D11" s="15" t="inlineStr">
        <is>
          <t>Key Pair 보관 관리</t>
        </is>
      </c>
      <c r="E11" s="15" t="inlineStr">
        <is>
          <t>양호 - Key Pair(PEM) File의 보관 위치가 쉽게 유추할 수 없는 공간에 보관되어 있을 경우
취약 - Key Pair(PEM) File의 보관 위치가 다수 접근이 가능한 공용 공간(퍼블릭 S3, EC2 "Admin Console(/)" 디렉터리 등)에 보관되어 있을 경우</t>
        </is>
      </c>
      <c r="F11" s="2" t="n"/>
      <c r="G11" s="15" t="n"/>
    </row>
    <row r="12">
      <c r="B12" s="16" t="n"/>
      <c r="C12" s="2" t="inlineStr">
        <is>
          <t>1.7</t>
        </is>
      </c>
      <c r="D12" s="15" t="inlineStr">
        <is>
          <t>Admin Console 관리자 정책 관리</t>
        </is>
      </c>
      <c r="E12" s="15" t="inlineStr">
        <is>
          <t>양호 - Admin Console 계정을 서비스 용도로 사용하지 않는 경우
취약 - Admin Console 계정을 서비스 용도로 사용하는 경우</t>
        </is>
      </c>
      <c r="F12" s="2" t="n"/>
      <c r="G12" s="15" t="n"/>
    </row>
    <row r="13">
      <c r="B13" s="16" t="n"/>
      <c r="C13" s="2" t="inlineStr">
        <is>
          <t>1.8</t>
        </is>
      </c>
      <c r="D13" s="15" t="inlineStr">
        <is>
          <t>Admin Console 계정 Access Key 활성화 및 사용주기 관리</t>
        </is>
      </c>
      <c r="E13" s="15" t="inlineStr">
        <is>
          <t>양호 - AWS Admin Console 계정에 Access Key가 존재하지 않고 IAM 사용자 계정에 대한 Access Key 사용 주기가 60일 이내일 경우
취약 - AWS Admin Console 계정에 Access Key가 존재하거나 IAM 사용자 계정에 대한 Access Key 사용 주기가 60일 초과일 경우</t>
        </is>
      </c>
      <c r="F13" s="2" t="n"/>
      <c r="G13" s="15" t="n"/>
    </row>
    <row r="14">
      <c r="B14" s="16" t="n"/>
      <c r="C14" s="2" t="inlineStr">
        <is>
          <t>1.9</t>
        </is>
      </c>
      <c r="D14" s="15" t="inlineStr">
        <is>
          <t>MFA (Multi-Factor Authentication) 설정</t>
        </is>
      </c>
      <c r="E14" s="15" t="inlineStr">
        <is>
          <t>양호 - AWS 계정 및 IAM 사용자 계정 로그인 시 MFA가 활성화 되어 있을 경우
취약 - AWS 계정 및 IAM 사용자 계정 로그인 시 MFA가 비활성화 되어 있을 경우</t>
        </is>
      </c>
      <c r="F14" s="2" t="n"/>
      <c r="G14" s="15" t="n"/>
    </row>
    <row r="15">
      <c r="B15" s="16" t="n"/>
      <c r="C15" s="2" t="inlineStr">
        <is>
          <t>1.10</t>
        </is>
      </c>
      <c r="D15" s="15" t="inlineStr">
        <is>
          <t>AWS 계정 패스워드 정책 관리</t>
        </is>
      </c>
      <c r="E15" s="15" t="inlineStr">
        <is>
          <t>양호 - Admin Console 및 IAM 계정의 패스워드 복잡성 기준 준수 및 암호 만료/재사용 제한을 설정한 경우
취약 - Admin Console 및 IAM 계정의 패스워드 복잡성 기준 준수 및 암호 만료/재사용 제한을 설정하지 않은 경우</t>
        </is>
      </c>
      <c r="F15" s="2" t="n"/>
      <c r="G15" s="15" t="n"/>
    </row>
    <row r="16">
      <c r="B16" s="16" t="n"/>
      <c r="C16" s="2" t="inlineStr">
        <is>
          <t>1.11</t>
        </is>
      </c>
      <c r="D16" s="15" t="inlineStr">
        <is>
          <t>EKS 사용자 관리</t>
        </is>
      </c>
      <c r="E16" s="15" t="inlineStr">
        <is>
          <t>양호 - EKS 리소스 접근을 위한 ConfigMap(RBAC) 내 인가된 사용자만 설정되어 있는 경우
취약 - EKS 리소스 접근을 위한 ConfigMap(RBAC) 내 인가된 사용자만 설정되어 있지 않은 경우</t>
        </is>
      </c>
      <c r="F16" s="2" t="n"/>
      <c r="G16" s="15" t="n"/>
    </row>
    <row r="17">
      <c r="B17" s="16" t="n"/>
      <c r="C17" s="2" t="inlineStr">
        <is>
          <t>1.12</t>
        </is>
      </c>
      <c r="D17" s="15" t="inlineStr">
        <is>
          <t>EKS 서비스 어카운트 관리</t>
        </is>
      </c>
      <c r="E17" s="15" t="inlineStr">
        <is>
          <t>양호 - 네임스페이스 또는 서비스 어카운트 설정 내 automountServiceAccountToken 값이 False로 설정된 경우
취약 - 네임스페이스 또는 서비스 어카운트 설정 내 automountServiceAccountToken 값이 True로 설정된 경우</t>
        </is>
      </c>
      <c r="F17" s="2" t="n"/>
      <c r="G17" s="15" t="n"/>
    </row>
    <row r="18">
      <c r="B18" s="17" t="n"/>
      <c r="C18" s="2" t="inlineStr">
        <is>
          <t>1.13</t>
        </is>
      </c>
      <c r="D18" s="15" t="inlineStr">
        <is>
          <t>EKS 불필요한 익명 접근 관리</t>
        </is>
      </c>
      <c r="E18" s="15" t="inlineStr">
        <is>
          <t>양호 - ClusterRole에 system:anonymous | unauthenticated 그룹이 바인딩되어 있지 않은 경우
취약 - ClusterRole에 system:anonymous | unauthenticated 그룹이 바인딩되어 있는 경우</t>
        </is>
      </c>
      <c r="F18" s="2" t="n"/>
      <c r="G18" s="15" t="n"/>
    </row>
    <row r="19">
      <c r="B19" s="15" t="inlineStr">
        <is>
          <t>2. 권한 관리</t>
        </is>
      </c>
      <c r="C19" s="2" t="inlineStr">
        <is>
          <t>2.1</t>
        </is>
      </c>
      <c r="D19" s="15" t="inlineStr">
        <is>
          <t>인스턴스 서비스 정책 관리</t>
        </is>
      </c>
      <c r="E19" s="15" t="inlineStr">
        <is>
          <t>양호 - 인스턴스 서비스 IAM 사용 권한이 각각 서비스 역할에 맞게 설정되어 있을 경우
취약 - 인스턴스 서비스 IAM 사용 권한이 각각 서비스 역할에 맞지 않게 설정되어 있을 경우</t>
        </is>
      </c>
      <c r="F19" s="2" t="n"/>
      <c r="G19" s="15" t="n"/>
    </row>
    <row r="20">
      <c r="B20" s="16" t="n"/>
      <c r="C20" s="2" t="inlineStr">
        <is>
          <t>2.2</t>
        </is>
      </c>
      <c r="D20" s="15" t="inlineStr">
        <is>
          <t>네트워크 서비스 정책 관리</t>
        </is>
      </c>
      <c r="E20" s="15" t="inlineStr">
        <is>
          <t>양호 - 네트워크 서비스 IAM 사용 권한이 각각 서비스 역할에 맞게 설정되어 있을 경우
취약 - 네트워크 서비스 IAM 사용 권한이 각각 서비스 역할에 맞지 않게 설정되어 있을 경우</t>
        </is>
      </c>
      <c r="F20" s="2" t="n"/>
      <c r="G20" s="15" t="n"/>
    </row>
    <row r="21">
      <c r="B21" s="17" t="n"/>
      <c r="C21" s="2" t="inlineStr">
        <is>
          <t>2.3</t>
        </is>
      </c>
      <c r="D21" s="15" t="inlineStr">
        <is>
          <t>기타 서비스 정책 관리</t>
        </is>
      </c>
      <c r="E21" s="15" t="inlineStr">
        <is>
          <t>양호 - 기타 서비스 IAM 사용 권한이 각각 서비스 역할에 맞게 설정되어 있을 경우
취약 - 기타 서비스 IAM 사용 권한이 각각 서비스 역할에 맞게 설정되어 있지 않을 경우</t>
        </is>
      </c>
      <c r="F21" s="2" t="n"/>
      <c r="G21" s="15" t="n"/>
    </row>
    <row r="22">
      <c r="B22" s="15" t="inlineStr">
        <is>
          <t>3. 가상 리소스 관리</t>
        </is>
      </c>
      <c r="C22" s="2" t="inlineStr">
        <is>
          <t>3.1</t>
        </is>
      </c>
      <c r="D22" s="15" t="inlineStr">
        <is>
          <t>보안 그룹 인/아웃바운드 ANY 설정 관리</t>
        </is>
      </c>
      <c r="E22" s="15" t="inlineStr">
        <is>
          <t>양호 - 보안 그룹 내 인/아웃바운드의 포트가 Any로 허용되어 있지 않을 경우
취약 - 보안 그룹 내 인/아웃바운드의 포트가 Any로 허용되어 있을 경우</t>
        </is>
      </c>
      <c r="F22" s="2" t="n"/>
      <c r="G22" s="15" t="n"/>
    </row>
    <row r="23">
      <c r="B23" s="16" t="n"/>
      <c r="C23" s="2" t="inlineStr">
        <is>
          <t>3.2</t>
        </is>
      </c>
      <c r="D23" s="15" t="inlineStr">
        <is>
          <t>보안 그룹 인/아웃바운드 불필요 정책 관리</t>
        </is>
      </c>
      <c r="E23" s="15" t="inlineStr">
        <is>
          <t>양호 - 보안 그룹 인/아웃바운드 규칙 내 불필요한 정책(Source, Destination)이 존재하지 않는 경우
취약 - 보안 그룹 인/아웃바운드 규칙 내 불필요한 정책(Source, Destination)이 존재하는 경우</t>
        </is>
      </c>
      <c r="F23" s="2" t="n"/>
      <c r="G23" s="15" t="n"/>
    </row>
    <row r="24">
      <c r="B24" s="16" t="n"/>
      <c r="C24" s="2" t="inlineStr">
        <is>
          <t>3.3</t>
        </is>
      </c>
      <c r="D24" s="15" t="inlineStr">
        <is>
          <t>네트워크 ACL 인/아웃바운드 트래픽 정책 관리</t>
        </is>
      </c>
      <c r="E24" s="15" t="inlineStr">
        <is>
          <t>양호 - 네트워크 ACL 내 인/아웃바운드에 대한 모든 트래픽이 허용되어 있지 않을 경우
취약 - 네트워크 ACL 내 인/아웃바운드에 대한 모든 트래픽이 허용되어 있을 경우</t>
        </is>
      </c>
      <c r="F24" s="2" t="n"/>
      <c r="G24" s="15" t="n"/>
    </row>
    <row r="25">
      <c r="B25" s="16" t="n"/>
      <c r="C25" s="2" t="inlineStr">
        <is>
          <t>3.4</t>
        </is>
      </c>
      <c r="D25" s="15" t="inlineStr">
        <is>
          <t>라우팅 테이블 정책 관리</t>
        </is>
      </c>
      <c r="E25" s="15" t="inlineStr">
        <is>
          <t>양호 - 라우팅 테이블 내 ANY 정책이 설정되어 있지 않고 서비스 타깃 별로 설정되어 있을 경우
취약 - 라우팅 테이블 내 ANY 정책이 설정되어 있거나 서비스 타깃 별로 설정되어 있지 않을 경우</t>
        </is>
      </c>
      <c r="F25" s="2" t="n"/>
      <c r="G25" s="15" t="n"/>
    </row>
    <row r="26">
      <c r="B26" s="16" t="n"/>
      <c r="C26" s="2" t="inlineStr">
        <is>
          <t>3.5</t>
        </is>
      </c>
      <c r="D26" s="15" t="inlineStr">
        <is>
          <t>인터넷 게이트웨이 연결 관리</t>
        </is>
      </c>
      <c r="E26" s="15" t="inlineStr">
        <is>
          <t>양호 - 인터넷 게이트웨이에 불필요하게 연결된 NAT 게이트웨이가 존재하지 않을 경우
취약 - 인터넷 게이트웨이에 불필요하게 연결된 NAT 게이트웨이가 존재하는 경우</t>
        </is>
      </c>
      <c r="F26" s="2" t="n"/>
      <c r="G26" s="15" t="n"/>
    </row>
    <row r="27">
      <c r="B27" s="16" t="n"/>
      <c r="C27" s="2" t="inlineStr">
        <is>
          <t>3.6</t>
        </is>
      </c>
      <c r="D27" s="15" t="inlineStr">
        <is>
          <t>NAT 게이트웨이 연결 관리</t>
        </is>
      </c>
      <c r="E27" s="15" t="inlineStr">
        <is>
          <t>양호 - 외부 통신이 필요한 리소스가 NAT 게이트웨이에 연결되어 있을 경우
취약 - 목적이 확인되지 않은 리소스가 NAT 게이트웨이에 연결되어 있을 경우</t>
        </is>
      </c>
      <c r="F27" s="2" t="n"/>
      <c r="G27" s="15" t="n"/>
    </row>
    <row r="28">
      <c r="B28" s="16" t="n"/>
      <c r="C28" s="2" t="inlineStr">
        <is>
          <t>3.7</t>
        </is>
      </c>
      <c r="D28" s="15" t="inlineStr">
        <is>
          <t>S3 버킷/객체 접근 관리</t>
        </is>
      </c>
      <c r="E28" s="15" t="inlineStr">
        <is>
          <t>양호 - 퍼블릭 액세스 차단이 설정되어 있거나, 퍼블릭 액세스를 허용할 경우 ACL을 버킷 소유자에게만 설정하고 있을 경우
취약 - 퍼블릭 액세스 차단이 설정되어 있지 않고, ACL이 모든 사람, 외부계정 소유자로 설정하고 있을 경우</t>
        </is>
      </c>
      <c r="F28" s="2" t="n"/>
      <c r="G28" s="15" t="n"/>
    </row>
    <row r="29">
      <c r="B29" s="16" t="n"/>
      <c r="C29" s="2" t="inlineStr">
        <is>
          <t>3.8</t>
        </is>
      </c>
      <c r="D29" s="15" t="inlineStr">
        <is>
          <t>RDS 서브넷 가용 영역 관리</t>
        </is>
      </c>
      <c r="E29" s="15" t="inlineStr">
        <is>
          <t>양호 - RDS 서브넷 그룹 내 불필요한 가용영역이 존재하지 않는 경우
취약 - RDS 서브넷 그룹 내 불필요한 가용영역이 존재하는 경우</t>
        </is>
      </c>
      <c r="F29" s="2" t="n"/>
      <c r="G29" s="15" t="n"/>
    </row>
    <row r="30">
      <c r="B30" s="16" t="n"/>
      <c r="C30" s="2" t="inlineStr">
        <is>
          <t>3.9</t>
        </is>
      </c>
      <c r="D30" s="15" t="inlineStr">
        <is>
          <t>EKS Pod 보안 정책 관리</t>
        </is>
      </c>
      <c r="E30" s="15" t="inlineStr">
        <is>
          <t>양호 - PSS Profile Baseline 및 PSA Audit 이상 설정을 적용해 사용하는 경우
취약 - PSS 및 PSA 설정을 적용하지 않거나 PSS Profile Privileged 및 PSA warn 설정을 사용하는 경우</t>
        </is>
      </c>
      <c r="F30" s="2" t="n"/>
      <c r="G30" s="15" t="n"/>
    </row>
    <row r="31">
      <c r="B31" s="17" t="n"/>
      <c r="C31" s="2" t="inlineStr">
        <is>
          <t>3.10</t>
        </is>
      </c>
      <c r="D31" s="15" t="inlineStr">
        <is>
          <t>ELB(Elastic Load Balancing) 연결 관리</t>
        </is>
      </c>
      <c r="E31" s="15" t="inlineStr">
        <is>
          <t>양호 - ELB 제어 정책을 준수하고 있는 경우
취약 - ELB 제어 정책을 준수하고 있지 않는 경우</t>
        </is>
      </c>
      <c r="F31" s="2" t="n"/>
      <c r="G31" s="15" t="n"/>
    </row>
    <row r="32">
      <c r="B32" s="15" t="inlineStr">
        <is>
          <t>4. 운영 관리</t>
        </is>
      </c>
      <c r="C32" s="2" t="inlineStr">
        <is>
          <t>4.1</t>
        </is>
      </c>
      <c r="D32" s="15" t="inlineStr">
        <is>
          <t>EBS 및 볼륨 암호화 설정</t>
        </is>
      </c>
      <c r="E32" s="15" t="inlineStr">
        <is>
          <t>양호 - EBS 및 볼륨 리소스에 암호화가 활성화되어 있을 경우
취약 - EBS 및 볼륨 리소스에 암호화가 비활성화되어 있을 경우</t>
        </is>
      </c>
      <c r="F32" s="2" t="n"/>
      <c r="G32" s="15" t="n"/>
    </row>
    <row r="33">
      <c r="B33" s="16" t="n"/>
      <c r="C33" s="2" t="inlineStr">
        <is>
          <t>4.2</t>
        </is>
      </c>
      <c r="D33" s="15" t="inlineStr">
        <is>
          <t>RDS 암호화 설정</t>
        </is>
      </c>
      <c r="E33" s="15" t="inlineStr">
        <is>
          <t>양호 - RDS 데이터베이스 암호화가 활성화되어 있을 경우
취약 - RDS 데이터베이스 암호화가 비활성화되어 있을 경우</t>
        </is>
      </c>
      <c r="F33" s="2" t="n"/>
      <c r="G33" s="15" t="n"/>
    </row>
    <row r="34">
      <c r="B34" s="16" t="n"/>
      <c r="C34" s="2" t="inlineStr">
        <is>
          <t>4.3</t>
        </is>
      </c>
      <c r="D34" s="15" t="inlineStr">
        <is>
          <t>S3 암호화 설정</t>
        </is>
      </c>
      <c r="E34" s="15" t="inlineStr">
        <is>
          <t>양호 - Amazon S3 키(SSE-S3)로 서버 측 암호화 사용 또는 SSE-KMS로 서버 측 암호화가 설정되어 있을 경우
취약 - Amazon S3 키(SSE-S3)로 서버 측 암호화 사용 또는 SSE-KMS로 서버 측 암호화가 설정되어 있지 않을 경우</t>
        </is>
      </c>
      <c r="F34" s="2" t="n"/>
      <c r="G34" s="15" t="n"/>
    </row>
    <row r="35">
      <c r="B35" s="16" t="n"/>
      <c r="C35" s="2" t="inlineStr">
        <is>
          <t>4.4</t>
        </is>
      </c>
      <c r="D35" s="15" t="inlineStr">
        <is>
          <t>통신구간 암호화 설정</t>
        </is>
      </c>
      <c r="E35" s="15" t="inlineStr">
        <is>
          <t>양호 - 클라우드 리소스 통신 구간 내 암호화 설정이 되어 있는 경우
취약 - 클라우드 리소스 통신 구간 내 암호화 설정이 되어 있지 않는 경우</t>
        </is>
      </c>
      <c r="F35" s="2" t="n"/>
      <c r="G35" s="15" t="n"/>
    </row>
    <row r="36">
      <c r="B36" s="16" t="n"/>
      <c r="C36" s="2" t="inlineStr">
        <is>
          <t>4.5</t>
        </is>
      </c>
      <c r="D36" s="15" t="inlineStr">
        <is>
          <t>CloudTrail 암호화 설정</t>
        </is>
      </c>
      <c r="E36" s="15" t="inlineStr">
        <is>
          <t>양호 - CloudTrail 관련 로그 파일에 SSE-KMS 암호화 설정이 되어 있을 경우
취약 - CloudTrail 관련 로그 파일에 SSE-KMS 암호화 설정이 되어 있지 않을 경우</t>
        </is>
      </c>
      <c r="F36" s="2" t="n"/>
      <c r="G36" s="15" t="n"/>
    </row>
    <row r="37">
      <c r="B37" s="16" t="n"/>
      <c r="C37" s="2" t="inlineStr">
        <is>
          <t>4.6</t>
        </is>
      </c>
      <c r="D37" s="15" t="inlineStr">
        <is>
          <t>CloudWatch 암호화 설정</t>
        </is>
      </c>
      <c r="E37" s="15" t="inlineStr">
        <is>
          <t>양호 - 로그 그룹 생성 시 "KMS key ARN"을 설정하여 사용하고 있는 경우
취약 - 로그 그룹 생성 시 "KMS key ARN"을 설정하여 사용하고 있지 않는 경우</t>
        </is>
      </c>
      <c r="F37" s="2" t="n"/>
      <c r="G37" s="15" t="n"/>
    </row>
    <row r="38">
      <c r="B38" s="16" t="n"/>
      <c r="C38" s="2" t="inlineStr">
        <is>
          <t>4.7</t>
        </is>
      </c>
      <c r="D38" s="15" t="inlineStr">
        <is>
          <t>AWS 사용자 계정 로깅 설정</t>
        </is>
      </c>
      <c r="E38" s="15" t="inlineStr">
        <is>
          <t>양호 - AWS 사용자 계정(Console, IAM)의 로깅이 설정되어 있는 경우
취약 - AWS 사용자 계정(Console, IAM)의 로깅이 설정되어 있지 않은 경우</t>
        </is>
      </c>
      <c r="F38" s="2" t="n"/>
      <c r="G38" s="15" t="n"/>
    </row>
    <row r="39">
      <c r="B39" s="16" t="n"/>
      <c r="C39" s="2" t="inlineStr">
        <is>
          <t>4.8</t>
        </is>
      </c>
      <c r="D39" s="15" t="inlineStr">
        <is>
          <t>인스턴스 로깅 설정</t>
        </is>
      </c>
      <c r="E39" s="15" t="inlineStr">
        <is>
          <t>양호 - CloudWatch 로그 스트림으로 보관하고 있는 경우
취약 - CloudWatch 로그 스트림으로 보관하고 있지 않은 경우</t>
        </is>
      </c>
      <c r="F39" s="2" t="n"/>
      <c r="G39" s="15" t="n"/>
    </row>
    <row r="40">
      <c r="B40" s="16" t="n"/>
      <c r="C40" s="2" t="inlineStr">
        <is>
          <t>4.9</t>
        </is>
      </c>
      <c r="D40" s="15" t="inlineStr">
        <is>
          <t>RDS 로깅 설정</t>
        </is>
      </c>
      <c r="E40" s="15" t="inlineStr">
        <is>
          <t>양호 - CloudWatch 로그 스트림으로 보관하고 있는 경우
취약 - CloudWatch 로그 스트림으로 보관하고 있지 않은 경우</t>
        </is>
      </c>
      <c r="F40" s="2" t="n"/>
      <c r="G40" s="15" t="n"/>
    </row>
    <row r="41">
      <c r="B41" s="16" t="n"/>
      <c r="C41" s="2" t="inlineStr">
        <is>
          <t>4.10</t>
        </is>
      </c>
      <c r="D41" s="15" t="inlineStr">
        <is>
          <t>S3 버킷 로깅 설정</t>
        </is>
      </c>
      <c r="E41" s="15" t="inlineStr">
        <is>
          <t>양호 - 로그를 보관하고 있는 버킷의 "서버 액세스 로깅"이 설정되어 있는 경우
취약 - 로그를 보관하고 있는 버킷의 "서버 액세스 로깅"이 설정되어 있지 않은 경우</t>
        </is>
      </c>
      <c r="F41" s="2" t="n"/>
      <c r="G41" s="15" t="n"/>
    </row>
    <row r="42">
      <c r="B42" s="16" t="n"/>
      <c r="C42" s="2" t="inlineStr">
        <is>
          <t>4.11</t>
        </is>
      </c>
      <c r="D42" s="15" t="inlineStr">
        <is>
          <t>VPC 플로우 로깅 설정</t>
        </is>
      </c>
      <c r="E42" s="15" t="inlineStr">
        <is>
          <t>양호 - VPC 플로우 로그 설정이 존재하는 경우
취약 - VPC 플로우 로그 설정이 존재하지 않을 경우</t>
        </is>
      </c>
      <c r="F42" s="2" t="n"/>
      <c r="G42" s="15" t="n"/>
    </row>
    <row r="43">
      <c r="B43" s="16" t="n"/>
      <c r="C43" s="2" t="inlineStr">
        <is>
          <t>4.12</t>
        </is>
      </c>
      <c r="D43" s="15" t="inlineStr">
        <is>
          <t>로그 보관 기간 설정</t>
        </is>
      </c>
      <c r="E43" s="15" t="inlineStr">
        <is>
          <t>양호 - AWS 서비스 로그를 기준(최소 1년 이상)에 맞게 보관하고 있는 경우
취약 - AWS 서비스 로그를 기준(최소 1년 이상)에 맞게 보관하고 있지 않은 경우</t>
        </is>
      </c>
      <c r="F43" s="2" t="n"/>
      <c r="G43" s="15" t="n"/>
    </row>
    <row r="44">
      <c r="B44" s="16" t="n"/>
      <c r="C44" s="2" t="inlineStr">
        <is>
          <t>4.13</t>
        </is>
      </c>
      <c r="D44" s="15" t="inlineStr">
        <is>
          <t>백업 사용 여부</t>
        </is>
      </c>
      <c r="E44" s="15" t="inlineStr">
        <is>
          <t>양호 - 클라우드 리소스 백업 정책이 존재하는 경우
취약 - 클라우드 리소스 백업 정책이 존재하지 않는 경우</t>
        </is>
      </c>
      <c r="F44" s="2" t="n"/>
      <c r="G44" s="15" t="n"/>
    </row>
    <row r="45">
      <c r="B45" s="16" t="n"/>
      <c r="C45" s="2" t="inlineStr">
        <is>
          <t>4.14</t>
        </is>
      </c>
      <c r="D45" s="15" t="inlineStr">
        <is>
          <t>EKS Cluster 제어 플레인 로깅 설정</t>
        </is>
      </c>
      <c r="E45" s="15" t="inlineStr">
        <is>
          <t>양호 - EKS Cluster 제어 플레인 로깅을 설정하여 유형 별 로그를 기록하고 있는 경우
취약 - EKS Cluster의 유형 별 로그를 기록하고 있지 않는 경우</t>
        </is>
      </c>
      <c r="F45" s="2" t="n"/>
      <c r="G45" s="15" t="n"/>
    </row>
    <row r="46">
      <c r="B46" s="17" t="n"/>
      <c r="C46" s="2" t="inlineStr">
        <is>
          <t>4.15</t>
        </is>
      </c>
      <c r="D46" s="15" t="inlineStr">
        <is>
          <t>EKS Cluster 암호화 설정</t>
        </is>
      </c>
      <c r="E46" s="15" t="inlineStr">
        <is>
          <t>양호 - 암호 암호화가 활성화 되어있는 경우
취약 - 암호 암호화가 활성화 되어있지 않는 경우</t>
        </is>
      </c>
      <c r="F46" s="2" t="n"/>
      <c r="G46" s="15" t="n"/>
    </row>
  </sheetData>
  <mergeCells count="4">
    <mergeCell ref="B6:B18"/>
    <mergeCell ref="B22:B31"/>
    <mergeCell ref="B32:B46"/>
    <mergeCell ref="B19:B21"/>
  </mergeCells>
  <conditionalFormatting sqref="F6:F46">
    <cfRule type="cellIs" priority="1" operator="equal" dxfId="0">
      <formula>"취약"</formula>
    </cfRule>
    <cfRule type="cellIs" priority="2" operator="equal" dxfId="1">
      <formula>"N/A"</formula>
    </cfRule>
    <cfRule type="expression" priority="3" dxfId="2">
      <formula>ISNUMBER(SEARCH("인터뷰",F6))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2026-09-29T06:17:10Z</dcterms:created>
  <dcterms:modified xmlns:dcterms="http://purl.org/dc/terms/" xmlns:xsi="http://www.w3.org/2001/XMLSchema-instance" xsi:type="dcterms:W3CDTF">2026-09-29T06:17:10Z</dcterms:modified>
</cp:coreProperties>
</file>