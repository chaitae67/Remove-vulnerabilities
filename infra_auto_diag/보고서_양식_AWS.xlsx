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AWS)" sheetId="4" r:id="rId4"/>
    <sheet name="3-1. 진단 결과(AWS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요약결과(그래프)'!$A$1:$Y$90</definedName>
    <definedName name="_xlnm.Print_Area" localSheetId="4">'3-1. 진단 결과(AWS)'!$B$6:$G$48</definedName>
    <definedName name="_xlnm.Print_Titles" localSheetId="3">'2-2. 요약 진단결과(AWS)'!$2:$5</definedName>
    <definedName name="_xlnm.Print_Titles" localSheetId="4">'3-1. 진단 결과(AWS)'!$2:$5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<sst xmlns="http://schemas.openxmlformats.org/spreadsheetml/2006/main" count="39" uniqueCount="32">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</sst>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81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17" fillId="0" borderId="13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1" fontId="4" fillId="2" borderId="37" xfId="0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6"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/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/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/>
    <dxf>
      <font>
        <color rgb="FF0070C0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color rgb="FF0070C0"/>
      </font>
      <fill>
        <patternFill patternType="none"/>
      </fill>
    </dxf>
    <dxf/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요약결과(그래프)'!$BA$67:$BA$70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AWS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AWS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(AWS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AWS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AWS</t>
        </is>
      </c>
      <c r="C5" s="45">
        <f>IFERROR(AVERAGE('2-2. 요약 진단결과(AWS)'!F48:F48),"")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진단결과(AWS)'!F48:F48,"&gt;=0.85")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진단결과(AWS)'!F48:F48,"&gt;=0.7",'2-2. 요약 진단결과(AWS)'!F48:F48,"&lt;0.85")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진단결과(AWS)'!F48:F48,"&lt;0.7")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AWS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4">
        <f>IFERROR(INDEX('2-2. 요약 진단결과(AWS)'!$F$4:$G$4,MATCH($W37,'2-2. 요약 진단결과(AWS)'!$F$3:$G$3,0)),"")</f>
      </c>
      <c r="Y37" s="76">
        <f>IFERROR(INDEX('2-2. 요약 진단결과(AWS)'!$F:$G,MATCH("보안 적용율*",'2-2. 요약 진단결과(AWS)'!$C:$C,0),MATCH($W37,'2-2. 요약 진단결과(AWS)'!$F$3:$G$3,0)),"")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5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5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5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5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5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6">
        <f>'2-2. 요약 진단결과(AWS)'!B6</f>
      </c>
      <c r="C67" s="66">
        <f>'2-2. 요약 진단결과(AWS)'!H6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BA67" s="66">
        <f>IF(ISNUMBER(C67),C67,NA())</f>
      </c>
    </row>
    <row r="68" spans="1:45" ht="13.5" customHeight="1">
      <c r="A68" s="31"/>
      <c r="B68" s="276">
        <f>'2-2. 요약 진단결과(AWS)'!B19</f>
      </c>
      <c r="C68" s="66">
        <f>'2-2. 요약 진단결과(AWS)'!H19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BA68" s="66">
        <f>IF(ISNUMBER(C68),C68,NA())</f>
      </c>
    </row>
    <row r="69" spans="1:45" ht="13.5" customHeight="1">
      <c r="A69" s="31"/>
      <c r="B69" s="276">
        <f>'2-2. 요약 진단결과(AWS)'!B22</f>
      </c>
      <c r="C69" s="66">
        <f>'2-2. 요약 진단결과(AWS)'!H22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BA69" s="66">
        <f>IF(ISNUMBER(C69),C69,NA())</f>
      </c>
    </row>
    <row r="70" spans="1:45" ht="13.5" customHeight="1">
      <c r="A70" s="31"/>
      <c r="B70" s="276">
        <f>'2-2. 요약 진단결과(AWS)'!B32</f>
      </c>
      <c r="C70" s="66">
        <f>'2-2. 요약 진단결과(AWS)'!H32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BA70" s="66">
        <f>IF(ISNUMBER(C70),C70,NA())</f>
      </c>
    </row>
    <row r="71" spans="1:45" ht="13.5" customHeight="1" hidden="1">
      <c r="A71" s="31"/>
      <c r="B71" s="277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BA71"/>
    </row>
    <row r="72" spans="1:45" ht="13.5" customHeight="1" hidden="1">
      <c r="A72" s="31"/>
      <c r="B72" s="277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BA72"/>
    </row>
    <row r="73" spans="1:45" ht="13.5" customHeight="1" hidden="1">
      <c r="A73" s="31"/>
      <c r="B73" s="278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BA73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44140625" customWidth="1"/>
    <col min="4" max="4" width="64.72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AWS 취약점 진단 요약결과(41항목)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9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80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41" t="inlineStr">
        <is>
          <t xml:space="preserve">1. 계정 관리</t>
        </is>
      </c>
      <c r="C6" s="256" t="inlineStr">
        <is>
          <t xml:space="preserve">1.1</t>
        </is>
      </c>
      <c r="D6" s="257" t="inlineStr">
        <is>
          <t xml:space="preserve">사용자 계정 관리</t>
        </is>
      </c>
      <c r="E6" s="258" t="inlineStr">
        <is>
          <t xml:space="preserve">상</t>
        </is>
      </c>
      <c r="F6" s="259">
        <f>IFERROR(T(INDEX('3-1. 진단 결과(AWS)'!$F$6:$G$46,MATCH($C6,'3-1. 진단 결과(AWS)'!$C$6:$C$46,0),MATCH(F$3,'3-1. 진단 결과(AWS)'!$F$3:$G$3,0))),"")</f>
      </c>
      <c r="G6" s="5"/>
      <c r="H6" s="260">
        <f>IF(COUNTIF(I6:I18,"N/A")=COUNTA(I6:I18),"N/A",AVERAGE(I6:I18))</f>
      </c>
      <c r="I6" s="261">
        <f>IF($J6+$K6=0,"N/A",$J6/($J6+$K6))</f>
      </c>
      <c r="J6" s="262">
        <f>COUNTIF($F6:$F6,"양호")</f>
      </c>
      <c r="K6" s="263">
        <f>COUNTIF($F6:$F6,"취약")</f>
      </c>
      <c r="L6" s="264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31" t="inlineStr">
        <is>
          <t xml:space="preserve">IAM 사용자 계정 단일화 관리</t>
        </is>
      </c>
      <c r="E7" s="8" t="inlineStr">
        <is>
          <t xml:space="preserve">상</t>
        </is>
      </c>
      <c r="F7" s="212">
        <f>IFERROR(T(INDEX('3-1. 진단 결과(AWS)'!$F$6:$G$46,MATCH($C7,'3-1. 진단 결과(AWS)'!$C$6:$C$46,0),MATCH(F$3,'3-1. 진단 결과(AWS)'!$F$3:$G$3,0))),"")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31" t="inlineStr">
        <is>
          <t xml:space="preserve">IAM 사용자 계정 식별 관리</t>
        </is>
      </c>
      <c r="E8" s="8" t="inlineStr">
        <is>
          <t xml:space="preserve">중</t>
        </is>
      </c>
      <c r="F8" s="212">
        <f>IFERROR(T(INDEX('3-1. 진단 결과(AWS)'!$F$6:$G$46,MATCH($C8,'3-1. 진단 결과(AWS)'!$C$6:$C$46,0),MATCH(F$3,'3-1. 진단 결과(AWS)'!$F$3:$G$3,0))),"")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31" t="inlineStr">
        <is>
          <t xml:space="preserve">IAM 그룹 사용자 계정 관리</t>
        </is>
      </c>
      <c r="E9" s="8" t="inlineStr">
        <is>
          <t xml:space="preserve">중</t>
        </is>
      </c>
      <c r="F9" s="212">
        <f>IFERROR(T(INDEX('3-1. 진단 결과(AWS)'!$F$6:$G$46,MATCH($C9,'3-1. 진단 결과(AWS)'!$C$6:$C$46,0),MATCH(F$3,'3-1. 진단 결과(AWS)'!$F$3:$G$3,0))),"")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31" t="inlineStr">
        <is>
          <t xml:space="preserve">Key Pair 접근 관리</t>
        </is>
      </c>
      <c r="E10" s="8" t="inlineStr">
        <is>
          <t xml:space="preserve">상</t>
        </is>
      </c>
      <c r="F10" s="212">
        <f>IFERROR(T(INDEX('3-1. 진단 결과(AWS)'!$F$6:$G$46,MATCH($C10,'3-1. 진단 결과(AWS)'!$C$6:$C$46,0),MATCH(F$3,'3-1. 진단 결과(AWS)'!$F$3:$G$3,0))),"")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31" t="inlineStr">
        <is>
          <t xml:space="preserve">Key Pair 보관 관리</t>
        </is>
      </c>
      <c r="E11" s="8" t="inlineStr">
        <is>
          <t xml:space="preserve">상</t>
        </is>
      </c>
      <c r="F11" s="212">
        <f>IFERROR(T(INDEX('3-1. 진단 결과(AWS)'!$F$6:$G$46,MATCH($C11,'3-1. 진단 결과(AWS)'!$C$6:$C$46,0),MATCH(F$3,'3-1. 진단 결과(AWS)'!$F$3:$G$3,0))),"")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31" t="inlineStr">
        <is>
          <t xml:space="preserve">Admin Console 관리자 정책 관리</t>
        </is>
      </c>
      <c r="E12" s="8" t="inlineStr">
        <is>
          <t xml:space="preserve">중</t>
        </is>
      </c>
      <c r="F12" s="212">
        <f>IFERROR(T(INDEX('3-1. 진단 결과(AWS)'!$F$6:$G$46,MATCH($C12,'3-1. 진단 결과(AWS)'!$C$6:$C$46,0),MATCH(F$3,'3-1. 진단 결과(AWS)'!$F$3:$G$3,0))),"")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31" t="inlineStr">
        <is>
          <t xml:space="preserve">Admin Console 계정 Access Key 활성화 및 사용주기 관리</t>
        </is>
      </c>
      <c r="E13" s="8" t="inlineStr">
        <is>
          <t xml:space="preserve">상</t>
        </is>
      </c>
      <c r="F13" s="212">
        <f>IFERROR(T(INDEX('3-1. 진단 결과(AWS)'!$F$6:$G$46,MATCH($C13,'3-1. 진단 결과(AWS)'!$C$6:$C$46,0),MATCH(F$3,'3-1. 진단 결과(AWS)'!$F$3:$G$3,0))),"")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31" t="inlineStr">
        <is>
          <t xml:space="preserve">MFA (Multi-Factor Authentication) 설정</t>
        </is>
      </c>
      <c r="E14" s="8" t="inlineStr">
        <is>
          <t xml:space="preserve">중</t>
        </is>
      </c>
      <c r="F14" s="212">
        <f>IFERROR(T(INDEX('3-1. 진단 결과(AWS)'!$F$6:$G$46,MATCH($C14,'3-1. 진단 결과(AWS)'!$C$6:$C$46,0),MATCH(F$3,'3-1. 진단 결과(AWS)'!$F$3:$G$3,0))),"")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31" t="inlineStr">
        <is>
          <t xml:space="preserve">AWS 계정 패스워드 정책 관리</t>
        </is>
      </c>
      <c r="E15" s="8" t="inlineStr">
        <is>
          <t xml:space="preserve">중</t>
        </is>
      </c>
      <c r="F15" s="212">
        <f>IFERROR(T(INDEX('3-1. 진단 결과(AWS)'!$F$6:$G$46,MATCH($C15,'3-1. 진단 결과(AWS)'!$C$6:$C$46,0),MATCH(F$3,'3-1. 진단 결과(AWS)'!$F$3:$G$3,0))),"")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163"/>
      <c r="C16" s="91" t="inlineStr">
        <is>
          <t xml:space="preserve">1.11</t>
        </is>
      </c>
      <c r="D16" s="231" t="inlineStr">
        <is>
          <t xml:space="preserve">EKS 사용자 관리</t>
        </is>
      </c>
      <c r="E16" s="8" t="inlineStr">
        <is>
          <t xml:space="preserve">상</t>
        </is>
      </c>
      <c r="F16" s="212">
        <f>IFERROR(T(INDEX('3-1. 진단 결과(AWS)'!$F$6:$G$46,MATCH($C16,'3-1. 진단 결과(AWS)'!$C$6:$C$46,0),MATCH(F$3,'3-1. 진단 결과(AWS)'!$F$3:$G$3,0))),"")</f>
      </c>
      <c r="G16" s="5"/>
      <c r="H16" s="159"/>
      <c r="I16" s="34">
        <f>IF($J16+$K16=0,"N/A",$J16/($J16+$K16))</f>
      </c>
      <c r="J16" s="120">
        <f>COUNTIF($F16:$F16,"양호")</f>
      </c>
      <c r="K16" s="121">
        <f>COUNTIF($F16:$F16,"취약")</f>
      </c>
      <c r="L16" s="30">
        <f>COUNTIF($F16:$F16,"N/A")</f>
      </c>
    </row>
    <row r="17" spans="1:26" ht="31.65" customHeight="1">
      <c r="A17" s="31"/>
      <c r="B17" s="163"/>
      <c r="C17" s="91" t="inlineStr">
        <is>
          <t xml:space="preserve">1.12</t>
        </is>
      </c>
      <c r="D17" s="231" t="inlineStr">
        <is>
          <t xml:space="preserve">EKS 서비스 어카운트 관리</t>
        </is>
      </c>
      <c r="E17" s="8" t="inlineStr">
        <is>
          <t xml:space="preserve">중</t>
        </is>
      </c>
      <c r="F17" s="212">
        <f>IFERROR(T(INDEX('3-1. 진단 결과(AWS)'!$F$6:$G$46,MATCH($C17,'3-1. 진단 결과(AWS)'!$C$6:$C$46,0),MATCH(F$3,'3-1. 진단 결과(AWS)'!$F$3:$G$3,0))),"")</f>
      </c>
      <c r="G17" s="5"/>
      <c r="H17" s="159"/>
      <c r="I17" s="34">
        <f>IF($J17+$K17=0,"N/A",$J17/($J17+$K17))</f>
      </c>
      <c r="J17" s="120">
        <f>COUNTIF($F17:$F17,"양호")</f>
      </c>
      <c r="K17" s="121">
        <f>COUNTIF($F17:$F17,"취약")</f>
      </c>
      <c r="L17" s="30">
        <f>COUNTIF($F17:$F17,"N/A")</f>
      </c>
    </row>
    <row r="18" spans="1:26" ht="31.65" customHeight="1">
      <c r="A18" s="31"/>
      <c r="B18" s="249"/>
      <c r="C18" s="265" t="inlineStr">
        <is>
          <t xml:space="preserve">1.13</t>
        </is>
      </c>
      <c r="D18" s="266" t="inlineStr">
        <is>
          <t xml:space="preserve">EKS 불필요한 익명 접근 관리</t>
        </is>
      </c>
      <c r="E18" s="267" t="inlineStr">
        <is>
          <t xml:space="preserve">상</t>
        </is>
      </c>
      <c r="F18" s="268">
        <f>IFERROR(T(INDEX('3-1. 진단 결과(AWS)'!$F$6:$G$46,MATCH($C18,'3-1. 진단 결과(AWS)'!$C$6:$C$46,0),MATCH(F$3,'3-1. 진단 결과(AWS)'!$F$3:$G$3,0))),"")</f>
      </c>
      <c r="G18" s="5"/>
      <c r="H18" s="269"/>
      <c r="I18" s="270">
        <f>IF($J18+$K18=0,"N/A",$J18/($J18+$K18))</f>
      </c>
      <c r="J18" s="271">
        <f>COUNTIF($F18:$F18,"양호")</f>
      </c>
      <c r="K18" s="272">
        <f>COUNTIF($F18:$F18,"취약")</f>
      </c>
      <c r="L18" s="273">
        <f>COUNTIF($F18:$F18,"N/A")</f>
      </c>
    </row>
    <row r="19" spans="1:26" ht="31.65" customHeight="1">
      <c r="A19" s="31"/>
      <c r="B19" s="241" t="inlineStr">
        <is>
          <t xml:space="preserve">2. 권한 관리</t>
        </is>
      </c>
      <c r="C19" s="256" t="inlineStr">
        <is>
          <t xml:space="preserve">2.1</t>
        </is>
      </c>
      <c r="D19" s="257" t="inlineStr">
        <is>
          <t xml:space="preserve">인스턴스 서비스 정책 관리</t>
        </is>
      </c>
      <c r="E19" s="258" t="inlineStr">
        <is>
          <t xml:space="preserve">상</t>
        </is>
      </c>
      <c r="F19" s="259">
        <f>IFERROR(T(INDEX('3-1. 진단 결과(AWS)'!$F$6:$G$46,MATCH($C19,'3-1. 진단 결과(AWS)'!$C$6:$C$46,0),MATCH(F$3,'3-1. 진단 결과(AWS)'!$F$3:$G$3,0))),"")</f>
      </c>
      <c r="G19" s="5"/>
      <c r="H19" s="260">
        <f>IF(COUNTIF(I19:I21,"N/A")=COUNTA(I19:I21),"N/A",AVERAGE(I19:I21))</f>
      </c>
      <c r="I19" s="261">
        <f>IF($J19+$K19=0,"N/A",$J19/($J19+$K19))</f>
      </c>
      <c r="J19" s="262">
        <f>COUNTIF($F19:$F19,"양호")</f>
      </c>
      <c r="K19" s="263">
        <f>COUNTIF($F19:$F19,"취약")</f>
      </c>
      <c r="L19" s="264">
        <f>COUNTIF($F19:$F19,"N/A")</f>
      </c>
    </row>
    <row r="20" spans="1:26" ht="31.65" customHeight="1">
      <c r="A20" s="31"/>
      <c r="B20" s="163"/>
      <c r="C20" s="91" t="inlineStr">
        <is>
          <t xml:space="preserve">2.2</t>
        </is>
      </c>
      <c r="D20" s="231" t="inlineStr">
        <is>
          <t xml:space="preserve">네트워크 서비스 정책 관리</t>
        </is>
      </c>
      <c r="E20" s="8" t="inlineStr">
        <is>
          <t xml:space="preserve">상</t>
        </is>
      </c>
      <c r="F20" s="212">
        <f>IFERROR(T(INDEX('3-1. 진단 결과(AWS)'!$F$6:$G$46,MATCH($C20,'3-1. 진단 결과(AWS)'!$C$6:$C$46,0),MATCH(F$3,'3-1. 진단 결과(AWS)'!$F$3:$G$3,0))),"")</f>
      </c>
      <c r="G20" s="5"/>
      <c r="H20" s="159"/>
      <c r="I20" s="34">
        <f>IF($J20+$K20=0,"N/A",$J20/($J20+$K20))</f>
      </c>
      <c r="J20" s="120">
        <f>COUNTIF($F20:$F20,"양호")</f>
      </c>
      <c r="K20" s="121">
        <f>COUNTIF($F20:$F20,"취약")</f>
      </c>
      <c r="L20" s="30">
        <f>COUNTIF($F20:$F20,"N/A")</f>
      </c>
    </row>
    <row r="21" spans="1:26" ht="31.65" customHeight="1">
      <c r="A21" s="31"/>
      <c r="B21" s="249"/>
      <c r="C21" s="265" t="inlineStr">
        <is>
          <t xml:space="preserve">2.3</t>
        </is>
      </c>
      <c r="D21" s="266" t="inlineStr">
        <is>
          <t xml:space="preserve">기타 서비스 정책 관리</t>
        </is>
      </c>
      <c r="E21" s="267" t="inlineStr">
        <is>
          <t xml:space="preserve">상</t>
        </is>
      </c>
      <c r="F21" s="268">
        <f>IFERROR(T(INDEX('3-1. 진단 결과(AWS)'!$F$6:$G$46,MATCH($C21,'3-1. 진단 결과(AWS)'!$C$6:$C$46,0),MATCH(F$3,'3-1. 진단 결과(AWS)'!$F$3:$G$3,0))),"")</f>
      </c>
      <c r="G21" s="5"/>
      <c r="H21" s="269"/>
      <c r="I21" s="270">
        <f>IF($J21+$K21=0,"N/A",$J21/($J21+$K21))</f>
      </c>
      <c r="J21" s="271">
        <f>COUNTIF($F21:$F21,"양호")</f>
      </c>
      <c r="K21" s="272">
        <f>COUNTIF($F21:$F21,"취약")</f>
      </c>
      <c r="L21" s="273">
        <f>COUNTIF($F21:$F21,"N/A")</f>
      </c>
    </row>
    <row r="22" spans="1:26" ht="31.65" customHeight="1">
      <c r="A22" s="31"/>
      <c r="B22" s="241" t="inlineStr">
        <is>
          <t xml:space="preserve">3. 가상 리소스 관리</t>
        </is>
      </c>
      <c r="C22" s="256" t="inlineStr">
        <is>
          <t xml:space="preserve">3.1</t>
        </is>
      </c>
      <c r="D22" s="257" t="inlineStr">
        <is>
          <t xml:space="preserve">보안 그룹 인/아웃바운드 ANY 설정 관리</t>
        </is>
      </c>
      <c r="E22" s="258" t="inlineStr">
        <is>
          <t xml:space="preserve">상</t>
        </is>
      </c>
      <c r="F22" s="259">
        <f>IFERROR(T(INDEX('3-1. 진단 결과(AWS)'!$F$6:$G$46,MATCH($C22,'3-1. 진단 결과(AWS)'!$C$6:$C$46,0),MATCH(F$3,'3-1. 진단 결과(AWS)'!$F$3:$G$3,0))),"")</f>
      </c>
      <c r="G22" s="5"/>
      <c r="H22" s="260">
        <f>IF(COUNTIF(I22:I31,"N/A")=COUNTA(I22:I31),"N/A",AVERAGE(I22:I31))</f>
      </c>
      <c r="I22" s="261">
        <f>IF($J22+$K22=0,"N/A",$J22/($J22+$K22))</f>
      </c>
      <c r="J22" s="262">
        <f>COUNTIF($F22:$F22,"양호")</f>
      </c>
      <c r="K22" s="263">
        <f>COUNTIF($F22:$F22,"취약")</f>
      </c>
      <c r="L22" s="264">
        <f>COUNTIF($F22:$F22,"N/A")</f>
      </c>
    </row>
    <row r="23" spans="1:26" ht="31.65" customHeight="1">
      <c r="A23" s="31"/>
      <c r="B23" s="163"/>
      <c r="C23" s="91" t="inlineStr">
        <is>
          <t xml:space="preserve">3.2</t>
        </is>
      </c>
      <c r="D23" s="231" t="inlineStr">
        <is>
          <t xml:space="preserve">보안 그룹 인/아웃바운드 불필요 정책 관리</t>
        </is>
      </c>
      <c r="E23" s="8" t="inlineStr">
        <is>
          <t xml:space="preserve">상</t>
        </is>
      </c>
      <c r="F23" s="212">
        <f>IFERROR(T(INDEX('3-1. 진단 결과(AWS)'!$F$6:$G$46,MATCH($C23,'3-1. 진단 결과(AWS)'!$C$6:$C$46,0),MATCH(F$3,'3-1. 진단 결과(AWS)'!$F$3:$G$3,0))),"")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3.3</t>
        </is>
      </c>
      <c r="D24" s="231" t="inlineStr">
        <is>
          <t xml:space="preserve">네트워크 ACL 인/아웃바운드 트래픽 정책 관리</t>
        </is>
      </c>
      <c r="E24" s="8" t="inlineStr">
        <is>
          <t xml:space="preserve">중</t>
        </is>
      </c>
      <c r="F24" s="212">
        <f>IFERROR(T(INDEX('3-1. 진단 결과(AWS)'!$F$6:$G$46,MATCH($C24,'3-1. 진단 결과(AWS)'!$C$6:$C$46,0),MATCH(F$3,'3-1. 진단 결과(AWS)'!$F$3:$G$3,0))),"")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3.4</t>
        </is>
      </c>
      <c r="D25" s="231" t="inlineStr">
        <is>
          <t xml:space="preserve">라우팅 테이블 정책 관리</t>
        </is>
      </c>
      <c r="E25" s="8" t="inlineStr">
        <is>
          <t xml:space="preserve">중</t>
        </is>
      </c>
      <c r="F25" s="212">
        <f>IFERROR(T(INDEX('3-1. 진단 결과(AWS)'!$F$6:$G$46,MATCH($C25,'3-1. 진단 결과(AWS)'!$C$6:$C$46,0),MATCH(F$3,'3-1. 진단 결과(AWS)'!$F$3:$G$3,0))),"")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3.5</t>
        </is>
      </c>
      <c r="D26" s="231" t="inlineStr">
        <is>
          <t xml:space="preserve">인터넷 게이트웨이 연결 관리</t>
        </is>
      </c>
      <c r="E26" s="8" t="inlineStr">
        <is>
          <t xml:space="preserve">하</t>
        </is>
      </c>
      <c r="F26" s="212">
        <f>IFERROR(T(INDEX('3-1. 진단 결과(AWS)'!$F$6:$G$46,MATCH($C26,'3-1. 진단 결과(AWS)'!$C$6:$C$46,0),MATCH(F$3,'3-1. 진단 결과(AWS)'!$F$3:$G$3,0))),"")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3.6</t>
        </is>
      </c>
      <c r="D27" s="231" t="inlineStr">
        <is>
          <t xml:space="preserve">NAT 게이트웨이 연결 관리</t>
        </is>
      </c>
      <c r="E27" s="8" t="inlineStr">
        <is>
          <t xml:space="preserve">중</t>
        </is>
      </c>
      <c r="F27" s="212">
        <f>IFERROR(T(INDEX('3-1. 진단 결과(AWS)'!$F$6:$G$46,MATCH($C27,'3-1. 진단 결과(AWS)'!$C$6:$C$46,0),MATCH(F$3,'3-1. 진단 결과(AWS)'!$F$3:$G$3,0))),"")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3.7</t>
        </is>
      </c>
      <c r="D28" s="231" t="inlineStr">
        <is>
          <t xml:space="preserve">S3 버킷/객체 접근 관리</t>
        </is>
      </c>
      <c r="E28" s="8" t="inlineStr">
        <is>
          <t xml:space="preserve">중</t>
        </is>
      </c>
      <c r="F28" s="212">
        <f>IFERROR(T(INDEX('3-1. 진단 결과(AWS)'!$F$6:$G$46,MATCH($C28,'3-1. 진단 결과(AWS)'!$C$6:$C$46,0),MATCH(F$3,'3-1. 진단 결과(AWS)'!$F$3:$G$3,0))),"")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3.8</t>
        </is>
      </c>
      <c r="D29" s="231" t="inlineStr">
        <is>
          <t xml:space="preserve">RDS 서브넷 가용 영역 관리</t>
        </is>
      </c>
      <c r="E29" s="8" t="inlineStr">
        <is>
          <t xml:space="preserve">중</t>
        </is>
      </c>
      <c r="F29" s="212">
        <f>IFERROR(T(INDEX('3-1. 진단 결과(AWS)'!$F$6:$G$46,MATCH($C29,'3-1. 진단 결과(AWS)'!$C$6:$C$46,0),MATCH(F$3,'3-1. 진단 결과(AWS)'!$F$3:$G$3,0))),"")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3.9</t>
        </is>
      </c>
      <c r="D30" s="231" t="inlineStr">
        <is>
          <t xml:space="preserve">EKS Pod 보안 정책 관리</t>
        </is>
      </c>
      <c r="E30" s="8" t="inlineStr">
        <is>
          <t xml:space="preserve">상</t>
        </is>
      </c>
      <c r="F30" s="212">
        <f>IFERROR(T(INDEX('3-1. 진단 결과(AWS)'!$F$6:$G$46,MATCH($C30,'3-1. 진단 결과(AWS)'!$C$6:$C$46,0),MATCH(F$3,'3-1. 진단 결과(AWS)'!$F$3:$G$3,0))),"")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249"/>
      <c r="C31" s="265" t="inlineStr">
        <is>
          <t xml:space="preserve">3.10</t>
        </is>
      </c>
      <c r="D31" s="266" t="inlineStr">
        <is>
          <t xml:space="preserve">ELB(Elastic Load Balancing) 연결 관리</t>
        </is>
      </c>
      <c r="E31" s="267" t="inlineStr">
        <is>
          <t xml:space="preserve">중</t>
        </is>
      </c>
      <c r="F31" s="268">
        <f>IFERROR(T(INDEX('3-1. 진단 결과(AWS)'!$F$6:$G$46,MATCH($C31,'3-1. 진단 결과(AWS)'!$C$6:$C$46,0),MATCH(F$3,'3-1. 진단 결과(AWS)'!$F$3:$G$3,0))),"")</f>
      </c>
      <c r="G31" s="5"/>
      <c r="H31" s="269"/>
      <c r="I31" s="270">
        <f>IF($J31+$K31=0,"N/A",$J31/($J31+$K31))</f>
      </c>
      <c r="J31" s="271">
        <f>COUNTIF($F31:$F31,"양호")</f>
      </c>
      <c r="K31" s="272">
        <f>COUNTIF($F31:$F31,"취약")</f>
      </c>
      <c r="L31" s="273">
        <f>COUNTIF($F31:$F31,"N/A")</f>
      </c>
    </row>
    <row r="32" spans="1:26" ht="31.65" customHeight="1">
      <c r="A32" s="31"/>
      <c r="B32" s="241" t="inlineStr">
        <is>
          <t xml:space="preserve">4. 운영 관리</t>
        </is>
      </c>
      <c r="C32" s="256" t="inlineStr">
        <is>
          <t xml:space="preserve">4.1</t>
        </is>
      </c>
      <c r="D32" s="257" t="inlineStr">
        <is>
          <t xml:space="preserve">EBS 및 볼륨 암호화 설정</t>
        </is>
      </c>
      <c r="E32" s="258" t="inlineStr">
        <is>
          <t xml:space="preserve">중</t>
        </is>
      </c>
      <c r="F32" s="259">
        <f>IFERROR(T(INDEX('3-1. 진단 결과(AWS)'!$F$6:$G$46,MATCH($C32,'3-1. 진단 결과(AWS)'!$C$6:$C$46,0),MATCH(F$3,'3-1. 진단 결과(AWS)'!$F$3:$G$3,0))),"")</f>
      </c>
      <c r="G32" s="5"/>
      <c r="H32" s="260">
        <f>IF(COUNTIF(I32:I46,"N/A")=COUNTA(I32:I46),"N/A",AVERAGE(I32:I46))</f>
      </c>
      <c r="I32" s="261">
        <f>IF($J32+$K32=0,"N/A",$J32/($J32+$K32))</f>
      </c>
      <c r="J32" s="262">
        <f>COUNTIF($F32:$F32,"양호")</f>
      </c>
      <c r="K32" s="263">
        <f>COUNTIF($F32:$F32,"취약")</f>
      </c>
      <c r="L32" s="264">
        <f>COUNTIF($F32:$F32,"N/A")</f>
      </c>
    </row>
    <row r="33" spans="1:26" ht="31.65" customHeight="1">
      <c r="A33" s="31"/>
      <c r="B33" s="163"/>
      <c r="C33" s="91" t="inlineStr">
        <is>
          <t xml:space="preserve">4.2</t>
        </is>
      </c>
      <c r="D33" s="231" t="inlineStr">
        <is>
          <t xml:space="preserve">RDS 암호화 설정</t>
        </is>
      </c>
      <c r="E33" s="8" t="inlineStr">
        <is>
          <t xml:space="preserve">중</t>
        </is>
      </c>
      <c r="F33" s="212">
        <f>IFERROR(T(INDEX('3-1. 진단 결과(AWS)'!$F$6:$G$46,MATCH($C33,'3-1. 진단 결과(AWS)'!$C$6:$C$46,0),MATCH(F$3,'3-1. 진단 결과(AWS)'!$F$3:$G$3,0))),"")</f>
      </c>
      <c r="G33" s="5"/>
      <c r="H33" s="159"/>
      <c r="I33" s="34">
        <f>IF($J33+$K33=0,"N/A",$J33/($J33+$K33))</f>
      </c>
      <c r="J33" s="120">
        <f>COUNTIF($F33:$F33,"양호")</f>
      </c>
      <c r="K33" s="121">
        <f>COUNTIF($F33:$F33,"취약")</f>
      </c>
      <c r="L33" s="30">
        <f>COUNTIF($F33:$F33,"N/A")</f>
      </c>
    </row>
    <row r="34" spans="1:26" ht="31.65" customHeight="1">
      <c r="A34" s="31"/>
      <c r="B34" s="163"/>
      <c r="C34" s="91" t="inlineStr">
        <is>
          <t xml:space="preserve">4.3</t>
        </is>
      </c>
      <c r="D34" s="231" t="inlineStr">
        <is>
          <t xml:space="preserve">S3 암호화 설정</t>
        </is>
      </c>
      <c r="E34" s="8" t="inlineStr">
        <is>
          <t xml:space="preserve">중</t>
        </is>
      </c>
      <c r="F34" s="212">
        <f>IFERROR(T(INDEX('3-1. 진단 결과(AWS)'!$F$6:$G$46,MATCH($C34,'3-1. 진단 결과(AWS)'!$C$6:$C$46,0),MATCH(F$3,'3-1. 진단 결과(AWS)'!$F$3:$G$3,0))),"")</f>
      </c>
      <c r="G34" s="5"/>
      <c r="H34" s="159"/>
      <c r="I34" s="34">
        <f>IF($J34+$K34=0,"N/A",$J34/($J34+$K34))</f>
      </c>
      <c r="J34" s="120">
        <f>COUNTIF($F34:$F34,"양호")</f>
      </c>
      <c r="K34" s="121">
        <f>COUNTIF($F34:$F34,"취약")</f>
      </c>
      <c r="L34" s="30">
        <f>COUNTIF($F34:$F34,"N/A")</f>
      </c>
    </row>
    <row r="35" spans="1:26" ht="31.65" customHeight="1">
      <c r="A35" s="31"/>
      <c r="B35" s="163"/>
      <c r="C35" s="91" t="inlineStr">
        <is>
          <t xml:space="preserve">4.4</t>
        </is>
      </c>
      <c r="D35" s="231" t="inlineStr">
        <is>
          <t xml:space="preserve">통신구간 암호화 설정</t>
        </is>
      </c>
      <c r="E35" s="8" t="inlineStr">
        <is>
          <t xml:space="preserve">중</t>
        </is>
      </c>
      <c r="F35" s="212">
        <f>IFERROR(T(INDEX('3-1. 진단 결과(AWS)'!$F$6:$G$46,MATCH($C35,'3-1. 진단 결과(AWS)'!$C$6:$C$46,0),MATCH(F$3,'3-1. 진단 결과(AWS)'!$F$3:$G$3,0))),"")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4.5</t>
        </is>
      </c>
      <c r="D36" s="231" t="inlineStr">
        <is>
          <t xml:space="preserve">CloudTrail 암호화 설정</t>
        </is>
      </c>
      <c r="E36" s="8" t="inlineStr">
        <is>
          <t xml:space="preserve">중</t>
        </is>
      </c>
      <c r="F36" s="212">
        <f>IFERROR(T(INDEX('3-1. 진단 결과(AWS)'!$F$6:$G$46,MATCH($C36,'3-1. 진단 결과(AWS)'!$C$6:$C$46,0),MATCH(F$3,'3-1. 진단 결과(AWS)'!$F$3:$G$3,0))),"")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4.6</t>
        </is>
      </c>
      <c r="D37" s="231" t="inlineStr">
        <is>
          <t xml:space="preserve">CloudWatch 암호화 설정</t>
        </is>
      </c>
      <c r="E37" s="8" t="inlineStr">
        <is>
          <t xml:space="preserve">중</t>
        </is>
      </c>
      <c r="F37" s="212">
        <f>IFERROR(T(INDEX('3-1. 진단 결과(AWS)'!$F$6:$G$46,MATCH($C37,'3-1. 진단 결과(AWS)'!$C$6:$C$46,0),MATCH(F$3,'3-1. 진단 결과(AWS)'!$F$3:$G$3,0))),"")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4.7</t>
        </is>
      </c>
      <c r="D38" s="231" t="inlineStr">
        <is>
          <t xml:space="preserve">AWS 사용자 계정 로깅 설정</t>
        </is>
      </c>
      <c r="E38" s="8" t="inlineStr">
        <is>
          <t xml:space="preserve">상</t>
        </is>
      </c>
      <c r="F38" s="212">
        <f>IFERROR(T(INDEX('3-1. 진단 결과(AWS)'!$F$6:$G$46,MATCH($C38,'3-1. 진단 결과(AWS)'!$C$6:$C$46,0),MATCH(F$3,'3-1. 진단 결과(AWS)'!$F$3:$G$3,0))),"")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4.8</t>
        </is>
      </c>
      <c r="D39" s="231" t="inlineStr">
        <is>
          <t xml:space="preserve">인스턴스 로깅 설정</t>
        </is>
      </c>
      <c r="E39" s="8" t="inlineStr">
        <is>
          <t xml:space="preserve">중</t>
        </is>
      </c>
      <c r="F39" s="212">
        <f>IFERROR(T(INDEX('3-1. 진단 결과(AWS)'!$F$6:$G$46,MATCH($C39,'3-1. 진단 결과(AWS)'!$C$6:$C$46,0),MATCH(F$3,'3-1. 진단 결과(AWS)'!$F$3:$G$3,0))),"")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4.9</t>
        </is>
      </c>
      <c r="D40" s="231" t="inlineStr">
        <is>
          <t xml:space="preserve">RDS 로깅 설정</t>
        </is>
      </c>
      <c r="E40" s="8" t="inlineStr">
        <is>
          <t xml:space="preserve">중</t>
        </is>
      </c>
      <c r="F40" s="212">
        <f>IFERROR(T(INDEX('3-1. 진단 결과(AWS)'!$F$6:$G$46,MATCH($C40,'3-1. 진단 결과(AWS)'!$C$6:$C$46,0),MATCH(F$3,'3-1. 진단 결과(AWS)'!$F$3:$G$3,0))),"")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4.10</t>
        </is>
      </c>
      <c r="D41" s="231" t="inlineStr">
        <is>
          <t xml:space="preserve">S3 버킷 로깅 설정</t>
        </is>
      </c>
      <c r="E41" s="8" t="inlineStr">
        <is>
          <t xml:space="preserve">중</t>
        </is>
      </c>
      <c r="F41" s="212">
        <f>IFERROR(T(INDEX('3-1. 진단 결과(AWS)'!$F$6:$G$46,MATCH($C41,'3-1. 진단 결과(AWS)'!$C$6:$C$46,0),MATCH(F$3,'3-1. 진단 결과(AWS)'!$F$3:$G$3,0))),"")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4.11</t>
        </is>
      </c>
      <c r="D42" s="231" t="inlineStr">
        <is>
          <t xml:space="preserve">VPC 플로우 로깅 설정</t>
        </is>
      </c>
      <c r="E42" s="8" t="inlineStr">
        <is>
          <t xml:space="preserve">중</t>
        </is>
      </c>
      <c r="F42" s="212">
        <f>IFERROR(T(INDEX('3-1. 진단 결과(AWS)'!$F$6:$G$46,MATCH($C42,'3-1. 진단 결과(AWS)'!$C$6:$C$46,0),MATCH(F$3,'3-1. 진단 결과(AWS)'!$F$3:$G$3,0))),"")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4.12</t>
        </is>
      </c>
      <c r="D43" s="231" t="inlineStr">
        <is>
          <t xml:space="preserve">로그 보관 기간 설정</t>
        </is>
      </c>
      <c r="E43" s="8" t="inlineStr">
        <is>
          <t xml:space="preserve">중</t>
        </is>
      </c>
      <c r="F43" s="212">
        <f>IFERROR(T(INDEX('3-1. 진단 결과(AWS)'!$F$6:$G$46,MATCH($C43,'3-1. 진단 결과(AWS)'!$C$6:$C$46,0),MATCH(F$3,'3-1. 진단 결과(AWS)'!$F$3:$G$3,0))),"")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4.13</t>
        </is>
      </c>
      <c r="D44" s="231" t="inlineStr">
        <is>
          <t xml:space="preserve">백업 사용 여부</t>
        </is>
      </c>
      <c r="E44" s="8" t="inlineStr">
        <is>
          <t xml:space="preserve">중</t>
        </is>
      </c>
      <c r="F44" s="212">
        <f>IFERROR(T(INDEX('3-1. 진단 결과(AWS)'!$F$6:$G$46,MATCH($C44,'3-1. 진단 결과(AWS)'!$C$6:$C$46,0),MATCH(F$3,'3-1. 진단 결과(AWS)'!$F$3:$G$3,0))),"")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4.14</t>
        </is>
      </c>
      <c r="D45" s="231" t="inlineStr">
        <is>
          <t xml:space="preserve">EKS Cluster 제어 플레인 로깅 설정</t>
        </is>
      </c>
      <c r="E45" s="8" t="inlineStr">
        <is>
          <t xml:space="preserve">중</t>
        </is>
      </c>
      <c r="F45" s="212">
        <f>IFERROR(T(INDEX('3-1. 진단 결과(AWS)'!$F$6:$G$46,MATCH($C45,'3-1. 진단 결과(AWS)'!$C$6:$C$46,0),MATCH(F$3,'3-1. 진단 결과(AWS)'!$F$3:$G$3,0))),"")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249"/>
      <c r="C46" s="265" t="inlineStr">
        <is>
          <t xml:space="preserve">4.15</t>
        </is>
      </c>
      <c r="D46" s="266" t="inlineStr">
        <is>
          <t xml:space="preserve">EKS Cluster 암호화 설정</t>
        </is>
      </c>
      <c r="E46" s="267" t="inlineStr">
        <is>
          <t xml:space="preserve">중</t>
        </is>
      </c>
      <c r="F46" s="268">
        <f>IFERROR(T(INDEX('3-1. 진단 결과(AWS)'!$F$6:$G$46,MATCH($C46,'3-1. 진단 결과(AWS)'!$C$6:$C$46,0),MATCH(F$3,'3-1. 진단 결과(AWS)'!$F$3:$G$3,0))),"")</f>
      </c>
      <c r="G46" s="5"/>
      <c r="H46" s="269"/>
      <c r="I46" s="270">
        <f>IF($J46+$K46=0,"N/A",$J46/($J46+$K46))</f>
      </c>
      <c r="J46" s="271">
        <f>COUNTIF($F46:$F46,"양호")</f>
      </c>
      <c r="K46" s="272">
        <f>COUNTIF($F46:$F46,"취약")</f>
      </c>
      <c r="L46" s="273">
        <f>COUNTIF($F46:$F46,"N/A")</f>
      </c>
    </row>
    <row r="47" spans="1:21" ht="16.5" customHeight="1">
      <c r="A47" s="31"/>
      <c r="B47" s="162" t="s">
        <v>28</v>
      </c>
      <c r="C47" s="166" t="s">
        <v>29</v>
      </c>
      <c r="D47" s="167"/>
      <c r="E47" s="168"/>
      <c r="F47" s="214">
        <f>IF(COUNTIF(F$6:F$46,"?*")=0,"",COUNTIF(F$6:F$46,"취약"))</f>
      </c>
      <c r="G47" s="5"/>
      <c r="H47" s="9"/>
      <c r="I47" s="9"/>
      <c r="J47" s="9"/>
      <c r="K47" s="9"/>
      <c r="L47" s="9"/>
      <c r="M47" s="5"/>
      <c r="N47" s="5"/>
      <c r="O47" s="5"/>
      <c r="P47" s="5"/>
      <c r="Q47" s="5"/>
      <c r="R47" s="5"/>
      <c r="S47" s="5"/>
      <c r="T47" s="5"/>
      <c r="U47" s="5"/>
    </row>
    <row r="48" spans="1:26" ht="16.5" customHeight="1" thickBot="1">
      <c r="A48" s="31"/>
      <c r="B48" s="164"/>
      <c r="C48" s="169" t="s">
        <v>30</v>
      </c>
      <c r="D48" s="170"/>
      <c r="E48" s="171"/>
      <c r="F48" s="78">
        <f>IF(COUNTIF(F$6:F$46,"?*")=0,"",IFERROR(COUNTIF(F$6:F$46,"양호")/(COUNTIF(F$6:F$46,"양호")+COUNTIF(F$6:F$46,"취약")),"N/A"))</f>
      </c>
      <c r="G48" s="5"/>
      <c r="H48" s="9"/>
      <c r="I48" s="9"/>
      <c r="J48" s="9"/>
      <c r="K48" s="9"/>
      <c r="L48" s="9"/>
      <c r="M48" s="5"/>
      <c r="N48" s="5"/>
      <c r="O48" s="5"/>
      <c r="P48" s="5"/>
      <c r="Q48" s="5"/>
      <c r="R48" s="5"/>
      <c r="S48" s="5"/>
      <c r="T48" s="5"/>
      <c r="U48" s="5"/>
    </row>
    <row r="49" spans="1:26" ht="16.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6">
    <mergeCell ref="B2:F2"/>
    <mergeCell ref="B3:B5"/>
    <mergeCell ref="C3:C5"/>
    <mergeCell ref="D3:D5"/>
    <mergeCell ref="E3:E5"/>
    <mergeCell ref="B6:B18"/>
    <mergeCell ref="H6:H18"/>
    <mergeCell ref="B19:B21"/>
    <mergeCell ref="H19:H21"/>
    <mergeCell ref="B22:B31"/>
    <mergeCell ref="H22:H31"/>
    <mergeCell ref="B32:B46"/>
    <mergeCell ref="H32:H46"/>
    <mergeCell ref="B47:B48"/>
    <mergeCell ref="C47:E47"/>
    <mergeCell ref="C48:E48"/>
  </mergeCells>
  <phoneticPr fontId="28" type="noConversion"/>
  <conditionalFormatting sqref="F6:F46">
    <cfRule type="cellIs" dxfId="50" priority="1" operator="equal">
      <formula>"취약"</formula>
    </cfRule>
    <cfRule type="cellIs" dxfId="49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46">
    <cfRule type="cellIs" dxfId="49" priority="5" operator="equal">
      <formula>"N/A"</formula>
    </cfRule>
  </conditionalFormatting>
  <conditionalFormatting sqref="F48">
    <cfRule type="cellIs" dxfId="49" priority="6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4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33203125" customWidth="1"/>
    <col min="4" max="4" width="39.0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AWS 취약점 진단 상세결과(41항목)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41" t="inlineStr">
        <is>
          <t xml:space="preserve">1. 계정 관리</t>
        </is>
      </c>
      <c r="C6" s="242" t="inlineStr">
        <is>
          <t xml:space="preserve">1.1</t>
        </is>
      </c>
      <c r="D6" s="243" t="inlineStr">
        <is>
          <t xml:space="preserve">사용자 계정 관리</t>
        </is>
      </c>
      <c r="E6" s="244" t="inlineStr">
        <is>
          <t xml:space="preserve">양호 - 관리자 권한을 보유한 다수 계정이 존재하지 않고 불필요한 계정이 존재하지 않을 경우
취약 - 관리자 권한을 보유한 다수 계정이 존재하거나 불필요한 계정이 존재할 경우</t>
        </is>
      </c>
      <c r="F6" s="247"/>
      <c r="G6" s="246"/>
    </row>
    <row r="7" spans="1:16" ht="63.90" customHeight="1">
      <c r="A7" s="1"/>
      <c r="B7" s="163"/>
      <c r="C7" s="90" t="inlineStr">
        <is>
          <t xml:space="preserve">1.2</t>
        </is>
      </c>
      <c r="D7" s="216" t="inlineStr">
        <is>
          <t xml:space="preserve">IAM 사용자 계정 단일화 관리</t>
        </is>
      </c>
      <c r="E7" s="108" t="inlineStr">
        <is>
          <t xml:space="preserve">양호 - IAM 사용자 계정을 1인 1계정으로 사용하고 있는 경우
취약 - IAM 사용자 계정을 1인 1계정으로 사용하고 있지 않은 경우</t>
        </is>
      </c>
      <c r="F7" s="248"/>
      <c r="G7" s="201"/>
    </row>
    <row r="8" spans="1:16" ht="79.50" customHeight="1">
      <c r="A8" s="1"/>
      <c r="B8" s="163"/>
      <c r="C8" s="90" t="inlineStr">
        <is>
          <t xml:space="preserve">1.3</t>
        </is>
      </c>
      <c r="D8" s="216" t="inlineStr">
        <is>
          <t xml:space="preserve">IAM 사용자 계정 식별 관리</t>
        </is>
      </c>
      <c r="E8" s="108" t="inlineStr">
        <is>
          <t xml:space="preserve">양호 - 사용자 정보(이름, 이메일, 부서 등)가 IAM 사용자 태그에 설정되어 있을 경우
취약 - 사용자 정보(이름, 이메일, 부서 등)가 IAM 사용자 태그에 설정되어 있지 않을 경우</t>
        </is>
      </c>
      <c r="F8" s="248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6" t="inlineStr">
        <is>
          <t xml:space="preserve">IAM 그룹 사용자 계정 관리</t>
        </is>
      </c>
      <c r="E9" s="108" t="inlineStr">
        <is>
          <t xml:space="preserve">양호 - IAM 그룹에 포함된 사용자 계정 중 불필요한 계정이 존재하지 않을 경우
취약 - IAM 그룹에 포함된 사용자 계정 중 불필요한 계정이 존재할 경우</t>
        </is>
      </c>
      <c r="F9" s="248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6" t="inlineStr">
        <is>
          <t xml:space="preserve">Key Pair 접근 관리</t>
        </is>
      </c>
      <c r="E10" s="108" t="inlineStr">
        <is>
          <t xml:space="preserve">양호 - Key Pair(PEM)를 통해 EC2 인스턴스에 접근할 경우
취약 - Key Pair(PEM)가 아닌 일반 패스워드로 EC2 인스턴스에 접근할 경우</t>
        </is>
      </c>
      <c r="F10" s="248"/>
      <c r="G10" s="201"/>
    </row>
    <row r="11" spans="1:16" ht="110.70" customHeight="1">
      <c r="A11" s="1"/>
      <c r="B11" s="163"/>
      <c r="C11" s="90" t="inlineStr">
        <is>
          <t xml:space="preserve">1.6</t>
        </is>
      </c>
      <c r="D11" s="216" t="inlineStr">
        <is>
          <t xml:space="preserve">Key Pair 보관 관리</t>
        </is>
      </c>
      <c r="E11" s="108" t="inlineStr">
        <is>
          <t xml:space="preserve">양호 - Key Pair(PEM) File의 보관 위치가 쉽게 유추할 수 없는 공간에 보관되어 있을 경우
취약 - Key Pair(PEM) File의 보관 위치가 다수 접근이 가능한 공용 공간(퍼블릭 S3, EC2 "Admin Console(/)" 디렉터리 등)에 보관되어 있을 경우</t>
        </is>
      </c>
      <c r="F11" s="248"/>
      <c r="G11" s="201"/>
    </row>
    <row r="12" spans="1:16" ht="63.90" customHeight="1">
      <c r="A12" s="1"/>
      <c r="B12" s="163"/>
      <c r="C12" s="90" t="inlineStr">
        <is>
          <t xml:space="preserve">1.7</t>
        </is>
      </c>
      <c r="D12" s="216" t="inlineStr">
        <is>
          <t xml:space="preserve">Admin Console 관리자 정책 관리</t>
        </is>
      </c>
      <c r="E12" s="108" t="inlineStr">
        <is>
          <t xml:space="preserve">양호 - Admin Console 계정을 서비스 용도로 사용하지 않는 경우
취약 - Admin Console 계정을 서비스 용도로 사용하는 경우</t>
        </is>
      </c>
      <c r="F12" s="248"/>
      <c r="G12" s="201"/>
    </row>
    <row r="13" spans="1:16" ht="110.70" customHeight="1">
      <c r="A13" s="1"/>
      <c r="B13" s="163"/>
      <c r="C13" s="90" t="inlineStr">
        <is>
          <t xml:space="preserve">1.8</t>
        </is>
      </c>
      <c r="D13" s="216" t="inlineStr">
        <is>
          <t xml:space="preserve">Admin Console 계정 Access Key 활성화 및 사용주기 관리</t>
        </is>
      </c>
      <c r="E13" s="108" t="inlineStr">
        <is>
          <t xml:space="preserve">양호 - AWS Admin Console 계정에 Access Key가 존재하지 않고 IAM 사용자 계정에 대한 Access Key 사용 주기가 60일 이내일 경우
취약 - AWS Admin Console 계정에 Access Key가 존재하거나 IAM 사용자 계정에 대한 Access Key 사용 주기가 60일 초과일 경우</t>
        </is>
      </c>
      <c r="F13" s="248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6" t="inlineStr">
        <is>
          <t xml:space="preserve">MFA (Multi-Factor Authentication) 설정</t>
        </is>
      </c>
      <c r="E14" s="108" t="inlineStr">
        <is>
          <t xml:space="preserve">양호 - AWS 계정 및 IAM 사용자 계정 로그인 시 MFA가 활성화 되어 있을 경우
취약 - AWS 계정 및 IAM 사용자 계정 로그인 시 MFA가 비활성화 되어 있을 경우</t>
        </is>
      </c>
      <c r="F14" s="248"/>
      <c r="G14" s="201"/>
    </row>
    <row r="15" spans="1:16" ht="95.10" customHeight="1">
      <c r="A15" s="1"/>
      <c r="B15" s="163"/>
      <c r="C15" s="90" t="inlineStr">
        <is>
          <t xml:space="preserve">1.10</t>
        </is>
      </c>
      <c r="D15" s="216" t="inlineStr">
        <is>
          <t xml:space="preserve">AWS 계정 패스워드 정책 관리</t>
        </is>
      </c>
      <c r="E15" s="108" t="inlineStr">
        <is>
          <t xml:space="preserve">양호 - Admin Console 및 IAM 계정의 패스워드 복잡성 기준 준수 및 암호 만료/재사용 제한을 설정한 경우
취약 - Admin Console 및 IAM 계정의 패스워드 복잡성 기준 준수 및 암호 만료/재사용 제한을 설정하지 않은 경우</t>
        </is>
      </c>
      <c r="F15" s="248"/>
      <c r="G15" s="201"/>
    </row>
    <row r="16" spans="1:16" ht="95.10" customHeight="1">
      <c r="A16" s="1"/>
      <c r="B16" s="163"/>
      <c r="C16" s="90" t="inlineStr">
        <is>
          <t xml:space="preserve">1.11</t>
        </is>
      </c>
      <c r="D16" s="216" t="inlineStr">
        <is>
          <t xml:space="preserve">EKS 사용자 관리</t>
        </is>
      </c>
      <c r="E16" s="108" t="inlineStr">
        <is>
          <t xml:space="preserve">양호 - EKS 리소스 접근을 위한 ConfigMap(RBAC) 내 인가된 사용자만 설정되어 있는 경우
취약 - EKS 리소스 접근을 위한 ConfigMap(RBAC) 내 인가된 사용자만 설정되어 있지 않은 경우</t>
        </is>
      </c>
      <c r="F16" s="248"/>
      <c r="G16" s="201"/>
    </row>
    <row r="17" spans="1:16" ht="95.10" customHeight="1">
      <c r="A17" s="1"/>
      <c r="B17" s="163"/>
      <c r="C17" s="90" t="inlineStr">
        <is>
          <t xml:space="preserve">1.12</t>
        </is>
      </c>
      <c r="D17" s="216" t="inlineStr">
        <is>
          <t xml:space="preserve">EKS 서비스 어카운트 관리</t>
        </is>
      </c>
      <c r="E17" s="108" t="inlineStr">
        <is>
          <t xml:space="preserve">양호 - 네임스페이스 또는 서비스 어카운트 설정 내 automountServiceAccountToken 값이 False로 설정된 경우
취약 - 네임스페이스 또는 서비스 어카운트 설정 내 automountServiceAccountToken 값이 True로 설정된 경우</t>
        </is>
      </c>
      <c r="F17" s="248"/>
      <c r="G17" s="201"/>
    </row>
    <row r="18" spans="1:16" ht="95.10" customHeight="1">
      <c r="A18" s="1"/>
      <c r="B18" s="249"/>
      <c r="C18" s="250" t="inlineStr">
        <is>
          <t xml:space="preserve">1.13</t>
        </is>
      </c>
      <c r="D18" s="251" t="inlineStr">
        <is>
          <t xml:space="preserve">EKS 불필요한 익명 접근 관리</t>
        </is>
      </c>
      <c r="E18" s="252" t="inlineStr">
        <is>
          <t xml:space="preserve">양호 - ClusterRole에 system:anonymous | unauthenticated 그룹이 바인딩되어 있지 않은 경우
취약 - ClusterRole에 system:anonymous | unauthenticated 그룹이 바인딩되어 있는 경우</t>
        </is>
      </c>
      <c r="F18" s="255"/>
      <c r="G18" s="254"/>
    </row>
    <row r="19" spans="1:16" ht="79.50" customHeight="1">
      <c r="A19" s="1"/>
      <c r="B19" s="241" t="inlineStr">
        <is>
          <t xml:space="preserve">2. 권한 관리</t>
        </is>
      </c>
      <c r="C19" s="242" t="inlineStr">
        <is>
          <t xml:space="preserve">2.1</t>
        </is>
      </c>
      <c r="D19" s="243" t="inlineStr">
        <is>
          <t xml:space="preserve">인스턴스 서비스 정책 관리</t>
        </is>
      </c>
      <c r="E19" s="244" t="inlineStr">
        <is>
          <t xml:space="preserve">양호 - 인스턴스 서비스 IAM 사용 권한이 각각 서비스 역할에 맞게 설정되어 있을 경우
취약 - 인스턴스 서비스 IAM 사용 권한이 각각 서비스 역할에 맞지 않게 설정되어 있을 경우</t>
        </is>
      </c>
      <c r="F19" s="247"/>
      <c r="G19" s="246"/>
    </row>
    <row r="20" spans="1:16" ht="79.50" customHeight="1">
      <c r="A20" s="1"/>
      <c r="B20" s="163"/>
      <c r="C20" s="90" t="inlineStr">
        <is>
          <t xml:space="preserve">2.2</t>
        </is>
      </c>
      <c r="D20" s="216" t="inlineStr">
        <is>
          <t xml:space="preserve">네트워크 서비스 정책 관리</t>
        </is>
      </c>
      <c r="E20" s="108" t="inlineStr">
        <is>
          <t xml:space="preserve">양호 - 네트워크 서비스 IAM 사용 권한이 각각 서비스 역할에 맞게 설정되어 있을 경우
취약 - 네트워크 서비스 IAM 사용 권한이 각각 서비스 역할에 맞지 않게 설정되어 있을 경우</t>
        </is>
      </c>
      <c r="F20" s="248"/>
      <c r="G20" s="201"/>
    </row>
    <row r="21" spans="1:16" ht="79.50" customHeight="1">
      <c r="A21" s="1"/>
      <c r="B21" s="249"/>
      <c r="C21" s="250" t="inlineStr">
        <is>
          <t xml:space="preserve">2.3</t>
        </is>
      </c>
      <c r="D21" s="251" t="inlineStr">
        <is>
          <t xml:space="preserve">기타 서비스 정책 관리</t>
        </is>
      </c>
      <c r="E21" s="252" t="inlineStr">
        <is>
          <t xml:space="preserve">양호 - 기타 서비스 IAM 사용 권한이 각각 서비스 역할에 맞게 설정되어 있을 경우
취약 - 기타 서비스 IAM 사용 권한이 각각 서비스 역할에 맞게 설정되어 있지 않을 경우</t>
        </is>
      </c>
      <c r="F21" s="255"/>
      <c r="G21" s="254"/>
    </row>
    <row r="22" spans="1:16" ht="63.90" customHeight="1">
      <c r="A22" s="1"/>
      <c r="B22" s="241" t="inlineStr">
        <is>
          <t xml:space="preserve">3. 가상 리소스 관리</t>
        </is>
      </c>
      <c r="C22" s="242" t="inlineStr">
        <is>
          <t xml:space="preserve">3.1</t>
        </is>
      </c>
      <c r="D22" s="243" t="inlineStr">
        <is>
          <t xml:space="preserve">보안 그룹 인/아웃바운드 ANY 설정 관리</t>
        </is>
      </c>
      <c r="E22" s="244" t="inlineStr">
        <is>
          <t xml:space="preserve">양호 - 보안 그룹 내 인/아웃바운드의 포트가 Any로 허용되어 있지 않을 경우
취약 - 보안 그룹 내 인/아웃바운드의 포트가 Any로 허용되어 있을 경우</t>
        </is>
      </c>
      <c r="F22" s="247"/>
      <c r="G22" s="246"/>
    </row>
    <row r="23" spans="1:16" ht="95.10" customHeight="1">
      <c r="A23" s="1"/>
      <c r="B23" s="163"/>
      <c r="C23" s="90" t="inlineStr">
        <is>
          <t xml:space="preserve">3.2</t>
        </is>
      </c>
      <c r="D23" s="216" t="inlineStr">
        <is>
          <t xml:space="preserve">보안 그룹 인/아웃바운드 불필요 정책 관리</t>
        </is>
      </c>
      <c r="E23" s="108" t="inlineStr">
        <is>
          <t xml:space="preserve">양호 - 보안 그룹 인/아웃바운드 규칙 내 불필요한 정책(Source, Destination)이 존재하지 않는 경우
취약 - 보안 그룹 인/아웃바운드 규칙 내 불필요한 정책(Source, Destination)이 존재하는 경우</t>
        </is>
      </c>
      <c r="F23" s="248"/>
      <c r="G23" s="201"/>
    </row>
    <row r="24" spans="1:16" ht="63.90" customHeight="1">
      <c r="A24" s="1"/>
      <c r="B24" s="163"/>
      <c r="C24" s="90" t="inlineStr">
        <is>
          <t xml:space="preserve">3.3</t>
        </is>
      </c>
      <c r="D24" s="216" t="inlineStr">
        <is>
          <t xml:space="preserve">네트워크 ACL 인/아웃바운드 트래픽 정책 관리</t>
        </is>
      </c>
      <c r="E24" s="108" t="inlineStr">
        <is>
          <t xml:space="preserve">양호 - 네트워크 ACL 내 인/아웃바운드에 대한 모든 트래픽이 허용되어 있지 않을 경우
취약 - 네트워크 ACL 내 인/아웃바운드에 대한 모든 트래픽이 허용되어 있을 경우</t>
        </is>
      </c>
      <c r="F24" s="248"/>
      <c r="G24" s="201"/>
    </row>
    <row r="25" spans="1:16" ht="95.10" customHeight="1">
      <c r="A25" s="1"/>
      <c r="B25" s="163"/>
      <c r="C25" s="90" t="inlineStr">
        <is>
          <t xml:space="preserve">3.4</t>
        </is>
      </c>
      <c r="D25" s="216" t="inlineStr">
        <is>
          <t xml:space="preserve">라우팅 테이블 정책 관리</t>
        </is>
      </c>
      <c r="E25" s="108" t="inlineStr">
        <is>
          <t xml:space="preserve">양호 - 라우팅 테이블 내 ANY 정책이 설정되어 있지 않고 서비스 타깃 별로 설정되어 있을 경우
취약 - 라우팅 테이블 내 ANY 정책이 설정되어 있거나 서비스 타깃 별로 설정되어 있지 않을 경우</t>
        </is>
      </c>
      <c r="F25" s="248"/>
      <c r="G25" s="201"/>
    </row>
    <row r="26" spans="1:16" ht="63.90" customHeight="1">
      <c r="A26" s="1"/>
      <c r="B26" s="163"/>
      <c r="C26" s="90" t="inlineStr">
        <is>
          <t xml:space="preserve">3.5</t>
        </is>
      </c>
      <c r="D26" s="216" t="inlineStr">
        <is>
          <t xml:space="preserve">인터넷 게이트웨이 연결 관리</t>
        </is>
      </c>
      <c r="E26" s="108" t="inlineStr">
        <is>
          <t xml:space="preserve">양호 - 인터넷 게이트웨이에 불필요하게 연결된 NAT 게이트웨이가 존재하지 않을 경우
취약 - 인터넷 게이트웨이에 불필요하게 연결된 NAT 게이트웨이가 존재하는 경우</t>
        </is>
      </c>
      <c r="F26" s="248"/>
      <c r="G26" s="201"/>
    </row>
    <row r="27" spans="1:16" ht="63.90" customHeight="1">
      <c r="A27" s="1"/>
      <c r="B27" s="163"/>
      <c r="C27" s="90" t="inlineStr">
        <is>
          <t xml:space="preserve">3.6</t>
        </is>
      </c>
      <c r="D27" s="216" t="inlineStr">
        <is>
          <t xml:space="preserve">NAT 게이트웨이 연결 관리</t>
        </is>
      </c>
      <c r="E27" s="108" t="inlineStr">
        <is>
          <t xml:space="preserve">양호 - 외부 통신이 필요한 리소스가 NAT 게이트웨이에 연결되어 있을 경우
취약 - 목적이 확인되지 않은 리소스가 NAT 게이트웨이에 연결되어 있을 경우</t>
        </is>
      </c>
      <c r="F27" s="248"/>
      <c r="G27" s="201"/>
    </row>
    <row r="28" spans="1:16" ht="95.10" customHeight="1">
      <c r="A28" s="1"/>
      <c r="B28" s="163"/>
      <c r="C28" s="90" t="inlineStr">
        <is>
          <t xml:space="preserve">3.7</t>
        </is>
      </c>
      <c r="D28" s="216" t="inlineStr">
        <is>
          <t xml:space="preserve">S3 버킷/객체 접근 관리</t>
        </is>
      </c>
      <c r="E28" s="108" t="inlineStr">
        <is>
          <t xml:space="preserve">양호 - 퍼블릭 액세스 차단이 설정되어 있거나, 퍼블릭 액세스를 허용할 경우 ACL을 버킷 소유자에게만 설정하고 있을 경우
취약 - 퍼블릭 액세스 차단이 설정되어 있지 않고, ACL이 모든 사람, 외부계정 소유자로 설정하고 있을 경우</t>
        </is>
      </c>
      <c r="F28" s="248"/>
      <c r="G28" s="201"/>
    </row>
    <row r="29" spans="1:16" ht="63.90" customHeight="1">
      <c r="A29" s="1"/>
      <c r="B29" s="163"/>
      <c r="C29" s="90" t="inlineStr">
        <is>
          <t xml:space="preserve">3.8</t>
        </is>
      </c>
      <c r="D29" s="216" t="inlineStr">
        <is>
          <t xml:space="preserve">RDS 서브넷 가용 영역 관리</t>
        </is>
      </c>
      <c r="E29" s="108" t="inlineStr">
        <is>
          <t xml:space="preserve">양호 - RDS 서브넷 그룹 내 불필요한 가용영역이 존재하지 않는 경우
취약 - RDS 서브넷 그룹 내 불필요한 가용영역이 존재하는 경우</t>
        </is>
      </c>
      <c r="F29" s="248"/>
      <c r="G29" s="201"/>
    </row>
    <row r="30" spans="1:16" ht="79.50" customHeight="1">
      <c r="A30" s="1"/>
      <c r="B30" s="163"/>
      <c r="C30" s="90" t="inlineStr">
        <is>
          <t xml:space="preserve">3.9</t>
        </is>
      </c>
      <c r="D30" s="216" t="inlineStr">
        <is>
          <t xml:space="preserve">EKS Pod 보안 정책 관리</t>
        </is>
      </c>
      <c r="E30" s="108" t="inlineStr">
        <is>
          <t xml:space="preserve">양호 - PSS Profile Baseline 및 PSA Audit 이상 설정을 적용해 사용하는 경우
취약 - PSS 및 PSA 설정을 적용하지 않거나 PSS Profile Privileged 및 PSA warn 설정을 사용하는 경우</t>
        </is>
      </c>
      <c r="F30" s="248"/>
      <c r="G30" s="201"/>
    </row>
    <row r="31" spans="1:16" ht="63.90" customHeight="1">
      <c r="A31" s="1"/>
      <c r="B31" s="249"/>
      <c r="C31" s="250" t="inlineStr">
        <is>
          <t xml:space="preserve">3.10</t>
        </is>
      </c>
      <c r="D31" s="251" t="inlineStr">
        <is>
          <t xml:space="preserve">ELB(Elastic Load Balancing) 연결 관리</t>
        </is>
      </c>
      <c r="E31" s="252" t="inlineStr">
        <is>
          <t xml:space="preserve">양호 - ELB 제어 정책을 준수하고 있는 경우
취약 - ELB 제어 정책을 준수하고 있지 않는 경우</t>
        </is>
      </c>
      <c r="F31" s="255"/>
      <c r="G31" s="254"/>
    </row>
    <row r="32" spans="1:16" ht="63.90" customHeight="1">
      <c r="A32" s="1"/>
      <c r="B32" s="241" t="inlineStr">
        <is>
          <t xml:space="preserve">4. 운영 관리</t>
        </is>
      </c>
      <c r="C32" s="242" t="inlineStr">
        <is>
          <t xml:space="preserve">4.1</t>
        </is>
      </c>
      <c r="D32" s="243" t="inlineStr">
        <is>
          <t xml:space="preserve">EBS 및 볼륨 암호화 설정</t>
        </is>
      </c>
      <c r="E32" s="244" t="inlineStr">
        <is>
          <t xml:space="preserve">양호 - EBS 및 볼륨 리소스에 암호화가 활성화되어 있을 경우
취약 - EBS 및 볼륨 리소스에 암호화가 비활성화되어 있을 경우</t>
        </is>
      </c>
      <c r="F32" s="247"/>
      <c r="G32" s="246"/>
    </row>
    <row r="33" spans="1:16" ht="63.90" customHeight="1">
      <c r="A33" s="1"/>
      <c r="B33" s="163"/>
      <c r="C33" s="90" t="inlineStr">
        <is>
          <t xml:space="preserve">4.2</t>
        </is>
      </c>
      <c r="D33" s="216" t="inlineStr">
        <is>
          <t xml:space="preserve">RDS 암호화 설정</t>
        </is>
      </c>
      <c r="E33" s="108" t="inlineStr">
        <is>
          <t xml:space="preserve">양호 - RDS 데이터베이스 암호화가 활성화되어 있을 경우
취약 - RDS 데이터베이스 암호화가 비활성화되어 있을 경우</t>
        </is>
      </c>
      <c r="F33" s="248"/>
      <c r="G33" s="201"/>
    </row>
    <row r="34" spans="1:16" ht="95.10" customHeight="1">
      <c r="A34" s="1"/>
      <c r="B34" s="163"/>
      <c r="C34" s="90" t="inlineStr">
        <is>
          <t xml:space="preserve">4.3</t>
        </is>
      </c>
      <c r="D34" s="216" t="inlineStr">
        <is>
          <t xml:space="preserve">S3 암호화 설정</t>
        </is>
      </c>
      <c r="E34" s="108" t="inlineStr">
        <is>
          <t xml:space="preserve">양호 - Amazon S3 키(SSE-S3)로 서버 측 암호화 사용 또는 SSE-KMS로 서버 측 암호화가 설정되어 있을 경우
취약 - Amazon S3 키(SSE-S3)로 서버 측 암호화 사용 또는 SSE-KMS로 서버 측 암호화가 설정되어 있지 않을 경우</t>
        </is>
      </c>
      <c r="F34" s="248"/>
      <c r="G34" s="201"/>
    </row>
    <row r="35" spans="1:16" ht="63.90" customHeight="1">
      <c r="A35" s="1"/>
      <c r="B35" s="163"/>
      <c r="C35" s="90" t="inlineStr">
        <is>
          <t xml:space="preserve">4.4</t>
        </is>
      </c>
      <c r="D35" s="216" t="inlineStr">
        <is>
          <t xml:space="preserve">통신구간 암호화 설정</t>
        </is>
      </c>
      <c r="E35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35" s="248"/>
      <c r="G35" s="201"/>
    </row>
    <row r="36" spans="1:16" ht="63.90" customHeight="1">
      <c r="A36" s="1"/>
      <c r="B36" s="163"/>
      <c r="C36" s="90" t="inlineStr">
        <is>
          <t xml:space="preserve">4.5</t>
        </is>
      </c>
      <c r="D36" s="216" t="inlineStr">
        <is>
          <t xml:space="preserve">CloudTrail 암호화 설정</t>
        </is>
      </c>
      <c r="E36" s="108" t="inlineStr">
        <is>
          <t xml:space="preserve">양호 - CloudTrail 관련 로그 파일에 SSE-KMS 암호화 설정이 되어 있을 경우
취약 - CloudTrail 관련 로그 파일에 SSE-KMS 암호화 설정이 되어 있지 않을 경우</t>
        </is>
      </c>
      <c r="F36" s="248"/>
      <c r="G36" s="201"/>
    </row>
    <row r="37" spans="1:16" ht="63.90" customHeight="1">
      <c r="A37" s="1"/>
      <c r="B37" s="163"/>
      <c r="C37" s="90" t="inlineStr">
        <is>
          <t xml:space="preserve">4.6</t>
        </is>
      </c>
      <c r="D37" s="216" t="inlineStr">
        <is>
          <t xml:space="preserve">CloudWatch 암호화 설정</t>
        </is>
      </c>
      <c r="E37" s="108" t="inlineStr">
        <is>
          <t xml:space="preserve">양호 - 로그 그룹 생성 시 "KMS key ARN"을 설정하여 사용하고 있는 경우
취약 - 로그 그룹 생성 시 "KMS key ARN"을 설정하여 사용하고 있지 않는 경우</t>
        </is>
      </c>
      <c r="F37" s="248"/>
      <c r="G37" s="201"/>
    </row>
    <row r="38" spans="1:16" ht="63.90" customHeight="1">
      <c r="A38" s="1"/>
      <c r="B38" s="163"/>
      <c r="C38" s="90" t="inlineStr">
        <is>
          <t xml:space="preserve">4.7</t>
        </is>
      </c>
      <c r="D38" s="216" t="inlineStr">
        <is>
          <t xml:space="preserve">AWS 사용자 계정 로깅 설정</t>
        </is>
      </c>
      <c r="E38" s="108" t="inlineStr">
        <is>
          <t xml:space="preserve">양호 - AWS 사용자 계정(Console, IAM)의 로깅이 설정되어 있는 경우
취약 - AWS 사용자 계정(Console, IAM)의 로깅이 설정되어 있지 않은 경우</t>
        </is>
      </c>
      <c r="F38" s="248"/>
      <c r="G38" s="201"/>
    </row>
    <row r="39" spans="1:16" ht="63.90" customHeight="1">
      <c r="A39" s="1"/>
      <c r="B39" s="163"/>
      <c r="C39" s="90" t="inlineStr">
        <is>
          <t xml:space="preserve">4.8</t>
        </is>
      </c>
      <c r="D39" s="216" t="inlineStr">
        <is>
          <t xml:space="preserve">인스턴스 로깅 설정</t>
        </is>
      </c>
      <c r="E39" s="108" t="inlineStr">
        <is>
          <t xml:space="preserve">양호 - CloudWatch 로그 스트림으로 보관하고 있는 경우
취약 - CloudWatch 로그 스트림으로 보관하고 있지 않은 경우</t>
        </is>
      </c>
      <c r="F39" s="248"/>
      <c r="G39" s="201"/>
    </row>
    <row r="40" spans="1:16" ht="63.90" customHeight="1">
      <c r="A40" s="1"/>
      <c r="B40" s="163"/>
      <c r="C40" s="90" t="inlineStr">
        <is>
          <t xml:space="preserve">4.9</t>
        </is>
      </c>
      <c r="D40" s="216" t="inlineStr">
        <is>
          <t xml:space="preserve">RDS 로깅 설정</t>
        </is>
      </c>
      <c r="E40" s="108" t="inlineStr">
        <is>
          <t xml:space="preserve">양호 - CloudWatch 로그 스트림으로 보관하고 있는 경우
취약 - CloudWatch 로그 스트림으로 보관하고 있지 않은 경우</t>
        </is>
      </c>
      <c r="F40" s="248"/>
      <c r="G40" s="201"/>
    </row>
    <row r="41" spans="1:16" ht="63.90" customHeight="1">
      <c r="A41" s="1"/>
      <c r="B41" s="163"/>
      <c r="C41" s="90" t="inlineStr">
        <is>
          <t xml:space="preserve">4.10</t>
        </is>
      </c>
      <c r="D41" s="216" t="inlineStr">
        <is>
          <t xml:space="preserve">S3 버킷 로깅 설정</t>
        </is>
      </c>
      <c r="E41" s="108" t="inlineStr">
        <is>
          <t xml:space="preserve">양호 - 로그를 보관하고 있는 버킷의 "서버 액세스 로깅"이 설정되어 있는 경우
취약 - 로그를 보관하고 있는 버킷의 "서버 액세스 로깅"이 설정되어 있지 않은 경우</t>
        </is>
      </c>
      <c r="F41" s="248"/>
      <c r="G41" s="201"/>
    </row>
    <row r="42" spans="1:16" ht="63.90" customHeight="1">
      <c r="A42" s="1"/>
      <c r="B42" s="163"/>
      <c r="C42" s="90" t="inlineStr">
        <is>
          <t xml:space="preserve">4.11</t>
        </is>
      </c>
      <c r="D42" s="216" t="inlineStr">
        <is>
          <t xml:space="preserve">VPC 플로우 로깅 설정</t>
        </is>
      </c>
      <c r="E42" s="108" t="inlineStr">
        <is>
          <t xml:space="preserve">양호 - VPC 플로우 로그 설정이 존재하는 경우
취약 - VPC 플로우 로그 설정이 존재하지 않을 경우</t>
        </is>
      </c>
      <c r="F42" s="248"/>
      <c r="G42" s="201"/>
    </row>
    <row r="43" spans="1:16" ht="63.90" customHeight="1">
      <c r="A43" s="1"/>
      <c r="B43" s="163"/>
      <c r="C43" s="90" t="inlineStr">
        <is>
          <t xml:space="preserve">4.12</t>
        </is>
      </c>
      <c r="D43" s="216" t="inlineStr">
        <is>
          <t xml:space="preserve">로그 보관 기간 설정</t>
        </is>
      </c>
      <c r="E43" s="108" t="inlineStr">
        <is>
          <t xml:space="preserve">양호 - AWS 서비스 로그를 기준(최소 1년 이상)에 맞게 보관하고 있는 경우
취약 - AWS 서비스 로그를 기준(최소 1년 이상)에 맞게 보관하고 있지 않은 경우</t>
        </is>
      </c>
      <c r="F43" s="248"/>
      <c r="G43" s="201"/>
    </row>
    <row r="44" spans="1:16" ht="63.90" customHeight="1">
      <c r="A44" s="1"/>
      <c r="B44" s="163"/>
      <c r="C44" s="90" t="inlineStr">
        <is>
          <t xml:space="preserve">4.13</t>
        </is>
      </c>
      <c r="D44" s="216" t="inlineStr">
        <is>
          <t xml:space="preserve">백업 사용 여부</t>
        </is>
      </c>
      <c r="E44" s="108" t="inlineStr">
        <is>
          <t xml:space="preserve">양호 - 클라우드 리소스 백업 정책이 존재하는 경우
취약 - 클라우드 리소스 백업 정책이 존재하지 않는 경우</t>
        </is>
      </c>
      <c r="F44" s="248"/>
      <c r="G44" s="201"/>
    </row>
    <row r="45" spans="1:16" ht="63.90" customHeight="1">
      <c r="A45" s="1"/>
      <c r="B45" s="163"/>
      <c r="C45" s="90" t="inlineStr">
        <is>
          <t xml:space="preserve">4.14</t>
        </is>
      </c>
      <c r="D45" s="216" t="inlineStr">
        <is>
          <t xml:space="preserve">EKS Cluster 제어 플레인 로깅 설정</t>
        </is>
      </c>
      <c r="E45" s="108" t="inlineStr">
        <is>
          <t xml:space="preserve">양호 - EKS Cluster 제어 플레인 로깅을 설정하여 유형 별 로그를 기록하고 있는 경우
취약 - EKS Cluster의 유형 별 로그를 기록하고 있지 않는 경우</t>
        </is>
      </c>
      <c r="F45" s="248"/>
      <c r="G45" s="201"/>
    </row>
    <row r="46" spans="1:16" ht="63.90" customHeight="1">
      <c r="A46" s="1"/>
      <c r="B46" s="249"/>
      <c r="C46" s="250" t="inlineStr">
        <is>
          <t xml:space="preserve">4.15</t>
        </is>
      </c>
      <c r="D46" s="251" t="inlineStr">
        <is>
          <t xml:space="preserve">EKS Cluster 암호화 설정</t>
        </is>
      </c>
      <c r="E46" s="252" t="inlineStr">
        <is>
          <t xml:space="preserve">양호 - 암호 암호화가 활성화 되어있는 경우
취약 - 암호 암호화가 활성화 되어있지 않는 경우</t>
        </is>
      </c>
      <c r="F46" s="255"/>
      <c r="G46" s="254"/>
    </row>
    <row r="47" spans="1:16" ht="20.25" customHeight="1">
      <c r="A47" s="1"/>
      <c r="B47" s="174" t="s">
        <v>28</v>
      </c>
      <c r="C47" s="166" t="inlineStr">
        <is>
          <t xml:space="preserve">취약항목 개수</t>
        </is>
      </c>
      <c r="D47" s="184"/>
      <c r="E47" s="185"/>
      <c r="F47" s="214">
        <f>IF(COUNTIF(F$6:F$46,"?*")=0,"",COUNTIF(F$6:F$46,"취약"))</f>
      </c>
      <c r="G47" s="77"/>
      <c r="H47" s="5"/>
      <c r="I47" s="5"/>
      <c r="J47" s="5"/>
      <c r="K47" s="5"/>
      <c r="L47" s="5"/>
      <c r="M47" s="5"/>
      <c r="N47" s="5"/>
      <c r="O47" s="5"/>
      <c r="P47" s="5"/>
    </row>
    <row r="48" spans="1:26" ht="20.25" customHeight="1" thickBot="1">
      <c r="A48" s="1"/>
      <c r="B48" s="183"/>
      <c r="C48" s="169" t="s">
        <v>30</v>
      </c>
      <c r="D48" s="186"/>
      <c r="E48" s="187"/>
      <c r="F48" s="79">
        <f>IF(COUNTIF(F$6:F$46,"?*")=0,"",IFERROR(COUNTIF(F$6:F$46,"양호")/(COUNTIF(F$6:F$46,"양호")+COUNTIF(F$6:F$46,"취약")),"N/A"))</f>
      </c>
      <c r="G48" s="79"/>
      <c r="H48" s="5"/>
      <c r="I48" s="5"/>
      <c r="J48" s="5"/>
      <c r="K48" s="5"/>
      <c r="L48" s="5"/>
      <c r="M48" s="5"/>
      <c r="N48" s="5"/>
      <c r="O48" s="5"/>
      <c r="P48" s="5"/>
    </row>
    <row r="49" spans="1:26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3">
    <mergeCell ref="B2:F2"/>
    <mergeCell ref="F3:F5"/>
    <mergeCell ref="B3:B5"/>
    <mergeCell ref="C3:C5"/>
    <mergeCell ref="D3:D5"/>
    <mergeCell ref="E3:E5"/>
    <mergeCell ref="B6:B18"/>
    <mergeCell ref="B19:B21"/>
    <mergeCell ref="B22:B31"/>
    <mergeCell ref="B32:B46"/>
    <mergeCell ref="B47:B48"/>
    <mergeCell ref="C47:E47"/>
    <mergeCell ref="C48:E48"/>
  </mergeCells>
  <phoneticPr fontId="28" type="noConversion"/>
  <conditionalFormatting sqref="F6:F4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conditionalFormatting sqref="F48">
    <cfRule type="cellIs" dxfId="10" priority="5" operator="equal">
      <formula>"N/A"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진단결과(AWS)</vt:lpstr>
      <vt:lpstr>3-1. 진단 결과(AWS)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