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Azure)" sheetId="4" r:id="rId4"/>
    <sheet name="3-1. 진단 결과(Azure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요약결과(그래프)'!$A$1:$Y$87</definedName>
    <definedName name="_xlnm.Print_Area" localSheetId="4">'3-1. 진단 결과(Azure)'!$B$6:$G$48</definedName>
    <definedName name="_xlnm.Print_Titles" localSheetId="3">'2-2. 요약 진단결과(Azure)'!$2:$5</definedName>
    <definedName name="_xlnm.Print_Titles" localSheetId="4">'3-1. 진단 결과(Azure)'!$2:$5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<sst xmlns="http://schemas.openxmlformats.org/spreadsheetml/2006/main" count="39" uniqueCount="32">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</sst>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87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9" xfId="0" applyFont="1" applyBorder="1" applyAlignment="1">
      <alignment horizontal="center" vertical="center" wrapText="1"/>
    </xf>
    <xf numFmtId="0" fontId="9" fillId="0" borderId="70" xfId="0" applyFont="1" applyBorder="1" applyAlignment="1">
      <alignment horizontal="left" vertical="center" wrapText="1"/>
    </xf>
    <xf numFmtId="0" fontId="9" fillId="0" borderId="71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176" fontId="16" fillId="5" borderId="73" xfId="0" applyNumberFormat="1" applyFont="1" applyFill="1" applyBorder="1" applyAlignment="1">
      <alignment horizontal="center" vertical="center"/>
    </xf>
    <xf numFmtId="176" fontId="8" fillId="0" borderId="74" xfId="0" applyNumberFormat="1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 wrapText="1"/>
    </xf>
    <xf numFmtId="0" fontId="9" fillId="0" borderId="79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center" vertical="center" wrapText="1"/>
    </xf>
    <xf numFmtId="0" fontId="17" fillId="0" borderId="81" xfId="0" applyFont="1" applyBorder="1" applyAlignment="1">
      <alignment horizontal="center" vertical="center" wrapText="1"/>
    </xf>
    <xf numFmtId="176" fontId="16" fillId="5" borderId="82" xfId="0" applyNumberFormat="1" applyFont="1" applyFill="1" applyBorder="1" applyAlignment="1">
      <alignment horizontal="center" vertical="center"/>
    </xf>
    <xf numFmtId="176" fontId="8" fillId="0" borderId="83" xfId="0" applyNumberFormat="1" applyFont="1" applyBorder="1" applyAlignment="1">
      <alignment horizontal="center" vertical="center"/>
    </xf>
    <xf numFmtId="0" fontId="8" fillId="0" borderId="84" xfId="0" applyFont="1" applyBorder="1" applyAlignment="1">
      <alignment horizontal="center" vertical="center"/>
    </xf>
    <xf numFmtId="0" fontId="18" fillId="0" borderId="85" xfId="0" applyFont="1" applyBorder="1" applyAlignment="1">
      <alignment horizontal="center" vertical="center"/>
    </xf>
    <xf numFmtId="0" fontId="19" fillId="0" borderId="8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5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요약결과(그래프)'!$C$67:$C$70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Azure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Azure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(Azure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Azure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scale="78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Azure</t>
        </is>
      </c>
      <c r="C5" s="45">
        <f>IFERROR(AVERAGE('2-2. 요약 진단결과(Azure)'!F48:F48),"")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진단결과(Azure)'!F48:F48,"&gt;=0.85")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진단결과(Azure)'!F48:F48,"&gt;=0.7",'2-2. 요약 진단결과(Azure)'!F48:F48,"&lt;0.85")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진단결과(Azure)'!F48:F48,"&lt;0.7")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Azure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70">
        <f>IFERROR(INDEX('2-2. 요약 진단결과(Azure)'!$F$4:$G$4,MATCH($W37,'2-2. 요약 진단결과(Azure)'!$F$3:$G$3,0)),"")</f>
      </c>
      <c r="Y37" s="76">
        <f>IFERROR(INDEX('2-2. 요약 진단결과(Azure)'!$F:$G,MATCH("보안 적용율*",'2-2. 요약 진단결과(Azure)'!$C:$C,0),MATCH($W37,'2-2. 요약 진단결과(Azure)'!$F$3:$G$3,0)),"")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71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71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71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71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71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72">
        <f>'2-2. 요약 진단결과(Azure)'!B6</f>
      </c>
      <c r="C67" s="66">
        <f>'2-2. 요약 진단결과(Azure)'!H6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</row>
    <row r="68" spans="1:45" ht="13.5" customHeight="1">
      <c r="A68" s="31"/>
      <c r="B68" s="272">
        <f>'2-2. 요약 진단결과(Azure)'!B17</f>
      </c>
      <c r="C68" s="66">
        <f>'2-2. 요약 진단결과(Azure)'!H17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</row>
    <row r="69" spans="1:45" ht="13.5" customHeight="1">
      <c r="A69" s="31"/>
      <c r="B69" s="272">
        <f>'2-2. 요약 진단결과(Azure)'!B23</f>
      </c>
      <c r="C69" s="66">
        <f>'2-2. 요약 진단결과(Azure)'!H23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</row>
    <row r="70" spans="1:45" ht="13.5" customHeight="1">
      <c r="A70" s="31"/>
      <c r="B70" s="272">
        <f>'2-2. 요약 진단결과(Azure)'!B34</f>
      </c>
      <c r="C70" s="66">
        <f>'2-2. 요약 진단결과(Azure)'!H34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</row>
    <row r="71" spans="1:45" ht="13.5" customHeight="1">
      <c r="A71" s="31"/>
      <c r="B71" s="273"/>
      <c r="C71" s="66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</row>
    <row r="72" spans="1:45" ht="13.5" customHeight="1">
      <c r="A72" s="31"/>
      <c r="B72" s="273"/>
      <c r="C72" s="66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</row>
    <row r="73" spans="1:45" ht="13.5" customHeight="1">
      <c r="A73" s="31"/>
      <c r="B73" s="274"/>
      <c r="C73" s="6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3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44140625" customWidth="1"/>
    <col min="4" max="4" width="66.33203125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Azure 취약점 진단 요약결과(41항목)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75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76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37" t="inlineStr">
        <is>
          <t xml:space="preserve">1. 계정 관리</t>
        </is>
      </c>
      <c r="C6" s="252" t="inlineStr">
        <is>
          <t xml:space="preserve">1.1</t>
        </is>
      </c>
      <c r="D6" s="253" t="inlineStr">
        <is>
          <t xml:space="preserve">AD 사용자 계정 관리</t>
        </is>
      </c>
      <c r="E6" s="254" t="inlineStr">
        <is>
          <t xml:space="preserve">상</t>
        </is>
      </c>
      <c r="F6" s="255">
        <f>IFERROR(T(INDEX('3-1. 진단 결과(Azure)'!$F$6:$G$46,MATCH($C6,'3-1. 진단 결과(Azure)'!$C$6:$C$46,0),MATCH(F$3,'3-1. 진단 결과(Azure)'!$F$3:$G$3,0))),"")</f>
      </c>
      <c r="G6" s="5"/>
      <c r="H6" s="256">
        <f>IF(COUNTIF(I6:I16,"N/A")=COUNTA(I6:I16),"N/A",AVERAGE(I6:I16))</f>
      </c>
      <c r="I6" s="257">
        <f>IF($J6+$K6=0,"N/A",$J6/($J6+$K6))</f>
      </c>
      <c r="J6" s="258">
        <f>COUNTIF($F6:$F6,"양호")</f>
      </c>
      <c r="K6" s="259">
        <f>COUNTIF($F6:$F6,"취약")</f>
      </c>
      <c r="L6" s="260">
        <f>COUNTIF($F6:$F6,"N/A")</f>
      </c>
    </row>
    <row r="7" spans="1:26" ht="31.65" customHeight="1">
      <c r="A7" s="31"/>
      <c r="B7" s="163"/>
      <c r="C7" s="91" t="inlineStr">
        <is>
          <t xml:space="preserve">1.2</t>
        </is>
      </c>
      <c r="D7" s="227" t="inlineStr">
        <is>
          <t xml:space="preserve">AD 사용자 프로필 및 디렉터리 식별 관리</t>
        </is>
      </c>
      <c r="E7" s="8" t="inlineStr">
        <is>
          <t xml:space="preserve">중</t>
        </is>
      </c>
      <c r="F7" s="33">
        <f>IFERROR(T(INDEX('3-1. 진단 결과(Azure)'!$F$6:$G$46,MATCH($C7,'3-1. 진단 결과(Azure)'!$C$6:$C$46,0),MATCH(F$3,'3-1. 진단 결과(Azure)'!$F$3:$G$3,0))),"")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1.3</t>
        </is>
      </c>
      <c r="D8" s="227" t="inlineStr">
        <is>
          <t xml:space="preserve">AD 그룹 소유자 및 구성원 관리</t>
        </is>
      </c>
      <c r="E8" s="8" t="inlineStr">
        <is>
          <t xml:space="preserve">중</t>
        </is>
      </c>
      <c r="F8" s="33">
        <f>IFERROR(T(INDEX('3-1. 진단 결과(Azure)'!$F$6:$G$46,MATCH($C8,'3-1. 진단 결과(Azure)'!$C$6:$C$46,0),MATCH(F$3,'3-1. 진단 결과(Azure)'!$F$3:$G$3,0))),"")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1.4</t>
        </is>
      </c>
      <c r="D9" s="227" t="inlineStr">
        <is>
          <t xml:space="preserve">AD 게스트 사용자</t>
        </is>
      </c>
      <c r="E9" s="8" t="inlineStr">
        <is>
          <t xml:space="preserve">상</t>
        </is>
      </c>
      <c r="F9" s="33">
        <f>IFERROR(T(INDEX('3-1. 진단 결과(Azure)'!$F$6:$G$46,MATCH($C9,'3-1. 진단 결과(Azure)'!$C$6:$C$46,0),MATCH(F$3,'3-1. 진단 결과(Azure)'!$F$3:$G$3,0))),"")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1.5</t>
        </is>
      </c>
      <c r="D10" s="227" t="inlineStr">
        <is>
          <t xml:space="preserve">AD 암호 재설정 규칙 관리</t>
        </is>
      </c>
      <c r="E10" s="8" t="inlineStr">
        <is>
          <t xml:space="preserve">하</t>
        </is>
      </c>
      <c r="F10" s="33">
        <f>IFERROR(T(INDEX('3-1. 진단 결과(Azure)'!$F$6:$G$46,MATCH($C10,'3-1. 진단 결과(Azure)'!$C$6:$C$46,0),MATCH(F$3,'3-1. 진단 결과(Azure)'!$F$3:$G$3,0))),"")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1.6</t>
        </is>
      </c>
      <c r="D11" s="227" t="inlineStr">
        <is>
          <t xml:space="preserve">SSH Key 접근 관리</t>
        </is>
      </c>
      <c r="E11" s="8" t="inlineStr">
        <is>
          <t xml:space="preserve">하</t>
        </is>
      </c>
      <c r="F11" s="33">
        <f>IFERROR(T(INDEX('3-1. 진단 결과(Azure)'!$F$6:$G$46,MATCH($C11,'3-1. 진단 결과(Azure)'!$C$6:$C$46,0),MATCH(F$3,'3-1. 진단 결과(Azure)'!$F$3:$G$3,0))),"")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1.7</t>
        </is>
      </c>
      <c r="D12" s="227" t="inlineStr">
        <is>
          <t xml:space="preserve">MFA (Multi-Factor-Authentication) 설정</t>
        </is>
      </c>
      <c r="E12" s="8" t="inlineStr">
        <is>
          <t xml:space="preserve">상</t>
        </is>
      </c>
      <c r="F12" s="33">
        <f>IFERROR(T(INDEX('3-1. 진단 결과(Azure)'!$F$6:$G$46,MATCH($C12,'3-1. 진단 결과(Azure)'!$C$6:$C$46,0),MATCH(F$3,'3-1. 진단 결과(Azure)'!$F$3:$G$3,0))),"")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1.8</t>
        </is>
      </c>
      <c r="D13" s="227" t="inlineStr">
        <is>
          <t xml:space="preserve">MFA 계정 잠금 정책 관리</t>
        </is>
      </c>
      <c r="E13" s="8" t="inlineStr">
        <is>
          <t xml:space="preserve">중</t>
        </is>
      </c>
      <c r="F13" s="33">
        <f>IFERROR(T(INDEX('3-1. 진단 결과(Azure)'!$F$6:$G$46,MATCH($C13,'3-1. 진단 결과(Azure)'!$C$6:$C$46,0),MATCH(F$3,'3-1. 진단 결과(Azure)'!$F$3:$G$3,0))),"")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1.9</t>
        </is>
      </c>
      <c r="D14" s="227" t="inlineStr">
        <is>
          <t xml:space="preserve">Azure 패스워드 정책 관리</t>
        </is>
      </c>
      <c r="E14" s="8" t="inlineStr">
        <is>
          <t xml:space="preserve">중</t>
        </is>
      </c>
      <c r="F14" s="33">
        <f>IFERROR(T(INDEX('3-1. 진단 결과(Azure)'!$F$6:$G$46,MATCH($C14,'3-1. 진단 결과(Azure)'!$C$6:$C$46,0),MATCH(F$3,'3-1. 진단 결과(Azure)'!$F$3:$G$3,0))),"")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163"/>
      <c r="C15" s="91" t="inlineStr">
        <is>
          <t xml:space="preserve">1.10</t>
        </is>
      </c>
      <c r="D15" s="227" t="inlineStr">
        <is>
          <t xml:space="preserve">AKS 서비스 어카운트 관리</t>
        </is>
      </c>
      <c r="E15" s="8" t="inlineStr">
        <is>
          <t xml:space="preserve">중</t>
        </is>
      </c>
      <c r="F15" s="33">
        <f>IFERROR(T(INDEX('3-1. 진단 결과(Azure)'!$F$6:$G$46,MATCH($C15,'3-1. 진단 결과(Azure)'!$C$6:$C$46,0),MATCH(F$3,'3-1. 진단 결과(Azure)'!$F$3:$G$3,0))),"")</f>
      </c>
      <c r="G15" s="5"/>
      <c r="H15" s="159"/>
      <c r="I15" s="34">
        <f>IF($J15+$K15=0,"N/A",$J15/($J15+$K15))</f>
      </c>
      <c r="J15" s="120">
        <f>COUNTIF($F15:$F15,"양호")</f>
      </c>
      <c r="K15" s="121">
        <f>COUNTIF($F15:$F15,"취약")</f>
      </c>
      <c r="L15" s="30">
        <f>COUNTIF($F15:$F15,"N/A")</f>
      </c>
    </row>
    <row r="16" spans="1:26" ht="31.65" customHeight="1">
      <c r="A16" s="31"/>
      <c r="B16" s="245"/>
      <c r="C16" s="261" t="inlineStr">
        <is>
          <t xml:space="preserve">1.11</t>
        </is>
      </c>
      <c r="D16" s="262" t="inlineStr">
        <is>
          <t xml:space="preserve">AKS 불필요한 익명 접근 관리</t>
        </is>
      </c>
      <c r="E16" s="263" t="inlineStr">
        <is>
          <t xml:space="preserve">상</t>
        </is>
      </c>
      <c r="F16" s="264">
        <f>IFERROR(T(INDEX('3-1. 진단 결과(Azure)'!$F$6:$G$46,MATCH($C16,'3-1. 진단 결과(Azure)'!$C$6:$C$46,0),MATCH(F$3,'3-1. 진단 결과(Azure)'!$F$3:$G$3,0))),"")</f>
      </c>
      <c r="G16" s="5"/>
      <c r="H16" s="265"/>
      <c r="I16" s="266">
        <f>IF($J16+$K16=0,"N/A",$J16/($J16+$K16))</f>
      </c>
      <c r="J16" s="267">
        <f>COUNTIF($F16:$F16,"양호")</f>
      </c>
      <c r="K16" s="268">
        <f>COUNTIF($F16:$F16,"취약")</f>
      </c>
      <c r="L16" s="269">
        <f>COUNTIF($F16:$F16,"N/A")</f>
      </c>
    </row>
    <row r="17" spans="1:26" ht="31.65" customHeight="1">
      <c r="A17" s="31"/>
      <c r="B17" s="237" t="inlineStr">
        <is>
          <t xml:space="preserve">2. 권한 관리</t>
        </is>
      </c>
      <c r="C17" s="252" t="inlineStr">
        <is>
          <t xml:space="preserve">2.1</t>
        </is>
      </c>
      <c r="D17" s="253" t="inlineStr">
        <is>
          <t xml:space="preserve">구독 액세스 제어(IAM) 역할 관리</t>
        </is>
      </c>
      <c r="E17" s="254" t="inlineStr">
        <is>
          <t xml:space="preserve">상</t>
        </is>
      </c>
      <c r="F17" s="255">
        <f>IFERROR(T(INDEX('3-1. 진단 결과(Azure)'!$F$6:$G$46,MATCH($C17,'3-1. 진단 결과(Azure)'!$C$6:$C$46,0),MATCH(F$3,'3-1. 진단 결과(Azure)'!$F$3:$G$3,0))),"")</f>
      </c>
      <c r="G17" s="5"/>
      <c r="H17" s="256">
        <f>IF(COUNTIF(I17:I22,"N/A")=COUNTA(I17:I22),"N/A",AVERAGE(I17:I22))</f>
      </c>
      <c r="I17" s="257">
        <f>IF($J17+$K17=0,"N/A",$J17/($J17+$K17))</f>
      </c>
      <c r="J17" s="258">
        <f>COUNTIF($F17:$F17,"양호")</f>
      </c>
      <c r="K17" s="259">
        <f>COUNTIF($F17:$F17,"취약")</f>
      </c>
      <c r="L17" s="260">
        <f>COUNTIF($F17:$F17,"N/A")</f>
      </c>
    </row>
    <row r="18" spans="1:26" ht="31.65" customHeight="1">
      <c r="A18" s="31"/>
      <c r="B18" s="163"/>
      <c r="C18" s="91" t="inlineStr">
        <is>
          <t xml:space="preserve">2.2</t>
        </is>
      </c>
      <c r="D18" s="227" t="inlineStr">
        <is>
          <t xml:space="preserve">리소스 그룹 액세스 제어(IAM) 역할 할당</t>
        </is>
      </c>
      <c r="E18" s="8" t="inlineStr">
        <is>
          <t xml:space="preserve">상</t>
        </is>
      </c>
      <c r="F18" s="33">
        <f>IFERROR(T(INDEX('3-1. 진단 결과(Azure)'!$F$6:$G$46,MATCH($C18,'3-1. 진단 결과(Azure)'!$C$6:$C$46,0),MATCH(F$3,'3-1. 진단 결과(Azure)'!$F$3:$G$3,0))),"")</f>
      </c>
      <c r="G18" s="5"/>
      <c r="H18" s="159"/>
      <c r="I18" s="34">
        <f>IF($J18+$K18=0,"N/A",$J18/($J18+$K18))</f>
      </c>
      <c r="J18" s="120">
        <f>COUNTIF($F18:$F18,"양호")</f>
      </c>
      <c r="K18" s="121">
        <f>COUNTIF($F18:$F18,"취약")</f>
      </c>
      <c r="L18" s="30">
        <f>COUNTIF($F18:$F18,"N/A")</f>
      </c>
    </row>
    <row r="19" spans="1:26" ht="31.65" customHeight="1">
      <c r="A19" s="31"/>
      <c r="B19" s="163"/>
      <c r="C19" s="91" t="inlineStr">
        <is>
          <t xml:space="preserve">2.3</t>
        </is>
      </c>
      <c r="D19" s="227" t="inlineStr">
        <is>
          <t xml:space="preserve">AD 사용자 역할 권한 관리</t>
        </is>
      </c>
      <c r="E19" s="8" t="inlineStr">
        <is>
          <t xml:space="preserve">상</t>
        </is>
      </c>
      <c r="F19" s="33">
        <f>IFERROR(T(INDEX('3-1. 진단 결과(Azure)'!$F$6:$G$46,MATCH($C19,'3-1. 진단 결과(Azure)'!$C$6:$C$46,0),MATCH(F$3,'3-1. 진단 결과(Azure)'!$F$3:$G$3,0))),"")</f>
      </c>
      <c r="G19" s="5"/>
      <c r="H19" s="159"/>
      <c r="I19" s="34">
        <f>IF($J19+$K19=0,"N/A",$J19/($J19+$K19))</f>
      </c>
      <c r="J19" s="120">
        <f>COUNTIF($F19:$F19,"양호")</f>
      </c>
      <c r="K19" s="121">
        <f>COUNTIF($F19:$F19,"취약")</f>
      </c>
      <c r="L19" s="30">
        <f>COUNTIF($F19:$F19,"N/A")</f>
      </c>
    </row>
    <row r="20" spans="1:26" ht="31.65" customHeight="1">
      <c r="A20" s="31"/>
      <c r="B20" s="163"/>
      <c r="C20" s="91" t="inlineStr">
        <is>
          <t xml:space="preserve">2.4</t>
        </is>
      </c>
      <c r="D20" s="227" t="inlineStr">
        <is>
          <t xml:space="preserve">인스턴스 서비스 액세스 정책 관리</t>
        </is>
      </c>
      <c r="E20" s="8" t="inlineStr">
        <is>
          <t xml:space="preserve">상</t>
        </is>
      </c>
      <c r="F20" s="33">
        <f>IFERROR(T(INDEX('3-1. 진단 결과(Azure)'!$F$6:$G$46,MATCH($C20,'3-1. 진단 결과(Azure)'!$C$6:$C$46,0),MATCH(F$3,'3-1. 진단 결과(Azure)'!$F$3:$G$3,0))),"")</f>
      </c>
      <c r="G20" s="5"/>
      <c r="H20" s="159"/>
      <c r="I20" s="34">
        <f>IF($J20+$K20=0,"N/A",$J20/($J20+$K20))</f>
      </c>
      <c r="J20" s="120">
        <f>COUNTIF($F20:$F20,"양호")</f>
      </c>
      <c r="K20" s="121">
        <f>COUNTIF($F20:$F20,"취약")</f>
      </c>
      <c r="L20" s="30">
        <f>COUNTIF($F20:$F20,"N/A")</f>
      </c>
    </row>
    <row r="21" spans="1:26" ht="31.65" customHeight="1">
      <c r="A21" s="31"/>
      <c r="B21" s="163"/>
      <c r="C21" s="91" t="inlineStr">
        <is>
          <t xml:space="preserve">2.5</t>
        </is>
      </c>
      <c r="D21" s="227" t="inlineStr">
        <is>
          <t xml:space="preserve">네트워크 서비스 액세스 정책 관리</t>
        </is>
      </c>
      <c r="E21" s="8" t="inlineStr">
        <is>
          <t xml:space="preserve">상</t>
        </is>
      </c>
      <c r="F21" s="33">
        <f>IFERROR(T(INDEX('3-1. 진단 결과(Azure)'!$F$6:$G$46,MATCH($C21,'3-1. 진단 결과(Azure)'!$C$6:$C$46,0),MATCH(F$3,'3-1. 진단 결과(Azure)'!$F$3:$G$3,0))),"")</f>
      </c>
      <c r="G21" s="5"/>
      <c r="H21" s="159"/>
      <c r="I21" s="34">
        <f>IF($J21+$K21=0,"N/A",$J21/($J21+$K21))</f>
      </c>
      <c r="J21" s="120">
        <f>COUNTIF($F21:$F21,"양호")</f>
      </c>
      <c r="K21" s="121">
        <f>COUNTIF($F21:$F21,"취약")</f>
      </c>
      <c r="L21" s="30">
        <f>COUNTIF($F21:$F21,"N/A")</f>
      </c>
    </row>
    <row r="22" spans="1:26" ht="31.65" customHeight="1">
      <c r="A22" s="31"/>
      <c r="B22" s="245"/>
      <c r="C22" s="261" t="inlineStr">
        <is>
          <t xml:space="preserve">2.6</t>
        </is>
      </c>
      <c r="D22" s="262" t="inlineStr">
        <is>
          <t xml:space="preserve">기타 서비스 액세스 정책 관리</t>
        </is>
      </c>
      <c r="E22" s="263" t="inlineStr">
        <is>
          <t xml:space="preserve">상</t>
        </is>
      </c>
      <c r="F22" s="264">
        <f>IFERROR(T(INDEX('3-1. 진단 결과(Azure)'!$F$6:$G$46,MATCH($C22,'3-1. 진단 결과(Azure)'!$C$6:$C$46,0),MATCH(F$3,'3-1. 진단 결과(Azure)'!$F$3:$G$3,0))),"")</f>
      </c>
      <c r="G22" s="5"/>
      <c r="H22" s="265"/>
      <c r="I22" s="266">
        <f>IF($J22+$K22=0,"N/A",$J22/($J22+$K22))</f>
      </c>
      <c r="J22" s="267">
        <f>COUNTIF($F22:$F22,"양호")</f>
      </c>
      <c r="K22" s="268">
        <f>COUNTIF($F22:$F22,"취약")</f>
      </c>
      <c r="L22" s="269">
        <f>COUNTIF($F22:$F22,"N/A")</f>
      </c>
    </row>
    <row r="23" spans="1:26" ht="31.65" customHeight="1">
      <c r="A23" s="31"/>
      <c r="B23" s="237" t="inlineStr">
        <is>
          <t xml:space="preserve">3. 가상 리소스 관리</t>
        </is>
      </c>
      <c r="C23" s="252" t="inlineStr">
        <is>
          <t xml:space="preserve">3.1</t>
        </is>
      </c>
      <c r="D23" s="253" t="inlineStr">
        <is>
          <t xml:space="preserve">가상 네트워크 리소스 관리</t>
        </is>
      </c>
      <c r="E23" s="254" t="inlineStr">
        <is>
          <t xml:space="preserve">중</t>
        </is>
      </c>
      <c r="F23" s="255">
        <f>IFERROR(T(INDEX('3-1. 진단 결과(Azure)'!$F$6:$G$46,MATCH($C23,'3-1. 진단 결과(Azure)'!$C$6:$C$46,0),MATCH(F$3,'3-1. 진단 결과(Azure)'!$F$3:$G$3,0))),"")</f>
      </c>
      <c r="G23" s="5"/>
      <c r="H23" s="256">
        <f>IF(COUNTIF(I23:I33,"N/A")=COUNTA(I23:I33),"N/A",AVERAGE(I23:I33))</f>
      </c>
      <c r="I23" s="257">
        <f>IF($J23+$K23=0,"N/A",$J23/($J23+$K23))</f>
      </c>
      <c r="J23" s="258">
        <f>COUNTIF($F23:$F23,"양호")</f>
      </c>
      <c r="K23" s="259">
        <f>COUNTIF($F23:$F23,"취약")</f>
      </c>
      <c r="L23" s="260">
        <f>COUNTIF($F23:$F23,"N/A")</f>
      </c>
    </row>
    <row r="24" spans="1:26" ht="31.65" customHeight="1">
      <c r="A24" s="31"/>
      <c r="B24" s="163"/>
      <c r="C24" s="91" t="inlineStr">
        <is>
          <t xml:space="preserve">3.2</t>
        </is>
      </c>
      <c r="D24" s="227" t="inlineStr">
        <is>
          <t xml:space="preserve">내부 가상 네트워크 보안 관리</t>
        </is>
      </c>
      <c r="E24" s="8" t="inlineStr">
        <is>
          <t xml:space="preserve">상</t>
        </is>
      </c>
      <c r="F24" s="33">
        <f>IFERROR(T(INDEX('3-1. 진단 결과(Azure)'!$F$6:$G$46,MATCH($C24,'3-1. 진단 결과(Azure)'!$C$6:$C$46,0),MATCH(F$3,'3-1. 진단 결과(Azure)'!$F$3:$G$3,0))),"")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3.3</t>
        </is>
      </c>
      <c r="D25" s="227" t="inlineStr">
        <is>
          <t xml:space="preserve">보안그룹 인/아웃바운드 ANY 설정 관리</t>
        </is>
      </c>
      <c r="E25" s="8" t="inlineStr">
        <is>
          <t xml:space="preserve">상</t>
        </is>
      </c>
      <c r="F25" s="33">
        <f>IFERROR(T(INDEX('3-1. 진단 결과(Azure)'!$F$6:$G$46,MATCH($C25,'3-1. 진단 결과(Azure)'!$C$6:$C$46,0),MATCH(F$3,'3-1. 진단 결과(Azure)'!$F$3:$G$3,0))),"")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163"/>
      <c r="C26" s="91" t="inlineStr">
        <is>
          <t xml:space="preserve">3.4</t>
        </is>
      </c>
      <c r="D26" s="227" t="inlineStr">
        <is>
          <t xml:space="preserve">보안그룹 인/아웃바운드 불필요 정책 관리</t>
        </is>
      </c>
      <c r="E26" s="8" t="inlineStr">
        <is>
          <t xml:space="preserve">중</t>
        </is>
      </c>
      <c r="F26" s="33">
        <f>IFERROR(T(INDEX('3-1. 진단 결과(Azure)'!$F$6:$G$46,MATCH($C26,'3-1. 진단 결과(Azure)'!$C$6:$C$46,0),MATCH(F$3,'3-1. 진단 결과(Azure)'!$F$3:$G$3,0))),"")</f>
      </c>
      <c r="G26" s="5"/>
      <c r="H26" s="159"/>
      <c r="I26" s="34">
        <f>IF($J26+$K26=0,"N/A",$J26/($J26+$K26))</f>
      </c>
      <c r="J26" s="120">
        <f>COUNTIF($F26:$F26,"양호")</f>
      </c>
      <c r="K26" s="121">
        <f>COUNTIF($F26:$F26,"취약")</f>
      </c>
      <c r="L26" s="30">
        <f>COUNTIF($F26:$F26,"N/A")</f>
      </c>
    </row>
    <row r="27" spans="1:26" ht="31.65" customHeight="1">
      <c r="A27" s="31"/>
      <c r="B27" s="163"/>
      <c r="C27" s="91" t="inlineStr">
        <is>
          <t xml:space="preserve">3.5</t>
        </is>
      </c>
      <c r="D27" s="227" t="inlineStr">
        <is>
          <t xml:space="preserve">방화벽 ANY 정책 설정 관리</t>
        </is>
      </c>
      <c r="E27" s="8" t="inlineStr">
        <is>
          <t xml:space="preserve">상</t>
        </is>
      </c>
      <c r="F27" s="33">
        <f>IFERROR(T(INDEX('3-1. 진단 결과(Azure)'!$F$6:$G$46,MATCH($C27,'3-1. 진단 결과(Azure)'!$C$6:$C$46,0),MATCH(F$3,'3-1. 진단 결과(Azure)'!$F$3:$G$3,0))),"")</f>
      </c>
      <c r="G27" s="5"/>
      <c r="H27" s="159"/>
      <c r="I27" s="34">
        <f>IF($J27+$K27=0,"N/A",$J27/($J27+$K27))</f>
      </c>
      <c r="J27" s="120">
        <f>COUNTIF($F27:$F27,"양호")</f>
      </c>
      <c r="K27" s="121">
        <f>COUNTIF($F27:$F27,"취약")</f>
      </c>
      <c r="L27" s="30">
        <f>COUNTIF($F27:$F27,"N/A")</f>
      </c>
    </row>
    <row r="28" spans="1:26" ht="31.65" customHeight="1">
      <c r="A28" s="31"/>
      <c r="B28" s="163"/>
      <c r="C28" s="91" t="inlineStr">
        <is>
          <t xml:space="preserve">3.6</t>
        </is>
      </c>
      <c r="D28" s="227" t="inlineStr">
        <is>
          <t xml:space="preserve">방화벽 불필요 정책 관리</t>
        </is>
      </c>
      <c r="E28" s="8" t="inlineStr">
        <is>
          <t xml:space="preserve">중</t>
        </is>
      </c>
      <c r="F28" s="33">
        <f>IFERROR(T(INDEX('3-1. 진단 결과(Azure)'!$F$6:$G$46,MATCH($C28,'3-1. 진단 결과(Azure)'!$C$6:$C$46,0),MATCH(F$3,'3-1. 진단 결과(Azure)'!$F$3:$G$3,0))),"")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3.7</t>
        </is>
      </c>
      <c r="D29" s="227" t="inlineStr">
        <is>
          <t xml:space="preserve">NAT 게이트웨이 서브넷 연결 관리</t>
        </is>
      </c>
      <c r="E29" s="8" t="inlineStr">
        <is>
          <t xml:space="preserve">중</t>
        </is>
      </c>
      <c r="F29" s="33">
        <f>IFERROR(T(INDEX('3-1. 진단 결과(Azure)'!$F$6:$G$46,MATCH($C29,'3-1. 진단 결과(Azure)'!$C$6:$C$46,0),MATCH(F$3,'3-1. 진단 결과(Azure)'!$F$3:$G$3,0))),"")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163"/>
      <c r="C30" s="91" t="inlineStr">
        <is>
          <t xml:space="preserve">3.8</t>
        </is>
      </c>
      <c r="D30" s="227" t="inlineStr">
        <is>
          <t xml:space="preserve">스토리지 계정 보안 설정</t>
        </is>
      </c>
      <c r="E30" s="8" t="inlineStr">
        <is>
          <t xml:space="preserve">상</t>
        </is>
      </c>
      <c r="F30" s="33">
        <f>IFERROR(T(INDEX('3-1. 진단 결과(Azure)'!$F$6:$G$46,MATCH($C30,'3-1. 진단 결과(Azure)'!$C$6:$C$46,0),MATCH(F$3,'3-1. 진단 결과(Azure)'!$F$3:$G$3,0))),"")</f>
      </c>
      <c r="G30" s="5"/>
      <c r="H30" s="159"/>
      <c r="I30" s="34">
        <f>IF($J30+$K30=0,"N/A",$J30/($J30+$K30))</f>
      </c>
      <c r="J30" s="120">
        <f>COUNTIF($F30:$F30,"양호")</f>
      </c>
      <c r="K30" s="121">
        <f>COUNTIF($F30:$F30,"취약")</f>
      </c>
      <c r="L30" s="30">
        <f>COUNTIF($F30:$F30,"N/A")</f>
      </c>
    </row>
    <row r="31" spans="1:26" ht="31.65" customHeight="1">
      <c r="A31" s="31"/>
      <c r="B31" s="163"/>
      <c r="C31" s="91" t="inlineStr">
        <is>
          <t xml:space="preserve">3.9</t>
        </is>
      </c>
      <c r="D31" s="227" t="inlineStr">
        <is>
          <t xml:space="preserve">스토리지 계정 공유 액세스 서명 정책 관리</t>
        </is>
      </c>
      <c r="E31" s="8" t="inlineStr">
        <is>
          <t xml:space="preserve">중</t>
        </is>
      </c>
      <c r="F31" s="33">
        <f>IFERROR(T(INDEX('3-1. 진단 결과(Azure)'!$F$6:$G$46,MATCH($C31,'3-1. 진단 결과(Azure)'!$C$6:$C$46,0),MATCH(F$3,'3-1. 진단 결과(Azure)'!$F$3:$G$3,0))),"")</f>
      </c>
      <c r="G31" s="5"/>
      <c r="H31" s="159"/>
      <c r="I31" s="34">
        <f>IF($J31+$K31=0,"N/A",$J31/($J31+$K31))</f>
      </c>
      <c r="J31" s="120">
        <f>COUNTIF($F31:$F31,"양호")</f>
      </c>
      <c r="K31" s="121">
        <f>COUNTIF($F31:$F31,"취약")</f>
      </c>
      <c r="L31" s="30">
        <f>COUNTIF($F31:$F31,"N/A")</f>
      </c>
    </row>
    <row r="32" spans="1:26" ht="31.65" customHeight="1">
      <c r="A32" s="31"/>
      <c r="B32" s="163"/>
      <c r="C32" s="91" t="inlineStr">
        <is>
          <t xml:space="preserve">3.10</t>
        </is>
      </c>
      <c r="D32" s="227" t="inlineStr">
        <is>
          <t xml:space="preserve">AKS Pod 보안 정책 관리</t>
        </is>
      </c>
      <c r="E32" s="8" t="inlineStr">
        <is>
          <t xml:space="preserve">상</t>
        </is>
      </c>
      <c r="F32" s="33">
        <f>IFERROR(T(INDEX('3-1. 진단 결과(Azure)'!$F$6:$G$46,MATCH($C32,'3-1. 진단 결과(Azure)'!$C$6:$C$46,0),MATCH(F$3,'3-1. 진단 결과(Azure)'!$F$3:$G$3,0))),"")</f>
      </c>
      <c r="G32" s="5"/>
      <c r="H32" s="159"/>
      <c r="I32" s="34">
        <f>IF($J32+$K32=0,"N/A",$J32/($J32+$K32))</f>
      </c>
      <c r="J32" s="120">
        <f>COUNTIF($F32:$F32,"양호")</f>
      </c>
      <c r="K32" s="121">
        <f>COUNTIF($F32:$F32,"취약")</f>
      </c>
      <c r="L32" s="30">
        <f>COUNTIF($F32:$F32,"N/A")</f>
      </c>
    </row>
    <row r="33" spans="1:26" ht="31.65" customHeight="1">
      <c r="A33" s="31"/>
      <c r="B33" s="245"/>
      <c r="C33" s="261" t="inlineStr">
        <is>
          <t xml:space="preserve">3.11</t>
        </is>
      </c>
      <c r="D33" s="262" t="inlineStr">
        <is>
          <t xml:space="preserve">Kubernetes API 서버 보안 액세스 설정</t>
        </is>
      </c>
      <c r="E33" s="263" t="inlineStr">
        <is>
          <t xml:space="preserve">상</t>
        </is>
      </c>
      <c r="F33" s="264">
        <f>IFERROR(T(INDEX('3-1. 진단 결과(Azure)'!$F$6:$G$46,MATCH($C33,'3-1. 진단 결과(Azure)'!$C$6:$C$46,0),MATCH(F$3,'3-1. 진단 결과(Azure)'!$F$3:$G$3,0))),"")</f>
      </c>
      <c r="G33" s="5"/>
      <c r="H33" s="265"/>
      <c r="I33" s="266">
        <f>IF($J33+$K33=0,"N/A",$J33/($J33+$K33))</f>
      </c>
      <c r="J33" s="267">
        <f>COUNTIF($F33:$F33,"양호")</f>
      </c>
      <c r="K33" s="268">
        <f>COUNTIF($F33:$F33,"취약")</f>
      </c>
      <c r="L33" s="269">
        <f>COUNTIF($F33:$F33,"N/A")</f>
      </c>
    </row>
    <row r="34" spans="1:26" ht="31.65" customHeight="1">
      <c r="A34" s="31"/>
      <c r="B34" s="237" t="inlineStr">
        <is>
          <t xml:space="preserve">4. 운영 관리</t>
        </is>
      </c>
      <c r="C34" s="252" t="inlineStr">
        <is>
          <t xml:space="preserve">4.1</t>
        </is>
      </c>
      <c r="D34" s="253" t="inlineStr">
        <is>
          <t xml:space="preserve">데이터베이스 암호화 설정 관리</t>
        </is>
      </c>
      <c r="E34" s="254" t="inlineStr">
        <is>
          <t xml:space="preserve">중</t>
        </is>
      </c>
      <c r="F34" s="255">
        <f>IFERROR(T(INDEX('3-1. 진단 결과(Azure)'!$F$6:$G$46,MATCH($C34,'3-1. 진단 결과(Azure)'!$C$6:$C$46,0),MATCH(F$3,'3-1. 진단 결과(Azure)'!$F$3:$G$3,0))),"")</f>
      </c>
      <c r="G34" s="5"/>
      <c r="H34" s="256">
        <f>IF(COUNTIF(I34:I46,"N/A")=COUNTA(I34:I46),"N/A",AVERAGE(I34:I46))</f>
      </c>
      <c r="I34" s="257">
        <f>IF($J34+$K34=0,"N/A",$J34/($J34+$K34))</f>
      </c>
      <c r="J34" s="258">
        <f>COUNTIF($F34:$F34,"양호")</f>
      </c>
      <c r="K34" s="259">
        <f>COUNTIF($F34:$F34,"취약")</f>
      </c>
      <c r="L34" s="260">
        <f>COUNTIF($F34:$F34,"N/A")</f>
      </c>
    </row>
    <row r="35" spans="1:26" ht="31.65" customHeight="1">
      <c r="A35" s="31"/>
      <c r="B35" s="163"/>
      <c r="C35" s="91" t="inlineStr">
        <is>
          <t xml:space="preserve">4.2</t>
        </is>
      </c>
      <c r="D35" s="227" t="inlineStr">
        <is>
          <t xml:space="preserve">스토리지 암호화 설정</t>
        </is>
      </c>
      <c r="E35" s="8" t="inlineStr">
        <is>
          <t xml:space="preserve">상</t>
        </is>
      </c>
      <c r="F35" s="33">
        <f>IFERROR(T(INDEX('3-1. 진단 결과(Azure)'!$F$6:$G$46,MATCH($C35,'3-1. 진단 결과(Azure)'!$C$6:$C$46,0),MATCH(F$3,'3-1. 진단 결과(Azure)'!$F$3:$G$3,0))),"")</f>
      </c>
      <c r="G35" s="5"/>
      <c r="H35" s="159"/>
      <c r="I35" s="34">
        <f>IF($J35+$K35=0,"N/A",$J35/($J35+$K35))</f>
      </c>
      <c r="J35" s="120">
        <f>COUNTIF($F35:$F35,"양호")</f>
      </c>
      <c r="K35" s="121">
        <f>COUNTIF($F35:$F35,"취약")</f>
      </c>
      <c r="L35" s="30">
        <f>COUNTIF($F35:$F35,"N/A")</f>
      </c>
    </row>
    <row r="36" spans="1:26" ht="31.65" customHeight="1">
      <c r="A36" s="31"/>
      <c r="B36" s="163"/>
      <c r="C36" s="91" t="inlineStr">
        <is>
          <t xml:space="preserve">4.3</t>
        </is>
      </c>
      <c r="D36" s="227" t="inlineStr">
        <is>
          <t xml:space="preserve">디스크 암호화 설정</t>
        </is>
      </c>
      <c r="E36" s="8" t="inlineStr">
        <is>
          <t xml:space="preserve">상</t>
        </is>
      </c>
      <c r="F36" s="33">
        <f>IFERROR(T(INDEX('3-1. 진단 결과(Azure)'!$F$6:$G$46,MATCH($C36,'3-1. 진단 결과(Azure)'!$C$6:$C$46,0),MATCH(F$3,'3-1. 진단 결과(Azure)'!$F$3:$G$3,0))),"")</f>
      </c>
      <c r="G36" s="5"/>
      <c r="H36" s="159"/>
      <c r="I36" s="34">
        <f>IF($J36+$K36=0,"N/A",$J36/($J36+$K36))</f>
      </c>
      <c r="J36" s="120">
        <f>COUNTIF($F36:$F36,"양호")</f>
      </c>
      <c r="K36" s="121">
        <f>COUNTIF($F36:$F36,"취약")</f>
      </c>
      <c r="L36" s="30">
        <f>COUNTIF($F36:$F36,"N/A")</f>
      </c>
    </row>
    <row r="37" spans="1:26" ht="31.65" customHeight="1">
      <c r="A37" s="31"/>
      <c r="B37" s="163"/>
      <c r="C37" s="91" t="inlineStr">
        <is>
          <t xml:space="preserve">4.4</t>
        </is>
      </c>
      <c r="D37" s="227" t="inlineStr">
        <is>
          <t xml:space="preserve">통신구간 암호화 설정</t>
        </is>
      </c>
      <c r="E37" s="8" t="inlineStr">
        <is>
          <t xml:space="preserve">중</t>
        </is>
      </c>
      <c r="F37" s="33">
        <f>IFERROR(T(INDEX('3-1. 진단 결과(Azure)'!$F$6:$G$46,MATCH($C37,'3-1. 진단 결과(Azure)'!$C$6:$C$46,0),MATCH(F$3,'3-1. 진단 결과(Azure)'!$F$3:$G$3,0))),"")</f>
      </c>
      <c r="G37" s="5"/>
      <c r="H37" s="159"/>
      <c r="I37" s="34">
        <f>IF($J37+$K37=0,"N/A",$J37/($J37+$K37))</f>
      </c>
      <c r="J37" s="120">
        <f>COUNTIF($F37:$F37,"양호")</f>
      </c>
      <c r="K37" s="121">
        <f>COUNTIF($F37:$F37,"취약")</f>
      </c>
      <c r="L37" s="30">
        <f>COUNTIF($F37:$F37,"N/A")</f>
      </c>
    </row>
    <row r="38" spans="1:26" ht="31.65" customHeight="1">
      <c r="A38" s="31"/>
      <c r="B38" s="163"/>
      <c r="C38" s="91" t="inlineStr">
        <is>
          <t xml:space="preserve">4.5</t>
        </is>
      </c>
      <c r="D38" s="227" t="inlineStr">
        <is>
          <t xml:space="preserve">키 자격 증명 모음 회전 정책 관리</t>
        </is>
      </c>
      <c r="E38" s="8" t="inlineStr">
        <is>
          <t xml:space="preserve">중</t>
        </is>
      </c>
      <c r="F38" s="33">
        <f>IFERROR(T(INDEX('3-1. 진단 결과(Azure)'!$F$6:$G$46,MATCH($C38,'3-1. 진단 결과(Azure)'!$C$6:$C$46,0),MATCH(F$3,'3-1. 진단 결과(Azure)'!$F$3:$G$3,0))),"")</f>
      </c>
      <c r="G38" s="5"/>
      <c r="H38" s="159"/>
      <c r="I38" s="34">
        <f>IF($J38+$K38=0,"N/A",$J38/($J38+$K38))</f>
      </c>
      <c r="J38" s="120">
        <f>COUNTIF($F38:$F38,"양호")</f>
      </c>
      <c r="K38" s="121">
        <f>COUNTIF($F38:$F38,"취약")</f>
      </c>
      <c r="L38" s="30">
        <f>COUNTIF($F38:$F38,"N/A")</f>
      </c>
    </row>
    <row r="39" spans="1:26" ht="31.65" customHeight="1">
      <c r="A39" s="31"/>
      <c r="B39" s="163"/>
      <c r="C39" s="91" t="inlineStr">
        <is>
          <t xml:space="preserve">4.6</t>
        </is>
      </c>
      <c r="D39" s="227" t="inlineStr">
        <is>
          <t xml:space="preserve">AD 감사로그 설정</t>
        </is>
      </c>
      <c r="E39" s="8" t="inlineStr">
        <is>
          <t xml:space="preserve">상</t>
        </is>
      </c>
      <c r="F39" s="33">
        <f>IFERROR(T(INDEX('3-1. 진단 결과(Azure)'!$F$6:$G$46,MATCH($C39,'3-1. 진단 결과(Azure)'!$C$6:$C$46,0),MATCH(F$3,'3-1. 진단 결과(Azure)'!$F$3:$G$3,0))),"")</f>
      </c>
      <c r="G39" s="5"/>
      <c r="H39" s="159"/>
      <c r="I39" s="34">
        <f>IF($J39+$K39=0,"N/A",$J39/($J39+$K39))</f>
      </c>
      <c r="J39" s="120">
        <f>COUNTIF($F39:$F39,"양호")</f>
      </c>
      <c r="K39" s="121">
        <f>COUNTIF($F39:$F39,"취약")</f>
      </c>
      <c r="L39" s="30">
        <f>COUNTIF($F39:$F39,"N/A")</f>
      </c>
    </row>
    <row r="40" spans="1:26" ht="31.65" customHeight="1">
      <c r="A40" s="31"/>
      <c r="B40" s="163"/>
      <c r="C40" s="91" t="inlineStr">
        <is>
          <t xml:space="preserve">4.7</t>
        </is>
      </c>
      <c r="D40" s="227" t="inlineStr">
        <is>
          <t xml:space="preserve">인스턴스 서비스 감사 로그 설정</t>
        </is>
      </c>
      <c r="E40" s="8" t="inlineStr">
        <is>
          <t xml:space="preserve">중</t>
        </is>
      </c>
      <c r="F40" s="33">
        <f>IFERROR(T(INDEX('3-1. 진단 결과(Azure)'!$F$6:$G$46,MATCH($C40,'3-1. 진단 결과(Azure)'!$C$6:$C$46,0),MATCH(F$3,'3-1. 진단 결과(Azure)'!$F$3:$G$3,0))),"")</f>
      </c>
      <c r="G40" s="5"/>
      <c r="H40" s="159"/>
      <c r="I40" s="34">
        <f>IF($J40+$K40=0,"N/A",$J40/($J40+$K40))</f>
      </c>
      <c r="J40" s="120">
        <f>COUNTIF($F40:$F40,"양호")</f>
      </c>
      <c r="K40" s="121">
        <f>COUNTIF($F40:$F40,"취약")</f>
      </c>
      <c r="L40" s="30">
        <f>COUNTIF($F40:$F40,"N/A")</f>
      </c>
    </row>
    <row r="41" spans="1:26" ht="31.65" customHeight="1">
      <c r="A41" s="31"/>
      <c r="B41" s="163"/>
      <c r="C41" s="91" t="inlineStr">
        <is>
          <t xml:space="preserve">4.8</t>
        </is>
      </c>
      <c r="D41" s="227" t="inlineStr">
        <is>
          <t xml:space="preserve">네트워크 서비스 감사 로그 설정</t>
        </is>
      </c>
      <c r="E41" s="8" t="inlineStr">
        <is>
          <t xml:space="preserve">중</t>
        </is>
      </c>
      <c r="F41" s="33">
        <f>IFERROR(T(INDEX('3-1. 진단 결과(Azure)'!$F$6:$G$46,MATCH($C41,'3-1. 진단 결과(Azure)'!$C$6:$C$46,0),MATCH(F$3,'3-1. 진단 결과(Azure)'!$F$3:$G$3,0))),"")</f>
      </c>
      <c r="G41" s="5"/>
      <c r="H41" s="159"/>
      <c r="I41" s="34">
        <f>IF($J41+$K41=0,"N/A",$J41/($J41+$K41))</f>
      </c>
      <c r="J41" s="120">
        <f>COUNTIF($F41:$F41,"양호")</f>
      </c>
      <c r="K41" s="121">
        <f>COUNTIF($F41:$F41,"취약")</f>
      </c>
      <c r="L41" s="30">
        <f>COUNTIF($F41:$F41,"N/A")</f>
      </c>
    </row>
    <row r="42" spans="1:26" ht="31.65" customHeight="1">
      <c r="A42" s="31"/>
      <c r="B42" s="163"/>
      <c r="C42" s="91" t="inlineStr">
        <is>
          <t xml:space="preserve">4.9</t>
        </is>
      </c>
      <c r="D42" s="227" t="inlineStr">
        <is>
          <t xml:space="preserve">기타 서비스 감사 로그 설정</t>
        </is>
      </c>
      <c r="E42" s="8" t="inlineStr">
        <is>
          <t xml:space="preserve">중</t>
        </is>
      </c>
      <c r="F42" s="33">
        <f>IFERROR(T(INDEX('3-1. 진단 결과(Azure)'!$F$6:$G$46,MATCH($C42,'3-1. 진단 결과(Azure)'!$C$6:$C$46,0),MATCH(F$3,'3-1. 진단 결과(Azure)'!$F$3:$G$3,0))),"")</f>
      </c>
      <c r="G42" s="5"/>
      <c r="H42" s="159"/>
      <c r="I42" s="34">
        <f>IF($J42+$K42=0,"N/A",$J42/($J42+$K42))</f>
      </c>
      <c r="J42" s="120">
        <f>COUNTIF($F42:$F42,"양호")</f>
      </c>
      <c r="K42" s="121">
        <f>COUNTIF($F42:$F42,"취약")</f>
      </c>
      <c r="L42" s="30">
        <f>COUNTIF($F42:$F42,"N/A")</f>
      </c>
    </row>
    <row r="43" spans="1:26" ht="31.65" customHeight="1">
      <c r="A43" s="31"/>
      <c r="B43" s="163"/>
      <c r="C43" s="91" t="inlineStr">
        <is>
          <t xml:space="preserve">4.10</t>
        </is>
      </c>
      <c r="D43" s="227" t="inlineStr">
        <is>
          <t xml:space="preserve">리소스 그룹 잠금</t>
        </is>
      </c>
      <c r="E43" s="8" t="inlineStr">
        <is>
          <t xml:space="preserve">하</t>
        </is>
      </c>
      <c r="F43" s="33">
        <f>IFERROR(T(INDEX('3-1. 진단 결과(Azure)'!$F$6:$G$46,MATCH($C43,'3-1. 진단 결과(Azure)'!$C$6:$C$46,0),MATCH(F$3,'3-1. 진단 결과(Azure)'!$F$3:$G$3,0))),"")</f>
      </c>
      <c r="G43" s="5"/>
      <c r="H43" s="159"/>
      <c r="I43" s="34">
        <f>IF($J43+$K43=0,"N/A",$J43/($J43+$K43))</f>
      </c>
      <c r="J43" s="120">
        <f>COUNTIF($F43:$F43,"양호")</f>
      </c>
      <c r="K43" s="121">
        <f>COUNTIF($F43:$F43,"취약")</f>
      </c>
      <c r="L43" s="30">
        <f>COUNTIF($F43:$F43,"N/A")</f>
      </c>
    </row>
    <row r="44" spans="1:26" ht="31.65" customHeight="1">
      <c r="A44" s="31"/>
      <c r="B44" s="163"/>
      <c r="C44" s="91" t="inlineStr">
        <is>
          <t xml:space="preserve">4.11</t>
        </is>
      </c>
      <c r="D44" s="227" t="inlineStr">
        <is>
          <t xml:space="preserve">백업 사용 여부</t>
        </is>
      </c>
      <c r="E44" s="8" t="inlineStr">
        <is>
          <t xml:space="preserve">중</t>
        </is>
      </c>
      <c r="F44" s="33">
        <f>IFERROR(T(INDEX('3-1. 진단 결과(Azure)'!$F$6:$G$46,MATCH($C44,'3-1. 진단 결과(Azure)'!$C$6:$C$46,0),MATCH(F$3,'3-1. 진단 결과(Azure)'!$F$3:$G$3,0))),"")</f>
      </c>
      <c r="G44" s="5"/>
      <c r="H44" s="159"/>
      <c r="I44" s="34">
        <f>IF($J44+$K44=0,"N/A",$J44/($J44+$K44))</f>
      </c>
      <c r="J44" s="120">
        <f>COUNTIF($F44:$F44,"양호")</f>
      </c>
      <c r="K44" s="121">
        <f>COUNTIF($F44:$F44,"취약")</f>
      </c>
      <c r="L44" s="30">
        <f>COUNTIF($F44:$F44,"N/A")</f>
      </c>
    </row>
    <row r="45" spans="1:26" ht="31.65" customHeight="1">
      <c r="A45" s="31"/>
      <c r="B45" s="163"/>
      <c r="C45" s="91" t="inlineStr">
        <is>
          <t xml:space="preserve">4.12</t>
        </is>
      </c>
      <c r="D45" s="227" t="inlineStr">
        <is>
          <t xml:space="preserve">AKS Cluster 이미지 무결성 설정</t>
        </is>
      </c>
      <c r="E45" s="8" t="inlineStr">
        <is>
          <t xml:space="preserve">중</t>
        </is>
      </c>
      <c r="F45" s="33">
        <f>IFERROR(T(INDEX('3-1. 진단 결과(Azure)'!$F$6:$G$46,MATCH($C45,'3-1. 진단 결과(Azure)'!$C$6:$C$46,0),MATCH(F$3,'3-1. 진단 결과(Azure)'!$F$3:$G$3,0))),"")</f>
      </c>
      <c r="G45" s="5"/>
      <c r="H45" s="159"/>
      <c r="I45" s="34">
        <f>IF($J45+$K45=0,"N/A",$J45/($J45+$K45))</f>
      </c>
      <c r="J45" s="120">
        <f>COUNTIF($F45:$F45,"양호")</f>
      </c>
      <c r="K45" s="121">
        <f>COUNTIF($F45:$F45,"취약")</f>
      </c>
      <c r="L45" s="30">
        <f>COUNTIF($F45:$F45,"N/A")</f>
      </c>
    </row>
    <row r="46" spans="1:26" ht="31.65" customHeight="1">
      <c r="A46" s="31"/>
      <c r="B46" s="245"/>
      <c r="C46" s="261" t="inlineStr">
        <is>
          <t xml:space="preserve">4.13</t>
        </is>
      </c>
      <c r="D46" s="262" t="inlineStr">
        <is>
          <t xml:space="preserve">AKS 진단 로그 설정</t>
        </is>
      </c>
      <c r="E46" s="263" t="inlineStr">
        <is>
          <t xml:space="preserve">중</t>
        </is>
      </c>
      <c r="F46" s="264">
        <f>IFERROR(T(INDEX('3-1. 진단 결과(Azure)'!$F$6:$G$46,MATCH($C46,'3-1. 진단 결과(Azure)'!$C$6:$C$46,0),MATCH(F$3,'3-1. 진단 결과(Azure)'!$F$3:$G$3,0))),"")</f>
      </c>
      <c r="G46" s="5"/>
      <c r="H46" s="265"/>
      <c r="I46" s="266">
        <f>IF($J46+$K46=0,"N/A",$J46/($J46+$K46))</f>
      </c>
      <c r="J46" s="267">
        <f>COUNTIF($F46:$F46,"양호")</f>
      </c>
      <c r="K46" s="268">
        <f>COUNTIF($F46:$F46,"취약")</f>
      </c>
      <c r="L46" s="269">
        <f>COUNTIF($F46:$F46,"N/A")</f>
      </c>
    </row>
    <row r="47" spans="1:21" ht="16.5" customHeight="1">
      <c r="A47" s="31"/>
      <c r="B47" s="162" t="s">
        <v>28</v>
      </c>
      <c r="C47" s="166" t="s">
        <v>29</v>
      </c>
      <c r="D47" s="167"/>
      <c r="E47" s="168"/>
      <c r="F47" s="85">
        <f>IF(COUNTIF(F$6:F$46,"?*")=0,"",COUNTIF(F$6:F$46,"취약"))</f>
      </c>
      <c r="G47" s="5"/>
      <c r="H47" s="9"/>
      <c r="I47" s="9"/>
      <c r="J47" s="9"/>
      <c r="K47" s="9"/>
      <c r="L47" s="9"/>
      <c r="M47" s="5"/>
      <c r="N47" s="5"/>
      <c r="O47" s="5"/>
      <c r="P47" s="5"/>
      <c r="Q47" s="5"/>
      <c r="R47" s="5"/>
      <c r="S47" s="5"/>
      <c r="T47" s="5"/>
      <c r="U47" s="5"/>
    </row>
    <row r="48" spans="1:26" ht="16.5" customHeight="1" thickBot="1">
      <c r="A48" s="31"/>
      <c r="B48" s="164"/>
      <c r="C48" s="169" t="s">
        <v>30</v>
      </c>
      <c r="D48" s="170"/>
      <c r="E48" s="171"/>
      <c r="F48" s="78">
        <f>IF(COUNTIF(F$6:F$46,"?*")=0,"",IFERROR(COUNTIF(F$6:F$46,"양호")/(COUNTIF(F$6:F$46,"양호")+COUNTIF(F$6:F$46,"취약")),"N/A"))</f>
      </c>
      <c r="G48" s="5"/>
      <c r="H48" s="9"/>
      <c r="I48" s="9"/>
      <c r="J48" s="9"/>
      <c r="K48" s="9"/>
      <c r="L48" s="9"/>
      <c r="M48" s="5"/>
      <c r="N48" s="5"/>
      <c r="O48" s="5"/>
      <c r="P48" s="5"/>
      <c r="Q48" s="5"/>
      <c r="R48" s="5"/>
      <c r="S48" s="5"/>
      <c r="T48" s="5"/>
      <c r="U48" s="5"/>
    </row>
    <row r="49" spans="1:26" ht="16.5" customHeight="1">
      <c r="A49" s="1"/>
      <c r="B49" s="1"/>
      <c r="C49" s="1"/>
      <c r="D49" s="1"/>
      <c r="E49" s="3"/>
      <c r="F49" s="3"/>
      <c r="G49" s="3"/>
      <c r="H49" s="3"/>
      <c r="I49" s="3"/>
      <c r="J49" s="3"/>
      <c r="K49" s="3"/>
      <c r="L49" s="5"/>
      <c r="M49" s="9"/>
      <c r="N49" s="9"/>
      <c r="O49" s="9"/>
      <c r="P49" s="9"/>
      <c r="Q49" s="9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9"/>
      <c r="N50" s="9"/>
      <c r="O50" s="9"/>
      <c r="P50" s="9"/>
      <c r="Q50" s="9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9"/>
      <c r="N51" s="9"/>
      <c r="O51" s="9"/>
      <c r="P51" s="9"/>
      <c r="Q51" s="9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9"/>
      <c r="N52" s="9"/>
      <c r="O52" s="9"/>
      <c r="P52" s="9"/>
      <c r="Q52" s="9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9"/>
      <c r="N53" s="9"/>
      <c r="O53" s="9"/>
      <c r="P53" s="9"/>
      <c r="Q53" s="9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9"/>
      <c r="N54" s="9"/>
      <c r="O54" s="9"/>
      <c r="P54" s="9"/>
      <c r="Q54" s="9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9"/>
      <c r="N55" s="9"/>
      <c r="O55" s="9"/>
      <c r="P55" s="9"/>
      <c r="Q55" s="9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9"/>
      <c r="N56" s="9"/>
      <c r="O56" s="9"/>
      <c r="P56" s="9"/>
      <c r="Q56" s="9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9"/>
      <c r="N57" s="9"/>
      <c r="O57" s="9"/>
      <c r="P57" s="9"/>
      <c r="Q57" s="9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9"/>
      <c r="N58" s="9"/>
      <c r="O58" s="9"/>
      <c r="P58" s="9"/>
      <c r="Q58" s="9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3"/>
      <c r="H59" s="3"/>
      <c r="I59" s="3"/>
      <c r="J59" s="3"/>
      <c r="K59" s="3"/>
      <c r="L59" s="5"/>
      <c r="M59" s="9"/>
      <c r="N59" s="9"/>
      <c r="O59" s="9"/>
      <c r="P59" s="9"/>
      <c r="Q59" s="9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3"/>
      <c r="H61" s="3"/>
      <c r="I61" s="3"/>
      <c r="J61" s="3"/>
      <c r="K61" s="3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3"/>
      <c r="H62" s="3"/>
      <c r="I62" s="3"/>
      <c r="J62" s="3"/>
      <c r="K62" s="3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3"/>
      <c r="H63" s="3"/>
      <c r="I63" s="3"/>
      <c r="J63" s="3"/>
      <c r="K63" s="3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3"/>
      <c r="H64" s="3"/>
      <c r="I64" s="3"/>
      <c r="J64" s="3"/>
      <c r="K64" s="3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3"/>
      <c r="H65" s="3"/>
      <c r="I65" s="3"/>
      <c r="J65" s="3"/>
      <c r="K65" s="3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3"/>
      <c r="H66" s="3"/>
      <c r="I66" s="3"/>
      <c r="J66" s="3"/>
      <c r="K66" s="3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3"/>
      <c r="H67" s="3"/>
      <c r="I67" s="3"/>
      <c r="J67" s="3"/>
      <c r="K67" s="3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3"/>
      <c r="H68" s="3"/>
      <c r="I68" s="3"/>
      <c r="J68" s="3"/>
      <c r="K68" s="3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3"/>
      <c r="H69" s="3"/>
      <c r="I69" s="3"/>
      <c r="J69" s="3"/>
      <c r="K69" s="3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5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5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5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5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5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5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5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5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5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5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6">
    <mergeCell ref="B2:F2"/>
    <mergeCell ref="B3:B5"/>
    <mergeCell ref="C3:C5"/>
    <mergeCell ref="D3:D5"/>
    <mergeCell ref="E3:E5"/>
    <mergeCell ref="B6:B16"/>
    <mergeCell ref="H6:H16"/>
    <mergeCell ref="B17:B22"/>
    <mergeCell ref="H17:H22"/>
    <mergeCell ref="B23:B33"/>
    <mergeCell ref="H23:H33"/>
    <mergeCell ref="B34:B46"/>
    <mergeCell ref="H34:H46"/>
    <mergeCell ref="B47:B48"/>
    <mergeCell ref="C47:E47"/>
    <mergeCell ref="C48:E48"/>
  </mergeCells>
  <phoneticPr fontId="28" type="noConversion"/>
  <conditionalFormatting sqref="F6:F46">
    <cfRule type="cellIs" dxfId="50" priority="1" operator="equal">
      <formula>"취약"</formula>
    </cfRule>
    <cfRule type="cellIs" dxfId="49" priority="2" operator="equal">
      <formula>"N/A"</formula>
    </cfRule>
    <cfRule type="containsText" dxfId="4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46">
    <cfRule type="cellIs" dxfId="49" priority="5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4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3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33203125" customWidth="1"/>
    <col min="4" max="4" width="40.664062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Azure 취약점 진단 상세결과(41항목)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79.50" customHeight="1">
      <c r="A6" s="1"/>
      <c r="B6" s="237" t="inlineStr">
        <is>
          <t xml:space="preserve">1. 계정 관리</t>
        </is>
      </c>
      <c r="C6" s="238" t="inlineStr">
        <is>
          <t xml:space="preserve">1.1</t>
        </is>
      </c>
      <c r="D6" s="239" t="inlineStr">
        <is>
          <t xml:space="preserve">AD 사용자 계정 관리</t>
        </is>
      </c>
      <c r="E6" s="240" t="inlineStr">
        <is>
          <t xml:space="preserve">양호 - 전역관리자 권한을 보유한 다수 계정이 존재하지 않고 불필요한 계정이 존재하지 않을 경우
취약 - 전역관리자 권한을 보유한 다수 계정 또는 불필요한 계정이 존재하는 경우</t>
        </is>
      </c>
      <c r="F6" s="243"/>
      <c r="G6" s="242"/>
    </row>
    <row r="7" spans="1:16" ht="63.90" customHeight="1">
      <c r="A7" s="1"/>
      <c r="B7" s="163"/>
      <c r="C7" s="90" t="inlineStr">
        <is>
          <t xml:space="preserve">1.2</t>
        </is>
      </c>
      <c r="D7" s="212" t="inlineStr">
        <is>
          <t xml:space="preserve">AD 사용자 프로필 및 디렉터리 식별 관리</t>
        </is>
      </c>
      <c r="E7" s="108" t="inlineStr">
        <is>
          <t xml:space="preserve">양호 - 프로필 필수 항목(ID, 작업정보, 연락처 등)이 작성되어 있을 경우
취약 - 프로필 필수 항목(ID, 작업정보, 연락처 등)이 작성되어 있지 않을 경우</t>
        </is>
      </c>
      <c r="F7" s="244"/>
      <c r="G7" s="201"/>
    </row>
    <row r="8" spans="1:16" ht="63.90" customHeight="1">
      <c r="A8" s="1"/>
      <c r="B8" s="163"/>
      <c r="C8" s="90" t="inlineStr">
        <is>
          <t xml:space="preserve">1.3</t>
        </is>
      </c>
      <c r="D8" s="212" t="inlineStr">
        <is>
          <t xml:space="preserve">AD 그룹 소유자 및 구성원 관리</t>
        </is>
      </c>
      <c r="E8" s="108" t="inlineStr">
        <is>
          <t xml:space="preserve">양호 - 그룹에 소유자 및 구성원이 설정되어 있을 경우
취약 - 그룹에 소유자 및 구성원이 설정되어 있지 않을 경우</t>
        </is>
      </c>
      <c r="F8" s="244"/>
      <c r="G8" s="201"/>
    </row>
    <row r="9" spans="1:16" ht="63.90" customHeight="1">
      <c r="A9" s="1"/>
      <c r="B9" s="163"/>
      <c r="C9" s="90" t="inlineStr">
        <is>
          <t xml:space="preserve">1.4</t>
        </is>
      </c>
      <c r="D9" s="212" t="inlineStr">
        <is>
          <t xml:space="preserve">AD 게스트 사용자</t>
        </is>
      </c>
      <c r="E9" s="108" t="inlineStr">
        <is>
          <t xml:space="preserve">양호 - 게스트 사용자 계정(사용 만료 된 불필요한 계정 포함)을 사용하지 않을 경우
취약 - 게스트 사용자 계정(사용 만료 된 불필요한 계정 포함)을 사용하고 있을 경우</t>
        </is>
      </c>
      <c r="F9" s="244"/>
      <c r="G9" s="201"/>
    </row>
    <row r="10" spans="1:16" ht="63.90" customHeight="1">
      <c r="A10" s="1"/>
      <c r="B10" s="163"/>
      <c r="C10" s="90" t="inlineStr">
        <is>
          <t xml:space="preserve">1.5</t>
        </is>
      </c>
      <c r="D10" s="212" t="inlineStr">
        <is>
          <t xml:space="preserve">AD 암호 재설정 규칙 관리</t>
        </is>
      </c>
      <c r="E10" s="108" t="inlineStr">
        <is>
          <t xml:space="preserve">양호 - 암호 재설정 규칙이 필수 설정 기준에 맞게 설정되어 있는 경우
취약 - 암호 재설정 규칙이 필수 설정 기준에 맞게 설정되어 있지 않은 경우</t>
        </is>
      </c>
      <c r="F10" s="244"/>
      <c r="G10" s="201"/>
    </row>
    <row r="11" spans="1:16" ht="95.10" customHeight="1">
      <c r="A11" s="1"/>
      <c r="B11" s="163"/>
      <c r="C11" s="90" t="inlineStr">
        <is>
          <t xml:space="preserve">1.6</t>
        </is>
      </c>
      <c r="D11" s="212" t="inlineStr">
        <is>
          <t xml:space="preserve">SSH Key 접근 관리</t>
        </is>
      </c>
      <c r="E11" s="108" t="inlineStr">
        <is>
          <t xml:space="preserve">양호 - SSH Key ‘생성/변경/삭제’가 관리자 및 소유자 계정만 가능하도록 설정되어 있을 경우
취약 - SSH Key ‘생성/변경/삭제’가 관리자 및 소유자 계정만 가능하도록 설정되어 있지 않을 경우</t>
        </is>
      </c>
      <c r="F11" s="244"/>
      <c r="G11" s="201"/>
    </row>
    <row r="12" spans="1:16" ht="63.90" customHeight="1">
      <c r="A12" s="1"/>
      <c r="B12" s="163"/>
      <c r="C12" s="90" t="inlineStr">
        <is>
          <t xml:space="preserve">1.7</t>
        </is>
      </c>
      <c r="D12" s="212" t="inlineStr">
        <is>
          <t xml:space="preserve">MFA (Multi-Factor-Authentication) 설정</t>
        </is>
      </c>
      <c r="E12" s="108" t="inlineStr">
        <is>
          <t xml:space="preserve">양호 - AD 사용자 계정에 MFA를 활성화하여 사용하고 있을 경우
취약 - AD 사용자 계정에 MFA를 활성화하여 사용하고 있지 않을 경우</t>
        </is>
      </c>
      <c r="F12" s="244"/>
      <c r="G12" s="201"/>
    </row>
    <row r="13" spans="1:16" ht="63.90" customHeight="1">
      <c r="A13" s="1"/>
      <c r="B13" s="163"/>
      <c r="C13" s="90" t="inlineStr">
        <is>
          <t xml:space="preserve">1.8</t>
        </is>
      </c>
      <c r="D13" s="212" t="inlineStr">
        <is>
          <t xml:space="preserve">MFA 계정 잠금 정책 관리</t>
        </is>
      </c>
      <c r="E13" s="108" t="inlineStr">
        <is>
          <t xml:space="preserve">양호 - 계정 잠금 설정이 정책에 맞게 설정되어 있을 경우
취약 - 계정 잠금 설정이 정책에 맞게 설정되어 있지 않을 경우</t>
        </is>
      </c>
      <c r="F13" s="244"/>
      <c r="G13" s="201"/>
    </row>
    <row r="14" spans="1:16" ht="63.90" customHeight="1">
      <c r="A14" s="1"/>
      <c r="B14" s="163"/>
      <c r="C14" s="90" t="inlineStr">
        <is>
          <t xml:space="preserve">1.9</t>
        </is>
      </c>
      <c r="D14" s="212" t="inlineStr">
        <is>
          <t xml:space="preserve">Azure 패스워드 정책 관리</t>
        </is>
      </c>
      <c r="E14" s="108" t="inlineStr">
        <is>
          <t xml:space="preserve">양호 - 정책에 맞게 암호 보호 정책을 적용하여 사용하고 있을 경우
취약 - 정책에 맞게 암호 보호 정책을 적용하여 사용하고 있지 않을 경우</t>
        </is>
      </c>
      <c r="F14" s="244"/>
      <c r="G14" s="201"/>
    </row>
    <row r="15" spans="1:16" ht="95.10" customHeight="1">
      <c r="A15" s="1"/>
      <c r="B15" s="163"/>
      <c r="C15" s="90" t="inlineStr">
        <is>
          <t xml:space="preserve">1.10</t>
        </is>
      </c>
      <c r="D15" s="212" t="inlineStr">
        <is>
          <t xml:space="preserve">AKS 서비스 어카운트 관리</t>
        </is>
      </c>
      <c r="E15" s="108" t="inlineStr">
        <is>
          <t xml:space="preserve">양호 - 네임스페이스 또는 서비스 어카운트 설정 내 automountServiceAccountToken 값이 False 로 설정된 경우
취약 - 네임스페이스 또는 서비스 어카운트 설정 내 automountServiceAccountToken 값이 True로 설정된 경우</t>
        </is>
      </c>
      <c r="F15" s="244"/>
      <c r="G15" s="201"/>
    </row>
    <row r="16" spans="1:16" ht="95.10" customHeight="1">
      <c r="A16" s="1"/>
      <c r="B16" s="245"/>
      <c r="C16" s="246" t="inlineStr">
        <is>
          <t xml:space="preserve">1.11</t>
        </is>
      </c>
      <c r="D16" s="247" t="inlineStr">
        <is>
          <t xml:space="preserve">AKS 불필요한 익명 접근 관리</t>
        </is>
      </c>
      <c r="E16" s="248" t="inlineStr">
        <is>
          <t xml:space="preserve">양호 - ClusterRole에 system:anonymous | unauthenticated 그룹이 바인딩 되어있지 않는 경우
취약 - ClusterRole에 system:anonymous | unauthenticated 그룹 바인딩 되어 있는 경우</t>
        </is>
      </c>
      <c r="F16" s="251"/>
      <c r="G16" s="250"/>
    </row>
    <row r="17" spans="1:16" ht="110.70" customHeight="1">
      <c r="A17" s="1"/>
      <c r="B17" s="237" t="inlineStr">
        <is>
          <t xml:space="preserve">2. 권한 관리</t>
        </is>
      </c>
      <c r="C17" s="238" t="inlineStr">
        <is>
          <t xml:space="preserve">2.1</t>
        </is>
      </c>
      <c r="D17" s="239" t="inlineStr">
        <is>
          <t xml:space="preserve">구독 액세스 제어(IAM) 역할 관리</t>
        </is>
      </c>
      <c r="E17" s="240" t="inlineStr">
        <is>
          <t xml:space="preserve">양호 - 구독에 설정된 액세스 제어 역할이 서비스별 독자 권한(읽기)으로 부여되어 있는 경우
취약 - 구독에 설정된 액세스 제어 역할에 전체 서비스 권한(소유자, 기여자, 사용자 액세스 관리 자, 독자)으로 부여되어 있을 경우</t>
        </is>
      </c>
      <c r="F17" s="243"/>
      <c r="G17" s="242"/>
    </row>
    <row r="18" spans="1:16" ht="63.90" customHeight="1">
      <c r="A18" s="1"/>
      <c r="B18" s="163"/>
      <c r="C18" s="90" t="inlineStr">
        <is>
          <t xml:space="preserve">2.2</t>
        </is>
      </c>
      <c r="D18" s="212" t="inlineStr">
        <is>
          <t xml:space="preserve">리소스 그룹 액세스 제어(IAM) 역할 할당</t>
        </is>
      </c>
      <c r="E18" s="108" t="inlineStr">
        <is>
          <t xml:space="preserve">양호 - AZURE 사용자의 권한/그룹을 목적에 맞게 역할을 할당하고 있을 경우
취약 - AZURE 사용자의 권한/그룹을 목적에 맞게 역할을 할당하고 있지 않을 경우</t>
        </is>
      </c>
      <c r="F18" s="244"/>
      <c r="G18" s="201"/>
    </row>
    <row r="19" spans="1:16" ht="63.90" customHeight="1">
      <c r="A19" s="1"/>
      <c r="B19" s="163"/>
      <c r="C19" s="90" t="inlineStr">
        <is>
          <t xml:space="preserve">2.3</t>
        </is>
      </c>
      <c r="D19" s="212" t="inlineStr">
        <is>
          <t xml:space="preserve">AD 사용자 역할 권한 관리</t>
        </is>
      </c>
      <c r="E19" s="108" t="inlineStr">
        <is>
          <t xml:space="preserve">양호 - AD 관리 역할이 업무 및 서비스 사용 목적에 맞게 부여되어 있을 경우
취약 - AD 관리 역할이 업무 및 서비스 사용 목적에 맞게 부여되어 있지 않을 경우</t>
        </is>
      </c>
      <c r="F19" s="244"/>
      <c r="G19" s="201"/>
    </row>
    <row r="20" spans="1:16" ht="95.10" customHeight="1">
      <c r="A20" s="1"/>
      <c r="B20" s="163"/>
      <c r="C20" s="90" t="inlineStr">
        <is>
          <t xml:space="preserve">2.4</t>
        </is>
      </c>
      <c r="D20" s="212" t="inlineStr">
        <is>
          <t xml:space="preserve">인스턴스 서비스 액세스 정책 관리</t>
        </is>
      </c>
      <c r="E20" s="108" t="inlineStr">
        <is>
          <t xml:space="preserve">양호 - 인스턴스 서비스에 대한 액세스 제어(IAM)가 사용자 역할에 맞게 부여되어 있는 경우
취약 - 인스턴스 서비스에 대한 액세스 제어(IAM)가 사용자 역할에 맞게 부여되어 있지 않은 경우</t>
        </is>
      </c>
      <c r="F20" s="244"/>
      <c r="G20" s="201"/>
    </row>
    <row r="21" spans="1:16" ht="95.10" customHeight="1">
      <c r="A21" s="1"/>
      <c r="B21" s="163"/>
      <c r="C21" s="90" t="inlineStr">
        <is>
          <t xml:space="preserve">2.5</t>
        </is>
      </c>
      <c r="D21" s="212" t="inlineStr">
        <is>
          <t xml:space="preserve">네트워크 서비스 액세스 정책 관리</t>
        </is>
      </c>
      <c r="E21" s="108" t="inlineStr">
        <is>
          <t xml:space="preserve">양호 - 네트워크 서비스에 대한 액세스 제어(IAM)가 사용자 역할에 맞게 부여되어 있는 경우
취약 - 네트워크 서비스에 대한 액세스 제어(IAM)가 사용자 역할에 맞게 부여되어 있지 않은 경우</t>
        </is>
      </c>
      <c r="F21" s="244"/>
      <c r="G21" s="201"/>
    </row>
    <row r="22" spans="1:16" ht="95.10" customHeight="1">
      <c r="A22" s="1"/>
      <c r="B22" s="245"/>
      <c r="C22" s="246" t="inlineStr">
        <is>
          <t xml:space="preserve">2.6</t>
        </is>
      </c>
      <c r="D22" s="247" t="inlineStr">
        <is>
          <t xml:space="preserve">기타 서비스 액세스 정책 관리</t>
        </is>
      </c>
      <c r="E22" s="248" t="inlineStr">
        <is>
          <t xml:space="preserve">양호 - 기타 서비스에 대한 액세스 제어(IAM)가 사용자 역할에 맞게 부여되어 있는 경우
취약 - 기타 서비스에 대한 액세스 제어(IAM)가 사용자 역할에 맞게 부여되어 있지 않은 경우</t>
        </is>
      </c>
      <c r="F22" s="251"/>
      <c r="G22" s="250"/>
    </row>
    <row r="23" spans="1:16" ht="95.10" customHeight="1">
      <c r="A23" s="1"/>
      <c r="B23" s="237" t="inlineStr">
        <is>
          <t xml:space="preserve">3. 가상 리소스 관리</t>
        </is>
      </c>
      <c r="C23" s="238" t="inlineStr">
        <is>
          <t xml:space="preserve">3.1</t>
        </is>
      </c>
      <c r="D23" s="239" t="inlineStr">
        <is>
          <t xml:space="preserve">가상 네트워크 리소스 관리</t>
        </is>
      </c>
      <c r="E23" s="240" t="inlineStr">
        <is>
          <t xml:space="preserve">양호 - 연결된 디바이스 중 내부 네트워크만 사용하는 리소스에 공용 IP 주소가 존재하지 않는 경우
취약 - 연결된 디바이스 중 내부 네트워크만 사용하는 리소스에 공용 IP 주소가 존재하는 경우</t>
        </is>
      </c>
      <c r="F23" s="243"/>
      <c r="G23" s="242"/>
    </row>
    <row r="24" spans="1:16" ht="63.90" customHeight="1">
      <c r="A24" s="1"/>
      <c r="B24" s="163"/>
      <c r="C24" s="90" t="inlineStr">
        <is>
          <t xml:space="preserve">3.2</t>
        </is>
      </c>
      <c r="D24" s="212" t="inlineStr">
        <is>
          <t xml:space="preserve">내부 가상 네트워크 보안 관리</t>
        </is>
      </c>
      <c r="E24" s="108" t="inlineStr">
        <is>
          <t xml:space="preserve">양호 - 내부 리소스 접근 시 접근통제(VPN, Bastion)가 적용되어 있을 경우
취약 - 내부 리소스 접근 시 접근통제(VPN, Bastion)가 적용되어 있지 않을 경우</t>
        </is>
      </c>
      <c r="F24" s="244"/>
      <c r="G24" s="201"/>
    </row>
    <row r="25" spans="1:16" ht="63.90" customHeight="1">
      <c r="A25" s="1"/>
      <c r="B25" s="163"/>
      <c r="C25" s="90" t="inlineStr">
        <is>
          <t xml:space="preserve">3.3</t>
        </is>
      </c>
      <c r="D25" s="212" t="inlineStr">
        <is>
          <t xml:space="preserve">보안그룹 인/아웃바운드 ANY 설정 관리</t>
        </is>
      </c>
      <c r="E25" s="108" t="inlineStr">
        <is>
          <t xml:space="preserve">양호 - 보안그룹 내 인/아웃바운드의 포트가 Any로 허용되어 있지 않을 경우
취약 - 보안그룹 내 인/아웃바운드의 포트가 Any로 허용되어 있을 경우</t>
        </is>
      </c>
      <c r="F25" s="244"/>
      <c r="G25" s="201"/>
    </row>
    <row r="26" spans="1:16" ht="95.10" customHeight="1">
      <c r="A26" s="1"/>
      <c r="B26" s="163"/>
      <c r="C26" s="90" t="inlineStr">
        <is>
          <t xml:space="preserve">3.4</t>
        </is>
      </c>
      <c r="D26" s="212" t="inlineStr">
        <is>
          <t xml:space="preserve">보안그룹 인/아웃바운드 불필요 정책 관리</t>
        </is>
      </c>
      <c r="E26" s="108" t="inlineStr">
        <is>
          <t xml:space="preserve">양호 - 보안그룹 인/아웃바운드 규칙 내 불필요한 정책(Source, Destination)이 존재하지 않는 경우
취약 - 보안그룹 인/아웃바운드 규칙 내 불필요한 정책(Source, Destination)이 존재하는 경우</t>
        </is>
      </c>
      <c r="F26" s="244"/>
      <c r="G26" s="201"/>
    </row>
    <row r="27" spans="1:16" ht="79.50" customHeight="1">
      <c r="A27" s="1"/>
      <c r="B27" s="163"/>
      <c r="C27" s="90" t="inlineStr">
        <is>
          <t xml:space="preserve">3.5</t>
        </is>
      </c>
      <c r="D27" s="212" t="inlineStr">
        <is>
          <t xml:space="preserve">방화벽 ANY 정책 설정 관리</t>
        </is>
      </c>
      <c r="E27" s="108" t="inlineStr">
        <is>
          <t xml:space="preserve">양호 - 방화벽 정책 내 규칙(Source, Destination, Port)이 Any로 허용되어 있지 않을 경우
취약 - 방화벽 정책 내 규칙(Source, Destination, Port)이 Any로 허용되어 있을 경우</t>
        </is>
      </c>
      <c r="F27" s="244"/>
      <c r="G27" s="201"/>
    </row>
    <row r="28" spans="1:16" ht="63.90" customHeight="1">
      <c r="A28" s="1"/>
      <c r="B28" s="163"/>
      <c r="C28" s="90" t="inlineStr">
        <is>
          <t xml:space="preserve">3.6</t>
        </is>
      </c>
      <c r="D28" s="212" t="inlineStr">
        <is>
          <t xml:space="preserve">방화벽 불필요 정책 관리</t>
        </is>
      </c>
      <c r="E28" s="108" t="inlineStr">
        <is>
          <t xml:space="preserve">양호 - 방화벽 정책 내 불필요한 규칙이 존재하고 있지 않을 경우
취약 - 방화벽 정책 내 불필요한 규칙이 존재하고 있을 경우</t>
        </is>
      </c>
      <c r="F28" s="244"/>
      <c r="G28" s="201"/>
    </row>
    <row r="29" spans="1:16" ht="63.90" customHeight="1">
      <c r="A29" s="1"/>
      <c r="B29" s="163"/>
      <c r="C29" s="90" t="inlineStr">
        <is>
          <t xml:space="preserve">3.7</t>
        </is>
      </c>
      <c r="D29" s="212" t="inlineStr">
        <is>
          <t xml:space="preserve">NAT 게이트웨이 서브넷 연결 관리</t>
        </is>
      </c>
      <c r="E29" s="108" t="inlineStr">
        <is>
          <t xml:space="preserve">양호 - 퍼블릭 네트워크 접속이 필요한 서브넷만 연결되어 있을 경우
취약 - 퍼블릭 네트워크 접속이 불필요한 서브넷이 연결되어 있을 경우</t>
        </is>
      </c>
      <c r="F29" s="244"/>
      <c r="G29" s="201"/>
    </row>
    <row r="30" spans="1:16" ht="95.10" customHeight="1">
      <c r="A30" s="1"/>
      <c r="B30" s="163"/>
      <c r="C30" s="90" t="inlineStr">
        <is>
          <t xml:space="preserve">3.8</t>
        </is>
      </c>
      <c r="D30" s="212" t="inlineStr">
        <is>
          <t xml:space="preserve">스토리지 계정 보안 설정</t>
        </is>
      </c>
      <c r="E30" s="108" t="inlineStr">
        <is>
          <t xml:space="preserve">양호 - 보안 전송 필요 활성화, TLS 버전(1.2) 설정 및 퍼블릭 액세스가 차단되어 있을 경우
취약 - 보안 전송 필요 비활성화, TLS 버전(1.2 이하) 설정 및 퍼블릭 액세스가 차단되어 있을 경우</t>
        </is>
      </c>
      <c r="F30" s="244"/>
      <c r="G30" s="201"/>
    </row>
    <row r="31" spans="1:16" ht="95.10" customHeight="1">
      <c r="A31" s="1"/>
      <c r="B31" s="163"/>
      <c r="C31" s="90" t="inlineStr">
        <is>
          <t xml:space="preserve">3.9</t>
        </is>
      </c>
      <c r="D31" s="212" t="inlineStr">
        <is>
          <t xml:space="preserve">스토리지 계정 공유 액세스 서명 정책 관리</t>
        </is>
      </c>
      <c r="E31" s="108" t="inlineStr">
        <is>
          <t xml:space="preserve">양호 - 공유 액세스 서명을 사용 시 허용된 권한 및 허용 IP 주소가 최소한으로 설정되어 있을 경우
취약 - 공유 액세스 서명을 사용 시 허용된 권한 및 허용 IP 주소가 최소한으로 설정되어 있지 않을 경우</t>
        </is>
      </c>
      <c r="F31" s="244"/>
      <c r="G31" s="201"/>
    </row>
    <row r="32" spans="1:16" ht="79.50" customHeight="1">
      <c r="A32" s="1"/>
      <c r="B32" s="163"/>
      <c r="C32" s="90" t="inlineStr">
        <is>
          <t xml:space="preserve">3.10</t>
        </is>
      </c>
      <c r="D32" s="212" t="inlineStr">
        <is>
          <t xml:space="preserve">AKS Pod 보안 정책 관리</t>
        </is>
      </c>
      <c r="E32" s="108" t="inlineStr">
        <is>
          <t xml:space="preserve">양호 - PSS Profile Baseline 및 PSA Audit 이상 설정을 적용해 사용하는 경우
취약 - PSS 및 PSA 설정을 적용하지 않거나 PSS Profile Privileged 및 PSA warn 설정을 사용하는 경우</t>
        </is>
      </c>
      <c r="F32" s="244"/>
      <c r="G32" s="201"/>
    </row>
    <row r="33" spans="1:16" ht="63.90" customHeight="1">
      <c r="A33" s="1"/>
      <c r="B33" s="245"/>
      <c r="C33" s="246" t="inlineStr">
        <is>
          <t xml:space="preserve">3.11</t>
        </is>
      </c>
      <c r="D33" s="247" t="inlineStr">
        <is>
          <t xml:space="preserve">Kubernetes API 서버 보안 액세스 설정</t>
        </is>
      </c>
      <c r="E33" s="248" t="inlineStr">
        <is>
          <t xml:space="preserve">양호 - 권한 있는 IP 범위 설정이 적용되어 있는 경우
취약 - 권한 있는 IP 범위 설정이 적용되어 있지 않은 경우</t>
        </is>
      </c>
      <c r="F33" s="251"/>
      <c r="G33" s="250"/>
    </row>
    <row r="34" spans="1:16" ht="63.90" customHeight="1">
      <c r="A34" s="1"/>
      <c r="B34" s="237" t="inlineStr">
        <is>
          <t xml:space="preserve">4. 운영 관리</t>
        </is>
      </c>
      <c r="C34" s="238" t="inlineStr">
        <is>
          <t xml:space="preserve">4.1</t>
        </is>
      </c>
      <c r="D34" s="239" t="inlineStr">
        <is>
          <t xml:space="preserve">데이터베이스 암호화 설정 관리</t>
        </is>
      </c>
      <c r="E34" s="240" t="inlineStr">
        <is>
          <t xml:space="preserve">양호 - 투명한 데이터 암호화 및 데이터 암호화 기능이 설정되어 있을 경우
취약 - 투명한 데이터 암호화 및 데이터 암호화 기능이 설정되어 있지 않을 경우</t>
        </is>
      </c>
      <c r="F34" s="243"/>
      <c r="G34" s="242"/>
    </row>
    <row r="35" spans="1:16" ht="63.90" customHeight="1">
      <c r="A35" s="1"/>
      <c r="B35" s="163"/>
      <c r="C35" s="90" t="inlineStr">
        <is>
          <t xml:space="preserve">4.2</t>
        </is>
      </c>
      <c r="D35" s="212" t="inlineStr">
        <is>
          <t xml:space="preserve">스토리지 암호화 설정</t>
        </is>
      </c>
      <c r="E35" s="108" t="inlineStr">
        <is>
          <t xml:space="preserve">양호 - 사용자 고유키 및 관리형 키를 통해 암호화를 설정하고 있을 경우
취약 - 사용자 고유키 및 관리형 키를 통해 암호화를 설정하고 있지 않을 경우</t>
        </is>
      </c>
      <c r="F35" s="244"/>
      <c r="G35" s="201"/>
    </row>
    <row r="36" spans="1:16" ht="63.90" customHeight="1">
      <c r="A36" s="1"/>
      <c r="B36" s="163"/>
      <c r="C36" s="90" t="inlineStr">
        <is>
          <t xml:space="preserve">4.3</t>
        </is>
      </c>
      <c r="D36" s="212" t="inlineStr">
        <is>
          <t xml:space="preserve">디스크 암호화 설정</t>
        </is>
      </c>
      <c r="E36" s="108" t="inlineStr">
        <is>
          <t xml:space="preserve">양호 - 플랫폼 관리형 키 및 고객 관리형 키를 통해 암호화를 설정하고 있을 경우
취약 - 플랫폼 관리형 키 및 고객 관리형 키를 통해 암호화를 설정하고 있지 않을 경우</t>
        </is>
      </c>
      <c r="F36" s="244"/>
      <c r="G36" s="201"/>
    </row>
    <row r="37" spans="1:16" ht="63.90" customHeight="1">
      <c r="A37" s="1"/>
      <c r="B37" s="163"/>
      <c r="C37" s="90" t="inlineStr">
        <is>
          <t xml:space="preserve">4.4</t>
        </is>
      </c>
      <c r="D37" s="212" t="inlineStr">
        <is>
          <t xml:space="preserve">통신구간 암호화 설정</t>
        </is>
      </c>
      <c r="E37" s="108" t="inlineStr">
        <is>
          <t xml:space="preserve">양호 - 클라우드 리소스 통신 구간 내 암호화 설정이 되어 있는 경우
취약 - 클라우드 리소스 통신 구간 내 암호화 설정이 되어 있지 않는 경우</t>
        </is>
      </c>
      <c r="F37" s="244"/>
      <c r="G37" s="201"/>
    </row>
    <row r="38" spans="1:16" ht="79.50" customHeight="1">
      <c r="A38" s="1"/>
      <c r="B38" s="163"/>
      <c r="C38" s="90" t="inlineStr">
        <is>
          <t xml:space="preserve">4.5</t>
        </is>
      </c>
      <c r="D38" s="212" t="inlineStr">
        <is>
          <t xml:space="preserve">키 자격 증명 모음 회전 정책 관리</t>
        </is>
      </c>
      <c r="E38" s="108" t="inlineStr">
        <is>
          <t xml:space="preserve">양호 - 사용자 고유키에 대한 회전 정책이 기준(90일)에 맞게 설정되어 있을 경우
취약 - 사용자 고유키에 대한 회전 정책이 기준(90 일 초과)에 맞게 설정되어 있지 않을 경우</t>
        </is>
      </c>
      <c r="F38" s="244"/>
      <c r="G38" s="201"/>
    </row>
    <row r="39" spans="1:16" ht="63.90" customHeight="1">
      <c r="A39" s="1"/>
      <c r="B39" s="163"/>
      <c r="C39" s="90" t="inlineStr">
        <is>
          <t xml:space="preserve">4.6</t>
        </is>
      </c>
      <c r="D39" s="212" t="inlineStr">
        <is>
          <t xml:space="preserve">AD 감사로그 설정</t>
        </is>
      </c>
      <c r="E39" s="108" t="inlineStr">
        <is>
          <t xml:space="preserve">양호 - AD 감사 로그 보관 정책이 존재하고 있을 경우
취약 - AD 감사 로그 보관 정책이 존재하고 있지 않을 경우</t>
        </is>
      </c>
      <c r="F39" s="244"/>
      <c r="G39" s="201"/>
    </row>
    <row r="40" spans="1:16" ht="63.90" customHeight="1">
      <c r="A40" s="1"/>
      <c r="B40" s="163"/>
      <c r="C40" s="90" t="inlineStr">
        <is>
          <t xml:space="preserve">4.7</t>
        </is>
      </c>
      <c r="D40" s="212" t="inlineStr">
        <is>
          <t xml:space="preserve">인스턴스 서비스 감사 로그 설정</t>
        </is>
      </c>
      <c r="E40" s="108" t="inlineStr">
        <is>
          <t xml:space="preserve">양호 - 인스턴스 서비스 로그 보관 정책이 존재하고 있을 경우
취약 - 인스턴스 서비스 로그 보관 정책이 존재하고 있지 않을 경우</t>
        </is>
      </c>
      <c r="F40" s="244"/>
      <c r="G40" s="201"/>
    </row>
    <row r="41" spans="1:16" ht="63.90" customHeight="1">
      <c r="A41" s="1"/>
      <c r="B41" s="163"/>
      <c r="C41" s="90" t="inlineStr">
        <is>
          <t xml:space="preserve">4.8</t>
        </is>
      </c>
      <c r="D41" s="212" t="inlineStr">
        <is>
          <t xml:space="preserve">네트워크 서비스 감사 로그 설정</t>
        </is>
      </c>
      <c r="E41" s="108" t="inlineStr">
        <is>
          <t xml:space="preserve">양호 - 네트워크 서비스 로그 보관 정책이 존재하고 있을 경우
취약 - 네트워크 서비스 로그 보관 정책이 존재하고 있지 않을 경우</t>
        </is>
      </c>
      <c r="F41" s="244"/>
      <c r="G41" s="201"/>
    </row>
    <row r="42" spans="1:16" ht="63.90" customHeight="1">
      <c r="A42" s="1"/>
      <c r="B42" s="163"/>
      <c r="C42" s="90" t="inlineStr">
        <is>
          <t xml:space="preserve">4.9</t>
        </is>
      </c>
      <c r="D42" s="212" t="inlineStr">
        <is>
          <t xml:space="preserve">기타 서비스 감사 로그 설정</t>
        </is>
      </c>
      <c r="E42" s="108" t="inlineStr">
        <is>
          <t xml:space="preserve">양호 - 기타 서비스 로그 보관 정책이 존재하고 있을 경우
취약 - 기타 서비스 로그 보관 정책이 존재하고 있지 않을 경우</t>
        </is>
      </c>
      <c r="F42" s="244"/>
      <c r="G42" s="201"/>
    </row>
    <row r="43" spans="1:16" ht="79.50" customHeight="1">
      <c r="A43" s="1"/>
      <c r="B43" s="163"/>
      <c r="C43" s="90" t="inlineStr">
        <is>
          <t xml:space="preserve">4.10</t>
        </is>
      </c>
      <c r="D43" s="212" t="inlineStr">
        <is>
          <t xml:space="preserve">리소스 그룹 잠금</t>
        </is>
      </c>
      <c r="E43" s="108" t="inlineStr">
        <is>
          <t xml:space="preserve">양호 - 고객서비스(상용) 및 운영서비스가 잠금 기능을 설정하여 사용하고 있을 경우
취약 - 고객서비스(상용) 및 운영서비스가 잠금 기능을 설정하여 사용하고 있지 않을 경우</t>
        </is>
      </c>
      <c r="F43" s="244"/>
      <c r="G43" s="201"/>
    </row>
    <row r="44" spans="1:16" ht="63.90" customHeight="1">
      <c r="A44" s="1"/>
      <c r="B44" s="163"/>
      <c r="C44" s="90" t="inlineStr">
        <is>
          <t xml:space="preserve">4.11</t>
        </is>
      </c>
      <c r="D44" s="212" t="inlineStr">
        <is>
          <t xml:space="preserve">백업 사용 여부</t>
        </is>
      </c>
      <c r="E44" s="108" t="inlineStr">
        <is>
          <t xml:space="preserve">양호 - 클라우드 리소스 백업 정책이 존재하는 경우
취약 - 클라우드 리소스 백업 정책이 존재하지 않는 경우</t>
        </is>
      </c>
      <c r="F44" s="244"/>
      <c r="G44" s="201"/>
    </row>
    <row r="45" spans="1:16" ht="63.90" customHeight="1">
      <c r="A45" s="1"/>
      <c r="B45" s="163"/>
      <c r="C45" s="90" t="inlineStr">
        <is>
          <t xml:space="preserve">4.12</t>
        </is>
      </c>
      <c r="D45" s="212" t="inlineStr">
        <is>
          <t xml:space="preserve">AKS Cluster 이미지 무결성 설정</t>
        </is>
      </c>
      <c r="E45" s="108" t="inlineStr">
        <is>
          <t xml:space="preserve">양호 - 이미지 무결성 검증 정책이 존재하며 준수가 적용된 경우
취약 - 이미지 무결성 검증 정책이 존재하지 않거나 정책이 존재하지만 미준수일 경우</t>
        </is>
      </c>
      <c r="F45" s="244"/>
      <c r="G45" s="201"/>
    </row>
    <row r="46" spans="1:16" ht="48.30" customHeight="1">
      <c r="A46" s="1"/>
      <c r="B46" s="245"/>
      <c r="C46" s="246" t="inlineStr">
        <is>
          <t xml:space="preserve">4.13</t>
        </is>
      </c>
      <c r="D46" s="247" t="inlineStr">
        <is>
          <t xml:space="preserve">AKS 진단 로그 설정</t>
        </is>
      </c>
      <c r="E46" s="248" t="inlineStr">
        <is>
          <t xml:space="preserve">양호 - 진단 로그 설정이 되어있는 경우
취약 - 진단 로그 설정이 되어있지 않은 경우</t>
        </is>
      </c>
      <c r="F46" s="251"/>
      <c r="G46" s="250"/>
    </row>
    <row r="47" spans="1:16" ht="20.25" customHeight="1">
      <c r="A47" s="1"/>
      <c r="B47" s="174" t="s">
        <v>28</v>
      </c>
      <c r="C47" s="166" t="inlineStr">
        <is>
          <t xml:space="preserve">취약항목 개수</t>
        </is>
      </c>
      <c r="D47" s="184"/>
      <c r="E47" s="185"/>
      <c r="F47" s="85">
        <f>IF(COUNTIF(F$6:F$46,"?*")=0,"",COUNTIF(F$6:F$46,"취약"))</f>
      </c>
      <c r="G47" s="77"/>
      <c r="H47" s="5"/>
      <c r="I47" s="5"/>
      <c r="J47" s="5"/>
      <c r="K47" s="5"/>
      <c r="L47" s="5"/>
      <c r="M47" s="5"/>
      <c r="N47" s="5"/>
      <c r="O47" s="5"/>
      <c r="P47" s="5"/>
    </row>
    <row r="48" spans="1:26" ht="20.25" customHeight="1" thickBot="1">
      <c r="A48" s="1"/>
      <c r="B48" s="183"/>
      <c r="C48" s="169" t="s">
        <v>30</v>
      </c>
      <c r="D48" s="186"/>
      <c r="E48" s="187"/>
      <c r="F48" s="79">
        <f>IF(COUNTIF(F$6:F$46,"?*")=0,"",IFERROR(COUNTIF(F$6:F$46,"양호")/(COUNTIF(F$6:F$46,"양호")+COUNTIF(F$6:F$46,"취약")),"N/A"))</f>
      </c>
      <c r="G48" s="79"/>
      <c r="H48" s="5"/>
      <c r="I48" s="5"/>
      <c r="J48" s="5"/>
      <c r="K48" s="5"/>
      <c r="L48" s="5"/>
      <c r="M48" s="5"/>
      <c r="N48" s="5"/>
      <c r="O48" s="5"/>
      <c r="P48" s="5"/>
    </row>
    <row r="49" spans="1:26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5"/>
      <c r="H56" s="3"/>
      <c r="I56" s="5"/>
      <c r="J56" s="3"/>
      <c r="K56" s="5"/>
      <c r="L56" s="3"/>
      <c r="M56" s="5"/>
      <c r="N56" s="3"/>
      <c r="O56" s="5"/>
      <c r="P56" s="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5"/>
      <c r="H57" s="3"/>
      <c r="I57" s="5"/>
      <c r="J57" s="3"/>
      <c r="K57" s="5"/>
      <c r="L57" s="3"/>
      <c r="M57" s="5"/>
      <c r="N57" s="3"/>
      <c r="O57" s="5"/>
      <c r="P57" s="3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5"/>
      <c r="H58" s="3"/>
      <c r="I58" s="5"/>
      <c r="J58" s="3"/>
      <c r="K58" s="5"/>
      <c r="L58" s="3"/>
      <c r="M58" s="5"/>
      <c r="N58" s="3"/>
      <c r="O58" s="5"/>
      <c r="P58" s="3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5"/>
      <c r="H59" s="3"/>
      <c r="I59" s="5"/>
      <c r="J59" s="3"/>
      <c r="K59" s="5"/>
      <c r="L59" s="3"/>
      <c r="M59" s="5"/>
      <c r="N59" s="3"/>
      <c r="O59" s="5"/>
      <c r="P59" s="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5"/>
      <c r="H60" s="3"/>
      <c r="I60" s="5"/>
      <c r="J60" s="3"/>
      <c r="K60" s="5"/>
      <c r="L60" s="3"/>
      <c r="M60" s="5"/>
      <c r="N60" s="3"/>
      <c r="O60" s="5"/>
      <c r="P60" s="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5"/>
      <c r="H61" s="3"/>
      <c r="I61" s="5"/>
      <c r="J61" s="3"/>
      <c r="K61" s="5"/>
      <c r="L61" s="3"/>
      <c r="M61" s="5"/>
      <c r="N61" s="3"/>
      <c r="O61" s="5"/>
      <c r="P61" s="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5"/>
      <c r="H62" s="3"/>
      <c r="I62" s="5"/>
      <c r="J62" s="3"/>
      <c r="K62" s="5"/>
      <c r="L62" s="3"/>
      <c r="M62" s="5"/>
      <c r="N62" s="3"/>
      <c r="O62" s="5"/>
      <c r="P62" s="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5"/>
      <c r="H63" s="3"/>
      <c r="I63" s="5"/>
      <c r="J63" s="3"/>
      <c r="K63" s="5"/>
      <c r="L63" s="3"/>
      <c r="M63" s="5"/>
      <c r="N63" s="3"/>
      <c r="O63" s="5"/>
      <c r="P63" s="3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5"/>
      <c r="H64" s="3"/>
      <c r="I64" s="5"/>
      <c r="J64" s="3"/>
      <c r="K64" s="5"/>
      <c r="L64" s="3"/>
      <c r="M64" s="5"/>
      <c r="N64" s="3"/>
      <c r="O64" s="5"/>
      <c r="P64" s="3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5"/>
      <c r="H65" s="3"/>
      <c r="I65" s="5"/>
      <c r="J65" s="3"/>
      <c r="K65" s="5"/>
      <c r="L65" s="3"/>
      <c r="M65" s="5"/>
      <c r="N65" s="3"/>
      <c r="O65" s="5"/>
      <c r="P65" s="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5"/>
      <c r="H66" s="3"/>
      <c r="I66" s="5"/>
      <c r="J66" s="3"/>
      <c r="K66" s="5"/>
      <c r="L66" s="3"/>
      <c r="M66" s="5"/>
      <c r="N66" s="3"/>
      <c r="O66" s="5"/>
      <c r="P66" s="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5"/>
      <c r="H994" s="3"/>
      <c r="I994" s="5"/>
      <c r="J994" s="3"/>
      <c r="K994" s="5"/>
      <c r="L994" s="3"/>
      <c r="M994" s="5"/>
      <c r="N994" s="3"/>
      <c r="O994" s="5"/>
      <c r="P994" s="3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5"/>
      <c r="H995" s="3"/>
      <c r="I995" s="5"/>
      <c r="J995" s="3"/>
      <c r="K995" s="5"/>
      <c r="L995" s="3"/>
      <c r="M995" s="5"/>
      <c r="N995" s="3"/>
      <c r="O995" s="5"/>
      <c r="P995" s="3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5"/>
      <c r="H996" s="3"/>
      <c r="I996" s="5"/>
      <c r="J996" s="3"/>
      <c r="K996" s="5"/>
      <c r="L996" s="3"/>
      <c r="M996" s="5"/>
      <c r="N996" s="3"/>
      <c r="O996" s="5"/>
      <c r="P996" s="3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5"/>
      <c r="H997" s="3"/>
      <c r="I997" s="5"/>
      <c r="J997" s="3"/>
      <c r="K997" s="5"/>
      <c r="L997" s="3"/>
      <c r="M997" s="5"/>
      <c r="N997" s="3"/>
      <c r="O997" s="5"/>
      <c r="P997" s="3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5"/>
      <c r="H998" s="3"/>
      <c r="I998" s="5"/>
      <c r="J998" s="3"/>
      <c r="K998" s="5"/>
      <c r="L998" s="3"/>
      <c r="M998" s="5"/>
      <c r="N998" s="3"/>
      <c r="O998" s="5"/>
      <c r="P998" s="3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5"/>
      <c r="H999" s="3"/>
      <c r="I999" s="5"/>
      <c r="J999" s="3"/>
      <c r="K999" s="5"/>
      <c r="L999" s="3"/>
      <c r="M999" s="5"/>
      <c r="N999" s="3"/>
      <c r="O999" s="5"/>
      <c r="P999" s="3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5"/>
      <c r="H1000" s="3"/>
      <c r="I1000" s="5"/>
      <c r="J1000" s="3"/>
      <c r="K1000" s="5"/>
      <c r="L1000" s="3"/>
      <c r="M1000" s="5"/>
      <c r="N1000" s="3"/>
      <c r="O1000" s="5"/>
      <c r="P1000" s="3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5"/>
      <c r="H1001" s="3"/>
      <c r="I1001" s="5"/>
      <c r="J1001" s="3"/>
      <c r="K1001" s="5"/>
      <c r="L1001" s="3"/>
      <c r="M1001" s="5"/>
      <c r="N1001" s="3"/>
      <c r="O1001" s="5"/>
      <c r="P1001" s="3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5"/>
      <c r="H1002" s="3"/>
      <c r="I1002" s="5"/>
      <c r="J1002" s="3"/>
      <c r="K1002" s="5"/>
      <c r="L1002" s="3"/>
      <c r="M1002" s="5"/>
      <c r="N1002" s="3"/>
      <c r="O1002" s="5"/>
      <c r="P1002" s="3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5"/>
      <c r="H1003" s="3"/>
      <c r="I1003" s="5"/>
      <c r="J1003" s="3"/>
      <c r="K1003" s="5"/>
      <c r="L1003" s="3"/>
      <c r="M1003" s="5"/>
      <c r="N1003" s="3"/>
      <c r="O1003" s="5"/>
      <c r="P1003" s="3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3">
    <mergeCell ref="B2:F2"/>
    <mergeCell ref="F3:F5"/>
    <mergeCell ref="B3:B5"/>
    <mergeCell ref="C3:C5"/>
    <mergeCell ref="D3:D5"/>
    <mergeCell ref="E3:E5"/>
    <mergeCell ref="B6:B16"/>
    <mergeCell ref="B17:B22"/>
    <mergeCell ref="B23:B33"/>
    <mergeCell ref="B34:B46"/>
    <mergeCell ref="B47:B48"/>
    <mergeCell ref="C47:E47"/>
    <mergeCell ref="C48:E48"/>
  </mergeCells>
  <phoneticPr fontId="28" type="noConversion"/>
  <conditionalFormatting sqref="F6:F46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27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진단결과(Azure)</vt:lpstr>
      <vt:lpstr>3-1. 진단 결과(Azure)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