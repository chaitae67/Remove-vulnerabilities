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zure)" sheetId="4" r:id="rId4"/>
    <sheet name="3-1. 진단 결과(Azure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요약결과(그래프)'!$A$1:$Y$90</definedName>
    <definedName name="_xlnm.Print_Area" localSheetId="4">'3-1. 진단 결과(Azure)'!$B$6:$G$48</definedName>
    <definedName name="_xlnm.Print_Titles" localSheetId="3">'2-2. 요약 진단결과(Azure)'!$2:$5</definedName>
    <definedName name="_xlnm.Print_Titles" localSheetId="4">'3-1. 진단 결과(Azure)'!$2:$5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<sst xmlns="http://schemas.openxmlformats.org/spreadsheetml/2006/main" count="39" uniqueCount="32">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</sst>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6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Azure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Azure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(Azure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Azure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Azure</t>
        </is>
      </c>
      <c r="C5" s="45">
        <f>IFERROR(AVERAGE('2-2. 요약 진단결과(Azure)'!F48:F48),"")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진단결과(Azure)'!F48:F48,"&gt;=0.85")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진단결과(Azure)'!F48:F48,"&gt;=0.7",'2-2. 요약 진단결과(Azure)'!F48:F48,"&lt;0.85")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진단결과(Azure)'!F48:F48,"&lt;0.7")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Azure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4">
        <f>IFERROR(INDEX('2-2. 요약 진단결과(Azure)'!$F$4:$G$4,MATCH($W37,'2-2. 요약 진단결과(Azure)'!$F$3:$G$3,0)),"")</f>
      </c>
      <c r="Y37" s="76">
        <f>IFERROR(INDEX('2-2. 요약 진단결과(Azure)'!$F:$G,MATCH("보안 적용율*",'2-2. 요약 진단결과(Azure)'!$C:$C,0),MATCH($W37,'2-2. 요약 진단결과(Azure)'!$F$3:$G$3,0)),"")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5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5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5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5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5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6">
        <f>'2-2. 요약 진단결과(Azure)'!B6</f>
      </c>
      <c r="C67" s="66">
        <f>'2-2. 요약 진단결과(Azure)'!H6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76">
        <f>'2-2. 요약 진단결과(Azure)'!B17</f>
      </c>
      <c r="C68" s="66">
        <f>'2-2. 요약 진단결과(Azure)'!H17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76">
        <f>'2-2. 요약 진단결과(Azure)'!B23</f>
      </c>
      <c r="C69" s="66">
        <f>'2-2. 요약 진단결과(Azure)'!H23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76">
        <f>'2-2. 요약 진단결과(Azure)'!B34</f>
      </c>
      <c r="C70" s="66">
        <f>'2-2. 요약 진단결과(Azure)'!H34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 hidden="1">
      <c r="A71" s="31"/>
      <c r="B71" s="277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/>
    </row>
    <row r="72" spans="1:45" ht="13.5" customHeight="1" hidden="1">
      <c r="A72" s="31"/>
      <c r="B72" s="277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/>
    </row>
    <row r="73" spans="1:45" ht="13.5" customHeight="1" hidden="1">
      <c r="A73" s="31"/>
      <c r="B73" s="278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Azure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9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80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 관리</t>
        </is>
      </c>
      <c r="C6" s="256" t="inlineStr">
        <is>
          <t xml:space="preserve">1.1</t>
        </is>
      </c>
      <c r="D6" s="257" t="inlineStr">
        <is>
          <t xml:space="preserve">AD 사용자 계정 관리</t>
        </is>
      </c>
      <c r="E6" s="258" t="inlineStr">
        <is>
          <t xml:space="preserve">상</t>
        </is>
      </c>
      <c r="F6" s="259">
        <f>IFERROR(T(INDEX('3-1. 진단 결과(Azure)'!$F$6:$G$46,MATCH($C6,'3-1. 진단 결과(Azure)'!$C$6:$C$46,0),MATCH(F$3,'3-1. 진단 결과(Azure)'!$F$3:$G$3,0))),"")</f>
      </c>
      <c r="G6" s="5"/>
      <c r="H6" s="260">
        <f>IF(COUNTIF(I6:I16,"N/A")=COUNTA(I6:I16),"N/A",AVERAGE(I6:I16))</f>
      </c>
      <c r="I6" s="261">
        <f>IF($J6+$K6=0,"N/A",$J6/($J6+$K6))</f>
      </c>
      <c r="J6" s="262">
        <f>COUNTIF($F6:$F6,"양호")</f>
      </c>
      <c r="K6" s="263">
        <f>COUNTIF($F6:$F6,"취약")</f>
      </c>
      <c r="L6" s="264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31" t="inlineStr">
        <is>
          <t xml:space="preserve">AD 사용자 프로필 및 디렉터리 식별 관리</t>
        </is>
      </c>
      <c r="E7" s="8" t="inlineStr">
        <is>
          <t xml:space="preserve">중</t>
        </is>
      </c>
      <c r="F7" s="212">
        <f>IFERROR(T(INDEX('3-1. 진단 결과(Azure)'!$F$6:$G$46,MATCH($C7,'3-1. 진단 결과(Azure)'!$C$6:$C$46,0),MATCH(F$3,'3-1. 진단 결과(Azure)'!$F$3:$G$3,0))),"")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31" t="inlineStr">
        <is>
          <t xml:space="preserve">AD 그룹 소유자 및 구성원 관리</t>
        </is>
      </c>
      <c r="E8" s="8" t="inlineStr">
        <is>
          <t xml:space="preserve">중</t>
        </is>
      </c>
      <c r="F8" s="212">
        <f>IFERROR(T(INDEX('3-1. 진단 결과(Azure)'!$F$6:$G$46,MATCH($C8,'3-1. 진단 결과(Azure)'!$C$6:$C$46,0),MATCH(F$3,'3-1. 진단 결과(Azure)'!$F$3:$G$3,0))),"")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31" t="inlineStr">
        <is>
          <t xml:space="preserve">AD 게스트 사용자</t>
        </is>
      </c>
      <c r="E9" s="8" t="inlineStr">
        <is>
          <t xml:space="preserve">상</t>
        </is>
      </c>
      <c r="F9" s="212">
        <f>IFERROR(T(INDEX('3-1. 진단 결과(Azure)'!$F$6:$G$46,MATCH($C9,'3-1. 진단 결과(Azure)'!$C$6:$C$46,0),MATCH(F$3,'3-1. 진단 결과(Azure)'!$F$3:$G$3,0))),"")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31" t="inlineStr">
        <is>
          <t xml:space="preserve">AD 암호 재설정 규칙 관리</t>
        </is>
      </c>
      <c r="E10" s="8" t="inlineStr">
        <is>
          <t xml:space="preserve">하</t>
        </is>
      </c>
      <c r="F10" s="212">
        <f>IFERROR(T(INDEX('3-1. 진단 결과(Azure)'!$F$6:$G$46,MATCH($C10,'3-1. 진단 결과(Azure)'!$C$6:$C$46,0),MATCH(F$3,'3-1. 진단 결과(Azure)'!$F$3:$G$3,0))),"")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31" t="inlineStr">
        <is>
          <t xml:space="preserve">SSH Key 접근 관리</t>
        </is>
      </c>
      <c r="E11" s="8" t="inlineStr">
        <is>
          <t xml:space="preserve">하</t>
        </is>
      </c>
      <c r="F11" s="212">
        <f>IFERROR(T(INDEX('3-1. 진단 결과(Azure)'!$F$6:$G$46,MATCH($C11,'3-1. 진단 결과(Azure)'!$C$6:$C$46,0),MATCH(F$3,'3-1. 진단 결과(Azure)'!$F$3:$G$3,0))),"")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31" t="inlineStr">
        <is>
          <t xml:space="preserve">MFA (Multi-Factor-Authentication) 설정</t>
        </is>
      </c>
      <c r="E12" s="8" t="inlineStr">
        <is>
          <t xml:space="preserve">상</t>
        </is>
      </c>
      <c r="F12" s="212">
        <f>IFERROR(T(INDEX('3-1. 진단 결과(Azure)'!$F$6:$G$46,MATCH($C12,'3-1. 진단 결과(Azure)'!$C$6:$C$46,0),MATCH(F$3,'3-1. 진단 결과(Azure)'!$F$3:$G$3,0))),"")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31" t="inlineStr">
        <is>
          <t xml:space="preserve">MFA 계정 잠금 정책 관리</t>
        </is>
      </c>
      <c r="E13" s="8" t="inlineStr">
        <is>
          <t xml:space="preserve">중</t>
        </is>
      </c>
      <c r="F13" s="212">
        <f>IFERROR(T(INDEX('3-1. 진단 결과(Azure)'!$F$6:$G$46,MATCH($C13,'3-1. 진단 결과(Azure)'!$C$6:$C$46,0),MATCH(F$3,'3-1. 진단 결과(Azure)'!$F$3:$G$3,0))),"")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31" t="inlineStr">
        <is>
          <t xml:space="preserve">Azure 패스워드 정책 관리</t>
        </is>
      </c>
      <c r="E14" s="8" t="inlineStr">
        <is>
          <t xml:space="preserve">중</t>
        </is>
      </c>
      <c r="F14" s="212">
        <f>IFERROR(T(INDEX('3-1. 진단 결과(Azure)'!$F$6:$G$46,MATCH($C14,'3-1. 진단 결과(Azure)'!$C$6:$C$46,0),MATCH(F$3,'3-1. 진단 결과(Azure)'!$F$3:$G$3,0))),"")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31" t="inlineStr">
        <is>
          <t xml:space="preserve">AKS 서비스 어카운트 관리</t>
        </is>
      </c>
      <c r="E15" s="8" t="inlineStr">
        <is>
          <t xml:space="preserve">중</t>
        </is>
      </c>
      <c r="F15" s="212">
        <f>IFERROR(T(INDEX('3-1. 진단 결과(Azure)'!$F$6:$G$46,MATCH($C15,'3-1. 진단 결과(Azure)'!$C$6:$C$46,0),MATCH(F$3,'3-1. 진단 결과(Azure)'!$F$3:$G$3,0))),"")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249"/>
      <c r="C16" s="265" t="inlineStr">
        <is>
          <t xml:space="preserve">1.11</t>
        </is>
      </c>
      <c r="D16" s="266" t="inlineStr">
        <is>
          <t xml:space="preserve">AKS 불필요한 익명 접근 관리</t>
        </is>
      </c>
      <c r="E16" s="267" t="inlineStr">
        <is>
          <t xml:space="preserve">상</t>
        </is>
      </c>
      <c r="F16" s="268">
        <f>IFERROR(T(INDEX('3-1. 진단 결과(Azure)'!$F$6:$G$46,MATCH($C16,'3-1. 진단 결과(Azure)'!$C$6:$C$46,0),MATCH(F$3,'3-1. 진단 결과(Azure)'!$F$3:$G$3,0))),"")</f>
      </c>
      <c r="G16" s="5"/>
      <c r="H16" s="269"/>
      <c r="I16" s="270">
        <f>IF($J16+$K16=0,"N/A",$J16/($J16+$K16))</f>
      </c>
      <c r="J16" s="271">
        <f>COUNTIF($F16:$F16,"양호")</f>
      </c>
      <c r="K16" s="272">
        <f>COUNTIF($F16:$F16,"취약")</f>
      </c>
      <c r="L16" s="273">
        <f>COUNTIF($F16:$F16,"N/A")</f>
      </c>
    </row>
    <row r="17" spans="1:26" ht="31.65" customHeight="1">
      <c r="A17" s="31"/>
      <c r="B17" s="241" t="inlineStr">
        <is>
          <t xml:space="preserve">2. 권한 관리</t>
        </is>
      </c>
      <c r="C17" s="256" t="inlineStr">
        <is>
          <t xml:space="preserve">2.1</t>
        </is>
      </c>
      <c r="D17" s="257" t="inlineStr">
        <is>
          <t xml:space="preserve">구독 액세스 제어(IAM) 역할 관리</t>
        </is>
      </c>
      <c r="E17" s="258" t="inlineStr">
        <is>
          <t xml:space="preserve">상</t>
        </is>
      </c>
      <c r="F17" s="259">
        <f>IFERROR(T(INDEX('3-1. 진단 결과(Azure)'!$F$6:$G$46,MATCH($C17,'3-1. 진단 결과(Azure)'!$C$6:$C$46,0),MATCH(F$3,'3-1. 진단 결과(Azure)'!$F$3:$G$3,0))),"")</f>
      </c>
      <c r="G17" s="5"/>
      <c r="H17" s="260">
        <f>IF(COUNTIF(I17:I22,"N/A")=COUNTA(I17:I22),"N/A",AVERAGE(I17:I22))</f>
      </c>
      <c r="I17" s="261">
        <f>IF($J17+$K17=0,"N/A",$J17/($J17+$K17))</f>
      </c>
      <c r="J17" s="262">
        <f>COUNTIF($F17:$F17,"양호")</f>
      </c>
      <c r="K17" s="263">
        <f>COUNTIF($F17:$F17,"취약")</f>
      </c>
      <c r="L17" s="264">
        <f>COUNTIF($F17:$F17,"N/A")</f>
      </c>
    </row>
    <row r="18" spans="1:26" ht="31.65" customHeight="1">
      <c r="A18" s="31"/>
      <c r="B18" s="163"/>
      <c r="C18" s="91" t="inlineStr">
        <is>
          <t xml:space="preserve">2.2</t>
        </is>
      </c>
      <c r="D18" s="231" t="inlineStr">
        <is>
          <t xml:space="preserve">리소스 그룹 액세스 제어(IAM) 역할 할당</t>
        </is>
      </c>
      <c r="E18" s="8" t="inlineStr">
        <is>
          <t xml:space="preserve">상</t>
        </is>
      </c>
      <c r="F18" s="212">
        <f>IFERROR(T(INDEX('3-1. 진단 결과(Azure)'!$F$6:$G$46,MATCH($C18,'3-1. 진단 결과(Azure)'!$C$6:$C$46,0),MATCH(F$3,'3-1. 진단 결과(Azure)'!$F$3:$G$3,0))),"")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2.3</t>
        </is>
      </c>
      <c r="D19" s="231" t="inlineStr">
        <is>
          <t xml:space="preserve">AD 사용자 역할 권한 관리</t>
        </is>
      </c>
      <c r="E19" s="8" t="inlineStr">
        <is>
          <t xml:space="preserve">상</t>
        </is>
      </c>
      <c r="F19" s="212">
        <f>IFERROR(T(INDEX('3-1. 진단 결과(Azure)'!$F$6:$G$46,MATCH($C19,'3-1. 진단 결과(Azure)'!$C$6:$C$46,0),MATCH(F$3,'3-1. 진단 결과(Azure)'!$F$3:$G$3,0))),"")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163"/>
      <c r="C20" s="91" t="inlineStr">
        <is>
          <t xml:space="preserve">2.4</t>
        </is>
      </c>
      <c r="D20" s="231" t="inlineStr">
        <is>
          <t xml:space="preserve">인스턴스 서비스 액세스 정책 관리</t>
        </is>
      </c>
      <c r="E20" s="8" t="inlineStr">
        <is>
          <t xml:space="preserve">상</t>
        </is>
      </c>
      <c r="F20" s="212">
        <f>IFERROR(T(INDEX('3-1. 진단 결과(Azure)'!$F$6:$G$46,MATCH($C20,'3-1. 진단 결과(Azure)'!$C$6:$C$46,0),MATCH(F$3,'3-1. 진단 결과(Azure)'!$F$3:$G$3,0))),"")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163"/>
      <c r="C21" s="91" t="inlineStr">
        <is>
          <t xml:space="preserve">2.5</t>
        </is>
      </c>
      <c r="D21" s="231" t="inlineStr">
        <is>
          <t xml:space="preserve">네트워크 서비스 액세스 정책 관리</t>
        </is>
      </c>
      <c r="E21" s="8" t="inlineStr">
        <is>
          <t xml:space="preserve">상</t>
        </is>
      </c>
      <c r="F21" s="212">
        <f>IFERROR(T(INDEX('3-1. 진단 결과(Azure)'!$F$6:$G$46,MATCH($C21,'3-1. 진단 결과(Azure)'!$C$6:$C$46,0),MATCH(F$3,'3-1. 진단 결과(Azure)'!$F$3:$G$3,0))),"")</f>
      </c>
      <c r="G21" s="5"/>
      <c r="H21" s="159"/>
      <c r="I21" s="34">
        <f>IF($J21+$K21=0,"N/A",$J21/($J21+$K21))</f>
      </c>
      <c r="J21" s="120">
        <f>COUNTIF($F21:$F21,"양호")</f>
      </c>
      <c r="K21" s="121">
        <f>COUNTIF($F21:$F21,"취약")</f>
      </c>
      <c r="L21" s="30">
        <f>COUNTIF($F21:$F21,"N/A")</f>
      </c>
    </row>
    <row r="22" spans="1:26" ht="31.65" customHeight="1">
      <c r="A22" s="31"/>
      <c r="B22" s="249"/>
      <c r="C22" s="265" t="inlineStr">
        <is>
          <t xml:space="preserve">2.6</t>
        </is>
      </c>
      <c r="D22" s="266" t="inlineStr">
        <is>
          <t xml:space="preserve">기타 서비스 액세스 정책 관리</t>
        </is>
      </c>
      <c r="E22" s="267" t="inlineStr">
        <is>
          <t xml:space="preserve">상</t>
        </is>
      </c>
      <c r="F22" s="268">
        <f>IFERROR(T(INDEX('3-1. 진단 결과(Azure)'!$F$6:$G$46,MATCH($C22,'3-1. 진단 결과(Azure)'!$C$6:$C$46,0),MATCH(F$3,'3-1. 진단 결과(Azure)'!$F$3:$G$3,0))),"")</f>
      </c>
      <c r="G22" s="5"/>
      <c r="H22" s="269"/>
      <c r="I22" s="270">
        <f>IF($J22+$K22=0,"N/A",$J22/($J22+$K22))</f>
      </c>
      <c r="J22" s="271">
        <f>COUNTIF($F22:$F22,"양호")</f>
      </c>
      <c r="K22" s="272">
        <f>COUNTIF($F22:$F22,"취약")</f>
      </c>
      <c r="L22" s="273">
        <f>COUNTIF($F22:$F22,"N/A")</f>
      </c>
    </row>
    <row r="23" spans="1:26" ht="31.65" customHeight="1">
      <c r="A23" s="31"/>
      <c r="B23" s="241" t="inlineStr">
        <is>
          <t xml:space="preserve">3. 가상 리소스 관리</t>
        </is>
      </c>
      <c r="C23" s="256" t="inlineStr">
        <is>
          <t xml:space="preserve">3.1</t>
        </is>
      </c>
      <c r="D23" s="257" t="inlineStr">
        <is>
          <t xml:space="preserve">가상 네트워크 리소스 관리</t>
        </is>
      </c>
      <c r="E23" s="258" t="inlineStr">
        <is>
          <t xml:space="preserve">중</t>
        </is>
      </c>
      <c r="F23" s="259">
        <f>IFERROR(T(INDEX('3-1. 진단 결과(Azure)'!$F$6:$G$46,MATCH($C23,'3-1. 진단 결과(Azure)'!$C$6:$C$46,0),MATCH(F$3,'3-1. 진단 결과(Azure)'!$F$3:$G$3,0))),"")</f>
      </c>
      <c r="G23" s="5"/>
      <c r="H23" s="260">
        <f>IF(COUNTIF(I23:I33,"N/A")=COUNTA(I23:I33),"N/A",AVERAGE(I23:I33))</f>
      </c>
      <c r="I23" s="261">
        <f>IF($J23+$K23=0,"N/A",$J23/($J23+$K23))</f>
      </c>
      <c r="J23" s="262">
        <f>COUNTIF($F23:$F23,"양호")</f>
      </c>
      <c r="K23" s="263">
        <f>COUNTIF($F23:$F23,"취약")</f>
      </c>
      <c r="L23" s="264">
        <f>COUNTIF($F23:$F23,"N/A")</f>
      </c>
    </row>
    <row r="24" spans="1:26" ht="31.65" customHeight="1">
      <c r="A24" s="31"/>
      <c r="B24" s="163"/>
      <c r="C24" s="91" t="inlineStr">
        <is>
          <t xml:space="preserve">3.2</t>
        </is>
      </c>
      <c r="D24" s="231" t="inlineStr">
        <is>
          <t xml:space="preserve">내부 가상 네트워크 보안 관리</t>
        </is>
      </c>
      <c r="E24" s="8" t="inlineStr">
        <is>
          <t xml:space="preserve">상</t>
        </is>
      </c>
      <c r="F24" s="212">
        <f>IFERROR(T(INDEX('3-1. 진단 결과(Azure)'!$F$6:$G$46,MATCH($C24,'3-1. 진단 결과(Azure)'!$C$6:$C$46,0),MATCH(F$3,'3-1. 진단 결과(Azure)'!$F$3:$G$3,0))),"")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3.3</t>
        </is>
      </c>
      <c r="D25" s="231" t="inlineStr">
        <is>
          <t xml:space="preserve">보안그룹 인/아웃바운드 ANY 설정 관리</t>
        </is>
      </c>
      <c r="E25" s="8" t="inlineStr">
        <is>
          <t xml:space="preserve">상</t>
        </is>
      </c>
      <c r="F25" s="212">
        <f>IFERROR(T(INDEX('3-1. 진단 결과(Azure)'!$F$6:$G$46,MATCH($C25,'3-1. 진단 결과(Azure)'!$C$6:$C$46,0),MATCH(F$3,'3-1. 진단 결과(Azure)'!$F$3:$G$3,0))),"")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3.4</t>
        </is>
      </c>
      <c r="D26" s="231" t="inlineStr">
        <is>
          <t xml:space="preserve">보안그룹 인/아웃바운드 불필요 정책 관리</t>
        </is>
      </c>
      <c r="E26" s="8" t="inlineStr">
        <is>
          <t xml:space="preserve">중</t>
        </is>
      </c>
      <c r="F26" s="212">
        <f>IFERROR(T(INDEX('3-1. 진단 결과(Azure)'!$F$6:$G$46,MATCH($C26,'3-1. 진단 결과(Azure)'!$C$6:$C$46,0),MATCH(F$3,'3-1. 진단 결과(Azure)'!$F$3:$G$3,0))),"")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3.5</t>
        </is>
      </c>
      <c r="D27" s="231" t="inlineStr">
        <is>
          <t xml:space="preserve">방화벽 ANY 정책 설정 관리</t>
        </is>
      </c>
      <c r="E27" s="8" t="inlineStr">
        <is>
          <t xml:space="preserve">상</t>
        </is>
      </c>
      <c r="F27" s="212">
        <f>IFERROR(T(INDEX('3-1. 진단 결과(Azure)'!$F$6:$G$46,MATCH($C27,'3-1. 진단 결과(Azure)'!$C$6:$C$46,0),MATCH(F$3,'3-1. 진단 결과(Azure)'!$F$3:$G$3,0))),"")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3.6</t>
        </is>
      </c>
      <c r="D28" s="231" t="inlineStr">
        <is>
          <t xml:space="preserve">방화벽 불필요 정책 관리</t>
        </is>
      </c>
      <c r="E28" s="8" t="inlineStr">
        <is>
          <t xml:space="preserve">중</t>
        </is>
      </c>
      <c r="F28" s="212">
        <f>IFERROR(T(INDEX('3-1. 진단 결과(Azure)'!$F$6:$G$46,MATCH($C28,'3-1. 진단 결과(Azure)'!$C$6:$C$46,0),MATCH(F$3,'3-1. 진단 결과(Azure)'!$F$3:$G$3,0))),"")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3.7</t>
        </is>
      </c>
      <c r="D29" s="231" t="inlineStr">
        <is>
          <t xml:space="preserve">NAT 게이트웨이 서브넷 연결 관리</t>
        </is>
      </c>
      <c r="E29" s="8" t="inlineStr">
        <is>
          <t xml:space="preserve">중</t>
        </is>
      </c>
      <c r="F29" s="212">
        <f>IFERROR(T(INDEX('3-1. 진단 결과(Azure)'!$F$6:$G$46,MATCH($C29,'3-1. 진단 결과(Azure)'!$C$6:$C$46,0),MATCH(F$3,'3-1. 진단 결과(Azure)'!$F$3:$G$3,0))),"")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3.8</t>
        </is>
      </c>
      <c r="D30" s="231" t="inlineStr">
        <is>
          <t xml:space="preserve">스토리지 계정 보안 설정</t>
        </is>
      </c>
      <c r="E30" s="8" t="inlineStr">
        <is>
          <t xml:space="preserve">상</t>
        </is>
      </c>
      <c r="F30" s="212">
        <f>IFERROR(T(INDEX('3-1. 진단 결과(Azure)'!$F$6:$G$46,MATCH($C30,'3-1. 진단 결과(Azure)'!$C$6:$C$46,0),MATCH(F$3,'3-1. 진단 결과(Azure)'!$F$3:$G$3,0))),"")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3.9</t>
        </is>
      </c>
      <c r="D31" s="231" t="inlineStr">
        <is>
          <t xml:space="preserve">스토리지 계정 공유 액세스 서명 정책 관리</t>
        </is>
      </c>
      <c r="E31" s="8" t="inlineStr">
        <is>
          <t xml:space="preserve">중</t>
        </is>
      </c>
      <c r="F31" s="212">
        <f>IFERROR(T(INDEX('3-1. 진단 결과(Azure)'!$F$6:$G$46,MATCH($C31,'3-1. 진단 결과(Azure)'!$C$6:$C$46,0),MATCH(F$3,'3-1. 진단 결과(Azure)'!$F$3:$G$3,0))),"")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3.10</t>
        </is>
      </c>
      <c r="D32" s="231" t="inlineStr">
        <is>
          <t xml:space="preserve">AKS Pod 보안 정책 관리</t>
        </is>
      </c>
      <c r="E32" s="8" t="inlineStr">
        <is>
          <t xml:space="preserve">상</t>
        </is>
      </c>
      <c r="F32" s="212">
        <f>IFERROR(T(INDEX('3-1. 진단 결과(Azure)'!$F$6:$G$46,MATCH($C32,'3-1. 진단 결과(Azure)'!$C$6:$C$46,0),MATCH(F$3,'3-1. 진단 결과(Azure)'!$F$3:$G$3,0))),"")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9"/>
      <c r="C33" s="265" t="inlineStr">
        <is>
          <t xml:space="preserve">3.11</t>
        </is>
      </c>
      <c r="D33" s="266" t="inlineStr">
        <is>
          <t xml:space="preserve">Kubernetes API 서버 보안 액세스 설정</t>
        </is>
      </c>
      <c r="E33" s="267" t="inlineStr">
        <is>
          <t xml:space="preserve">상</t>
        </is>
      </c>
      <c r="F33" s="268">
        <f>IFERROR(T(INDEX('3-1. 진단 결과(Azure)'!$F$6:$G$46,MATCH($C33,'3-1. 진단 결과(Azure)'!$C$6:$C$46,0),MATCH(F$3,'3-1. 진단 결과(Azure)'!$F$3:$G$3,0))),"")</f>
      </c>
      <c r="G33" s="5"/>
      <c r="H33" s="269"/>
      <c r="I33" s="270">
        <f>IF($J33+$K33=0,"N/A",$J33/($J33+$K33))</f>
      </c>
      <c r="J33" s="271">
        <f>COUNTIF($F33:$F33,"양호")</f>
      </c>
      <c r="K33" s="272">
        <f>COUNTIF($F33:$F33,"취약")</f>
      </c>
      <c r="L33" s="273">
        <f>COUNTIF($F33:$F33,"N/A")</f>
      </c>
    </row>
    <row r="34" spans="1:26" ht="31.65" customHeight="1">
      <c r="A34" s="31"/>
      <c r="B34" s="241" t="inlineStr">
        <is>
          <t xml:space="preserve">4. 운영 관리</t>
        </is>
      </c>
      <c r="C34" s="256" t="inlineStr">
        <is>
          <t xml:space="preserve">4.1</t>
        </is>
      </c>
      <c r="D34" s="257" t="inlineStr">
        <is>
          <t xml:space="preserve">데이터베이스 암호화 설정 관리</t>
        </is>
      </c>
      <c r="E34" s="258" t="inlineStr">
        <is>
          <t xml:space="preserve">중</t>
        </is>
      </c>
      <c r="F34" s="259">
        <f>IFERROR(T(INDEX('3-1. 진단 결과(Azure)'!$F$6:$G$46,MATCH($C34,'3-1. 진단 결과(Azure)'!$C$6:$C$46,0),MATCH(F$3,'3-1. 진단 결과(Azure)'!$F$3:$G$3,0))),"")</f>
      </c>
      <c r="G34" s="5"/>
      <c r="H34" s="260">
        <f>IF(COUNTIF(I34:I46,"N/A")=COUNTA(I34:I46),"N/A",AVERAGE(I34:I46))</f>
      </c>
      <c r="I34" s="261">
        <f>IF($J34+$K34=0,"N/A",$J34/($J34+$K34))</f>
      </c>
      <c r="J34" s="262">
        <f>COUNTIF($F34:$F34,"양호")</f>
      </c>
      <c r="K34" s="263">
        <f>COUNTIF($F34:$F34,"취약")</f>
      </c>
      <c r="L34" s="264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31" t="inlineStr">
        <is>
          <t xml:space="preserve">스토리지 암호화 설정</t>
        </is>
      </c>
      <c r="E35" s="8" t="inlineStr">
        <is>
          <t xml:space="preserve">상</t>
        </is>
      </c>
      <c r="F35" s="212">
        <f>IFERROR(T(INDEX('3-1. 진단 결과(Azure)'!$F$6:$G$46,MATCH($C35,'3-1. 진단 결과(Azure)'!$C$6:$C$46,0),MATCH(F$3,'3-1. 진단 결과(Azure)'!$F$3:$G$3,0))),"")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31" t="inlineStr">
        <is>
          <t xml:space="preserve">디스크 암호화 설정</t>
        </is>
      </c>
      <c r="E36" s="8" t="inlineStr">
        <is>
          <t xml:space="preserve">상</t>
        </is>
      </c>
      <c r="F36" s="212">
        <f>IFERROR(T(INDEX('3-1. 진단 결과(Azure)'!$F$6:$G$46,MATCH($C36,'3-1. 진단 결과(Azure)'!$C$6:$C$46,0),MATCH(F$3,'3-1. 진단 결과(Azure)'!$F$3:$G$3,0))),"")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31" t="inlineStr">
        <is>
          <t xml:space="preserve">통신구간 암호화 설정</t>
        </is>
      </c>
      <c r="E37" s="8" t="inlineStr">
        <is>
          <t xml:space="preserve">중</t>
        </is>
      </c>
      <c r="F37" s="212">
        <f>IFERROR(T(INDEX('3-1. 진단 결과(Azure)'!$F$6:$G$46,MATCH($C37,'3-1. 진단 결과(Azure)'!$C$6:$C$46,0),MATCH(F$3,'3-1. 진단 결과(Azure)'!$F$3:$G$3,0))),"")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31" t="inlineStr">
        <is>
          <t xml:space="preserve">키 자격 증명 모음 회전 정책 관리</t>
        </is>
      </c>
      <c r="E38" s="8" t="inlineStr">
        <is>
          <t xml:space="preserve">중</t>
        </is>
      </c>
      <c r="F38" s="212">
        <f>IFERROR(T(INDEX('3-1. 진단 결과(Azure)'!$F$6:$G$46,MATCH($C38,'3-1. 진단 결과(Azure)'!$C$6:$C$46,0),MATCH(F$3,'3-1. 진단 결과(Azure)'!$F$3:$G$3,0))),"")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31" t="inlineStr">
        <is>
          <t xml:space="preserve">AD 감사로그 설정</t>
        </is>
      </c>
      <c r="E39" s="8" t="inlineStr">
        <is>
          <t xml:space="preserve">상</t>
        </is>
      </c>
      <c r="F39" s="212">
        <f>IFERROR(T(INDEX('3-1. 진단 결과(Azure)'!$F$6:$G$46,MATCH($C39,'3-1. 진단 결과(Azure)'!$C$6:$C$46,0),MATCH(F$3,'3-1. 진단 결과(Azure)'!$F$3:$G$3,0))),"")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31" t="inlineStr">
        <is>
          <t xml:space="preserve">인스턴스 서비스 감사 로그 설정</t>
        </is>
      </c>
      <c r="E40" s="8" t="inlineStr">
        <is>
          <t xml:space="preserve">중</t>
        </is>
      </c>
      <c r="F40" s="212">
        <f>IFERROR(T(INDEX('3-1. 진단 결과(Azure)'!$F$6:$G$46,MATCH($C40,'3-1. 진단 결과(Azure)'!$C$6:$C$46,0),MATCH(F$3,'3-1. 진단 결과(Azure)'!$F$3:$G$3,0))),"")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31" t="inlineStr">
        <is>
          <t xml:space="preserve">네트워크 서비스 감사 로그 설정</t>
        </is>
      </c>
      <c r="E41" s="8" t="inlineStr">
        <is>
          <t xml:space="preserve">중</t>
        </is>
      </c>
      <c r="F41" s="212">
        <f>IFERROR(T(INDEX('3-1. 진단 결과(Azure)'!$F$6:$G$46,MATCH($C41,'3-1. 진단 결과(Azure)'!$C$6:$C$46,0),MATCH(F$3,'3-1. 진단 결과(Azure)'!$F$3:$G$3,0))),"")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31" t="inlineStr">
        <is>
          <t xml:space="preserve">기타 서비스 감사 로그 설정</t>
        </is>
      </c>
      <c r="E42" s="8" t="inlineStr">
        <is>
          <t xml:space="preserve">중</t>
        </is>
      </c>
      <c r="F42" s="212">
        <f>IFERROR(T(INDEX('3-1. 진단 결과(Azure)'!$F$6:$G$46,MATCH($C42,'3-1. 진단 결과(Azure)'!$C$6:$C$46,0),MATCH(F$3,'3-1. 진단 결과(Azure)'!$F$3:$G$3,0))),"")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31" t="inlineStr">
        <is>
          <t xml:space="preserve">리소스 그룹 잠금</t>
        </is>
      </c>
      <c r="E43" s="8" t="inlineStr">
        <is>
          <t xml:space="preserve">하</t>
        </is>
      </c>
      <c r="F43" s="212">
        <f>IFERROR(T(INDEX('3-1. 진단 결과(Azure)'!$F$6:$G$46,MATCH($C43,'3-1. 진단 결과(Azure)'!$C$6:$C$46,0),MATCH(F$3,'3-1. 진단 결과(Azure)'!$F$3:$G$3,0))),"")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31" t="inlineStr">
        <is>
          <t xml:space="preserve">백업 사용 여부</t>
        </is>
      </c>
      <c r="E44" s="8" t="inlineStr">
        <is>
          <t xml:space="preserve">중</t>
        </is>
      </c>
      <c r="F44" s="212">
        <f>IFERROR(T(INDEX('3-1. 진단 결과(Azure)'!$F$6:$G$46,MATCH($C44,'3-1. 진단 결과(Azure)'!$C$6:$C$46,0),MATCH(F$3,'3-1. 진단 결과(Azure)'!$F$3:$G$3,0))),"")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31" t="inlineStr">
        <is>
          <t xml:space="preserve">AKS Cluster 이미지 무결성 설정</t>
        </is>
      </c>
      <c r="E45" s="8" t="inlineStr">
        <is>
          <t xml:space="preserve">중</t>
        </is>
      </c>
      <c r="F45" s="212">
        <f>IFERROR(T(INDEX('3-1. 진단 결과(Azure)'!$F$6:$G$46,MATCH($C45,'3-1. 진단 결과(Azure)'!$C$6:$C$46,0),MATCH(F$3,'3-1. 진단 결과(Azure)'!$F$3:$G$3,0))),"")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9"/>
      <c r="C46" s="265" t="inlineStr">
        <is>
          <t xml:space="preserve">4.13</t>
        </is>
      </c>
      <c r="D46" s="266" t="inlineStr">
        <is>
          <t xml:space="preserve">AKS 진단 로그 설정</t>
        </is>
      </c>
      <c r="E46" s="267" t="inlineStr">
        <is>
          <t xml:space="preserve">중</t>
        </is>
      </c>
      <c r="F46" s="268">
        <f>IFERROR(T(INDEX('3-1. 진단 결과(Azure)'!$F$6:$G$46,MATCH($C46,'3-1. 진단 결과(Azure)'!$C$6:$C$46,0),MATCH(F$3,'3-1. 진단 결과(Azure)'!$F$3:$G$3,0))),"")</f>
      </c>
      <c r="G46" s="5"/>
      <c r="H46" s="269"/>
      <c r="I46" s="270">
        <f>IF($J46+$K46=0,"N/A",$J46/($J46+$K46))</f>
      </c>
      <c r="J46" s="271">
        <f>COUNTIF($F46:$F46,"양호")</f>
      </c>
      <c r="K46" s="272">
        <f>COUNTIF($F46:$F46,"취약")</f>
      </c>
      <c r="L46" s="273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214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6"/>
    <mergeCell ref="H6:H16"/>
    <mergeCell ref="B17:B22"/>
    <mergeCell ref="H17:H22"/>
    <mergeCell ref="B23:B33"/>
    <mergeCell ref="H23:H33"/>
    <mergeCell ref="B34:B46"/>
    <mergeCell ref="H34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conditionalFormatting sqref="F4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Azure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41" t="inlineStr">
        <is>
          <t xml:space="preserve">1. 계정 관리</t>
        </is>
      </c>
      <c r="C6" s="242" t="inlineStr">
        <is>
          <t xml:space="preserve">1.1</t>
        </is>
      </c>
      <c r="D6" s="243" t="inlineStr">
        <is>
          <t xml:space="preserve">AD 사용자 계정 관리</t>
        </is>
      </c>
      <c r="E6" s="244" t="inlineStr">
        <is>
          <t xml:space="preserve">양호 - 전역관리자 권한을 보유한 다수 계정이 존재하지 않고 불필요한 계정이 존재하지 않을 경우
취약 - 전역관리자 권한을 보유한 다수 계정 또는 불필요한 계정이 존재하는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1.2</t>
        </is>
      </c>
      <c r="D7" s="216" t="inlineStr">
        <is>
          <t xml:space="preserve">AD 사용자 프로필 및 디렉터리 식별 관리</t>
        </is>
      </c>
      <c r="E7" s="108" t="inlineStr">
        <is>
          <t xml:space="preserve">양호 - 프로필 필수 항목(ID, 작업정보, 연락처 등)이 작성되어 있을 경우
취약 - 프로필 필수 항목(ID, 작업정보, 연락처 등)이 작성되어 있지 않을 경우</t>
        </is>
      </c>
      <c r="F7" s="248"/>
      <c r="G7" s="201"/>
    </row>
    <row r="8" spans="1:16" ht="63.90" customHeight="1">
      <c r="A8" s="1"/>
      <c r="B8" s="163"/>
      <c r="C8" s="90" t="inlineStr">
        <is>
          <t xml:space="preserve">1.3</t>
        </is>
      </c>
      <c r="D8" s="216" t="inlineStr">
        <is>
          <t xml:space="preserve">AD 그룹 소유자 및 구성원 관리</t>
        </is>
      </c>
      <c r="E8" s="108" t="inlineStr">
        <is>
          <t xml:space="preserve">양호 - 그룹에 소유자 및 구성원이 설정되어 있을 경우
취약 - 그룹에 소유자 및 구성원이 설정되어 있지 않을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6" t="inlineStr">
        <is>
          <t xml:space="preserve">AD 게스트 사용자</t>
        </is>
      </c>
      <c r="E9" s="108" t="inlineStr">
        <is>
          <t xml:space="preserve">양호 - 게스트 사용자 계정(사용 만료 된 불필요한 계정 포함)을 사용하지 않을 경우
취약 - 게스트 사용자 계정(사용 만료 된 불필요한 계정 포함)을 사용하고 있을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6" t="inlineStr">
        <is>
          <t xml:space="preserve">AD 암호 재설정 규칙 관리</t>
        </is>
      </c>
      <c r="E10" s="108" t="inlineStr">
        <is>
          <t xml:space="preserve">양호 - 암호 재설정 규칙이 필수 설정 기준에 맞게 설정되어 있는 경우
취약 - 암호 재설정 규칙이 필수 설정 기준에 맞게 설정되어 있지 않은 경우</t>
        </is>
      </c>
      <c r="F10" s="248"/>
      <c r="G10" s="201"/>
    </row>
    <row r="11" spans="1:16" ht="95.10" customHeight="1">
      <c r="A11" s="1"/>
      <c r="B11" s="163"/>
      <c r="C11" s="90" t="inlineStr">
        <is>
          <t xml:space="preserve">1.6</t>
        </is>
      </c>
      <c r="D11" s="216" t="inlineStr">
        <is>
          <t xml:space="preserve">SSH Key 접근 관리</t>
        </is>
      </c>
      <c r="E11" s="108" t="inlineStr">
        <is>
          <t xml:space="preserve">양호 - SSH Key ‘생성/변경/삭제’가 관리자 및 소유자 계정만 가능하도록 설정되어 있을 경우
취약 - SSH Key ‘생성/변경/삭제’가 관리자 및 소유자 계정만 가능하도록 설정되어 있지 않을 경우</t>
        </is>
      </c>
      <c r="F11" s="248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6" t="inlineStr">
        <is>
          <t xml:space="preserve">MFA (Multi-Factor-Authentication) 설정</t>
        </is>
      </c>
      <c r="E12" s="108" t="inlineStr">
        <is>
          <t xml:space="preserve">양호 - AD 사용자 계정에 MFA를 활성화하여 사용하고 있을 경우
취약 - AD 사용자 계정에 MFA를 활성화하여 사용하고 있지 않을 경우</t>
        </is>
      </c>
      <c r="F12" s="248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6" t="inlineStr">
        <is>
          <t xml:space="preserve">MFA 계정 잠금 정책 관리</t>
        </is>
      </c>
      <c r="E13" s="108" t="inlineStr">
        <is>
          <t xml:space="preserve">양호 - 계정 잠금 설정이 정책에 맞게 설정되어 있을 경우
취약 - 계정 잠금 설정이 정책에 맞게 설정되어 있지 않을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6" t="inlineStr">
        <is>
          <t xml:space="preserve">Azure 패스워드 정책 관리</t>
        </is>
      </c>
      <c r="E14" s="108" t="inlineStr">
        <is>
          <t xml:space="preserve">양호 - 정책에 맞게 암호 보호 정책을 적용하여 사용하고 있을 경우
취약 - 정책에 맞게 암호 보호 정책을 적용하여 사용하고 있지 않을 경우</t>
        </is>
      </c>
      <c r="F14" s="248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6" t="inlineStr">
        <is>
          <t xml:space="preserve">AKS 서비스 어카운트 관리</t>
        </is>
      </c>
      <c r="E15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5" s="248"/>
      <c r="G15" s="201"/>
    </row>
    <row r="16" spans="1:16" ht="95.10" customHeight="1">
      <c r="A16" s="1"/>
      <c r="B16" s="249"/>
      <c r="C16" s="250" t="inlineStr">
        <is>
          <t xml:space="preserve">1.11</t>
        </is>
      </c>
      <c r="D16" s="251" t="inlineStr">
        <is>
          <t xml:space="preserve">AKS 불필요한 익명 접근 관리</t>
        </is>
      </c>
      <c r="E16" s="252" t="inlineStr">
        <is>
          <t xml:space="preserve">양호 - ClusterRole에 system:anonymous | unauthenticated 그룹이 바인딩 되어있지 않는 경우
취약 - ClusterRole에 system:anonymous | unauthenticated 그룹 바인딩 되어 있는 경우</t>
        </is>
      </c>
      <c r="F16" s="255"/>
      <c r="G16" s="254"/>
    </row>
    <row r="17" spans="1:16" ht="110.70" customHeight="1">
      <c r="A17" s="1"/>
      <c r="B17" s="241" t="inlineStr">
        <is>
          <t xml:space="preserve">2. 권한 관리</t>
        </is>
      </c>
      <c r="C17" s="242" t="inlineStr">
        <is>
          <t xml:space="preserve">2.1</t>
        </is>
      </c>
      <c r="D17" s="243" t="inlineStr">
        <is>
          <t xml:space="preserve">구독 액세스 제어(IAM) 역할 관리</t>
        </is>
      </c>
      <c r="E17" s="244" t="inlineStr">
        <is>
          <t xml:space="preserve">양호 - 구독에 설정된 액세스 제어 역할이 서비스별 독자 권한(읽기)으로 부여되어 있는 경우
취약 - 구독에 설정된 액세스 제어 역할에 전체 서비스 권한(소유자, 기여자, 사용자 액세스 관리 자, 독자)으로 부여되어 있을 경우</t>
        </is>
      </c>
      <c r="F17" s="247"/>
      <c r="G17" s="246"/>
    </row>
    <row r="18" spans="1:16" ht="63.90" customHeight="1">
      <c r="A18" s="1"/>
      <c r="B18" s="163"/>
      <c r="C18" s="90" t="inlineStr">
        <is>
          <t xml:space="preserve">2.2</t>
        </is>
      </c>
      <c r="D18" s="216" t="inlineStr">
        <is>
          <t xml:space="preserve">리소스 그룹 액세스 제어(IAM) 역할 할당</t>
        </is>
      </c>
      <c r="E18" s="108" t="inlineStr">
        <is>
          <t xml:space="preserve">양호 - AZURE 사용자의 권한/그룹을 목적에 맞게 역할을 할당하고 있을 경우
취약 - AZURE 사용자의 권한/그룹을 목적에 맞게 역할을 할당하고 있지 않을 경우</t>
        </is>
      </c>
      <c r="F18" s="248"/>
      <c r="G18" s="201"/>
    </row>
    <row r="19" spans="1:16" ht="63.90" customHeight="1">
      <c r="A19" s="1"/>
      <c r="B19" s="163"/>
      <c r="C19" s="90" t="inlineStr">
        <is>
          <t xml:space="preserve">2.3</t>
        </is>
      </c>
      <c r="D19" s="216" t="inlineStr">
        <is>
          <t xml:space="preserve">AD 사용자 역할 권한 관리</t>
        </is>
      </c>
      <c r="E19" s="108" t="inlineStr">
        <is>
          <t xml:space="preserve">양호 - AD 관리 역할이 업무 및 서비스 사용 목적에 맞게 부여되어 있을 경우
취약 - AD 관리 역할이 업무 및 서비스 사용 목적에 맞게 부여되어 있지 않을 경우</t>
        </is>
      </c>
      <c r="F19" s="248"/>
      <c r="G19" s="201"/>
    </row>
    <row r="20" spans="1:16" ht="95.10" customHeight="1">
      <c r="A20" s="1"/>
      <c r="B20" s="163"/>
      <c r="C20" s="90" t="inlineStr">
        <is>
          <t xml:space="preserve">2.4</t>
        </is>
      </c>
      <c r="D20" s="216" t="inlineStr">
        <is>
          <t xml:space="preserve">인스턴스 서비스 액세스 정책 관리</t>
        </is>
      </c>
      <c r="E20" s="108" t="inlineStr">
        <is>
          <t xml:space="preserve">양호 - 인스턴스 서비스에 대한 액세스 제어(IAM)가 사용자 역할에 맞게 부여되어 있는 경우
취약 - 인스턴스 서비스에 대한 액세스 제어(IAM)가 사용자 역할에 맞게 부여되어 있지 않은 경우</t>
        </is>
      </c>
      <c r="F20" s="248"/>
      <c r="G20" s="201"/>
    </row>
    <row r="21" spans="1:16" ht="95.10" customHeight="1">
      <c r="A21" s="1"/>
      <c r="B21" s="163"/>
      <c r="C21" s="90" t="inlineStr">
        <is>
          <t xml:space="preserve">2.5</t>
        </is>
      </c>
      <c r="D21" s="216" t="inlineStr">
        <is>
          <t xml:space="preserve">네트워크 서비스 액세스 정책 관리</t>
        </is>
      </c>
      <c r="E21" s="108" t="inlineStr">
        <is>
          <t xml:space="preserve">양호 - 네트워크 서비스에 대한 액세스 제어(IAM)가 사용자 역할에 맞게 부여되어 있는 경우
취약 - 네트워크 서비스에 대한 액세스 제어(IAM)가 사용자 역할에 맞게 부여되어 있지 않은 경우</t>
        </is>
      </c>
      <c r="F21" s="248"/>
      <c r="G21" s="201"/>
    </row>
    <row r="22" spans="1:16" ht="95.10" customHeight="1">
      <c r="A22" s="1"/>
      <c r="B22" s="249"/>
      <c r="C22" s="250" t="inlineStr">
        <is>
          <t xml:space="preserve">2.6</t>
        </is>
      </c>
      <c r="D22" s="251" t="inlineStr">
        <is>
          <t xml:space="preserve">기타 서비스 액세스 정책 관리</t>
        </is>
      </c>
      <c r="E22" s="252" t="inlineStr">
        <is>
          <t xml:space="preserve">양호 - 기타 서비스에 대한 액세스 제어(IAM)가 사용자 역할에 맞게 부여되어 있는 경우
취약 - 기타 서비스에 대한 액세스 제어(IAM)가 사용자 역할에 맞게 부여되어 있지 않은 경우</t>
        </is>
      </c>
      <c r="F22" s="255"/>
      <c r="G22" s="254"/>
    </row>
    <row r="23" spans="1:16" ht="95.10" customHeight="1">
      <c r="A23" s="1"/>
      <c r="B23" s="241" t="inlineStr">
        <is>
          <t xml:space="preserve">3. 가상 리소스 관리</t>
        </is>
      </c>
      <c r="C23" s="242" t="inlineStr">
        <is>
          <t xml:space="preserve">3.1</t>
        </is>
      </c>
      <c r="D23" s="243" t="inlineStr">
        <is>
          <t xml:space="preserve">가상 네트워크 리소스 관리</t>
        </is>
      </c>
      <c r="E23" s="244" t="inlineStr">
        <is>
          <t xml:space="preserve">양호 - 연결된 디바이스 중 내부 네트워크만 사용하는 리소스에 공용 IP 주소가 존재하지 않는 경우
취약 - 연결된 디바이스 중 내부 네트워크만 사용하는 리소스에 공용 IP 주소가 존재하는 경우</t>
        </is>
      </c>
      <c r="F23" s="247"/>
      <c r="G23" s="246"/>
    </row>
    <row r="24" spans="1:16" ht="63.90" customHeight="1">
      <c r="A24" s="1"/>
      <c r="B24" s="163"/>
      <c r="C24" s="90" t="inlineStr">
        <is>
          <t xml:space="preserve">3.2</t>
        </is>
      </c>
      <c r="D24" s="216" t="inlineStr">
        <is>
          <t xml:space="preserve">내부 가상 네트워크 보안 관리</t>
        </is>
      </c>
      <c r="E24" s="108" t="inlineStr">
        <is>
          <t xml:space="preserve">양호 - 내부 리소스 접근 시 접근통제(VPN, Bastion)가 적용되어 있을 경우
취약 - 내부 리소스 접근 시 접근통제(VPN, Bastion)가 적용되어 있지 않을 경우</t>
        </is>
      </c>
      <c r="F24" s="248"/>
      <c r="G24" s="201"/>
    </row>
    <row r="25" spans="1:16" ht="63.90" customHeight="1">
      <c r="A25" s="1"/>
      <c r="B25" s="163"/>
      <c r="C25" s="90" t="inlineStr">
        <is>
          <t xml:space="preserve">3.3</t>
        </is>
      </c>
      <c r="D25" s="216" t="inlineStr">
        <is>
          <t xml:space="preserve">보안그룹 인/아웃바운드 ANY 설정 관리</t>
        </is>
      </c>
      <c r="E25" s="108" t="inlineStr">
        <is>
          <t xml:space="preserve">양호 - 보안그룹 내 인/아웃바운드의 포트가 Any로 허용되어 있지 않을 경우
취약 - 보안그룹 내 인/아웃바운드의 포트가 Any로 허용되어 있을 경우</t>
        </is>
      </c>
      <c r="F25" s="248"/>
      <c r="G25" s="201"/>
    </row>
    <row r="26" spans="1:16" ht="95.10" customHeight="1">
      <c r="A26" s="1"/>
      <c r="B26" s="163"/>
      <c r="C26" s="90" t="inlineStr">
        <is>
          <t xml:space="preserve">3.4</t>
        </is>
      </c>
      <c r="D26" s="216" t="inlineStr">
        <is>
          <t xml:space="preserve">보안그룹 인/아웃바운드 불필요 정책 관리</t>
        </is>
      </c>
      <c r="E26" s="108" t="inlineStr">
        <is>
          <t xml:space="preserve">양호 - 보안그룹 인/아웃바운드 규칙 내 불필요한 정책(Source, Destination)이 존재하지 않는 경우
취약 - 보안그룹 인/아웃바운드 규칙 내 불필요한 정책(Source, Destination)이 존재하는 경우</t>
        </is>
      </c>
      <c r="F26" s="248"/>
      <c r="G26" s="201"/>
    </row>
    <row r="27" spans="1:16" ht="79.50" customHeight="1">
      <c r="A27" s="1"/>
      <c r="B27" s="163"/>
      <c r="C27" s="90" t="inlineStr">
        <is>
          <t xml:space="preserve">3.5</t>
        </is>
      </c>
      <c r="D27" s="216" t="inlineStr">
        <is>
          <t xml:space="preserve">방화벽 ANY 정책 설정 관리</t>
        </is>
      </c>
      <c r="E27" s="108" t="inlineStr">
        <is>
          <t xml:space="preserve">양호 - 방화벽 정책 내 규칙(Source, Destination, Port)이 Any로 허용되어 있지 않을 경우
취약 - 방화벽 정책 내 규칙(Source, Destination, Port)이 Any로 허용되어 있을 경우</t>
        </is>
      </c>
      <c r="F27" s="248"/>
      <c r="G27" s="201"/>
    </row>
    <row r="28" spans="1:16" ht="63.90" customHeight="1">
      <c r="A28" s="1"/>
      <c r="B28" s="163"/>
      <c r="C28" s="90" t="inlineStr">
        <is>
          <t xml:space="preserve">3.6</t>
        </is>
      </c>
      <c r="D28" s="216" t="inlineStr">
        <is>
          <t xml:space="preserve">방화벽 불필요 정책 관리</t>
        </is>
      </c>
      <c r="E28" s="108" t="inlineStr">
        <is>
          <t xml:space="preserve">양호 - 방화벽 정책 내 불필요한 규칙이 존재하고 있지 않을 경우
취약 - 방화벽 정책 내 불필요한 규칙이 존재하고 있을 경우</t>
        </is>
      </c>
      <c r="F28" s="248"/>
      <c r="G28" s="201"/>
    </row>
    <row r="29" spans="1:16" ht="63.90" customHeight="1">
      <c r="A29" s="1"/>
      <c r="B29" s="163"/>
      <c r="C29" s="90" t="inlineStr">
        <is>
          <t xml:space="preserve">3.7</t>
        </is>
      </c>
      <c r="D29" s="216" t="inlineStr">
        <is>
          <t xml:space="preserve">NAT 게이트웨이 서브넷 연결 관리</t>
        </is>
      </c>
      <c r="E29" s="108" t="inlineStr">
        <is>
          <t xml:space="preserve">양호 - 퍼블릭 네트워크 접속이 필요한 서브넷만 연결되어 있을 경우
취약 - 퍼블릭 네트워크 접속이 불필요한 서브넷이 연결되어 있을 경우</t>
        </is>
      </c>
      <c r="F29" s="248"/>
      <c r="G29" s="201"/>
    </row>
    <row r="30" spans="1:16" ht="95.10" customHeight="1">
      <c r="A30" s="1"/>
      <c r="B30" s="163"/>
      <c r="C30" s="90" t="inlineStr">
        <is>
          <t xml:space="preserve">3.8</t>
        </is>
      </c>
      <c r="D30" s="216" t="inlineStr">
        <is>
          <t xml:space="preserve">스토리지 계정 보안 설정</t>
        </is>
      </c>
      <c r="E30" s="108" t="inlineStr">
        <is>
          <t xml:space="preserve">양호 - 보안 전송 필요 활성화, TLS 버전(1.2) 설정 및 퍼블릭 액세스가 차단되어 있을 경우
취약 - 보안 전송 필요 비활성화, TLS 버전(1.2 이하) 설정 및 퍼블릭 액세스가 차단되어 있을 경우</t>
        </is>
      </c>
      <c r="F30" s="248"/>
      <c r="G30" s="201"/>
    </row>
    <row r="31" spans="1:16" ht="95.10" customHeight="1">
      <c r="A31" s="1"/>
      <c r="B31" s="163"/>
      <c r="C31" s="90" t="inlineStr">
        <is>
          <t xml:space="preserve">3.9</t>
        </is>
      </c>
      <c r="D31" s="216" t="inlineStr">
        <is>
          <t xml:space="preserve">스토리지 계정 공유 액세스 서명 정책 관리</t>
        </is>
      </c>
      <c r="E31" s="108" t="inlineStr">
        <is>
          <t xml:space="preserve">양호 - 공유 액세스 서명을 사용 시 허용된 권한 및 허용 IP 주소가 최소한으로 설정되어 있을 경우
취약 - 공유 액세스 서명을 사용 시 허용된 권한 및 허용 IP 주소가 최소한으로 설정되어 있지 않을 경우</t>
        </is>
      </c>
      <c r="F31" s="248"/>
      <c r="G31" s="201"/>
    </row>
    <row r="32" spans="1:16" ht="79.50" customHeight="1">
      <c r="A32" s="1"/>
      <c r="B32" s="163"/>
      <c r="C32" s="90" t="inlineStr">
        <is>
          <t xml:space="preserve">3.10</t>
        </is>
      </c>
      <c r="D32" s="216" t="inlineStr">
        <is>
          <t xml:space="preserve">AKS Pod 보안 정책 관리</t>
        </is>
      </c>
      <c r="E32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2" s="248"/>
      <c r="G32" s="201"/>
    </row>
    <row r="33" spans="1:16" ht="63.90" customHeight="1">
      <c r="A33" s="1"/>
      <c r="B33" s="249"/>
      <c r="C33" s="250" t="inlineStr">
        <is>
          <t xml:space="preserve">3.11</t>
        </is>
      </c>
      <c r="D33" s="251" t="inlineStr">
        <is>
          <t xml:space="preserve">Kubernetes API 서버 보안 액세스 설정</t>
        </is>
      </c>
      <c r="E33" s="252" t="inlineStr">
        <is>
          <t xml:space="preserve">양호 - 권한 있는 IP 범위 설정이 적용되어 있는 경우
취약 - 권한 있는 IP 범위 설정이 적용되어 있지 않은 경우</t>
        </is>
      </c>
      <c r="F33" s="255"/>
      <c r="G33" s="254"/>
    </row>
    <row r="34" spans="1:16" ht="63.90" customHeight="1">
      <c r="A34" s="1"/>
      <c r="B34" s="241" t="inlineStr">
        <is>
          <t xml:space="preserve">4. 운영 관리</t>
        </is>
      </c>
      <c r="C34" s="242" t="inlineStr">
        <is>
          <t xml:space="preserve">4.1</t>
        </is>
      </c>
      <c r="D34" s="243" t="inlineStr">
        <is>
          <t xml:space="preserve">데이터베이스 암호화 설정 관리</t>
        </is>
      </c>
      <c r="E34" s="244" t="inlineStr">
        <is>
          <t xml:space="preserve">양호 - 투명한 데이터 암호화 및 데이터 암호화 기능이 설정되어 있을 경우
취약 - 투명한 데이터 암호화 및 데이터 암호화 기능이 설정되어 있지 않을 경우</t>
        </is>
      </c>
      <c r="F34" s="247"/>
      <c r="G34" s="246"/>
    </row>
    <row r="35" spans="1:16" ht="63.90" customHeight="1">
      <c r="A35" s="1"/>
      <c r="B35" s="163"/>
      <c r="C35" s="90" t="inlineStr">
        <is>
          <t xml:space="preserve">4.2</t>
        </is>
      </c>
      <c r="D35" s="216" t="inlineStr">
        <is>
          <t xml:space="preserve">스토리지 암호화 설정</t>
        </is>
      </c>
      <c r="E35" s="108" t="inlineStr">
        <is>
          <t xml:space="preserve">양호 - 사용자 고유키 및 관리형 키를 통해 암호화를 설정하고 있을 경우
취약 - 사용자 고유키 및 관리형 키를 통해 암호화를 설정하고 있지 않을 경우</t>
        </is>
      </c>
      <c r="F35" s="248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6" t="inlineStr">
        <is>
          <t xml:space="preserve">디스크 암호화 설정</t>
        </is>
      </c>
      <c r="E36" s="108" t="inlineStr">
        <is>
          <t xml:space="preserve">양호 - 플랫폼 관리형 키 및 고객 관리형 키를 통해 암호화를 설정하고 있을 경우
취약 - 플랫폼 관리형 키 및 고객 관리형 키를 통해 암호화를 설정하고 있지 않을 경우</t>
        </is>
      </c>
      <c r="F36" s="248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6" t="inlineStr">
        <is>
          <t xml:space="preserve">통신구간 암호화 설정</t>
        </is>
      </c>
      <c r="E37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7" s="248"/>
      <c r="G37" s="201"/>
    </row>
    <row r="38" spans="1:16" ht="79.50" customHeight="1">
      <c r="A38" s="1"/>
      <c r="B38" s="163"/>
      <c r="C38" s="90" t="inlineStr">
        <is>
          <t xml:space="preserve">4.5</t>
        </is>
      </c>
      <c r="D38" s="216" t="inlineStr">
        <is>
          <t xml:space="preserve">키 자격 증명 모음 회전 정책 관리</t>
        </is>
      </c>
      <c r="E38" s="108" t="inlineStr">
        <is>
          <t xml:space="preserve">양호 - 사용자 고유키에 대한 회전 정책이 기준(90일)에 맞게 설정되어 있을 경우
취약 - 사용자 고유키에 대한 회전 정책이 기준(90 일 초과)에 맞게 설정되어 있지 않을 경우</t>
        </is>
      </c>
      <c r="F38" s="248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6" t="inlineStr">
        <is>
          <t xml:space="preserve">AD 감사로그 설정</t>
        </is>
      </c>
      <c r="E39" s="108" t="inlineStr">
        <is>
          <t xml:space="preserve">양호 - AD 감사 로그 보관 정책이 존재하고 있을 경우
취약 - AD 감사 로그 보관 정책이 존재하고 있지 않을 경우</t>
        </is>
      </c>
      <c r="F39" s="248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6" t="inlineStr">
        <is>
          <t xml:space="preserve">인스턴스 서비스 감사 로그 설정</t>
        </is>
      </c>
      <c r="E40" s="108" t="inlineStr">
        <is>
          <t xml:space="preserve">양호 - 인스턴스 서비스 로그 보관 정책이 존재하고 있을 경우
취약 - 인스턴스 서비스 로그 보관 정책이 존재하고 있지 않을 경우</t>
        </is>
      </c>
      <c r="F40" s="248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6" t="inlineStr">
        <is>
          <t xml:space="preserve">네트워크 서비스 감사 로그 설정</t>
        </is>
      </c>
      <c r="E41" s="108" t="inlineStr">
        <is>
          <t xml:space="preserve">양호 - 네트워크 서비스 로그 보관 정책이 존재하고 있을 경우
취약 - 네트워크 서비스 로그 보관 정책이 존재하고 있지 않을 경우</t>
        </is>
      </c>
      <c r="F41" s="248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6" t="inlineStr">
        <is>
          <t xml:space="preserve">기타 서비스 감사 로그 설정</t>
        </is>
      </c>
      <c r="E42" s="108" t="inlineStr">
        <is>
          <t xml:space="preserve">양호 - 기타 서비스 로그 보관 정책이 존재하고 있을 경우
취약 - 기타 서비스 로그 보관 정책이 존재하고 있지 않을 경우</t>
        </is>
      </c>
      <c r="F42" s="248"/>
      <c r="G42" s="201"/>
    </row>
    <row r="43" spans="1:16" ht="79.50" customHeight="1">
      <c r="A43" s="1"/>
      <c r="B43" s="163"/>
      <c r="C43" s="90" t="inlineStr">
        <is>
          <t xml:space="preserve">4.10</t>
        </is>
      </c>
      <c r="D43" s="216" t="inlineStr">
        <is>
          <t xml:space="preserve">리소스 그룹 잠금</t>
        </is>
      </c>
      <c r="E43" s="108" t="inlineStr">
        <is>
          <t xml:space="preserve">양호 - 고객서비스(상용) 및 운영서비스가 잠금 기능을 설정하여 사용하고 있을 경우
취약 - 고객서비스(상용) 및 운영서비스가 잠금 기능을 설정하여 사용하고 있지 않을 경우</t>
        </is>
      </c>
      <c r="F43" s="248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6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8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6" t="inlineStr">
        <is>
          <t xml:space="preserve">AKS Cluster 이미지 무결성 설정</t>
        </is>
      </c>
      <c r="E45" s="108" t="inlineStr">
        <is>
          <t xml:space="preserve">양호 - 이미지 무결성 검증 정책이 존재하며 준수가 적용된 경우
취약 - 이미지 무결성 검증 정책이 존재하지 않거나 정책이 존재하지만 미준수일 경우</t>
        </is>
      </c>
      <c r="F45" s="248"/>
      <c r="G45" s="201"/>
    </row>
    <row r="46" spans="1:16" ht="48.30" customHeight="1">
      <c r="A46" s="1"/>
      <c r="B46" s="249"/>
      <c r="C46" s="250" t="inlineStr">
        <is>
          <t xml:space="preserve">4.13</t>
        </is>
      </c>
      <c r="D46" s="251" t="inlineStr">
        <is>
          <t xml:space="preserve">AKS 진단 로그 설정</t>
        </is>
      </c>
      <c r="E46" s="252" t="inlineStr">
        <is>
          <t xml:space="preserve">양호 - 진단 로그 설정이 되어있는 경우
취약 - 진단 로그 설정이 되어있지 않은 경우</t>
        </is>
      </c>
      <c r="F46" s="255"/>
      <c r="G46" s="254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214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6"/>
    <mergeCell ref="B17:B22"/>
    <mergeCell ref="B23:B33"/>
    <mergeCell ref="B34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4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진단결과(Azure)</vt:lpstr>
      <vt:lpstr>3-1. 진단 결과(Azure)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