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GCP)" sheetId="4" r:id="rId4"/>
    <sheet name="3-1. 진단 결과(G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요약결과(그래프)'!$A$1:$Y$87</definedName>
    <definedName name="_xlnm.Print_Area" localSheetId="4">'3-1. 진단 결과(GCP)'!$B$6:$G$59</definedName>
    <definedName name="_xlnm.Print_Titles" localSheetId="3">'2-2. 요약 진단결과(GCP)'!$2:$5</definedName>
    <definedName name="_xlnm.Print_Titles" localSheetId="4">'3-1. 진단 결과(GCP)'!$2:$5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<sst xmlns="http://schemas.openxmlformats.org/spreadsheetml/2006/main" count="39" uniqueCount="32">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</sst>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요약결과(그래프)'!$C$67:$C$70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GCP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GCP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(GCP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GCP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GCP</t>
        </is>
      </c>
      <c r="C5" s="45">
        <f>IFERROR(AVERAGE('2-2. 요약 진단결과(GCP)'!F59:F59),"")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진단결과(GCP)'!F59:F59,"&gt;=0.85")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진단결과(GCP)'!F59:F59,"&gt;=0.7",'2-2. 요약 진단결과(GCP)'!F59:F59,"&lt;0.85")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진단결과(GCP)'!F59:F59,"&lt;0.7")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GCP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0">
        <f>IFERROR(INDEX('2-2. 요약 진단결과(GCP)'!$F$4:$G$4,MATCH($W37,'2-2. 요약 진단결과(GCP)'!$F$3:$G$3,0)),"")</f>
      </c>
      <c r="Y37" s="76">
        <f>IFERROR(INDEX('2-2. 요약 진단결과(GCP)'!$F:$G,MATCH("보안 적용율*",'2-2. 요약 진단결과(GCP)'!$C:$C,0),MATCH($W37,'2-2. 요약 진단결과(GCP)'!$F$3:$G$3,0)),"")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2">
        <f>'2-2. 요약 진단결과(GCP)'!B6</f>
      </c>
      <c r="C67" s="66">
        <f>'2-2. 요약 진단결과(GCP)'!H6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72">
        <f>'2-2. 요약 진단결과(GCP)'!B18</f>
      </c>
      <c r="C68" s="66">
        <f>'2-2. 요약 진단결과(GCP)'!H18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72">
        <f>'2-2. 요약 진단결과(GCP)'!B21</f>
      </c>
      <c r="C69" s="66">
        <f>'2-2. 요약 진단결과(GCP)'!H21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72">
        <f>'2-2. 요약 진단결과(GCP)'!B34</f>
      </c>
      <c r="C70" s="66">
        <f>'2-2. 요약 진단결과(GCP)'!H34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73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73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74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14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GCP 취약점 진단 요약결과(52항목)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7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 관리</t>
        </is>
      </c>
      <c r="C6" s="252" t="inlineStr">
        <is>
          <t xml:space="preserve">1.1</t>
        </is>
      </c>
      <c r="D6" s="253" t="inlineStr">
        <is>
          <t xml:space="preserve">사용자 계정 관리</t>
        </is>
      </c>
      <c r="E6" s="254" t="inlineStr">
        <is>
          <t xml:space="preserve">상</t>
        </is>
      </c>
      <c r="F6" s="255">
        <f>IFERROR(T(INDEX('3-1. 진단 결과(GCP)'!$F$6:$G$57,MATCH($C6,'3-1. 진단 결과(GCP)'!$C$6:$C$57,0),MATCH(F$3,'3-1. 진단 결과(GCP)'!$F$3:$G$3,0))),"")</f>
      </c>
      <c r="G6" s="5"/>
      <c r="H6" s="256">
        <f>IF(COUNTIF(I6:I17,"N/A")=COUNTA(I6:I17),"N/A",AVERAGE(I6:I17))</f>
      </c>
      <c r="I6" s="257">
        <f>IF($J6+$K6=0,"N/A",$J6/($J6+$K6))</f>
      </c>
      <c r="J6" s="258">
        <f>COUNTIF($F6:$F6,"양호")</f>
      </c>
      <c r="K6" s="259">
        <f>COUNTIF($F6:$F6,"취약")</f>
      </c>
      <c r="L6" s="260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27" t="inlineStr">
        <is>
          <t xml:space="preserve">Cloud ID 계정 정책 관리</t>
        </is>
      </c>
      <c r="E7" s="8" t="inlineStr">
        <is>
          <t xml:space="preserve">중</t>
        </is>
      </c>
      <c r="F7" s="33">
        <f>IFERROR(T(INDEX('3-1. 진단 결과(GCP)'!$F$6:$G$57,MATCH($C7,'3-1. 진단 결과(GCP)'!$C$6:$C$57,0),MATCH(F$3,'3-1. 진단 결과(GCP)'!$F$3:$G$3,0))),"")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27" t="inlineStr">
        <is>
          <t xml:space="preserve">Cloud ID 계정 패스워드 정책 관리</t>
        </is>
      </c>
      <c r="E8" s="8" t="inlineStr">
        <is>
          <t xml:space="preserve">중</t>
        </is>
      </c>
      <c r="F8" s="33">
        <f>IFERROR(T(INDEX('3-1. 진단 결과(GCP)'!$F$6:$G$57,MATCH($C8,'3-1. 진단 결과(GCP)'!$C$6:$C$57,0),MATCH(F$3,'3-1. 진단 결과(GCP)'!$F$3:$G$3,0))),"")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27" t="inlineStr">
        <is>
          <t xml:space="preserve">Identity Platform 사용자 관리</t>
        </is>
      </c>
      <c r="E9" s="8" t="inlineStr">
        <is>
          <t xml:space="preserve">중</t>
        </is>
      </c>
      <c r="F9" s="33">
        <f>IFERROR(T(INDEX('3-1. 진단 결과(GCP)'!$F$6:$G$57,MATCH($C9,'3-1. 진단 결과(GCP)'!$C$6:$C$57,0),MATCH(F$3,'3-1. 진단 결과(GCP)'!$F$3:$G$3,0))),"")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27" t="inlineStr">
        <is>
          <t xml:space="preserve">API 활성화 및 사용 주기 관리</t>
        </is>
      </c>
      <c r="E10" s="8" t="inlineStr">
        <is>
          <t xml:space="preserve">중</t>
        </is>
      </c>
      <c r="F10" s="33">
        <f>IFERROR(T(INDEX('3-1. 진단 결과(GCP)'!$F$6:$G$57,MATCH($C10,'3-1. 진단 결과(GCP)'!$C$6:$C$57,0),MATCH(F$3,'3-1. 진단 결과(GCP)'!$F$3:$G$3,0))),"")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27" t="inlineStr">
        <is>
          <t xml:space="preserve">SSH 키 사용 관리</t>
        </is>
      </c>
      <c r="E11" s="8" t="inlineStr">
        <is>
          <t xml:space="preserve">상</t>
        </is>
      </c>
      <c r="F11" s="33">
        <f>IFERROR(T(INDEX('3-1. 진단 결과(GCP)'!$F$6:$G$57,MATCH($C11,'3-1. 진단 결과(GCP)'!$C$6:$C$57,0),MATCH(F$3,'3-1. 진단 결과(GCP)'!$F$3:$G$3,0))),"")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27" t="inlineStr">
        <is>
          <t xml:space="preserve">메타데이터 관리</t>
        </is>
      </c>
      <c r="E12" s="8" t="inlineStr">
        <is>
          <t xml:space="preserve">상</t>
        </is>
      </c>
      <c r="F12" s="33">
        <f>IFERROR(T(INDEX('3-1. 진단 결과(GCP)'!$F$6:$G$57,MATCH($C12,'3-1. 진단 결과(GCP)'!$C$6:$C$57,0),MATCH(F$3,'3-1. 진단 결과(GCP)'!$F$3:$G$3,0))),"")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27" t="inlineStr">
        <is>
          <t xml:space="preserve">SQL 계정 관리</t>
        </is>
      </c>
      <c r="E13" s="8" t="inlineStr">
        <is>
          <t xml:space="preserve">상</t>
        </is>
      </c>
      <c r="F13" s="33">
        <f>IFERROR(T(INDEX('3-1. 진단 결과(GCP)'!$F$6:$G$57,MATCH($C13,'3-1. 진단 결과(GCP)'!$C$6:$C$57,0),MATCH(F$3,'3-1. 진단 결과(GCP)'!$F$3:$G$3,0))),"")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27" t="inlineStr">
        <is>
          <t xml:space="preserve">MFA (Multi-Factor Authentication) 설정</t>
        </is>
      </c>
      <c r="E14" s="8" t="inlineStr">
        <is>
          <t xml:space="preserve">중</t>
        </is>
      </c>
      <c r="F14" s="33">
        <f>IFERROR(T(INDEX('3-1. 진단 결과(GCP)'!$F$6:$G$57,MATCH($C14,'3-1. 진단 결과(GCP)'!$C$6:$C$57,0),MATCH(F$3,'3-1. 진단 결과(GCP)'!$F$3:$G$3,0))),"")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27" t="inlineStr">
        <is>
          <t xml:space="preserve">GKE 사용자 관리</t>
        </is>
      </c>
      <c r="E15" s="8" t="inlineStr">
        <is>
          <t xml:space="preserve">상</t>
        </is>
      </c>
      <c r="F15" s="33">
        <f>IFERROR(T(INDEX('3-1. 진단 결과(GCP)'!$F$6:$G$57,MATCH($C15,'3-1. 진단 결과(GCP)'!$C$6:$C$57,0),MATCH(F$3,'3-1. 진단 결과(GCP)'!$F$3:$G$3,0))),"")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163"/>
      <c r="C16" s="91" t="inlineStr">
        <is>
          <t xml:space="preserve">1.11</t>
        </is>
      </c>
      <c r="D16" s="227" t="inlineStr">
        <is>
          <t xml:space="preserve">GKE 서비스 어카운트 관리</t>
        </is>
      </c>
      <c r="E16" s="8" t="inlineStr">
        <is>
          <t xml:space="preserve">중</t>
        </is>
      </c>
      <c r="F16" s="33">
        <f>IFERROR(T(INDEX('3-1. 진단 결과(GCP)'!$F$6:$G$57,MATCH($C16,'3-1. 진단 결과(GCP)'!$C$6:$C$57,0),MATCH(F$3,'3-1. 진단 결과(GCP)'!$F$3:$G$3,0))),"")</f>
      </c>
      <c r="G16" s="5"/>
      <c r="H16" s="159"/>
      <c r="I16" s="34">
        <f>IF($J16+$K16=0,"N/A",$J16/($J16+$K16))</f>
      </c>
      <c r="J16" s="120">
        <f>COUNTIF($F16:$F16,"양호")</f>
      </c>
      <c r="K16" s="121">
        <f>COUNTIF($F16:$F16,"취약")</f>
      </c>
      <c r="L16" s="30">
        <f>COUNTIF($F16:$F16,"N/A")</f>
      </c>
    </row>
    <row r="17" spans="1:26" ht="31.65" customHeight="1">
      <c r="A17" s="31"/>
      <c r="B17" s="245"/>
      <c r="C17" s="261" t="inlineStr">
        <is>
          <t xml:space="preserve">1.12</t>
        </is>
      </c>
      <c r="D17" s="262" t="inlineStr">
        <is>
          <t xml:space="preserve">GKE 불필요한 익명 접근 관리</t>
        </is>
      </c>
      <c r="E17" s="263" t="inlineStr">
        <is>
          <t xml:space="preserve">상</t>
        </is>
      </c>
      <c r="F17" s="264">
        <f>IFERROR(T(INDEX('3-1. 진단 결과(GCP)'!$F$6:$G$57,MATCH($C17,'3-1. 진단 결과(GCP)'!$C$6:$C$57,0),MATCH(F$3,'3-1. 진단 결과(GCP)'!$F$3:$G$3,0))),"")</f>
      </c>
      <c r="G17" s="5"/>
      <c r="H17" s="265"/>
      <c r="I17" s="266">
        <f>IF($J17+$K17=0,"N/A",$J17/($J17+$K17))</f>
      </c>
      <c r="J17" s="267">
        <f>COUNTIF($F17:$F17,"양호")</f>
      </c>
      <c r="K17" s="268">
        <f>COUNTIF($F17:$F17,"취약")</f>
      </c>
      <c r="L17" s="269">
        <f>COUNTIF($F17:$F17,"N/A")</f>
      </c>
    </row>
    <row r="18" spans="1:26" ht="31.65" customHeight="1">
      <c r="A18" s="31"/>
      <c r="B18" s="237" t="inlineStr">
        <is>
          <t xml:space="preserve">2. 권한 관리</t>
        </is>
      </c>
      <c r="C18" s="252" t="inlineStr">
        <is>
          <t xml:space="preserve">2.1</t>
        </is>
      </c>
      <c r="D18" s="253" t="inlineStr">
        <is>
          <t xml:space="preserve">인스턴스 서비스 정책 관리</t>
        </is>
      </c>
      <c r="E18" s="254" t="inlineStr">
        <is>
          <t xml:space="preserve">상</t>
        </is>
      </c>
      <c r="F18" s="255">
        <f>IFERROR(T(INDEX('3-1. 진단 결과(GCP)'!$F$6:$G$57,MATCH($C18,'3-1. 진단 결과(GCP)'!$C$6:$C$57,0),MATCH(F$3,'3-1. 진단 결과(GCP)'!$F$3:$G$3,0))),"")</f>
      </c>
      <c r="G18" s="5"/>
      <c r="H18" s="256">
        <f>IF(COUNTIF(I18:I20,"N/A")=COUNTA(I18:I20),"N/A",AVERAGE(I18:I20))</f>
      </c>
      <c r="I18" s="257">
        <f>IF($J18+$K18=0,"N/A",$J18/($J18+$K18))</f>
      </c>
      <c r="J18" s="258">
        <f>COUNTIF($F18:$F18,"양호")</f>
      </c>
      <c r="K18" s="259">
        <f>COUNTIF($F18:$F18,"취약")</f>
      </c>
      <c r="L18" s="260">
        <f>COUNTIF($F18:$F18,"N/A")</f>
      </c>
    </row>
    <row r="19" spans="1:26" ht="31.65" customHeight="1">
      <c r="A19" s="31"/>
      <c r="B19" s="163"/>
      <c r="C19" s="91" t="inlineStr">
        <is>
          <t xml:space="preserve">2.2</t>
        </is>
      </c>
      <c r="D19" s="227" t="inlineStr">
        <is>
          <t xml:space="preserve">네트워크 서비스 정책 관리</t>
        </is>
      </c>
      <c r="E19" s="8" t="inlineStr">
        <is>
          <t xml:space="preserve">상</t>
        </is>
      </c>
      <c r="F19" s="33">
        <f>IFERROR(T(INDEX('3-1. 진단 결과(GCP)'!$F$6:$G$57,MATCH($C19,'3-1. 진단 결과(GCP)'!$C$6:$C$57,0),MATCH(F$3,'3-1. 진단 결과(GCP)'!$F$3:$G$3,0))),"")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5"/>
      <c r="C20" s="261" t="inlineStr">
        <is>
          <t xml:space="preserve">2.3</t>
        </is>
      </c>
      <c r="D20" s="262" t="inlineStr">
        <is>
          <t xml:space="preserve">기타 서비스 정책 관리</t>
        </is>
      </c>
      <c r="E20" s="263" t="inlineStr">
        <is>
          <t xml:space="preserve">상</t>
        </is>
      </c>
      <c r="F20" s="264">
        <f>IFERROR(T(INDEX('3-1. 진단 결과(GCP)'!$F$6:$G$57,MATCH($C20,'3-1. 진단 결과(GCP)'!$C$6:$C$57,0),MATCH(F$3,'3-1. 진단 결과(GCP)'!$F$3:$G$3,0))),"")</f>
      </c>
      <c r="G20" s="5"/>
      <c r="H20" s="265"/>
      <c r="I20" s="266">
        <f>IF($J20+$K20=0,"N/A",$J20/($J20+$K20))</f>
      </c>
      <c r="J20" s="267">
        <f>COUNTIF($F20:$F20,"양호")</f>
      </c>
      <c r="K20" s="268">
        <f>COUNTIF($F20:$F20,"취약")</f>
      </c>
      <c r="L20" s="269">
        <f>COUNTIF($F20:$F20,"N/A")</f>
      </c>
    </row>
    <row r="21" spans="1:26" ht="31.65" customHeight="1">
      <c r="A21" s="31"/>
      <c r="B21" s="237" t="inlineStr">
        <is>
          <t xml:space="preserve">3. 가상 리소스 관리</t>
        </is>
      </c>
      <c r="C21" s="252" t="inlineStr">
        <is>
          <t xml:space="preserve">3.1</t>
        </is>
      </c>
      <c r="D21" s="253" t="inlineStr">
        <is>
          <t xml:space="preserve">ID 및 API 액세스</t>
        </is>
      </c>
      <c r="E21" s="254" t="inlineStr">
        <is>
          <t xml:space="preserve">상</t>
        </is>
      </c>
      <c r="F21" s="255">
        <f>IFERROR(T(INDEX('3-1. 진단 결과(GCP)'!$F$6:$G$57,MATCH($C21,'3-1. 진단 결과(GCP)'!$C$6:$C$57,0),MATCH(F$3,'3-1. 진단 결과(GCP)'!$F$3:$G$3,0))),"")</f>
      </c>
      <c r="G21" s="5"/>
      <c r="H21" s="256">
        <f>IF(COUNTIF(I21:I33,"N/A")=COUNTA(I21:I33),"N/A",AVERAGE(I21:I33))</f>
      </c>
      <c r="I21" s="257">
        <f>IF($J21+$K21=0,"N/A",$J21/($J21+$K21))</f>
      </c>
      <c r="J21" s="258">
        <f>COUNTIF($F21:$F21,"양호")</f>
      </c>
      <c r="K21" s="259">
        <f>COUNTIF($F21:$F21,"취약")</f>
      </c>
      <c r="L21" s="260">
        <f>COUNTIF($F21:$F21,"N/A")</f>
      </c>
    </row>
    <row r="22" spans="1:26" ht="31.65" customHeight="1">
      <c r="A22" s="31"/>
      <c r="B22" s="163"/>
      <c r="C22" s="91" t="inlineStr">
        <is>
          <t xml:space="preserve">3.2</t>
        </is>
      </c>
      <c r="D22" s="227" t="inlineStr">
        <is>
          <t xml:space="preserve">VM 인스턴스 관리 및 보안</t>
        </is>
      </c>
      <c r="E22" s="8" t="inlineStr">
        <is>
          <t xml:space="preserve">하</t>
        </is>
      </c>
      <c r="F22" s="33">
        <f>IFERROR(T(INDEX('3-1. 진단 결과(GCP)'!$F$6:$G$57,MATCH($C22,'3-1. 진단 결과(GCP)'!$C$6:$C$57,0),MATCH(F$3,'3-1. 진단 결과(GCP)'!$F$3:$G$3,0))),"")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3.3</t>
        </is>
      </c>
      <c r="D23" s="227" t="inlineStr">
        <is>
          <t xml:space="preserve">애플리케이션 방화벽</t>
        </is>
      </c>
      <c r="E23" s="8" t="inlineStr">
        <is>
          <t xml:space="preserve">중</t>
        </is>
      </c>
      <c r="F23" s="33">
        <f>IFERROR(T(INDEX('3-1. 진단 결과(GCP)'!$F$6:$G$57,MATCH($C23,'3-1. 진단 결과(GCP)'!$C$6:$C$57,0),MATCH(F$3,'3-1. 진단 결과(GCP)'!$F$3:$G$3,0))),"")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3.4</t>
        </is>
      </c>
      <c r="D24" s="227" t="inlineStr">
        <is>
          <t xml:space="preserve">네트워크 방화벽 인/아웃바운드 ANY 설정 관리</t>
        </is>
      </c>
      <c r="E24" s="8" t="inlineStr">
        <is>
          <t xml:space="preserve">상</t>
        </is>
      </c>
      <c r="F24" s="33">
        <f>IFERROR(T(INDEX('3-1. 진단 결과(GCP)'!$F$6:$G$57,MATCH($C24,'3-1. 진단 결과(GCP)'!$C$6:$C$57,0),MATCH(F$3,'3-1. 진단 결과(GCP)'!$F$3:$G$3,0))),"")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3.5</t>
        </is>
      </c>
      <c r="D25" s="227" t="inlineStr">
        <is>
          <t xml:space="preserve">네트워크 방화벽 인/아웃바운드 불필요 정책 관리</t>
        </is>
      </c>
      <c r="E25" s="8" t="inlineStr">
        <is>
          <t xml:space="preserve">상</t>
        </is>
      </c>
      <c r="F25" s="33">
        <f>IFERROR(T(INDEX('3-1. 진단 결과(GCP)'!$F$6:$G$57,MATCH($C25,'3-1. 진단 결과(GCP)'!$C$6:$C$57,0),MATCH(F$3,'3-1. 진단 결과(GCP)'!$F$3:$G$3,0))),"")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3.6</t>
        </is>
      </c>
      <c r="D26" s="227" t="inlineStr">
        <is>
          <t xml:space="preserve">VPC 네트워크 서브넷 관리</t>
        </is>
      </c>
      <c r="E26" s="8" t="inlineStr">
        <is>
          <t xml:space="preserve">상</t>
        </is>
      </c>
      <c r="F26" s="33">
        <f>IFERROR(T(INDEX('3-1. 진단 결과(GCP)'!$F$6:$G$57,MATCH($C26,'3-1. 진단 결과(GCP)'!$C$6:$C$57,0),MATCH(F$3,'3-1. 진단 결과(GCP)'!$F$3:$G$3,0))),"")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3.7</t>
        </is>
      </c>
      <c r="D27" s="227" t="inlineStr">
        <is>
          <t xml:space="preserve">VPC 네트워크 서브넷 비공개 구글 액세스 설정</t>
        </is>
      </c>
      <c r="E27" s="8" t="inlineStr">
        <is>
          <t xml:space="preserve">중</t>
        </is>
      </c>
      <c r="F27" s="33">
        <f>IFERROR(T(INDEX('3-1. 진단 결과(GCP)'!$F$6:$G$57,MATCH($C27,'3-1. 진단 결과(GCP)'!$C$6:$C$57,0),MATCH(F$3,'3-1. 진단 결과(GCP)'!$F$3:$G$3,0))),"")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3.8</t>
        </is>
      </c>
      <c r="D28" s="227" t="inlineStr">
        <is>
          <t xml:space="preserve">공유 VPC 관리</t>
        </is>
      </c>
      <c r="E28" s="8" t="inlineStr">
        <is>
          <t xml:space="preserve">중</t>
        </is>
      </c>
      <c r="F28" s="33">
        <f>IFERROR(T(INDEX('3-1. 진단 결과(GCP)'!$F$6:$G$57,MATCH($C28,'3-1. 진단 결과(GCP)'!$C$6:$C$57,0),MATCH(F$3,'3-1. 진단 결과(GCP)'!$F$3:$G$3,0))),"")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3.9</t>
        </is>
      </c>
      <c r="D29" s="227" t="inlineStr">
        <is>
          <t xml:space="preserve">VPN 연결 관리</t>
        </is>
      </c>
      <c r="E29" s="8" t="inlineStr">
        <is>
          <t xml:space="preserve">중</t>
        </is>
      </c>
      <c r="F29" s="33">
        <f>IFERROR(T(INDEX('3-1. 진단 결과(GCP)'!$F$6:$G$57,MATCH($C29,'3-1. 진단 결과(GCP)'!$C$6:$C$57,0),MATCH(F$3,'3-1. 진단 결과(GCP)'!$F$3:$G$3,0))),"")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3.10</t>
        </is>
      </c>
      <c r="D30" s="227" t="inlineStr">
        <is>
          <t xml:space="preserve">Storage 버킷 ACL 관리</t>
        </is>
      </c>
      <c r="E30" s="8" t="inlineStr">
        <is>
          <t xml:space="preserve">중</t>
        </is>
      </c>
      <c r="F30" s="33">
        <f>IFERROR(T(INDEX('3-1. 진단 결과(GCP)'!$F$6:$G$57,MATCH($C30,'3-1. 진단 결과(GCP)'!$C$6:$C$57,0),MATCH(F$3,'3-1. 진단 결과(GCP)'!$F$3:$G$3,0))),"")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3.11</t>
        </is>
      </c>
      <c r="D31" s="227" t="inlineStr">
        <is>
          <t xml:space="preserve">Storage 제어 관리</t>
        </is>
      </c>
      <c r="E31" s="8" t="inlineStr">
        <is>
          <t xml:space="preserve">중</t>
        </is>
      </c>
      <c r="F31" s="33">
        <f>IFERROR(T(INDEX('3-1. 진단 결과(GCP)'!$F$6:$G$57,MATCH($C31,'3-1. 진단 결과(GCP)'!$C$6:$C$57,0),MATCH(F$3,'3-1. 진단 결과(GCP)'!$F$3:$G$3,0))),"")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3.12</t>
        </is>
      </c>
      <c r="D32" s="227" t="inlineStr">
        <is>
          <t xml:space="preserve">Storage 리소스 퍼블릭 Access 관리</t>
        </is>
      </c>
      <c r="E32" s="8" t="inlineStr">
        <is>
          <t xml:space="preserve">상</t>
        </is>
      </c>
      <c r="F32" s="33">
        <f>IFERROR(T(INDEX('3-1. 진단 결과(GCP)'!$F$6:$G$57,MATCH($C32,'3-1. 진단 결과(GCP)'!$C$6:$C$57,0),MATCH(F$3,'3-1. 진단 결과(GCP)'!$F$3:$G$3,0))),"")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5"/>
      <c r="C33" s="261" t="inlineStr">
        <is>
          <t xml:space="preserve">3.13</t>
        </is>
      </c>
      <c r="D33" s="262" t="inlineStr">
        <is>
          <t xml:space="preserve">GKE Pod 보안 정책 관리</t>
        </is>
      </c>
      <c r="E33" s="263" t="inlineStr">
        <is>
          <t xml:space="preserve">상</t>
        </is>
      </c>
      <c r="F33" s="264">
        <f>IFERROR(T(INDEX('3-1. 진단 결과(GCP)'!$F$6:$G$57,MATCH($C33,'3-1. 진단 결과(GCP)'!$C$6:$C$57,0),MATCH(F$3,'3-1. 진단 결과(GCP)'!$F$3:$G$3,0))),"")</f>
      </c>
      <c r="G33" s="5"/>
      <c r="H33" s="265"/>
      <c r="I33" s="266">
        <f>IF($J33+$K33=0,"N/A",$J33/($J33+$K33))</f>
      </c>
      <c r="J33" s="267">
        <f>COUNTIF($F33:$F33,"양호")</f>
      </c>
      <c r="K33" s="268">
        <f>COUNTIF($F33:$F33,"취약")</f>
      </c>
      <c r="L33" s="269">
        <f>COUNTIF($F33:$F33,"N/A")</f>
      </c>
    </row>
    <row r="34" spans="1:26" ht="31.65" customHeight="1">
      <c r="A34" s="31"/>
      <c r="B34" s="237" t="inlineStr">
        <is>
          <t xml:space="preserve">4. 운영 관리</t>
        </is>
      </c>
      <c r="C34" s="252" t="inlineStr">
        <is>
          <t xml:space="preserve">4.1</t>
        </is>
      </c>
      <c r="D34" s="253" t="inlineStr">
        <is>
          <t xml:space="preserve">Compute Engine 디스크 암호화 설정</t>
        </is>
      </c>
      <c r="E34" s="254" t="inlineStr">
        <is>
          <t xml:space="preserve">중</t>
        </is>
      </c>
      <c r="F34" s="255">
        <f>IFERROR(T(INDEX('3-1. 진단 결과(GCP)'!$F$6:$G$57,MATCH($C34,'3-1. 진단 결과(GCP)'!$C$6:$C$57,0),MATCH(F$3,'3-1. 진단 결과(GCP)'!$F$3:$G$3,0))),"")</f>
      </c>
      <c r="G34" s="5"/>
      <c r="H34" s="256">
        <f>IF(COUNTIF(I34:I57,"N/A")=COUNTA(I34:I57),"N/A",AVERAGE(I34:I57))</f>
      </c>
      <c r="I34" s="257">
        <f>IF($J34+$K34=0,"N/A",$J34/($J34+$K34))</f>
      </c>
      <c r="J34" s="258">
        <f>COUNTIF($F34:$F34,"양호")</f>
      </c>
      <c r="K34" s="259">
        <f>COUNTIF($F34:$F34,"취약")</f>
      </c>
      <c r="L34" s="260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27" t="inlineStr">
        <is>
          <t xml:space="preserve">Compute Engine 이미지 암호화 설정</t>
        </is>
      </c>
      <c r="E35" s="8" t="inlineStr">
        <is>
          <t xml:space="preserve">중</t>
        </is>
      </c>
      <c r="F35" s="33">
        <f>IFERROR(T(INDEX('3-1. 진단 결과(GCP)'!$F$6:$G$57,MATCH($C35,'3-1. 진단 결과(GCP)'!$C$6:$C$57,0),MATCH(F$3,'3-1. 진단 결과(GCP)'!$F$3:$G$3,0))),"")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27" t="inlineStr">
        <is>
          <t xml:space="preserve">SQL 암호화 설정</t>
        </is>
      </c>
      <c r="E36" s="8" t="inlineStr">
        <is>
          <t xml:space="preserve">중</t>
        </is>
      </c>
      <c r="F36" s="33">
        <f>IFERROR(T(INDEX('3-1. 진단 결과(GCP)'!$F$6:$G$57,MATCH($C36,'3-1. 진단 결과(GCP)'!$C$6:$C$57,0),MATCH(F$3,'3-1. 진단 결과(GCP)'!$F$3:$G$3,0))),"")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27" t="inlineStr">
        <is>
          <t xml:space="preserve">Storage 암호화 설정</t>
        </is>
      </c>
      <c r="E37" s="8" t="inlineStr">
        <is>
          <t xml:space="preserve">중</t>
        </is>
      </c>
      <c r="F37" s="33">
        <f>IFERROR(T(INDEX('3-1. 진단 결과(GCP)'!$F$6:$G$57,MATCH($C37,'3-1. 진단 결과(GCP)'!$C$6:$C$57,0),MATCH(F$3,'3-1. 진단 결과(GCP)'!$F$3:$G$3,0))),"")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27" t="inlineStr">
        <is>
          <t xml:space="preserve">Storage 데이터 보안 관리</t>
        </is>
      </c>
      <c r="E38" s="8" t="inlineStr">
        <is>
          <t xml:space="preserve">중</t>
        </is>
      </c>
      <c r="F38" s="33">
        <f>IFERROR(T(INDEX('3-1. 진단 결과(GCP)'!$F$6:$G$57,MATCH($C38,'3-1. 진단 결과(GCP)'!$C$6:$C$57,0),MATCH(F$3,'3-1. 진단 결과(GCP)'!$F$3:$G$3,0))),"")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27" t="inlineStr">
        <is>
          <t xml:space="preserve">SQL SSL 정책 관리</t>
        </is>
      </c>
      <c r="E39" s="8" t="inlineStr">
        <is>
          <t xml:space="preserve">상</t>
        </is>
      </c>
      <c r="F39" s="33">
        <f>IFERROR(T(INDEX('3-1. 진단 결과(GCP)'!$F$6:$G$57,MATCH($C39,'3-1. 진단 결과(GCP)'!$C$6:$C$57,0),MATCH(F$3,'3-1. 진단 결과(GCP)'!$F$3:$G$3,0))),"")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27" t="inlineStr">
        <is>
          <t xml:space="preserve">Load Balancing SSL 정책 관리</t>
        </is>
      </c>
      <c r="E40" s="8" t="inlineStr">
        <is>
          <t xml:space="preserve">상</t>
        </is>
      </c>
      <c r="F40" s="33">
        <f>IFERROR(T(INDEX('3-1. 진단 결과(GCP)'!$F$6:$G$57,MATCH($C40,'3-1. 진단 결과(GCP)'!$C$6:$C$57,0),MATCH(F$3,'3-1. 진단 결과(GCP)'!$F$3:$G$3,0))),"")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27" t="inlineStr">
        <is>
          <t xml:space="preserve">App Engine SSL 정책 관리</t>
        </is>
      </c>
      <c r="E41" s="8" t="inlineStr">
        <is>
          <t xml:space="preserve">상</t>
        </is>
      </c>
      <c r="F41" s="33">
        <f>IFERROR(T(INDEX('3-1. 진단 결과(GCP)'!$F$6:$G$57,MATCH($C41,'3-1. 진단 결과(GCP)'!$C$6:$C$57,0),MATCH(F$3,'3-1. 진단 결과(GCP)'!$F$3:$G$3,0))),"")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27" t="inlineStr">
        <is>
          <t xml:space="preserve">통신 구간 암호화 설정</t>
        </is>
      </c>
      <c r="E42" s="8" t="inlineStr">
        <is>
          <t xml:space="preserve">중</t>
        </is>
      </c>
      <c r="F42" s="33">
        <f>IFERROR(T(INDEX('3-1. 진단 결과(GCP)'!$F$6:$G$57,MATCH($C42,'3-1. 진단 결과(GCP)'!$C$6:$C$57,0),MATCH(F$3,'3-1. 진단 결과(GCP)'!$F$3:$G$3,0))),"")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27" t="inlineStr">
        <is>
          <t xml:space="preserve">감사 로그 기록 및 관리</t>
        </is>
      </c>
      <c r="E43" s="8" t="inlineStr">
        <is>
          <t xml:space="preserve">중</t>
        </is>
      </c>
      <c r="F43" s="33">
        <f>IFERROR(T(INDEX('3-1. 진단 결과(GCP)'!$F$6:$G$57,MATCH($C43,'3-1. 진단 결과(GCP)'!$C$6:$C$57,0),MATCH(F$3,'3-1. 진단 결과(GCP)'!$F$3:$G$3,0))),"")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27" t="inlineStr">
        <is>
          <t xml:space="preserve">감사 로그 면제 사용자 존재 여부</t>
        </is>
      </c>
      <c r="E44" s="8" t="inlineStr">
        <is>
          <t xml:space="preserve">중</t>
        </is>
      </c>
      <c r="F44" s="33">
        <f>IFERROR(T(INDEX('3-1. 진단 결과(GCP)'!$F$6:$G$57,MATCH($C44,'3-1. 진단 결과(GCP)'!$C$6:$C$57,0),MATCH(F$3,'3-1. 진단 결과(GCP)'!$F$3:$G$3,0))),"")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27" t="inlineStr">
        <is>
          <t xml:space="preserve">VPC 네트워크 흐름 로그 설정 관리</t>
        </is>
      </c>
      <c r="E45" s="8" t="inlineStr">
        <is>
          <t xml:space="preserve">중</t>
        </is>
      </c>
      <c r="F45" s="33">
        <f>IFERROR(T(INDEX('3-1. 진단 결과(GCP)'!$F$6:$G$57,MATCH($C45,'3-1. 진단 결과(GCP)'!$C$6:$C$57,0),MATCH(F$3,'3-1. 진단 결과(GCP)'!$F$3:$G$3,0))),"")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163"/>
      <c r="C46" s="91" t="inlineStr">
        <is>
          <t xml:space="preserve">4.13</t>
        </is>
      </c>
      <c r="D46" s="227" t="inlineStr">
        <is>
          <t xml:space="preserve">방화벽 로그 관리</t>
        </is>
      </c>
      <c r="E46" s="8" t="inlineStr">
        <is>
          <t xml:space="preserve">중</t>
        </is>
      </c>
      <c r="F46" s="33">
        <f>IFERROR(T(INDEX('3-1. 진단 결과(GCP)'!$F$6:$G$57,MATCH($C46,'3-1. 진단 결과(GCP)'!$C$6:$C$57,0),MATCH(F$3,'3-1. 진단 결과(GCP)'!$F$3:$G$3,0))),"")</f>
      </c>
      <c r="G46" s="5"/>
      <c r="H46" s="159"/>
      <c r="I46" s="34">
        <f>IF($J46+$K46=0,"N/A",$J46/($J46+$K46))</f>
      </c>
      <c r="J46" s="120">
        <f>COUNTIF($F46:$F46,"양호")</f>
      </c>
      <c r="K46" s="121">
        <f>COUNTIF($F46:$F46,"취약")</f>
      </c>
      <c r="L46" s="30">
        <f>COUNTIF($F46:$F46,"N/A")</f>
      </c>
    </row>
    <row r="47" spans="1:26" ht="31.65" customHeight="1">
      <c r="A47" s="31"/>
      <c r="B47" s="163"/>
      <c r="C47" s="91" t="inlineStr">
        <is>
          <t xml:space="preserve">4.14</t>
        </is>
      </c>
      <c r="D47" s="227" t="inlineStr">
        <is>
          <t xml:space="preserve">로그 보관 설정</t>
        </is>
      </c>
      <c r="E47" s="8" t="inlineStr">
        <is>
          <t xml:space="preserve">중</t>
        </is>
      </c>
      <c r="F47" s="33">
        <f>IFERROR(T(INDEX('3-1. 진단 결과(GCP)'!$F$6:$G$57,MATCH($C47,'3-1. 진단 결과(GCP)'!$C$6:$C$57,0),MATCH(F$3,'3-1. 진단 결과(GCP)'!$F$3:$G$3,0))),"")</f>
      </c>
      <c r="G47" s="5"/>
      <c r="H47" s="159"/>
      <c r="I47" s="34">
        <f>IF($J47+$K47=0,"N/A",$J47/($J47+$K47))</f>
      </c>
      <c r="J47" s="120">
        <f>COUNTIF($F47:$F47,"양호")</f>
      </c>
      <c r="K47" s="121">
        <f>COUNTIF($F47:$F47,"취약")</f>
      </c>
      <c r="L47" s="30">
        <f>COUNTIF($F47:$F47,"N/A")</f>
      </c>
    </row>
    <row r="48" spans="1:26" ht="31.65" customHeight="1">
      <c r="A48" s="31"/>
      <c r="B48" s="163"/>
      <c r="C48" s="91" t="inlineStr">
        <is>
          <t xml:space="preserve">4.15</t>
        </is>
      </c>
      <c r="D48" s="227" t="inlineStr">
        <is>
          <t xml:space="preserve">Google 계정 사용자 이상징후 알림 설정</t>
        </is>
      </c>
      <c r="E48" s="8" t="inlineStr">
        <is>
          <t xml:space="preserve">중</t>
        </is>
      </c>
      <c r="F48" s="33">
        <f>IFERROR(T(INDEX('3-1. 진단 결과(GCP)'!$F$6:$G$57,MATCH($C48,'3-1. 진단 결과(GCP)'!$C$6:$C$57,0),MATCH(F$3,'3-1. 진단 결과(GCP)'!$F$3:$G$3,0))),"")</f>
      </c>
      <c r="G48" s="5"/>
      <c r="H48" s="159"/>
      <c r="I48" s="34">
        <f>IF($J48+$K48=0,"N/A",$J48/($J48+$K48))</f>
      </c>
      <c r="J48" s="120">
        <f>COUNTIF($F48:$F48,"양호")</f>
      </c>
      <c r="K48" s="121">
        <f>COUNTIF($F48:$F48,"취약")</f>
      </c>
      <c r="L48" s="30">
        <f>COUNTIF($F48:$F48,"N/A")</f>
      </c>
    </row>
    <row r="49" spans="1:26" ht="31.65" customHeight="1">
      <c r="A49" s="31"/>
      <c r="B49" s="163"/>
      <c r="C49" s="91" t="inlineStr">
        <is>
          <t xml:space="preserve">4.16</t>
        </is>
      </c>
      <c r="D49" s="227" t="inlineStr">
        <is>
          <t xml:space="preserve">Cloud ID 계정 사용자 이상징후 알림 설정</t>
        </is>
      </c>
      <c r="E49" s="8" t="inlineStr">
        <is>
          <t xml:space="preserve">하</t>
        </is>
      </c>
      <c r="F49" s="33">
        <f>IFERROR(T(INDEX('3-1. 진단 결과(GCP)'!$F$6:$G$57,MATCH($C49,'3-1. 진단 결과(GCP)'!$C$6:$C$57,0),MATCH(F$3,'3-1. 진단 결과(GCP)'!$F$3:$G$3,0))),"")</f>
      </c>
      <c r="G49" s="5"/>
      <c r="H49" s="159"/>
      <c r="I49" s="34">
        <f>IF($J49+$K49=0,"N/A",$J49/($J49+$K49))</f>
      </c>
      <c r="J49" s="120">
        <f>COUNTIF($F49:$F49,"양호")</f>
      </c>
      <c r="K49" s="121">
        <f>COUNTIF($F49:$F49,"취약")</f>
      </c>
      <c r="L49" s="30">
        <f>COUNTIF($F49:$F49,"N/A")</f>
      </c>
    </row>
    <row r="50" spans="1:26" ht="31.65" customHeight="1">
      <c r="A50" s="31"/>
      <c r="B50" s="163"/>
      <c r="C50" s="91" t="inlineStr">
        <is>
          <t xml:space="preserve">4.17</t>
        </is>
      </c>
      <c r="D50" s="227" t="inlineStr">
        <is>
          <t xml:space="preserve">가상 리소스 이상징후 알림 설정</t>
        </is>
      </c>
      <c r="E50" s="8" t="inlineStr">
        <is>
          <t xml:space="preserve">중</t>
        </is>
      </c>
      <c r="F50" s="33">
        <f>IFERROR(T(INDEX('3-1. 진단 결과(GCP)'!$F$6:$G$57,MATCH($C50,'3-1. 진단 결과(GCP)'!$C$6:$C$57,0),MATCH(F$3,'3-1. 진단 결과(GCP)'!$F$3:$G$3,0))),"")</f>
      </c>
      <c r="G50" s="5"/>
      <c r="H50" s="159"/>
      <c r="I50" s="34">
        <f>IF($J50+$K50=0,"N/A",$J50/($J50+$K50))</f>
      </c>
      <c r="J50" s="120">
        <f>COUNTIF($F50:$F50,"양호")</f>
      </c>
      <c r="K50" s="121">
        <f>COUNTIF($F50:$F50,"취약")</f>
      </c>
      <c r="L50" s="30">
        <f>COUNTIF($F50:$F50,"N/A")</f>
      </c>
    </row>
    <row r="51" spans="1:26" ht="31.65" customHeight="1">
      <c r="A51" s="31"/>
      <c r="B51" s="163"/>
      <c r="C51" s="91" t="inlineStr">
        <is>
          <t xml:space="preserve">4.18</t>
        </is>
      </c>
      <c r="D51" s="227" t="inlineStr">
        <is>
          <t xml:space="preserve">백업 사용 여부</t>
        </is>
      </c>
      <c r="E51" s="8" t="inlineStr">
        <is>
          <t xml:space="preserve">중</t>
        </is>
      </c>
      <c r="F51" s="33">
        <f>IFERROR(T(INDEX('3-1. 진단 결과(GCP)'!$F$6:$G$57,MATCH($C51,'3-1. 진단 결과(GCP)'!$C$6:$C$57,0),MATCH(F$3,'3-1. 진단 결과(GCP)'!$F$3:$G$3,0))),"")</f>
      </c>
      <c r="G51" s="5"/>
      <c r="H51" s="159"/>
      <c r="I51" s="34">
        <f>IF($J51+$K51=0,"N/A",$J51/($J51+$K51))</f>
      </c>
      <c r="J51" s="120">
        <f>COUNTIF($F51:$F51,"양호")</f>
      </c>
      <c r="K51" s="121">
        <f>COUNTIF($F51:$F51,"취약")</f>
      </c>
      <c r="L51" s="30">
        <f>COUNTIF($F51:$F51,"N/A")</f>
      </c>
    </row>
    <row r="52" spans="1:26" ht="31.65" customHeight="1">
      <c r="A52" s="31"/>
      <c r="B52" s="163"/>
      <c r="C52" s="91" t="inlineStr">
        <is>
          <t xml:space="preserve">4.19</t>
        </is>
      </c>
      <c r="D52" s="227" t="inlineStr">
        <is>
          <t xml:space="preserve">보안 GKE 노드 설정</t>
        </is>
      </c>
      <c r="E52" s="8" t="inlineStr">
        <is>
          <t xml:space="preserve">중</t>
        </is>
      </c>
      <c r="F52" s="33">
        <f>IFERROR(T(INDEX('3-1. 진단 결과(GCP)'!$F$6:$G$57,MATCH($C52,'3-1. 진단 결과(GCP)'!$C$6:$C$57,0),MATCH(F$3,'3-1. 진단 결과(GCP)'!$F$3:$G$3,0))),"")</f>
      </c>
      <c r="G52" s="5"/>
      <c r="H52" s="159"/>
      <c r="I52" s="34">
        <f>IF($J52+$K52=0,"N/A",$J52/($J52+$K52))</f>
      </c>
      <c r="J52" s="120">
        <f>COUNTIF($F52:$F52,"양호")</f>
      </c>
      <c r="K52" s="121">
        <f>COUNTIF($F52:$F52,"취약")</f>
      </c>
      <c r="L52" s="30">
        <f>COUNTIF($F52:$F52,"N/A")</f>
      </c>
    </row>
    <row r="53" spans="1:26" ht="31.65" customHeight="1">
      <c r="A53" s="31"/>
      <c r="B53" s="163"/>
      <c r="C53" s="91" t="inlineStr">
        <is>
          <t xml:space="preserve">4.20</t>
        </is>
      </c>
      <c r="D53" s="227" t="inlineStr">
        <is>
          <t xml:space="preserve">애플리케이션 레이어 보안 비밀 암호화 설정</t>
        </is>
      </c>
      <c r="E53" s="8" t="inlineStr">
        <is>
          <t xml:space="preserve">중</t>
        </is>
      </c>
      <c r="F53" s="33">
        <f>IFERROR(T(INDEX('3-1. 진단 결과(GCP)'!$F$6:$G$57,MATCH($C53,'3-1. 진단 결과(GCP)'!$C$6:$C$57,0),MATCH(F$3,'3-1. 진단 결과(GCP)'!$F$3:$G$3,0))),"")</f>
      </c>
      <c r="G53" s="5"/>
      <c r="H53" s="159"/>
      <c r="I53" s="34">
        <f>IF($J53+$K53=0,"N/A",$J53/($J53+$K53))</f>
      </c>
      <c r="J53" s="120">
        <f>COUNTIF($F53:$F53,"양호")</f>
      </c>
      <c r="K53" s="121">
        <f>COUNTIF($F53:$F53,"취약")</f>
      </c>
      <c r="L53" s="30">
        <f>COUNTIF($F53:$F53,"N/A")</f>
      </c>
    </row>
    <row r="54" spans="1:26" ht="31.65" customHeight="1">
      <c r="A54" s="31"/>
      <c r="B54" s="163"/>
      <c r="C54" s="91" t="inlineStr">
        <is>
          <t xml:space="preserve">4.21</t>
        </is>
      </c>
      <c r="D54" s="227" t="inlineStr">
        <is>
          <t xml:space="preserve">워크로드 아이덴티티 설정</t>
        </is>
      </c>
      <c r="E54" s="8" t="inlineStr">
        <is>
          <t xml:space="preserve">중</t>
        </is>
      </c>
      <c r="F54" s="33">
        <f>IFERROR(T(INDEX('3-1. 진단 결과(GCP)'!$F$6:$G$57,MATCH($C54,'3-1. 진단 결과(GCP)'!$C$6:$C$57,0),MATCH(F$3,'3-1. 진단 결과(GCP)'!$F$3:$G$3,0))),"")</f>
      </c>
      <c r="G54" s="5"/>
      <c r="H54" s="159"/>
      <c r="I54" s="34">
        <f>IF($J54+$K54=0,"N/A",$J54/($J54+$K54))</f>
      </c>
      <c r="J54" s="120">
        <f>COUNTIF($F54:$F54,"양호")</f>
      </c>
      <c r="K54" s="121">
        <f>COUNTIF($F54:$F54,"취약")</f>
      </c>
      <c r="L54" s="30">
        <f>COUNTIF($F54:$F54,"N/A")</f>
      </c>
    </row>
    <row r="55" spans="1:26" ht="31.65" customHeight="1">
      <c r="A55" s="31"/>
      <c r="B55" s="163"/>
      <c r="C55" s="91" t="inlineStr">
        <is>
          <t xml:space="preserve">4.22</t>
        </is>
      </c>
      <c r="D55" s="227" t="inlineStr">
        <is>
          <t xml:space="preserve">워크로드 취약점 스캔 설정</t>
        </is>
      </c>
      <c r="E55" s="8" t="inlineStr">
        <is>
          <t xml:space="preserve">중</t>
        </is>
      </c>
      <c r="F55" s="33">
        <f>IFERROR(T(INDEX('3-1. 진단 결과(GCP)'!$F$6:$G$57,MATCH($C55,'3-1. 진단 결과(GCP)'!$C$6:$C$57,0),MATCH(F$3,'3-1. 진단 결과(GCP)'!$F$3:$G$3,0))),"")</f>
      </c>
      <c r="G55" s="5"/>
      <c r="H55" s="159"/>
      <c r="I55" s="34">
        <f>IF($J55+$K55=0,"N/A",$J55/($J55+$K55))</f>
      </c>
      <c r="J55" s="120">
        <f>COUNTIF($F55:$F55,"양호")</f>
      </c>
      <c r="K55" s="121">
        <f>COUNTIF($F55:$F55,"취약")</f>
      </c>
      <c r="L55" s="30">
        <f>COUNTIF($F55:$F55,"N/A")</f>
      </c>
    </row>
    <row r="56" spans="1:26" ht="31.65" customHeight="1">
      <c r="A56" s="31"/>
      <c r="B56" s="163"/>
      <c r="C56" s="91" t="inlineStr">
        <is>
          <t xml:space="preserve">4.23</t>
        </is>
      </c>
      <c r="D56" s="227" t="inlineStr">
        <is>
          <t xml:space="preserve">GKE Cluster 로깅 설정</t>
        </is>
      </c>
      <c r="E56" s="8" t="inlineStr">
        <is>
          <t xml:space="preserve">중</t>
        </is>
      </c>
      <c r="F56" s="33">
        <f>IFERROR(T(INDEX('3-1. 진단 결과(GCP)'!$F$6:$G$57,MATCH($C56,'3-1. 진단 결과(GCP)'!$C$6:$C$57,0),MATCH(F$3,'3-1. 진단 결과(GCP)'!$F$3:$G$3,0))),"")</f>
      </c>
      <c r="G56" s="5"/>
      <c r="H56" s="159"/>
      <c r="I56" s="34">
        <f>IF($J56+$K56=0,"N/A",$J56/($J56+$K56))</f>
      </c>
      <c r="J56" s="120">
        <f>COUNTIF($F56:$F56,"양호")</f>
      </c>
      <c r="K56" s="121">
        <f>COUNTIF($F56:$F56,"취약")</f>
      </c>
      <c r="L56" s="30">
        <f>COUNTIF($F56:$F56,"N/A")</f>
      </c>
    </row>
    <row r="57" spans="1:26" ht="31.65" customHeight="1">
      <c r="A57" s="31"/>
      <c r="B57" s="245"/>
      <c r="C57" s="261" t="inlineStr">
        <is>
          <t xml:space="preserve">4.24</t>
        </is>
      </c>
      <c r="D57" s="262" t="inlineStr">
        <is>
          <t xml:space="preserve">GKE Cluster 모니터링 설정</t>
        </is>
      </c>
      <c r="E57" s="263" t="inlineStr">
        <is>
          <t xml:space="preserve">중</t>
        </is>
      </c>
      <c r="F57" s="264">
        <f>IFERROR(T(INDEX('3-1. 진단 결과(GCP)'!$F$6:$G$57,MATCH($C57,'3-1. 진단 결과(GCP)'!$C$6:$C$57,0),MATCH(F$3,'3-1. 진단 결과(GCP)'!$F$3:$G$3,0))),"")</f>
      </c>
      <c r="G57" s="5"/>
      <c r="H57" s="265"/>
      <c r="I57" s="266">
        <f>IF($J57+$K57=0,"N/A",$J57/($J57+$K57))</f>
      </c>
      <c r="J57" s="267">
        <f>COUNTIF($F57:$F57,"양호")</f>
      </c>
      <c r="K57" s="268">
        <f>COUNTIF($F57:$F57,"취약")</f>
      </c>
      <c r="L57" s="269">
        <f>COUNTIF($F57:$F57,"N/A")</f>
      </c>
    </row>
    <row r="58" spans="1:21" ht="16.5" customHeight="1">
      <c r="A58" s="31"/>
      <c r="B58" s="162" t="s">
        <v>28</v>
      </c>
      <c r="C58" s="166" t="s">
        <v>29</v>
      </c>
      <c r="D58" s="167"/>
      <c r="E58" s="168"/>
      <c r="F58" s="85">
        <f>IF(COUNTIF(F$6:F$57,"?*")=0,"",COUNTIF(F$6:F$57,"취약"))</f>
      </c>
      <c r="G58" s="5"/>
      <c r="H58" s="9"/>
      <c r="I58" s="9"/>
      <c r="J58" s="9"/>
      <c r="K58" s="9"/>
      <c r="L58" s="9"/>
      <c r="M58" s="5"/>
      <c r="N58" s="5"/>
      <c r="O58" s="5"/>
      <c r="P58" s="5"/>
      <c r="Q58" s="5"/>
      <c r="R58" s="5"/>
      <c r="S58" s="5"/>
      <c r="T58" s="5"/>
      <c r="U58" s="5"/>
    </row>
    <row r="59" spans="1:26" ht="16.5" customHeight="1" thickBot="1">
      <c r="A59" s="31"/>
      <c r="B59" s="164"/>
      <c r="C59" s="169" t="s">
        <v>30</v>
      </c>
      <c r="D59" s="170"/>
      <c r="E59" s="171"/>
      <c r="F59" s="78">
        <f>IF(COUNTIF(F$6:F$57,"?*")=0,"",IFERROR(COUNTIF(F$6:F$57,"양호")/(COUNTIF(F$6:F$57,"양호")+COUNTIF(F$6:F$57,"취약")),"N/A"))</f>
      </c>
      <c r="G59" s="5"/>
      <c r="H59" s="9"/>
      <c r="I59" s="9"/>
      <c r="J59" s="9"/>
      <c r="K59" s="9"/>
      <c r="L59" s="9"/>
      <c r="M59" s="5"/>
      <c r="N59" s="5"/>
      <c r="O59" s="5"/>
      <c r="P59" s="5"/>
      <c r="Q59" s="5"/>
      <c r="R59" s="5"/>
      <c r="S59" s="5"/>
      <c r="T59" s="5"/>
      <c r="U59" s="5"/>
    </row>
    <row r="60" spans="1:26" ht="16.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5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5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5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5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5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5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5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5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5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5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5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6">
    <mergeCell ref="B2:F2"/>
    <mergeCell ref="B3:B5"/>
    <mergeCell ref="C3:C5"/>
    <mergeCell ref="D3:D5"/>
    <mergeCell ref="E3:E5"/>
    <mergeCell ref="B6:B17"/>
    <mergeCell ref="H6:H17"/>
    <mergeCell ref="B18:B20"/>
    <mergeCell ref="H18:H20"/>
    <mergeCell ref="B21:B33"/>
    <mergeCell ref="H21:H33"/>
    <mergeCell ref="B34:B57"/>
    <mergeCell ref="H34:H57"/>
    <mergeCell ref="B58:B59"/>
    <mergeCell ref="C58:E58"/>
    <mergeCell ref="C59:E59"/>
  </mergeCells>
  <phoneticPr fontId="28" type="noConversion"/>
  <conditionalFormatting sqref="F6:F57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57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5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14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GCP 취약점 진단 상세결과(52항목)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37" t="inlineStr">
        <is>
          <t xml:space="preserve">1. 계정 관리</t>
        </is>
      </c>
      <c r="C6" s="238" t="inlineStr">
        <is>
          <t xml:space="preserve">1.1</t>
        </is>
      </c>
      <c r="D6" s="239" t="inlineStr">
        <is>
          <t xml:space="preserve">사용자 계정 관리</t>
        </is>
      </c>
      <c r="E6" s="240" t="inlineStr">
        <is>
          <t xml:space="preserve">양호 - 관리자 권한을 보유한 다수 계정이 존재하지 않고 불필요한 계정이 존재하지 않을 경우
취약 - 관리자 권한을 보유한 다수 계정과 불필요한 계정이 존재하는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1.2</t>
        </is>
      </c>
      <c r="D7" s="212" t="inlineStr">
        <is>
          <t xml:space="preserve">Cloud ID 계정 정책 관리</t>
        </is>
      </c>
      <c r="E7" s="108" t="inlineStr">
        <is>
          <t xml:space="preserve">양호 - Cloud ID 사용자 정보(연락처 및 직원 정보 등)가 설정되어 있을 경우
취약 - Cloud ID 사용자 정보(연락처 및 직원 정보 등)가 설정되어 있지 않을 경우</t>
        </is>
      </c>
      <c r="F7" s="244"/>
      <c r="G7" s="201"/>
    </row>
    <row r="8" spans="1:16" ht="95.10" customHeight="1">
      <c r="A8" s="1"/>
      <c r="B8" s="163"/>
      <c r="C8" s="90" t="inlineStr">
        <is>
          <t xml:space="preserve">1.3</t>
        </is>
      </c>
      <c r="D8" s="212" t="inlineStr">
        <is>
          <t xml:space="preserve">Cloud ID 계정 패스워드 정책 관리</t>
        </is>
      </c>
      <c r="E8" s="108" t="inlineStr">
        <is>
          <t xml:space="preserve">양호 - Cloud ID 계정의 패스워드 복잡성 기준 준수 및 암호 만료/재사용 제한 설정이 존재하는 경우
취약 - Cloud ID 계정의 패스워드 복잡성 기준 준수 및 암호 만료/재사용 제한 설정이 존재하지 않는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2" t="inlineStr">
        <is>
          <t xml:space="preserve">Identity Platform 사용자 관리</t>
        </is>
      </c>
      <c r="E9" s="108" t="inlineStr">
        <is>
          <t xml:space="preserve">양호 - 공급업체 설정 중 ‘익명(Anonymous)’ 인증이 존재하지 않을 경우
취약 - 공급업체 설정 중 ‘익명(Anonymous)’ 인증이 존재하는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2" t="inlineStr">
        <is>
          <t xml:space="preserve">API 활성화 및 사용 주기 관리</t>
        </is>
      </c>
      <c r="E10" s="108" t="inlineStr">
        <is>
          <t xml:space="preserve">양호 - API 키를 사용하게 될 경우 사용 주기가 60일 이내일 경우
취약 - API 키를 사용하게 될 경우 사용 주기가 60일 초과일 경우</t>
        </is>
      </c>
      <c r="F10" s="244"/>
      <c r="G10" s="201"/>
    </row>
    <row r="11" spans="1:16" ht="63.90" customHeight="1">
      <c r="A11" s="1"/>
      <c r="B11" s="163"/>
      <c r="C11" s="90" t="inlineStr">
        <is>
          <t xml:space="preserve">1.6</t>
        </is>
      </c>
      <c r="D11" s="212" t="inlineStr">
        <is>
          <t xml:space="preserve">SSH 키 사용 관리</t>
        </is>
      </c>
      <c r="E11" s="108" t="inlineStr">
        <is>
          <t xml:space="preserve">양호 - SSH 키를 통해 VM 인스턴스에 접근이 가능할 경우
취약 - SSH 키를 통하지 않고 일반 패스워드를 통해 VM 인스턴스에 접근이 가능할 경우</t>
        </is>
      </c>
      <c r="F11" s="244"/>
      <c r="G11" s="201"/>
    </row>
    <row r="12" spans="1:16" ht="79.50" customHeight="1">
      <c r="A12" s="1"/>
      <c r="B12" s="163"/>
      <c r="C12" s="90" t="inlineStr">
        <is>
          <t xml:space="preserve">1.7</t>
        </is>
      </c>
      <c r="D12" s="212" t="inlineStr">
        <is>
          <t xml:space="preserve">메타데이터 관리</t>
        </is>
      </c>
      <c r="E12" s="108" t="inlineStr">
        <is>
          <t xml:space="preserve">양호 - SSH 접근 후 메타데이터 접근 시 주요정보가 출력되거나 확인되고 있지 않을 경우
취약 - SSH 접근 후 메타데이터 접근 시 주요정보가 출력되거나 확인되고 있을 경우</t>
        </is>
      </c>
      <c r="F12" s="244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2" t="inlineStr">
        <is>
          <t xml:space="preserve">SQL 계정 관리</t>
        </is>
      </c>
      <c r="E13" s="108" t="inlineStr">
        <is>
          <t xml:space="preserve">양호 - 패스워드 활성 및 복잡도 설정이 존재하는 경우
취약 - 패스워드 비활성 및 복잡도 설정이 존재하지 않는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2" t="inlineStr">
        <is>
          <t xml:space="preserve">MFA (Multi-Factor Authentication) 설정</t>
        </is>
      </c>
      <c r="E14" s="108" t="inlineStr">
        <is>
          <t xml:space="preserve">양호 - Cloud ID 모든 사용자 계정에 MFA가 활성화되어 있을 경우
취약 - Cloud ID 모든 사용자 계정에 MFA가 비활성화되어 있을 경우</t>
        </is>
      </c>
      <c r="F14" s="244"/>
      <c r="G14" s="201"/>
    </row>
    <row r="15" spans="1:16" ht="79.50" customHeight="1">
      <c r="A15" s="1"/>
      <c r="B15" s="163"/>
      <c r="C15" s="90" t="inlineStr">
        <is>
          <t xml:space="preserve">1.10</t>
        </is>
      </c>
      <c r="D15" s="212" t="inlineStr">
        <is>
          <t xml:space="preserve">GKE 사용자 관리</t>
        </is>
      </c>
      <c r="E15" s="108" t="inlineStr">
        <is>
          <t xml:space="preserve">양호 - GKE 리소스 접근을 위한 RBAC 설정이 인가된 사용자만 설정되어 있는 경우
취약 - GKE 리소스 접근을 위한 RBAC 설정이 인가된 사용자만 설정되어 있지 않은 경우</t>
        </is>
      </c>
      <c r="F15" s="244"/>
      <c r="G15" s="201"/>
    </row>
    <row r="16" spans="1:16" ht="95.10" customHeight="1">
      <c r="A16" s="1"/>
      <c r="B16" s="163"/>
      <c r="C16" s="90" t="inlineStr">
        <is>
          <t xml:space="preserve">1.11</t>
        </is>
      </c>
      <c r="D16" s="212" t="inlineStr">
        <is>
          <t xml:space="preserve">GKE 서비스 어카운트 관리</t>
        </is>
      </c>
      <c r="E16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6" s="244"/>
      <c r="G16" s="201"/>
    </row>
    <row r="17" spans="1:16" ht="95.10" customHeight="1">
      <c r="A17" s="1"/>
      <c r="B17" s="245"/>
      <c r="C17" s="246" t="inlineStr">
        <is>
          <t xml:space="preserve">1.12</t>
        </is>
      </c>
      <c r="D17" s="247" t="inlineStr">
        <is>
          <t xml:space="preserve">GKE 불필요한 익명 접근 관리</t>
        </is>
      </c>
      <c r="E17" s="248" t="inlineStr">
        <is>
          <t xml:space="preserve">양호 - ClusterRole에 system:anonymous | unauthenticated 그룹이 바인딩 되어있지 않는 경우
취약 - ClusterRole에 system:anonymous | unauthenticated 그룹이 바인딩 되어 있는 경우</t>
        </is>
      </c>
      <c r="F17" s="251"/>
      <c r="G17" s="250"/>
    </row>
    <row r="18" spans="1:16" ht="79.50" customHeight="1">
      <c r="A18" s="1"/>
      <c r="B18" s="237" t="inlineStr">
        <is>
          <t xml:space="preserve">2. 권한 관리</t>
        </is>
      </c>
      <c r="C18" s="238" t="inlineStr">
        <is>
          <t xml:space="preserve">2.1</t>
        </is>
      </c>
      <c r="D18" s="239" t="inlineStr">
        <is>
          <t xml:space="preserve">인스턴스 서비스 정책 관리</t>
        </is>
      </c>
      <c r="E18" s="240" t="inlineStr">
        <is>
          <t xml:space="preserve">양호 - 인스턴스 서비스 IAM 사용 권한이 각각 서비스 역할에 맞게 설정되어 있을 경우
취약 - 인스턴스 서비스 IAM 사용 권한이 각각 서비스 역할에 맞지 설정되어 있지 않을 경우</t>
        </is>
      </c>
      <c r="F18" s="243"/>
      <c r="G18" s="242"/>
    </row>
    <row r="19" spans="1:16" ht="79.50" customHeight="1">
      <c r="A19" s="1"/>
      <c r="B19" s="163"/>
      <c r="C19" s="90" t="inlineStr">
        <is>
          <t xml:space="preserve">2.2</t>
        </is>
      </c>
      <c r="D19" s="212" t="inlineStr">
        <is>
          <t xml:space="preserve">네트워크 서비스 정책 관리</t>
        </is>
      </c>
      <c r="E19" s="108" t="inlineStr">
        <is>
          <t xml:space="preserve">양호 - 네트워크 서비스 IAM 사용 권한이 각각 서비스 역할에 맞게 설정되어 있을 경우
취약 - 네트워크 서비스 IAM 사용 권한이 각각 서비스 역할에 맞게 설정되어 있지 않을 경우</t>
        </is>
      </c>
      <c r="F19" s="244"/>
      <c r="G19" s="201"/>
    </row>
    <row r="20" spans="1:16" ht="79.50" customHeight="1">
      <c r="A20" s="1"/>
      <c r="B20" s="245"/>
      <c r="C20" s="246" t="inlineStr">
        <is>
          <t xml:space="preserve">2.3</t>
        </is>
      </c>
      <c r="D20" s="247" t="inlineStr">
        <is>
          <t xml:space="preserve">기타 서비스 정책 관리</t>
        </is>
      </c>
      <c r="E20" s="248" t="inlineStr">
        <is>
          <t xml:space="preserve">양호 - 기타 서비스 IAM 사용 권한이 각각 서비스 역할에 맞게 설정되어 있을 경우
취약 - 기타 서비스 IAM 사용 권한이 각각 서비스 역할에 맞게 설정되어 있지 않을 경우</t>
        </is>
      </c>
      <c r="F20" s="251"/>
      <c r="G20" s="250"/>
    </row>
    <row r="21" spans="1:16" ht="63.90" customHeight="1">
      <c r="A21" s="1"/>
      <c r="B21" s="237" t="inlineStr">
        <is>
          <t xml:space="preserve">3. 가상 리소스 관리</t>
        </is>
      </c>
      <c r="C21" s="238" t="inlineStr">
        <is>
          <t xml:space="preserve">3.1</t>
        </is>
      </c>
      <c r="D21" s="239" t="inlineStr">
        <is>
          <t xml:space="preserve">ID 및 API 액세스</t>
        </is>
      </c>
      <c r="E21" s="240" t="inlineStr">
        <is>
          <t xml:space="preserve">양호 - 서비스 역할에 맞게 API 액세스 설정이 되어 있는 경우
취약 - 서비스 역할에 맞게 API 액세스 설정이 되어 있지 않은 경우</t>
        </is>
      </c>
      <c r="F21" s="243"/>
      <c r="G21" s="242"/>
    </row>
    <row r="22" spans="1:16" ht="63.90" customHeight="1">
      <c r="A22" s="1"/>
      <c r="B22" s="163"/>
      <c r="C22" s="90" t="inlineStr">
        <is>
          <t xml:space="preserve">3.2</t>
        </is>
      </c>
      <c r="D22" s="212" t="inlineStr">
        <is>
          <t xml:space="preserve">VM 인스턴스 관리 및 보안</t>
        </is>
      </c>
      <c r="E22" s="108" t="inlineStr">
        <is>
          <t xml:space="preserve">양호 - 인스턴스 보안 부팅 설정을 사용하고 있을 경우
취약 - 인스턴스 보안 부팅 설정을 사용하고 있지 않을 경우</t>
        </is>
      </c>
      <c r="F22" s="244"/>
      <c r="G22" s="201"/>
    </row>
    <row r="23" spans="1:16" ht="63.90" customHeight="1">
      <c r="A23" s="1"/>
      <c r="B23" s="163"/>
      <c r="C23" s="90" t="inlineStr">
        <is>
          <t xml:space="preserve">3.3</t>
        </is>
      </c>
      <c r="D23" s="212" t="inlineStr">
        <is>
          <t xml:space="preserve">애플리케이션 방화벽</t>
        </is>
      </c>
      <c r="E23" s="108" t="inlineStr">
        <is>
          <t xml:space="preserve">양호 - IP 범위가 모두 허용(*) 설정이 되어 있지 않는 경우
취약 - IP 범위가 모두 허용(*) 설정이 되어 있는 경우</t>
        </is>
      </c>
      <c r="F23" s="244"/>
      <c r="G23" s="201"/>
    </row>
    <row r="24" spans="1:16" ht="63.90" customHeight="1">
      <c r="A24" s="1"/>
      <c r="B24" s="163"/>
      <c r="C24" s="90" t="inlineStr">
        <is>
          <t xml:space="preserve">3.4</t>
        </is>
      </c>
      <c r="D24" s="212" t="inlineStr">
        <is>
          <t xml:space="preserve">네트워크 방화벽 인/아웃바운드 ANY 설정 관리</t>
        </is>
      </c>
      <c r="E24" s="108" t="inlineStr">
        <is>
          <t xml:space="preserve">양호 - 방화벽 내 인/아웃바운드의 포트가 Any 로 허용되어 있지 않을 경우
취약 - 방화벽 내 인/아웃바운드의 포트가 Any 로 허용되어 있을 경우</t>
        </is>
      </c>
      <c r="F24" s="244"/>
      <c r="G24" s="201"/>
    </row>
    <row r="25" spans="1:16" ht="95.10" customHeight="1">
      <c r="A25" s="1"/>
      <c r="B25" s="163"/>
      <c r="C25" s="90" t="inlineStr">
        <is>
          <t xml:space="preserve">3.5</t>
        </is>
      </c>
      <c r="D25" s="212" t="inlineStr">
        <is>
          <t xml:space="preserve">네트워크 방화벽 인/아웃바운드 불필요 정책 관리</t>
        </is>
      </c>
      <c r="E25" s="108" t="inlineStr">
        <is>
          <t xml:space="preserve">양호 - 방화벽 내 인/아웃바운드 규칙 내 불필요한 정책(Source, Destination) 이 존재하지 않는 경우
취약 - 방화벽 내 인/아웃바운드 규칙 내 불필요한 정책(Source, Destination)이 존재하는 경우</t>
        </is>
      </c>
      <c r="F25" s="244"/>
      <c r="G25" s="201"/>
    </row>
    <row r="26" spans="1:16" ht="95.10" customHeight="1">
      <c r="A26" s="1"/>
      <c r="B26" s="163"/>
      <c r="C26" s="90" t="inlineStr">
        <is>
          <t xml:space="preserve">3.6</t>
        </is>
      </c>
      <c r="D26" s="212" t="inlineStr">
        <is>
          <t xml:space="preserve">VPC 네트워크 서브넷 관리</t>
        </is>
      </c>
      <c r="E26" s="108" t="inlineStr">
        <is>
          <t xml:space="preserve">양호 - 퍼블릭/프라이빗 서브넷을 단일 가상 네트워크 리소스 내 혼용하여 사용하지 않을 경우
취약 - 퍼블릭/프라이빗 서브넷을 단일 가상 네트워크 리소스 내 혼용하여 사용하고 있을 경우</t>
        </is>
      </c>
      <c r="F26" s="244"/>
      <c r="G26" s="201"/>
    </row>
    <row r="27" spans="1:16" ht="63.90" customHeight="1">
      <c r="A27" s="1"/>
      <c r="B27" s="163"/>
      <c r="C27" s="90" t="inlineStr">
        <is>
          <t xml:space="preserve">3.7</t>
        </is>
      </c>
      <c r="D27" s="212" t="inlineStr">
        <is>
          <t xml:space="preserve">VPC 네트워크 서브넷 비공개 구글 액세스 설정</t>
        </is>
      </c>
      <c r="E27" s="108" t="inlineStr">
        <is>
          <t xml:space="preserve">양호 - 비공개 구글 액세스를 사용하지 않는 경우
취약 - 비공개 구글 액세스를 사용하는 경우</t>
        </is>
      </c>
      <c r="F27" s="244"/>
      <c r="G27" s="201"/>
    </row>
    <row r="28" spans="1:16" ht="95.10" customHeight="1">
      <c r="A28" s="1"/>
      <c r="B28" s="163"/>
      <c r="C28" s="90" t="inlineStr">
        <is>
          <t xml:space="preserve">3.8</t>
        </is>
      </c>
      <c r="D28" s="212" t="inlineStr">
        <is>
          <t xml:space="preserve">공유 VPC 관리</t>
        </is>
      </c>
      <c r="E28" s="108" t="inlineStr">
        <is>
          <t xml:space="preserve">양호 - 사용 목적에 맞게 호스트 프로젝트와 서비스 프로젝트 서브넷이 공유되고 있을 경우
취약 - 사용 목적 없이 호스트 프로젝트와 서비스 프로젝트 서브넷이 공유되고 있을 경우</t>
        </is>
      </c>
      <c r="F28" s="244"/>
      <c r="G28" s="201"/>
    </row>
    <row r="29" spans="1:16" ht="95.10" customHeight="1">
      <c r="A29" s="1"/>
      <c r="B29" s="163"/>
      <c r="C29" s="90" t="inlineStr">
        <is>
          <t xml:space="preserve">3.9</t>
        </is>
      </c>
      <c r="D29" s="212" t="inlineStr">
        <is>
          <t xml:space="preserve">VPN 연결 관리</t>
        </is>
      </c>
      <c r="E29" s="108" t="inlineStr">
        <is>
          <t xml:space="preserve">양호 - On-Demend(프라이빗 Cloud)와 퍼블릭 Cloud 환경 간에 Cloud VPN 터널 및 게이트웨이를 연결하고 있지 않을 경우
취약 - On-Demend(프라이빗 Cloud)와 퍼블릭 Cloud 환경 간에 Cloud VPN 터널 및 게이트웨이를 연결하고 있을 경우</t>
        </is>
      </c>
      <c r="F29" s="244"/>
      <c r="G29" s="201"/>
    </row>
    <row r="30" spans="1:16" ht="79.50" customHeight="1">
      <c r="A30" s="1"/>
      <c r="B30" s="163"/>
      <c r="C30" s="90" t="inlineStr">
        <is>
          <t xml:space="preserve">3.10</t>
        </is>
      </c>
      <c r="D30" s="212" t="inlineStr">
        <is>
          <t xml:space="preserve">Storage 버킷 ACL 관리</t>
        </is>
      </c>
      <c r="E30" s="108" t="inlineStr">
        <is>
          <t xml:space="preserve">양호 - Storage 버킷 서비스의 ACL 계정 사용 권한이 역할에 맞게 설정되어 있을 경우
취약 - Storage 버킷 서비스의 ACL 계정 사용 권한이 역할에 맞게 설정되어 있지 않을 경우</t>
        </is>
      </c>
      <c r="F30" s="244"/>
      <c r="G30" s="201"/>
    </row>
    <row r="31" spans="1:16" ht="63.90" customHeight="1">
      <c r="A31" s="1"/>
      <c r="B31" s="163"/>
      <c r="C31" s="90" t="inlineStr">
        <is>
          <t xml:space="preserve">3.11</t>
        </is>
      </c>
      <c r="D31" s="212" t="inlineStr">
        <is>
          <t xml:space="preserve">Storage 제어 관리</t>
        </is>
      </c>
      <c r="E31" s="108" t="inlineStr">
        <is>
          <t xml:space="preserve">양호 - 서명된 URL을 사용하지 않거나 사용시간을 최소한으로 설정되어 있을 경우
취약 - 서명된 URL 사용 시 사용시간을 최소한으로 설정하지 않은 경우</t>
        </is>
      </c>
      <c r="F31" s="244"/>
      <c r="G31" s="201"/>
    </row>
    <row r="32" spans="1:16" ht="63.90" customHeight="1">
      <c r="A32" s="1"/>
      <c r="B32" s="163"/>
      <c r="C32" s="90" t="inlineStr">
        <is>
          <t xml:space="preserve">3.12</t>
        </is>
      </c>
      <c r="D32" s="212" t="inlineStr">
        <is>
          <t xml:space="preserve">Storage 리소스 퍼블릭 Access 관리</t>
        </is>
      </c>
      <c r="E32" s="108" t="inlineStr">
        <is>
          <t xml:space="preserve">양호 - Storage 버킷 내 불필요한 공개 액세스 설정이 되어 있지 않은 경우
취약 - Storage 버킷 내 불필요한 공개 액세스 설정이 되어 있는 경우</t>
        </is>
      </c>
      <c r="F32" s="244"/>
      <c r="G32" s="201"/>
    </row>
    <row r="33" spans="1:16" ht="79.50" customHeight="1">
      <c r="A33" s="1"/>
      <c r="B33" s="245"/>
      <c r="C33" s="246" t="inlineStr">
        <is>
          <t xml:space="preserve">3.13</t>
        </is>
      </c>
      <c r="D33" s="247" t="inlineStr">
        <is>
          <t xml:space="preserve">GKE Pod 보안 정책 관리</t>
        </is>
      </c>
      <c r="E33" s="248" t="inlineStr">
        <is>
          <t xml:space="preserve">양호 - PSS Profile Baseline 및 PSA Audit 이상 설정을 적용해 사용하는 경우
취약 - PSS 및 PSA 설정을 적용하여 사용하지 않거나 PSS Profile Privileged 및 PSA warn 설정을 적용해 사용하는 경우</t>
        </is>
      </c>
      <c r="F33" s="251"/>
      <c r="G33" s="250"/>
    </row>
    <row r="34" spans="1:16" ht="63.90" customHeight="1">
      <c r="A34" s="1"/>
      <c r="B34" s="237" t="inlineStr">
        <is>
          <t xml:space="preserve">4. 운영 관리</t>
        </is>
      </c>
      <c r="C34" s="238" t="inlineStr">
        <is>
          <t xml:space="preserve">4.1</t>
        </is>
      </c>
      <c r="D34" s="239" t="inlineStr">
        <is>
          <t xml:space="preserve">Compute Engine 디스크 암호화 설정</t>
        </is>
      </c>
      <c r="E34" s="240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4" s="243"/>
      <c r="G34" s="242"/>
    </row>
    <row r="35" spans="1:16" ht="63.90" customHeight="1">
      <c r="A35" s="1"/>
      <c r="B35" s="163"/>
      <c r="C35" s="90" t="inlineStr">
        <is>
          <t xml:space="preserve">4.2</t>
        </is>
      </c>
      <c r="D35" s="212" t="inlineStr">
        <is>
          <t xml:space="preserve">Compute Engine 이미지 암호화 설정</t>
        </is>
      </c>
      <c r="E35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5" s="244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2" t="inlineStr">
        <is>
          <t xml:space="preserve">SQL 암호화 설정</t>
        </is>
      </c>
      <c r="E36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6" s="244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2" t="inlineStr">
        <is>
          <t xml:space="preserve">Storage 암호화 설정</t>
        </is>
      </c>
      <c r="E37" s="108" t="inlineStr">
        <is>
          <t xml:space="preserve">양호 - “고객 관리 키” 사용 시 키에 대한 순환 주기 설정이 되어 있을 경우
취약 - “고객 관리 키” 사용 시 키에 대한 순환 주기 설정이 되어있지 않을 경우</t>
        </is>
      </c>
      <c r="F37" s="244"/>
      <c r="G37" s="201"/>
    </row>
    <row r="38" spans="1:16" ht="63.90" customHeight="1">
      <c r="A38" s="1"/>
      <c r="B38" s="163"/>
      <c r="C38" s="90" t="inlineStr">
        <is>
          <t xml:space="preserve">4.5</t>
        </is>
      </c>
      <c r="D38" s="212" t="inlineStr">
        <is>
          <t xml:space="preserve">Storage 데이터 보안 관리</t>
        </is>
      </c>
      <c r="E38" s="108" t="inlineStr">
        <is>
          <t xml:space="preserve">양호 - 장기간 보관해야 하는 객체(데이터)에 보존 정책이 설정되어 있는 경우
취약 - 장기간 보관해야 하는 객체(데이터)에 보존 정책이 설정되어 있지 않은 경우</t>
        </is>
      </c>
      <c r="F38" s="244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2" t="inlineStr">
        <is>
          <t xml:space="preserve">SQL SSL 정책 관리</t>
        </is>
      </c>
      <c r="E39" s="108" t="inlineStr">
        <is>
          <t xml:space="preserve">양호 - 통신구간 암호화가 필요한 서비스 내 SSL 연결 설정이 존재하는 경우
취약 - 통신구간 암호화가 필요한 서비스 내 SSL 연결 설정이 존재하지 않는 경우</t>
        </is>
      </c>
      <c r="F39" s="244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2" t="inlineStr">
        <is>
          <t xml:space="preserve">Load Balancing SSL 정책 관리</t>
        </is>
      </c>
      <c r="E40" s="108" t="inlineStr">
        <is>
          <t xml:space="preserve">양호 - 통신구간 암호화가 필요한 대상에 SSL 연결 설정이 존재하는 경우
취약 - 통신구간 암호화가 필요한 대상에 SSL 연결 설정이 존재하지 않는 경우</t>
        </is>
      </c>
      <c r="F40" s="244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2" t="inlineStr">
        <is>
          <t xml:space="preserve">App Engine SSL 정책 관리</t>
        </is>
      </c>
      <c r="E41" s="108" t="inlineStr">
        <is>
          <t xml:space="preserve">양호 - App Engine을 사용할 때 SSL(TLS)의 설정이 적용되어 있을 경우
취약 - App Engine을 사용할 때 SSL(TLS)의 설정이 적용되어 있지 않을 경우</t>
        </is>
      </c>
      <c r="F41" s="244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2" t="inlineStr">
        <is>
          <t xml:space="preserve">통신 구간 암호화 설정</t>
        </is>
      </c>
      <c r="E42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42" s="244"/>
      <c r="G42" s="201"/>
    </row>
    <row r="43" spans="1:16" ht="63.90" customHeight="1">
      <c r="A43" s="1"/>
      <c r="B43" s="163"/>
      <c r="C43" s="90" t="inlineStr">
        <is>
          <t xml:space="preserve">4.10</t>
        </is>
      </c>
      <c r="D43" s="212" t="inlineStr">
        <is>
          <t xml:space="preserve">감사 로그 기록 및 관리</t>
        </is>
      </c>
      <c r="E43" s="108" t="inlineStr">
        <is>
          <t xml:space="preserve">양호 - 서비스 별 감사 로그가 설정되어 있을 경우
취약 - 서비스 별 감사 로그가 설정되어 있지 않을 경우</t>
        </is>
      </c>
      <c r="F43" s="244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2" t="inlineStr">
        <is>
          <t xml:space="preserve">감사 로그 면제 사용자 존재 여부</t>
        </is>
      </c>
      <c r="E44" s="108" t="inlineStr">
        <is>
          <t xml:space="preserve">양호 - 감사 로그 내 면제 사용자가 존재하지 않는 경우
취약 - 감사 로그 내 면제 사용자가 존재하는 경우</t>
        </is>
      </c>
      <c r="F44" s="244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2" t="inlineStr">
        <is>
          <t xml:space="preserve">VPC 네트워크 흐름 로그 설정 관리</t>
        </is>
      </c>
      <c r="E45" s="108" t="inlineStr">
        <is>
          <t xml:space="preserve">양호 - VPC 네트워크 흐름 로그 설정이 활성화 되어있는 경우
취약 - VPC 네트워크 흐름 로그 설정이 활성화 되어있지 않은 경우</t>
        </is>
      </c>
      <c r="F45" s="244"/>
      <c r="G45" s="201"/>
    </row>
    <row r="46" spans="1:16" ht="63.90" customHeight="1">
      <c r="A46" s="1"/>
      <c r="B46" s="163"/>
      <c r="C46" s="90" t="inlineStr">
        <is>
          <t xml:space="preserve">4.13</t>
        </is>
      </c>
      <c r="D46" s="212" t="inlineStr">
        <is>
          <t xml:space="preserve">방화벽 로그 관리</t>
        </is>
      </c>
      <c r="E46" s="108" t="inlineStr">
        <is>
          <t xml:space="preserve">양호 - Well-Known 정책에 대한 로그 설정이 존재하는 경우
취약 - Well-Known 정책에 대한 로그 설정이 존재하지 않는 경우</t>
        </is>
      </c>
      <c r="F46" s="244"/>
      <c r="G46" s="201"/>
    </row>
    <row r="47" spans="1:16" ht="63.90" customHeight="1">
      <c r="A47" s="1"/>
      <c r="B47" s="163"/>
      <c r="C47" s="90" t="inlineStr">
        <is>
          <t xml:space="preserve">4.14</t>
        </is>
      </c>
      <c r="D47" s="212" t="inlineStr">
        <is>
          <t xml:space="preserve">로그 보관 설정</t>
        </is>
      </c>
      <c r="E47" s="108" t="inlineStr">
        <is>
          <t xml:space="preserve">양호 - GCP 서비스 로그를 기준(최소 1년 이상)에 맞게 보관하고 있는 경우
취약 - GCP 서비스 로그를 기준(최소 1년 이상)에 맞게 보관하고 있지 않는 경우</t>
        </is>
      </c>
      <c r="F47" s="244"/>
      <c r="G47" s="201"/>
    </row>
    <row r="48" spans="1:16" ht="63.90" customHeight="1">
      <c r="A48" s="1"/>
      <c r="B48" s="163"/>
      <c r="C48" s="90" t="inlineStr">
        <is>
          <t xml:space="preserve">4.15</t>
        </is>
      </c>
      <c r="D48" s="212" t="inlineStr">
        <is>
          <t xml:space="preserve">Google 계정 사용자 이상징후 알림 설정</t>
        </is>
      </c>
      <c r="E48" s="108" t="inlineStr">
        <is>
          <t xml:space="preserve">양호 - Google 계정 사용자 이상징후에 대한 알림 설정이 되어 있을 경우
취약 - Google 계정 사용자 이상징후에 대한 알림 설정이 되어있지 않을 경우</t>
        </is>
      </c>
      <c r="F48" s="244"/>
      <c r="G48" s="201"/>
    </row>
    <row r="49" spans="1:16" ht="63.90" customHeight="1">
      <c r="A49" s="1"/>
      <c r="B49" s="163"/>
      <c r="C49" s="90" t="inlineStr">
        <is>
          <t xml:space="preserve">4.16</t>
        </is>
      </c>
      <c r="D49" s="212" t="inlineStr">
        <is>
          <t xml:space="preserve">Cloud ID 계정 사용자 이상징후 알림 설정</t>
        </is>
      </c>
      <c r="E49" s="108" t="inlineStr">
        <is>
          <t xml:space="preserve">양호 - Google 계정 사용자 이상징후에 대한 알림 설정이 되어 있을 경우
취약 - Google 계정 사용자 이상징후에 대한 알림 설정이 되어 있지 않을 경우</t>
        </is>
      </c>
      <c r="F49" s="244"/>
      <c r="G49" s="201"/>
    </row>
    <row r="50" spans="1:16" ht="63.90" customHeight="1">
      <c r="A50" s="1"/>
      <c r="B50" s="163"/>
      <c r="C50" s="90" t="inlineStr">
        <is>
          <t xml:space="preserve">4.17</t>
        </is>
      </c>
      <c r="D50" s="212" t="inlineStr">
        <is>
          <t xml:space="preserve">가상 리소스 이상징후 알림 설정</t>
        </is>
      </c>
      <c r="E50" s="108" t="inlineStr">
        <is>
          <t xml:space="preserve">양호 - 사용중인 GCP 리소스에 대한 경보가 설정되어 있을 경우
취약 - 사용중인 GCP 리소스에 대한 경보가 설정되어 있지 않을 경우</t>
        </is>
      </c>
      <c r="F50" s="244"/>
      <c r="G50" s="201"/>
    </row>
    <row r="51" spans="1:16" ht="63.90" customHeight="1">
      <c r="A51" s="1"/>
      <c r="B51" s="163"/>
      <c r="C51" s="90" t="inlineStr">
        <is>
          <t xml:space="preserve">4.18</t>
        </is>
      </c>
      <c r="D51" s="212" t="inlineStr">
        <is>
          <t xml:space="preserve">백업 사용 여부</t>
        </is>
      </c>
      <c r="E51" s="108" t="inlineStr">
        <is>
          <t xml:space="preserve">양호 - 클라우드 리소스 백업 정책이 존재하는 경우
취약 - 클라우드 리소스 백업 정책이 존재하지 않는 경우</t>
        </is>
      </c>
      <c r="F51" s="244"/>
      <c r="G51" s="201"/>
    </row>
    <row r="52" spans="1:16" ht="63.90" customHeight="1">
      <c r="A52" s="1"/>
      <c r="B52" s="163"/>
      <c r="C52" s="90" t="inlineStr">
        <is>
          <t xml:space="preserve">4.19</t>
        </is>
      </c>
      <c r="D52" s="212" t="inlineStr">
        <is>
          <t xml:space="preserve">보안 GKE 노드 설정</t>
        </is>
      </c>
      <c r="E52" s="108" t="inlineStr">
        <is>
          <t xml:space="preserve">양호 - 보안 GKE 노드 설정이 적용 되어있는 경우
취약 - 보안 GKE 노드 설정이 적용 되어있지 않은 경우</t>
        </is>
      </c>
      <c r="F52" s="244"/>
      <c r="G52" s="201"/>
    </row>
    <row r="53" spans="1:16" ht="63.90" customHeight="1">
      <c r="A53" s="1"/>
      <c r="B53" s="163"/>
      <c r="C53" s="90" t="inlineStr">
        <is>
          <t xml:space="preserve">4.20</t>
        </is>
      </c>
      <c r="D53" s="212" t="inlineStr">
        <is>
          <t xml:space="preserve">애플리케이션 레이어 보안 비밀 암호화 설정</t>
        </is>
      </c>
      <c r="E53" s="108" t="inlineStr">
        <is>
          <t xml:space="preserve">양호 - 애플리케이션 레이어 보안 비밀 암호화 설정이 적용 되어있는 경우
취약 - 애플리케이션 레이어 보안 비밀 암호화 설정이 적용 되어있지 않은 경우</t>
        </is>
      </c>
      <c r="F53" s="244"/>
      <c r="G53" s="201"/>
    </row>
    <row r="54" spans="1:16" ht="63.90" customHeight="1">
      <c r="A54" s="1"/>
      <c r="B54" s="163"/>
      <c r="C54" s="90" t="inlineStr">
        <is>
          <t xml:space="preserve">4.21</t>
        </is>
      </c>
      <c r="D54" s="212" t="inlineStr">
        <is>
          <t xml:space="preserve">워크로드 아이덴티티 설정</t>
        </is>
      </c>
      <c r="E54" s="108" t="inlineStr">
        <is>
          <t xml:space="preserve">양호 - Cluster 내 워크로드 아이덴티티 설정이 적용된 경우
취약 - Cluster 내 워크로드 아이덴티티 설정이 적용되지 않은 경우</t>
        </is>
      </c>
      <c r="F54" s="244"/>
      <c r="G54" s="201"/>
    </row>
    <row r="55" spans="1:16" ht="63.90" customHeight="1">
      <c r="A55" s="1"/>
      <c r="B55" s="163"/>
      <c r="C55" s="90" t="inlineStr">
        <is>
          <t xml:space="preserve">4.22</t>
        </is>
      </c>
      <c r="D55" s="212" t="inlineStr">
        <is>
          <t xml:space="preserve">워크로드 취약점 스캔 설정</t>
        </is>
      </c>
      <c r="E55" s="108" t="inlineStr">
        <is>
          <t xml:space="preserve">양호 - Cluster 내 워크로드 취약점 스캔 설정이 적용된 경우
취약 - Cluster 내 워크로드 취약점 스캔 설정이 적용되지 않은 경우</t>
        </is>
      </c>
      <c r="F55" s="244"/>
      <c r="G55" s="201"/>
    </row>
    <row r="56" spans="1:16" ht="63.90" customHeight="1">
      <c r="A56" s="1"/>
      <c r="B56" s="163"/>
      <c r="C56" s="90" t="inlineStr">
        <is>
          <t xml:space="preserve">4.23</t>
        </is>
      </c>
      <c r="D56" s="212" t="inlineStr">
        <is>
          <t xml:space="preserve">GKE Cluster 로깅 설정</t>
        </is>
      </c>
      <c r="E56" s="108" t="inlineStr">
        <is>
          <t xml:space="preserve">양호 - GKE Cluster 로깅을 설정하여 유형 별 로그를 기록하고 있는 경우
취약 - GKE Cluster의 유형 별 로그를 기록하고 있지 않는 경우</t>
        </is>
      </c>
      <c r="F56" s="244"/>
      <c r="G56" s="201"/>
    </row>
    <row r="57" spans="1:16" ht="63.90" customHeight="1">
      <c r="A57" s="1"/>
      <c r="B57" s="245"/>
      <c r="C57" s="246" t="inlineStr">
        <is>
          <t xml:space="preserve">4.24</t>
        </is>
      </c>
      <c r="D57" s="247" t="inlineStr">
        <is>
          <t xml:space="preserve">GKE Cluster 모니터링 설정</t>
        </is>
      </c>
      <c r="E57" s="248" t="inlineStr">
        <is>
          <t xml:space="preserve">양호 - GKE Cluster 모니터링에서 유형 별 알림을 설정하고 있는 경우
취약 - GKE Cluster 모니터링 알림을 유형 별로 설정하지 않은 경우</t>
        </is>
      </c>
      <c r="F57" s="251"/>
      <c r="G57" s="250"/>
    </row>
    <row r="58" spans="1:16" ht="20.25" customHeight="1">
      <c r="A58" s="1"/>
      <c r="B58" s="174" t="s">
        <v>28</v>
      </c>
      <c r="C58" s="166" t="inlineStr">
        <is>
          <t xml:space="preserve">취약항목 개수</t>
        </is>
      </c>
      <c r="D58" s="184"/>
      <c r="E58" s="185"/>
      <c r="F58" s="85">
        <f>IF(COUNTIF(F$6:F$57,"?*")=0,"",COUNTIF(F$6:F$57,"취약"))</f>
      </c>
      <c r="G58" s="77"/>
      <c r="H58" s="5"/>
      <c r="I58" s="5"/>
      <c r="J58" s="5"/>
      <c r="K58" s="5"/>
      <c r="L58" s="5"/>
      <c r="M58" s="5"/>
      <c r="N58" s="5"/>
      <c r="O58" s="5"/>
      <c r="P58" s="5"/>
    </row>
    <row r="59" spans="1:26" ht="20.25" customHeight="1" thickBot="1">
      <c r="A59" s="1"/>
      <c r="B59" s="183"/>
      <c r="C59" s="169" t="s">
        <v>30</v>
      </c>
      <c r="D59" s="186"/>
      <c r="E59" s="187"/>
      <c r="F59" s="79">
        <f>IF(COUNTIF(F$6:F$57,"?*")=0,"",IFERROR(COUNTIF(F$6:F$57,"양호")/(COUNTIF(F$6:F$57,"양호")+COUNTIF(F$6:F$57,"취약")),"N/A"))</f>
      </c>
      <c r="G59" s="79"/>
      <c r="H59" s="5"/>
      <c r="I59" s="5"/>
      <c r="J59" s="5"/>
      <c r="K59" s="5"/>
      <c r="L59" s="5"/>
      <c r="M59" s="5"/>
      <c r="N59" s="5"/>
      <c r="O59" s="5"/>
      <c r="P59" s="5"/>
    </row>
    <row r="60" spans="1:26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4.25" customHeight="1">
      <c r="A1004" s="1"/>
      <c r="B1004" s="1"/>
      <c r="C1004" s="1"/>
      <c r="D1004" s="1"/>
      <c r="E1004" s="3"/>
      <c r="F1004" s="3"/>
      <c r="G1004" s="5"/>
      <c r="H1004" s="3"/>
      <c r="I1004" s="5"/>
      <c r="J1004" s="3"/>
      <c r="K1004" s="5"/>
      <c r="L1004" s="3"/>
      <c r="M1004" s="5"/>
      <c r="N1004" s="3"/>
      <c r="O1004" s="5"/>
      <c r="P1004" s="3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4.25" customHeight="1">
      <c r="A1005" s="1"/>
      <c r="B1005" s="1"/>
      <c r="C1005" s="1"/>
      <c r="D1005" s="1"/>
      <c r="E1005" s="3"/>
      <c r="F1005" s="3"/>
      <c r="G1005" s="5"/>
      <c r="H1005" s="3"/>
      <c r="I1005" s="5"/>
      <c r="J1005" s="3"/>
      <c r="K1005" s="5"/>
      <c r="L1005" s="3"/>
      <c r="M1005" s="5"/>
      <c r="N1005" s="3"/>
      <c r="O1005" s="5"/>
      <c r="P1005" s="3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4.25" customHeight="1">
      <c r="A1006" s="1"/>
      <c r="B1006" s="1"/>
      <c r="C1006" s="1"/>
      <c r="D1006" s="1"/>
      <c r="E1006" s="3"/>
      <c r="F1006" s="3"/>
      <c r="G1006" s="5"/>
      <c r="H1006" s="3"/>
      <c r="I1006" s="5"/>
      <c r="J1006" s="3"/>
      <c r="K1006" s="5"/>
      <c r="L1006" s="3"/>
      <c r="M1006" s="5"/>
      <c r="N1006" s="3"/>
      <c r="O1006" s="5"/>
      <c r="P1006" s="3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4.25" customHeight="1">
      <c r="A1007" s="1"/>
      <c r="B1007" s="1"/>
      <c r="C1007" s="1"/>
      <c r="D1007" s="1"/>
      <c r="E1007" s="3"/>
      <c r="F1007" s="3"/>
      <c r="G1007" s="5"/>
      <c r="H1007" s="3"/>
      <c r="I1007" s="5"/>
      <c r="J1007" s="3"/>
      <c r="K1007" s="5"/>
      <c r="L1007" s="3"/>
      <c r="M1007" s="5"/>
      <c r="N1007" s="3"/>
      <c r="O1007" s="5"/>
      <c r="P1007" s="3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4.25" customHeight="1">
      <c r="A1008" s="1"/>
      <c r="B1008" s="1"/>
      <c r="C1008" s="1"/>
      <c r="D1008" s="1"/>
      <c r="E1008" s="3"/>
      <c r="F1008" s="3"/>
      <c r="G1008" s="5"/>
      <c r="H1008" s="3"/>
      <c r="I1008" s="5"/>
      <c r="J1008" s="3"/>
      <c r="K1008" s="5"/>
      <c r="L1008" s="3"/>
      <c r="M1008" s="5"/>
      <c r="N1008" s="3"/>
      <c r="O1008" s="5"/>
      <c r="P1008" s="3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4.25" customHeight="1">
      <c r="A1009" s="1"/>
      <c r="B1009" s="1"/>
      <c r="C1009" s="1"/>
      <c r="D1009" s="1"/>
      <c r="E1009" s="3"/>
      <c r="F1009" s="3"/>
      <c r="G1009" s="5"/>
      <c r="H1009" s="3"/>
      <c r="I1009" s="5"/>
      <c r="J1009" s="3"/>
      <c r="K1009" s="5"/>
      <c r="L1009" s="3"/>
      <c r="M1009" s="5"/>
      <c r="N1009" s="3"/>
      <c r="O1009" s="5"/>
      <c r="P1009" s="3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4.25" customHeight="1">
      <c r="A1010" s="1"/>
      <c r="B1010" s="1"/>
      <c r="C1010" s="1"/>
      <c r="D1010" s="1"/>
      <c r="E1010" s="3"/>
      <c r="F1010" s="3"/>
      <c r="G1010" s="5"/>
      <c r="H1010" s="3"/>
      <c r="I1010" s="5"/>
      <c r="J1010" s="3"/>
      <c r="K1010" s="5"/>
      <c r="L1010" s="3"/>
      <c r="M1010" s="5"/>
      <c r="N1010" s="3"/>
      <c r="O1010" s="5"/>
      <c r="P1010" s="3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4.25" customHeight="1">
      <c r="A1011" s="1"/>
      <c r="B1011" s="1"/>
      <c r="C1011" s="1"/>
      <c r="D1011" s="1"/>
      <c r="E1011" s="3"/>
      <c r="F1011" s="3"/>
      <c r="G1011" s="5"/>
      <c r="H1011" s="3"/>
      <c r="I1011" s="5"/>
      <c r="J1011" s="3"/>
      <c r="K1011" s="5"/>
      <c r="L1011" s="3"/>
      <c r="M1011" s="5"/>
      <c r="N1011" s="3"/>
      <c r="O1011" s="5"/>
      <c r="P1011" s="3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4.25" customHeight="1">
      <c r="A1012" s="1"/>
      <c r="B1012" s="1"/>
      <c r="C1012" s="1"/>
      <c r="D1012" s="1"/>
      <c r="E1012" s="3"/>
      <c r="F1012" s="3"/>
      <c r="G1012" s="5"/>
      <c r="H1012" s="3"/>
      <c r="I1012" s="5"/>
      <c r="J1012" s="3"/>
      <c r="K1012" s="5"/>
      <c r="L1012" s="3"/>
      <c r="M1012" s="5"/>
      <c r="N1012" s="3"/>
      <c r="O1012" s="5"/>
      <c r="P1012" s="3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4.25" customHeight="1">
      <c r="A1013" s="1"/>
      <c r="B1013" s="1"/>
      <c r="C1013" s="1"/>
      <c r="D1013" s="1"/>
      <c r="E1013" s="3"/>
      <c r="F1013" s="3"/>
      <c r="G1013" s="5"/>
      <c r="H1013" s="3"/>
      <c r="I1013" s="5"/>
      <c r="J1013" s="3"/>
      <c r="K1013" s="5"/>
      <c r="L1013" s="3"/>
      <c r="M1013" s="5"/>
      <c r="N1013" s="3"/>
      <c r="O1013" s="5"/>
      <c r="P1013" s="3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4.25" customHeight="1">
      <c r="A1014" s="1"/>
      <c r="B1014" s="1"/>
      <c r="C1014" s="1"/>
      <c r="D1014" s="1"/>
      <c r="E1014" s="3"/>
      <c r="F1014" s="3"/>
      <c r="G1014" s="5"/>
      <c r="H1014" s="3"/>
      <c r="I1014" s="5"/>
      <c r="J1014" s="3"/>
      <c r="K1014" s="5"/>
      <c r="L1014" s="3"/>
      <c r="M1014" s="5"/>
      <c r="N1014" s="3"/>
      <c r="O1014" s="5"/>
      <c r="P1014" s="3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</sheetData>
  <mergeCells count="13">
    <mergeCell ref="B2:F2"/>
    <mergeCell ref="F3:F5"/>
    <mergeCell ref="B3:B5"/>
    <mergeCell ref="C3:C5"/>
    <mergeCell ref="D3:D5"/>
    <mergeCell ref="E3:E5"/>
    <mergeCell ref="B6:B17"/>
    <mergeCell ref="B18:B20"/>
    <mergeCell ref="B21:B33"/>
    <mergeCell ref="B34:B57"/>
    <mergeCell ref="B58:B59"/>
    <mergeCell ref="C58:E58"/>
    <mergeCell ref="C59:E59"/>
  </mergeCells>
  <phoneticPr fontId="28" type="noConversion"/>
  <conditionalFormatting sqref="F6:F57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5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진단결과(GCP)</vt:lpstr>
      <vt:lpstr>3-1. 진단 결과(GCP)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