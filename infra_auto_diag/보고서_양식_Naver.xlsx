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NCP)" sheetId="4" r:id="rId4"/>
    <sheet name="3-1. 진단 결과(NCP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요약결과(그래프)'!$A$1:$Y$85</definedName>
    <definedName name="_xlnm.Print_Area" localSheetId="4">'3-1. 진단 결과(NCP)'!$B$6:$G$38</definedName>
    <definedName name="_xlnm.Print_Titles" localSheetId="3">'2-2. 요약 진단결과(NCP)'!$2:$5</definedName>
    <definedName name="_xlnm.Print_Titles" localSheetId="4">'3-1. 진단 결과(NCP)'!$2:$5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<sst xmlns="http://schemas.openxmlformats.org/spreadsheetml/2006/main" count="39" uniqueCount="32">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</sst>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10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3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4" fillId="2" borderId="69" xfId="0" applyFont="1" applyFill="1" applyBorder="1" applyAlignment="1">
      <alignment horizontal="center" vertical="center" wrapText="1"/>
    </xf>
    <xf numFmtId="0" fontId="9" fillId="0" borderId="70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left" vertical="center" wrapText="1"/>
    </xf>
    <xf numFmtId="0" fontId="9" fillId="0" borderId="72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5" xfId="0" applyFont="1" applyBorder="1" applyAlignment="1">
      <alignment horizontal="center" vertical="center" wrapText="1"/>
    </xf>
    <xf numFmtId="0" fontId="9" fillId="0" borderId="76" xfId="0" applyFont="1" applyBorder="1" applyAlignment="1">
      <alignment horizontal="left" vertical="center" wrapText="1"/>
    </xf>
    <xf numFmtId="0" fontId="9" fillId="0" borderId="7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176" fontId="16" fillId="5" borderId="79" xfId="0" applyNumberFormat="1" applyFont="1" applyFill="1" applyBorder="1" applyAlignment="1">
      <alignment horizontal="center" vertical="center"/>
    </xf>
    <xf numFmtId="176" fontId="8" fillId="0" borderId="80" xfId="0" applyNumberFormat="1" applyFont="1" applyBorder="1" applyAlignment="1">
      <alignment horizontal="center" vertical="center"/>
    </xf>
    <xf numFmtId="0" fontId="8" fillId="0" borderId="8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176" fontId="16" fillId="5" borderId="88" xfId="0" applyNumberFormat="1" applyFont="1" applyFill="1" applyBorder="1" applyAlignment="1">
      <alignment horizontal="center" vertical="center"/>
    </xf>
    <xf numFmtId="176" fontId="8" fillId="0" borderId="89" xfId="0" applyNumberFormat="1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18" fillId="0" borderId="91" xfId="0" applyFont="1" applyBorder="1" applyAlignment="1">
      <alignment horizontal="center" vertical="center"/>
    </xf>
    <xf numFmtId="0" fontId="19" fillId="0" borderId="92" xfId="0" applyFont="1" applyBorder="1" applyAlignment="1">
      <alignment horizontal="center" vertical="center"/>
    </xf>
    <xf numFmtId="0" fontId="9" fillId="0" borderId="93" xfId="0" applyFont="1" applyBorder="1" applyAlignment="1">
      <alignment horizontal="center" vertical="center" wrapText="1"/>
    </xf>
    <xf numFmtId="0" fontId="9" fillId="0" borderId="94" xfId="0" applyFont="1" applyBorder="1" applyAlignment="1">
      <alignment horizontal="left" vertical="center" wrapText="1"/>
    </xf>
    <xf numFmtId="0" fontId="9" fillId="0" borderId="95" xfId="0" applyFont="1" applyBorder="1" applyAlignment="1">
      <alignment horizontal="center" vertical="center" wrapText="1"/>
    </xf>
    <xf numFmtId="0" fontId="17" fillId="0" borderId="96" xfId="0" applyFont="1" applyBorder="1" applyAlignment="1">
      <alignment horizontal="center" vertical="center" wrapText="1"/>
    </xf>
    <xf numFmtId="176" fontId="16" fillId="5" borderId="97" xfId="0" applyNumberFormat="1" applyFont="1" applyFill="1" applyBorder="1" applyAlignment="1">
      <alignment horizontal="center" vertical="center"/>
    </xf>
    <xf numFmtId="176" fontId="8" fillId="0" borderId="98" xfId="0" applyNumberFormat="1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18" fillId="0" borderId="100" xfId="0" applyFont="1" applyBorder="1" applyAlignment="1">
      <alignment horizontal="center" vertical="center"/>
    </xf>
    <xf numFmtId="0" fontId="19" fillId="0" borderId="10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요약결과(그래프)'!$B$67:$B$73</c:f>
            </c:strRef>
          </c:cat>
          <c:val>
            <c:numRef>
              <c:f>'2-1. 요약결과(그래프)'!$C$67:$C$73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NCP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NCP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(NCP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NCP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NCP</t>
        </is>
      </c>
      <c r="C5" s="45">
        <f>IFERROR(AVERAGE('2-2. 요약 진단결과(NCP)'!F38:F38),"")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진단결과(NCP)'!F38:F38,"&gt;=0.85")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진단결과(NCP)'!F38:F38,"&gt;=0.7",'2-2. 요약 진단결과(NCP)'!F38:F38,"&lt;0.85")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진단결과(NCP)'!F38:F38,"&lt;0.7")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NCP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86">
        <f>IFERROR(INDEX('2-2. 요약 진단결과(NCP)'!$F$4:$G$4,MATCH($W37,'2-2. 요약 진단결과(NCP)'!$F$3:$G$3,0)),"")</f>
      </c>
      <c r="Y37" s="76">
        <f>IFERROR(INDEX('2-2. 요약 진단결과(NCP)'!$F:$G,MATCH("보안 적용율*",'2-2. 요약 진단결과(NCP)'!$C:$C,0),MATCH($W37,'2-2. 요약 진단결과(NCP)'!$F$3:$G$3,0)),"")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87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87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87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87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87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88">
        <f>'2-2. 요약 진단결과(NCP)'!B6</f>
      </c>
      <c r="C67" s="66">
        <f>'2-2. 요약 진단결과(NCP)'!H6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5" ht="13.5" customHeight="1">
      <c r="A68" s="31"/>
      <c r="B68" s="288">
        <f>'2-2. 요약 진단결과(NCP)'!B16</f>
      </c>
      <c r="C68" s="66">
        <f>'2-2. 요약 진단결과(NCP)'!H16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5" ht="13.5" customHeight="1">
      <c r="A69" s="31"/>
      <c r="B69" s="288">
        <f>'2-2. 요약 진단결과(NCP)'!B21</f>
      </c>
      <c r="C69" s="66">
        <f>'2-2. 요약 진단결과(NCP)'!H21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5" ht="13.5" customHeight="1">
      <c r="A70" s="31"/>
      <c r="B70" s="288">
        <f>'2-2. 요약 진단결과(NCP)'!B27</f>
      </c>
      <c r="C70" s="66">
        <f>'2-2. 요약 진단결과(NCP)'!H27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5" ht="13.5" customHeight="1">
      <c r="A71" s="31"/>
      <c r="B71" s="289">
        <f>'2-2. 요약 진단결과(NCP)'!B31</f>
      </c>
      <c r="C71" s="66">
        <f>'2-2. 요약 진단결과(NCP)'!H31</f>
      </c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5" ht="13.5" customHeight="1">
      <c r="A72" s="31"/>
      <c r="B72" s="289">
        <f>'2-2. 요약 진단결과(NCP)'!B33</f>
      </c>
      <c r="C72" s="66">
        <f>'2-2. 요약 진단결과(NCP)'!H33</f>
      </c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5" ht="13.5" customHeight="1">
      <c r="A73" s="31"/>
      <c r="B73" s="290">
        <f>'2-2. 요약 진단결과(NCP)'!B36</f>
      </c>
      <c r="C73" s="69">
        <f>'2-2. 요약 진단결과(NCP)'!H36</f>
      </c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99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44140625" customWidth="1"/>
    <col min="4" max="4" width="66.33203125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NCP 취약점 진단 요약결과(31항목)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91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92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37" t="inlineStr">
        <is>
          <t xml:space="preserve">1. 계정관리</t>
        </is>
      </c>
      <c r="C6" s="259" t="inlineStr">
        <is>
          <t xml:space="preserve">AC-01</t>
        </is>
      </c>
      <c r="D6" s="260" t="inlineStr">
        <is>
          <t xml:space="preserve">패스워드 복잡성 설정</t>
        </is>
      </c>
      <c r="E6" s="261" t="inlineStr">
        <is>
          <t xml:space="preserve">중</t>
        </is>
      </c>
      <c r="F6" s="262">
        <f>IFERROR(T(INDEX('3-1. 진단 결과(NCP)'!$F$6:$G$36,MATCH($C6,'3-1. 진단 결과(NCP)'!$C$6:$C$36,0),MATCH(F$3,'3-1. 진단 결과(NCP)'!$F$3:$G$3,0))),"")</f>
      </c>
      <c r="G6" s="5"/>
      <c r="H6" s="263">
        <f>IF(COUNTIF(I6:I15,"N/A")=COUNTA(I6:I15),"N/A",AVERAGE(I6:I15))</f>
      </c>
      <c r="I6" s="264">
        <f>IF($J6+$K6=0,"N/A",$J6/($J6+$K6))</f>
      </c>
      <c r="J6" s="265">
        <f>COUNTIF($F6:$F6,"양호")</f>
      </c>
      <c r="K6" s="266">
        <f>COUNTIF($F6:$F6,"취약")</f>
      </c>
      <c r="L6" s="267">
        <f>COUNTIF($F6:$F6,"N/A")</f>
      </c>
    </row>
    <row r="7" spans="1:26" ht="31.65" customHeight="1">
      <c r="A7" s="31"/>
      <c r="B7" s="163"/>
      <c r="C7" s="91" t="inlineStr">
        <is>
          <t xml:space="preserve">AC-02</t>
        </is>
      </c>
      <c r="D7" s="227" t="inlineStr">
        <is>
          <t xml:space="preserve">패스워드 최소 길이 설정</t>
        </is>
      </c>
      <c r="E7" s="8" t="inlineStr">
        <is>
          <t xml:space="preserve">중</t>
        </is>
      </c>
      <c r="F7" s="33">
        <f>IFERROR(T(INDEX('3-1. 진단 결과(NCP)'!$F$6:$G$36,MATCH($C7,'3-1. 진단 결과(NCP)'!$C$6:$C$36,0),MATCH(F$3,'3-1. 진단 결과(NCP)'!$F$3:$G$3,0))),"")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AC-03</t>
        </is>
      </c>
      <c r="D8" s="227" t="inlineStr">
        <is>
          <t xml:space="preserve">강화된 인증방식 적용</t>
        </is>
      </c>
      <c r="E8" s="8" t="inlineStr">
        <is>
          <t xml:space="preserve">중</t>
        </is>
      </c>
      <c r="F8" s="33">
        <f>IFERROR(T(INDEX('3-1. 진단 결과(NCP)'!$F$6:$G$36,MATCH($C8,'3-1. 진단 결과(NCP)'!$C$6:$C$36,0),MATCH(F$3,'3-1. 진단 결과(NCP)'!$F$3:$G$3,0))),"")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AC-04</t>
        </is>
      </c>
      <c r="D9" s="227" t="inlineStr">
        <is>
          <t xml:space="preserve">API 인증키 관리</t>
        </is>
      </c>
      <c r="E9" s="8" t="inlineStr">
        <is>
          <t xml:space="preserve">상</t>
        </is>
      </c>
      <c r="F9" s="33">
        <f>IFERROR(T(INDEX('3-1. 진단 결과(NCP)'!$F$6:$G$36,MATCH($C9,'3-1. 진단 결과(NCP)'!$C$6:$C$36,0),MATCH(F$3,'3-1. 진단 결과(NCP)'!$F$3:$G$3,0))),"")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AC-05</t>
        </is>
      </c>
      <c r="D10" s="227" t="inlineStr">
        <is>
          <t xml:space="preserve">계정 권한 부여 방식</t>
        </is>
      </c>
      <c r="E10" s="8" t="inlineStr">
        <is>
          <t xml:space="preserve">중</t>
        </is>
      </c>
      <c r="F10" s="33">
        <f>IFERROR(T(INDEX('3-1. 진단 결과(NCP)'!$F$6:$G$36,MATCH($C10,'3-1. 진단 결과(NCP)'!$C$6:$C$36,0),MATCH(F$3,'3-1. 진단 결과(NCP)'!$F$3:$G$3,0))),"")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AC-06</t>
        </is>
      </c>
      <c r="D11" s="227" t="inlineStr">
        <is>
          <t xml:space="preserve">메인 계정 사용 금지</t>
        </is>
      </c>
      <c r="E11" s="8" t="inlineStr">
        <is>
          <t xml:space="preserve">상</t>
        </is>
      </c>
      <c r="F11" s="33">
        <f>IFERROR(T(INDEX('3-1. 진단 결과(NCP)'!$F$6:$G$36,MATCH($C11,'3-1. 진단 결과(NCP)'!$C$6:$C$36,0),MATCH(F$3,'3-1. 진단 결과(NCP)'!$F$3:$G$3,0))),"")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AC-07</t>
        </is>
      </c>
      <c r="D12" s="227" t="inlineStr">
        <is>
          <t xml:space="preserve">불필요한 계정 제거</t>
        </is>
      </c>
      <c r="E12" s="8" t="inlineStr">
        <is>
          <t xml:space="preserve">중</t>
        </is>
      </c>
      <c r="F12" s="33">
        <f>IFERROR(T(INDEX('3-1. 진단 결과(NCP)'!$F$6:$G$36,MATCH($C12,'3-1. 진단 결과(NCP)'!$C$6:$C$36,0),MATCH(F$3,'3-1. 진단 결과(NCP)'!$F$3:$G$3,0))),"")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AC-08</t>
        </is>
      </c>
      <c r="D13" s="227" t="inlineStr">
        <is>
          <t xml:space="preserve">계정 속성 만료 활성화</t>
        </is>
      </c>
      <c r="E13" s="8" t="inlineStr">
        <is>
          <t xml:space="preserve">상</t>
        </is>
      </c>
      <c r="F13" s="33">
        <f>IFERROR(T(INDEX('3-1. 진단 결과(NCP)'!$F$6:$G$36,MATCH($C13,'3-1. 진단 결과(NCP)'!$C$6:$C$36,0),MATCH(F$3,'3-1. 진단 결과(NCP)'!$F$3:$G$3,0))),"")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AC-09</t>
        </is>
      </c>
      <c r="D14" s="227" t="inlineStr">
        <is>
          <t xml:space="preserve">정확한 정책 및 역할 할당</t>
        </is>
      </c>
      <c r="E14" s="8" t="inlineStr">
        <is>
          <t xml:space="preserve">상</t>
        </is>
      </c>
      <c r="F14" s="33">
        <f>IFERROR(T(INDEX('3-1. 진단 결과(NCP)'!$F$6:$G$36,MATCH($C14,'3-1. 진단 결과(NCP)'!$C$6:$C$36,0),MATCH(F$3,'3-1. 진단 결과(NCP)'!$F$3:$G$3,0))),"")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245"/>
      <c r="C15" s="268" t="inlineStr">
        <is>
          <t xml:space="preserve">AC-10</t>
        </is>
      </c>
      <c r="D15" s="269" t="inlineStr">
        <is>
          <t xml:space="preserve">통합 계정 관리</t>
        </is>
      </c>
      <c r="E15" s="270" t="inlineStr">
        <is>
          <t xml:space="preserve">하</t>
        </is>
      </c>
      <c r="F15" s="271">
        <f>IFERROR(T(INDEX('3-1. 진단 결과(NCP)'!$F$6:$G$36,MATCH($C15,'3-1. 진단 결과(NCP)'!$C$6:$C$36,0),MATCH(F$3,'3-1. 진단 결과(NCP)'!$F$3:$G$3,0))),"")</f>
      </c>
      <c r="G15" s="5"/>
      <c r="H15" s="272"/>
      <c r="I15" s="273">
        <f>IF($J15+$K15=0,"N/A",$J15/($J15+$K15))</f>
      </c>
      <c r="J15" s="274">
        <f>COUNTIF($F15:$F15,"양호")</f>
      </c>
      <c r="K15" s="275">
        <f>COUNTIF($F15:$F15,"취약")</f>
      </c>
      <c r="L15" s="276">
        <f>COUNTIF($F15:$F15,"N/A")</f>
      </c>
    </row>
    <row r="16" spans="1:26" ht="31.65" customHeight="1">
      <c r="A16" s="31"/>
      <c r="B16" s="237" t="inlineStr">
        <is>
          <t xml:space="preserve">2. 네트워크 보안</t>
        </is>
      </c>
      <c r="C16" s="259" t="inlineStr">
        <is>
          <t xml:space="preserve">VP-01</t>
        </is>
      </c>
      <c r="D16" s="260" t="inlineStr">
        <is>
          <t xml:space="preserve">VPC Naming 설정</t>
        </is>
      </c>
      <c r="E16" s="261" t="inlineStr">
        <is>
          <t xml:space="preserve">하</t>
        </is>
      </c>
      <c r="F16" s="262">
        <f>IFERROR(T(INDEX('3-1. 진단 결과(NCP)'!$F$6:$G$36,MATCH($C16,'3-1. 진단 결과(NCP)'!$C$6:$C$36,0),MATCH(F$3,'3-1. 진단 결과(NCP)'!$F$3:$G$3,0))),"")</f>
      </c>
      <c r="G16" s="5"/>
      <c r="H16" s="263">
        <f>IF(COUNTIF(I16:I20,"N/A")=COUNTA(I16:I20),"N/A",AVERAGE(I16:I20))</f>
      </c>
      <c r="I16" s="264">
        <f>IF($J16+$K16=0,"N/A",$J16/($J16+$K16))</f>
      </c>
      <c r="J16" s="265">
        <f>COUNTIF($F16:$F16,"양호")</f>
      </c>
      <c r="K16" s="266">
        <f>COUNTIF($F16:$F16,"취약")</f>
      </c>
      <c r="L16" s="267">
        <f>COUNTIF($F16:$F16,"N/A")</f>
      </c>
    </row>
    <row r="17" spans="1:26" ht="31.65" customHeight="1">
      <c r="A17" s="31"/>
      <c r="B17" s="163"/>
      <c r="C17" s="91" t="inlineStr">
        <is>
          <t xml:space="preserve">VP-02</t>
        </is>
      </c>
      <c r="D17" s="227" t="inlineStr">
        <is>
          <t xml:space="preserve">서비스 목적에 따른 네트워크 분리</t>
        </is>
      </c>
      <c r="E17" s="8" t="inlineStr">
        <is>
          <t xml:space="preserve">중</t>
        </is>
      </c>
      <c r="F17" s="33">
        <f>IFERROR(T(INDEX('3-1. 진단 결과(NCP)'!$F$6:$G$36,MATCH($C17,'3-1. 진단 결과(NCP)'!$C$6:$C$36,0),MATCH(F$3,'3-1. 진단 결과(NCP)'!$F$3:$G$3,0))),"")</f>
      </c>
      <c r="G17" s="5"/>
      <c r="H17" s="159"/>
      <c r="I17" s="34">
        <f>IF($J17+$K17=0,"N/A",$J17/($J17+$K17))</f>
      </c>
      <c r="J17" s="120">
        <f>COUNTIF($F17:$F17,"양호")</f>
      </c>
      <c r="K17" s="121">
        <f>COUNTIF($F17:$F17,"취약")</f>
      </c>
      <c r="L17" s="30">
        <f>COUNTIF($F17:$F17,"N/A")</f>
      </c>
    </row>
    <row r="18" spans="1:26" ht="31.65" customHeight="1">
      <c r="A18" s="31"/>
      <c r="B18" s="163"/>
      <c r="C18" s="91" t="inlineStr">
        <is>
          <t xml:space="preserve">VP-03</t>
        </is>
      </c>
      <c r="D18" s="227" t="inlineStr">
        <is>
          <t xml:space="preserve">NACL 관리</t>
        </is>
      </c>
      <c r="E18" s="8" t="inlineStr">
        <is>
          <t xml:space="preserve">중</t>
        </is>
      </c>
      <c r="F18" s="33">
        <f>IFERROR(T(INDEX('3-1. 진단 결과(NCP)'!$F$6:$G$36,MATCH($C18,'3-1. 진단 결과(NCP)'!$C$6:$C$36,0),MATCH(F$3,'3-1. 진단 결과(NCP)'!$F$3:$G$3,0))),"")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VP-04</t>
        </is>
      </c>
      <c r="D19" s="227" t="inlineStr">
        <is>
          <t xml:space="preserve">NAT Gateway 관리</t>
        </is>
      </c>
      <c r="E19" s="8" t="inlineStr">
        <is>
          <t xml:space="preserve">중</t>
        </is>
      </c>
      <c r="F19" s="33">
        <f>IFERROR(T(INDEX('3-1. 진단 결과(NCP)'!$F$6:$G$36,MATCH($C19,'3-1. 진단 결과(NCP)'!$C$6:$C$36,0),MATCH(F$3,'3-1. 진단 결과(NCP)'!$F$3:$G$3,0))),"")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245"/>
      <c r="C20" s="268" t="inlineStr">
        <is>
          <t xml:space="preserve">VP-05</t>
        </is>
      </c>
      <c r="D20" s="269" t="inlineStr">
        <is>
          <t xml:space="preserve">안전한 접속 수단 설정</t>
        </is>
      </c>
      <c r="E20" s="270" t="inlineStr">
        <is>
          <t xml:space="preserve">중</t>
        </is>
      </c>
      <c r="F20" s="271">
        <f>IFERROR(T(INDEX('3-1. 진단 결과(NCP)'!$F$6:$G$36,MATCH($C20,'3-1. 진단 결과(NCP)'!$C$6:$C$36,0),MATCH(F$3,'3-1. 진단 결과(NCP)'!$F$3:$G$3,0))),"")</f>
      </c>
      <c r="G20" s="5"/>
      <c r="H20" s="272"/>
      <c r="I20" s="273">
        <f>IF($J20+$K20=0,"N/A",$J20/($J20+$K20))</f>
      </c>
      <c r="J20" s="274">
        <f>COUNTIF($F20:$F20,"양호")</f>
      </c>
      <c r="K20" s="275">
        <f>COUNTIF($F20:$F20,"취약")</f>
      </c>
      <c r="L20" s="276">
        <f>COUNTIF($F20:$F20,"N/A")</f>
      </c>
    </row>
    <row r="21" spans="1:26" ht="31.65" customHeight="1">
      <c r="A21" s="31"/>
      <c r="B21" s="237" t="inlineStr">
        <is>
          <t xml:space="preserve">3. 서버 보안</t>
        </is>
      </c>
      <c r="C21" s="259" t="inlineStr">
        <is>
          <t xml:space="preserve">SV-01</t>
        </is>
      </c>
      <c r="D21" s="260" t="inlineStr">
        <is>
          <t xml:space="preserve">서비스 포트 관리</t>
        </is>
      </c>
      <c r="E21" s="261" t="inlineStr">
        <is>
          <t xml:space="preserve">상</t>
        </is>
      </c>
      <c r="F21" s="262">
        <f>IFERROR(T(INDEX('3-1. 진단 결과(NCP)'!$F$6:$G$36,MATCH($C21,'3-1. 진단 결과(NCP)'!$C$6:$C$36,0),MATCH(F$3,'3-1. 진단 결과(NCP)'!$F$3:$G$3,0))),"")</f>
      </c>
      <c r="G21" s="5"/>
      <c r="H21" s="263">
        <f>IF(COUNTIF(I21:I26,"N/A")=COUNTA(I21:I26),"N/A",AVERAGE(I21:I26))</f>
      </c>
      <c r="I21" s="264">
        <f>IF($J21+$K21=0,"N/A",$J21/($J21+$K21))</f>
      </c>
      <c r="J21" s="265">
        <f>COUNTIF($F21:$F21,"양호")</f>
      </c>
      <c r="K21" s="266">
        <f>COUNTIF($F21:$F21,"취약")</f>
      </c>
      <c r="L21" s="267">
        <f>COUNTIF($F21:$F21,"N/A")</f>
      </c>
    </row>
    <row r="22" spans="1:26" ht="31.65" customHeight="1">
      <c r="A22" s="31"/>
      <c r="B22" s="163"/>
      <c r="C22" s="91" t="inlineStr">
        <is>
          <t xml:space="preserve">SV-02</t>
        </is>
      </c>
      <c r="D22" s="227" t="inlineStr">
        <is>
          <t xml:space="preserve">서버간 통신 제어</t>
        </is>
      </c>
      <c r="E22" s="8" t="inlineStr">
        <is>
          <t xml:space="preserve">중</t>
        </is>
      </c>
      <c r="F22" s="33">
        <f>IFERROR(T(INDEX('3-1. 진단 결과(NCP)'!$F$6:$G$36,MATCH($C22,'3-1. 진단 결과(NCP)'!$C$6:$C$36,0),MATCH(F$3,'3-1. 진단 결과(NCP)'!$F$3:$G$3,0))),"")</f>
      </c>
      <c r="G22" s="5"/>
      <c r="H22" s="159"/>
      <c r="I22" s="34">
        <f>IF($J22+$K22=0,"N/A",$J22/($J22+$K22))</f>
      </c>
      <c r="J22" s="120">
        <f>COUNTIF($F22:$F22,"양호")</f>
      </c>
      <c r="K22" s="121">
        <f>COUNTIF($F22:$F22,"취약")</f>
      </c>
      <c r="L22" s="30">
        <f>COUNTIF($F22:$F22,"N/A")</f>
      </c>
    </row>
    <row r="23" spans="1:26" ht="31.65" customHeight="1">
      <c r="A23" s="31"/>
      <c r="B23" s="163"/>
      <c r="C23" s="91" t="inlineStr">
        <is>
          <t xml:space="preserve">SV-03</t>
        </is>
      </c>
      <c r="D23" s="227" t="inlineStr">
        <is>
          <t xml:space="preserve">사용자 접근 통제</t>
        </is>
      </c>
      <c r="E23" s="8" t="inlineStr">
        <is>
          <t xml:space="preserve">상</t>
        </is>
      </c>
      <c r="F23" s="33">
        <f>IFERROR(T(INDEX('3-1. 진단 결과(NCP)'!$F$6:$G$36,MATCH($C23,'3-1. 진단 결과(NCP)'!$C$6:$C$36,0),MATCH(F$3,'3-1. 진단 결과(NCP)'!$F$3:$G$3,0))),"")</f>
      </c>
      <c r="G23" s="5"/>
      <c r="H23" s="159"/>
      <c r="I23" s="34">
        <f>IF($J23+$K23=0,"N/A",$J23/($J23+$K23))</f>
      </c>
      <c r="J23" s="120">
        <f>COUNTIF($F23:$F23,"양호")</f>
      </c>
      <c r="K23" s="121">
        <f>COUNTIF($F23:$F23,"취약")</f>
      </c>
      <c r="L23" s="30">
        <f>COUNTIF($F23:$F23,"N/A")</f>
      </c>
    </row>
    <row r="24" spans="1:26" ht="31.65" customHeight="1">
      <c r="A24" s="31"/>
      <c r="B24" s="163"/>
      <c r="C24" s="91" t="inlineStr">
        <is>
          <t xml:space="preserve">SV-04</t>
        </is>
      </c>
      <c r="D24" s="227" t="inlineStr">
        <is>
          <t xml:space="preserve">공인 IP 사용 제한</t>
        </is>
      </c>
      <c r="E24" s="8" t="inlineStr">
        <is>
          <t xml:space="preserve">중</t>
        </is>
      </c>
      <c r="F24" s="33">
        <f>IFERROR(T(INDEX('3-1. 진단 결과(NCP)'!$F$6:$G$36,MATCH($C24,'3-1. 진단 결과(NCP)'!$C$6:$C$36,0),MATCH(F$3,'3-1. 진단 결과(NCP)'!$F$3:$G$3,0))),"")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SV-05</t>
        </is>
      </c>
      <c r="D25" s="227" t="inlineStr">
        <is>
          <t xml:space="preserve">불필요한 서버 제거</t>
        </is>
      </c>
      <c r="E25" s="8" t="inlineStr">
        <is>
          <t xml:space="preserve">중</t>
        </is>
      </c>
      <c r="F25" s="33">
        <f>IFERROR(T(INDEX('3-1. 진단 결과(NCP)'!$F$6:$G$36,MATCH($C25,'3-1. 진단 결과(NCP)'!$C$6:$C$36,0),MATCH(F$3,'3-1. 진단 결과(NCP)'!$F$3:$G$3,0))),"")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245"/>
      <c r="C26" s="268" t="inlineStr">
        <is>
          <t xml:space="preserve">SV-06</t>
        </is>
      </c>
      <c r="D26" s="269" t="inlineStr">
        <is>
          <t xml:space="preserve">OS 취약성 점검</t>
        </is>
      </c>
      <c r="E26" s="270" t="inlineStr">
        <is>
          <t xml:space="preserve">중</t>
        </is>
      </c>
      <c r="F26" s="271">
        <f>IFERROR(T(INDEX('3-1. 진단 결과(NCP)'!$F$6:$G$36,MATCH($C26,'3-1. 진단 결과(NCP)'!$C$6:$C$36,0),MATCH(F$3,'3-1. 진단 결과(NCP)'!$F$3:$G$3,0))),"")</f>
      </c>
      <c r="G26" s="5"/>
      <c r="H26" s="272"/>
      <c r="I26" s="273">
        <f>IF($J26+$K26=0,"N/A",$J26/($J26+$K26))</f>
      </c>
      <c r="J26" s="274">
        <f>COUNTIF($F26:$F26,"양호")</f>
      </c>
      <c r="K26" s="275">
        <f>COUNTIF($F26:$F26,"취약")</f>
      </c>
      <c r="L26" s="276">
        <f>COUNTIF($F26:$F26,"N/A")</f>
      </c>
    </row>
    <row r="27" spans="1:26" ht="31.65" customHeight="1">
      <c r="A27" s="31"/>
      <c r="B27" s="237" t="inlineStr">
        <is>
          <t xml:space="preserve">4. 스토리지 보안</t>
        </is>
      </c>
      <c r="C27" s="259" t="inlineStr">
        <is>
          <t xml:space="preserve">ST-01</t>
        </is>
      </c>
      <c r="D27" s="260" t="inlineStr">
        <is>
          <t xml:space="preserve">버킷 공개 설정</t>
        </is>
      </c>
      <c r="E27" s="261" t="inlineStr">
        <is>
          <t xml:space="preserve">중</t>
        </is>
      </c>
      <c r="F27" s="262">
        <f>IFERROR(T(INDEX('3-1. 진단 결과(NCP)'!$F$6:$G$36,MATCH($C27,'3-1. 진단 결과(NCP)'!$C$6:$C$36,0),MATCH(F$3,'3-1. 진단 결과(NCP)'!$F$3:$G$3,0))),"")</f>
      </c>
      <c r="G27" s="5"/>
      <c r="H27" s="263">
        <f>IF(COUNTIF(I27:I30,"N/A")=COUNTA(I27:I30),"N/A",AVERAGE(I27:I30))</f>
      </c>
      <c r="I27" s="264">
        <f>IF($J27+$K27=0,"N/A",$J27/($J27+$K27))</f>
      </c>
      <c r="J27" s="265">
        <f>COUNTIF($F27:$F27,"양호")</f>
      </c>
      <c r="K27" s="266">
        <f>COUNTIF($F27:$F27,"취약")</f>
      </c>
      <c r="L27" s="267">
        <f>COUNTIF($F27:$F27,"N/A")</f>
      </c>
    </row>
    <row r="28" spans="1:26" ht="31.65" customHeight="1">
      <c r="A28" s="31"/>
      <c r="B28" s="163"/>
      <c r="C28" s="91" t="inlineStr">
        <is>
          <t xml:space="preserve">ST-02</t>
        </is>
      </c>
      <c r="D28" s="227" t="inlineStr">
        <is>
          <t xml:space="preserve">데이터 수명 주기 관리</t>
        </is>
      </c>
      <c r="E28" s="8" t="inlineStr">
        <is>
          <t xml:space="preserve">하</t>
        </is>
      </c>
      <c r="F28" s="33">
        <f>IFERROR(T(INDEX('3-1. 진단 결과(NCP)'!$F$6:$G$36,MATCH($C28,'3-1. 진단 결과(NCP)'!$C$6:$C$36,0),MATCH(F$3,'3-1. 진단 결과(NCP)'!$F$3:$G$3,0))),"")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ST-03</t>
        </is>
      </c>
      <c r="D29" s="227" t="inlineStr">
        <is>
          <t xml:space="preserve">불필요한 버킷 제거</t>
        </is>
      </c>
      <c r="E29" s="8" t="inlineStr">
        <is>
          <t xml:space="preserve">중</t>
        </is>
      </c>
      <c r="F29" s="33">
        <f>IFERROR(T(INDEX('3-1. 진단 결과(NCP)'!$F$6:$G$36,MATCH($C29,'3-1. 진단 결과(NCP)'!$C$6:$C$36,0),MATCH(F$3,'3-1. 진단 결과(NCP)'!$F$3:$G$3,0))),"")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245"/>
      <c r="C30" s="268" t="inlineStr">
        <is>
          <t xml:space="preserve">ST-04</t>
        </is>
      </c>
      <c r="D30" s="269" t="inlineStr">
        <is>
          <t xml:space="preserve">NAS 접근제어</t>
        </is>
      </c>
      <c r="E30" s="270" t="inlineStr">
        <is>
          <t xml:space="preserve">중</t>
        </is>
      </c>
      <c r="F30" s="271">
        <f>IFERROR(T(INDEX('3-1. 진단 결과(NCP)'!$F$6:$G$36,MATCH($C30,'3-1. 진단 결과(NCP)'!$C$6:$C$36,0),MATCH(F$3,'3-1. 진단 결과(NCP)'!$F$3:$G$3,0))),"")</f>
      </c>
      <c r="G30" s="5"/>
      <c r="H30" s="272"/>
      <c r="I30" s="273">
        <f>IF($J30+$K30=0,"N/A",$J30/($J30+$K30))</f>
      </c>
      <c r="J30" s="274">
        <f>COUNTIF($F30:$F30,"양호")</f>
      </c>
      <c r="K30" s="275">
        <f>COUNTIF($F30:$F30,"취약")</f>
      </c>
      <c r="L30" s="276">
        <f>COUNTIF($F30:$F30,"N/A")</f>
      </c>
    </row>
    <row r="31" spans="1:26" ht="31.65" customHeight="1">
      <c r="A31" s="31"/>
      <c r="B31" s="237" t="inlineStr">
        <is>
          <t xml:space="preserve">5. DB 보안</t>
        </is>
      </c>
      <c r="C31" s="259" t="inlineStr">
        <is>
          <t xml:space="preserve">DB-01</t>
        </is>
      </c>
      <c r="D31" s="260" t="inlineStr">
        <is>
          <t xml:space="preserve">DB 접근통제</t>
        </is>
      </c>
      <c r="E31" s="261" t="inlineStr">
        <is>
          <t xml:space="preserve">상</t>
        </is>
      </c>
      <c r="F31" s="262">
        <f>IFERROR(T(INDEX('3-1. 진단 결과(NCP)'!$F$6:$G$36,MATCH($C31,'3-1. 진단 결과(NCP)'!$C$6:$C$36,0),MATCH(F$3,'3-1. 진단 결과(NCP)'!$F$3:$G$3,0))),"")</f>
      </c>
      <c r="G31" s="5"/>
      <c r="H31" s="263">
        <f>IF(COUNTIF(I31:I32,"N/A")=COUNTA(I31:I32),"N/A",AVERAGE(I31:I32))</f>
      </c>
      <c r="I31" s="264">
        <f>IF($J31+$K31=0,"N/A",$J31/($J31+$K31))</f>
      </c>
      <c r="J31" s="265">
        <f>COUNTIF($F31:$F31,"양호")</f>
      </c>
      <c r="K31" s="266">
        <f>COUNTIF($F31:$F31,"취약")</f>
      </c>
      <c r="L31" s="267">
        <f>COUNTIF($F31:$F31,"N/A")</f>
      </c>
    </row>
    <row r="32" spans="1:26" ht="31.65" customHeight="1">
      <c r="A32" s="31"/>
      <c r="B32" s="245"/>
      <c r="C32" s="268" t="inlineStr">
        <is>
          <t xml:space="preserve">DB-02</t>
        </is>
      </c>
      <c r="D32" s="269" t="inlineStr">
        <is>
          <t xml:space="preserve">DB Backup</t>
        </is>
      </c>
      <c r="E32" s="270" t="inlineStr">
        <is>
          <t xml:space="preserve">중</t>
        </is>
      </c>
      <c r="F32" s="271">
        <f>IFERROR(T(INDEX('3-1. 진단 결과(NCP)'!$F$6:$G$36,MATCH($C32,'3-1. 진단 결과(NCP)'!$C$6:$C$36,0),MATCH(F$3,'3-1. 진단 결과(NCP)'!$F$3:$G$3,0))),"")</f>
      </c>
      <c r="G32" s="5"/>
      <c r="H32" s="272"/>
      <c r="I32" s="273">
        <f>IF($J32+$K32=0,"N/A",$J32/($J32+$K32))</f>
      </c>
      <c r="J32" s="274">
        <f>COUNTIF($F32:$F32,"양호")</f>
      </c>
      <c r="K32" s="275">
        <f>COUNTIF($F32:$F32,"취약")</f>
      </c>
      <c r="L32" s="276">
        <f>COUNTIF($F32:$F32,"N/A")</f>
      </c>
    </row>
    <row r="33" spans="1:26" ht="31.65" customHeight="1">
      <c r="A33" s="31"/>
      <c r="B33" s="237" t="inlineStr">
        <is>
          <t xml:space="preserve">6. 클라우드 환경 보안 감사</t>
        </is>
      </c>
      <c r="C33" s="259" t="inlineStr">
        <is>
          <t xml:space="preserve">AU-01</t>
        </is>
      </c>
      <c r="D33" s="260" t="inlineStr">
        <is>
          <t xml:space="preserve">계정 활동 기반 감사</t>
        </is>
      </c>
      <c r="E33" s="261" t="inlineStr">
        <is>
          <t xml:space="preserve">중</t>
        </is>
      </c>
      <c r="F33" s="262">
        <f>IFERROR(T(INDEX('3-1. 진단 결과(NCP)'!$F$6:$G$36,MATCH($C33,'3-1. 진단 결과(NCP)'!$C$6:$C$36,0),MATCH(F$3,'3-1. 진단 결과(NCP)'!$F$3:$G$3,0))),"")</f>
      </c>
      <c r="G33" s="5"/>
      <c r="H33" s="263">
        <f>IF(COUNTIF(I33:I35,"N/A")=COUNTA(I33:I35),"N/A",AVERAGE(I33:I35))</f>
      </c>
      <c r="I33" s="264">
        <f>IF($J33+$K33=0,"N/A",$J33/($J33+$K33))</f>
      </c>
      <c r="J33" s="265">
        <f>COUNTIF($F33:$F33,"양호")</f>
      </c>
      <c r="K33" s="266">
        <f>COUNTIF($F33:$F33,"취약")</f>
      </c>
      <c r="L33" s="267">
        <f>COUNTIF($F33:$F33,"N/A")</f>
      </c>
    </row>
    <row r="34" spans="1:26" ht="31.65" customHeight="1">
      <c r="A34" s="31"/>
      <c r="B34" s="163"/>
      <c r="C34" s="91" t="inlineStr">
        <is>
          <t xml:space="preserve">AU-02</t>
        </is>
      </c>
      <c r="D34" s="227" t="inlineStr">
        <is>
          <t xml:space="preserve">리소스 기반 감사</t>
        </is>
      </c>
      <c r="E34" s="8" t="inlineStr">
        <is>
          <t xml:space="preserve">중</t>
        </is>
      </c>
      <c r="F34" s="33">
        <f>IFERROR(T(INDEX('3-1. 진단 결과(NCP)'!$F$6:$G$36,MATCH($C34,'3-1. 진단 결과(NCP)'!$C$6:$C$36,0),MATCH(F$3,'3-1. 진단 결과(NCP)'!$F$3:$G$3,0))),"")</f>
      </c>
      <c r="G34" s="5"/>
      <c r="H34" s="159"/>
      <c r="I34" s="34">
        <f>IF($J34+$K34=0,"N/A",$J34/($J34+$K34))</f>
      </c>
      <c r="J34" s="120">
        <f>COUNTIF($F34:$F34,"양호")</f>
      </c>
      <c r="K34" s="121">
        <f>COUNTIF($F34:$F34,"취약")</f>
      </c>
      <c r="L34" s="30">
        <f>COUNTIF($F34:$F34,"N/A")</f>
      </c>
    </row>
    <row r="35" spans="1:26" ht="31.65" customHeight="1">
      <c r="A35" s="31"/>
      <c r="B35" s="245"/>
      <c r="C35" s="268" t="inlineStr">
        <is>
          <t xml:space="preserve">AU-03</t>
        </is>
      </c>
      <c r="D35" s="269" t="inlineStr">
        <is>
          <t xml:space="preserve">모범 사례 기반 감사</t>
        </is>
      </c>
      <c r="E35" s="270" t="inlineStr">
        <is>
          <t xml:space="preserve">중</t>
        </is>
      </c>
      <c r="F35" s="271">
        <f>IFERROR(T(INDEX('3-1. 진단 결과(NCP)'!$F$6:$G$36,MATCH($C35,'3-1. 진단 결과(NCP)'!$C$6:$C$36,0),MATCH(F$3,'3-1. 진단 결과(NCP)'!$F$3:$G$3,0))),"")</f>
      </c>
      <c r="G35" s="5"/>
      <c r="H35" s="272"/>
      <c r="I35" s="273">
        <f>IF($J35+$K35=0,"N/A",$J35/($J35+$K35))</f>
      </c>
      <c r="J35" s="274">
        <f>COUNTIF($F35:$F35,"양호")</f>
      </c>
      <c r="K35" s="275">
        <f>COUNTIF($F35:$F35,"취약")</f>
      </c>
      <c r="L35" s="276">
        <f>COUNTIF($F35:$F35,"N/A")</f>
      </c>
    </row>
    <row r="36" spans="1:26" ht="31.65" customHeight="1">
      <c r="A36" s="31"/>
      <c r="B36" s="252" t="inlineStr">
        <is>
          <t xml:space="preserve">7. 서비스 연속성 확보</t>
        </is>
      </c>
      <c r="C36" s="277" t="inlineStr">
        <is>
          <t xml:space="preserve">MU-01</t>
        </is>
      </c>
      <c r="D36" s="278" t="inlineStr">
        <is>
          <t xml:space="preserve">멀티존 구성</t>
        </is>
      </c>
      <c r="E36" s="279" t="inlineStr">
        <is>
          <t xml:space="preserve">중</t>
        </is>
      </c>
      <c r="F36" s="280">
        <f>IFERROR(T(INDEX('3-1. 진단 결과(NCP)'!$F$6:$G$36,MATCH($C36,'3-1. 진단 결과(NCP)'!$C$6:$C$36,0),MATCH(F$3,'3-1. 진단 결과(NCP)'!$F$3:$G$3,0))),"")</f>
      </c>
      <c r="G36" s="5"/>
      <c r="H36" s="281">
        <f>IF(COUNTIF(I36:I36,"N/A")=COUNTA(I36:I36),"N/A",AVERAGE(I36:I36))</f>
      </c>
      <c r="I36" s="282">
        <f>IF($J36+$K36=0,"N/A",$J36/($J36+$K36))</f>
      </c>
      <c r="J36" s="283">
        <f>COUNTIF($F36:$F36,"양호")</f>
      </c>
      <c r="K36" s="284">
        <f>COUNTIF($F36:$F36,"취약")</f>
      </c>
      <c r="L36" s="285">
        <f>COUNTIF($F36:$F36,"N/A")</f>
      </c>
    </row>
    <row r="37" spans="1:21" ht="16.5" customHeight="1">
      <c r="A37" s="31"/>
      <c r="B37" s="162" t="s">
        <v>28</v>
      </c>
      <c r="C37" s="166" t="s">
        <v>29</v>
      </c>
      <c r="D37" s="167"/>
      <c r="E37" s="168"/>
      <c r="F37" s="85">
        <f>IF(COUNTIF(F$6:F$36,"?*")=0,"",COUNTIF(F$6:F$36,"취약"))</f>
      </c>
      <c r="G37" s="5"/>
      <c r="H37" s="9"/>
      <c r="I37" s="9"/>
      <c r="J37" s="9"/>
      <c r="K37" s="9"/>
      <c r="L37" s="9"/>
      <c r="M37" s="5"/>
      <c r="N37" s="5"/>
      <c r="O37" s="5"/>
      <c r="P37" s="5"/>
      <c r="Q37" s="5"/>
      <c r="R37" s="5"/>
      <c r="S37" s="5"/>
      <c r="T37" s="5"/>
      <c r="U37" s="5"/>
    </row>
    <row r="38" spans="1:26" ht="16.5" customHeight="1" thickBot="1">
      <c r="A38" s="31"/>
      <c r="B38" s="164"/>
      <c r="C38" s="169" t="s">
        <v>30</v>
      </c>
      <c r="D38" s="170"/>
      <c r="E38" s="171"/>
      <c r="F38" s="78">
        <f>IF(COUNTIF(F$6:F$36,"?*")=0,"",IFERROR(COUNTIF(F$6:F$36,"양호")/(COUNTIF(F$6:F$36,"양호")+COUNTIF(F$6:F$36,"취약")),"N/A"))</f>
      </c>
      <c r="G38" s="5"/>
      <c r="H38" s="9"/>
      <c r="I38" s="9"/>
      <c r="J38" s="9"/>
      <c r="K38" s="9"/>
      <c r="L38" s="9"/>
      <c r="M38" s="5"/>
      <c r="N38" s="5"/>
      <c r="O38" s="5"/>
      <c r="P38" s="5"/>
      <c r="Q38" s="5"/>
      <c r="R38" s="5"/>
      <c r="S38" s="5"/>
      <c r="T38" s="5"/>
      <c r="U38" s="5"/>
    </row>
    <row r="39" spans="1:26" ht="16.5" customHeight="1">
      <c r="A39" s="1"/>
      <c r="B39" s="1"/>
      <c r="C39" s="1"/>
      <c r="D39" s="1"/>
      <c r="E39" s="3"/>
      <c r="F39" s="3"/>
      <c r="G39" s="3"/>
      <c r="H39" s="3"/>
      <c r="I39" s="3"/>
      <c r="J39" s="3"/>
      <c r="K39" s="3"/>
      <c r="L39" s="5"/>
      <c r="M39" s="9"/>
      <c r="N39" s="9"/>
      <c r="O39" s="9"/>
      <c r="P39" s="9"/>
      <c r="Q39" s="9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9"/>
      <c r="N40" s="9"/>
      <c r="O40" s="9"/>
      <c r="P40" s="9"/>
      <c r="Q40" s="9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9"/>
      <c r="N41" s="9"/>
      <c r="O41" s="9"/>
      <c r="P41" s="9"/>
      <c r="Q41" s="9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9"/>
      <c r="N42" s="9"/>
      <c r="O42" s="9"/>
      <c r="P42" s="9"/>
      <c r="Q42" s="9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9"/>
      <c r="N43" s="9"/>
      <c r="O43" s="9"/>
      <c r="P43" s="9"/>
      <c r="Q43" s="9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9"/>
      <c r="N44" s="9"/>
      <c r="O44" s="9"/>
      <c r="P44" s="9"/>
      <c r="Q44" s="9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9"/>
      <c r="N45" s="9"/>
      <c r="O45" s="9"/>
      <c r="P45" s="9"/>
      <c r="Q45" s="9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9"/>
      <c r="N46" s="9"/>
      <c r="O46" s="9"/>
      <c r="P46" s="9"/>
      <c r="Q46" s="9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9"/>
      <c r="N47" s="9"/>
      <c r="O47" s="9"/>
      <c r="P47" s="9"/>
      <c r="Q47" s="9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9"/>
      <c r="N48" s="9"/>
      <c r="O48" s="9"/>
      <c r="P48" s="9"/>
      <c r="Q48" s="9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3"/>
      <c r="H50" s="3"/>
      <c r="I50" s="3"/>
      <c r="J50" s="3"/>
      <c r="K50" s="3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3"/>
      <c r="H51" s="3"/>
      <c r="I51" s="3"/>
      <c r="J51" s="3"/>
      <c r="K51" s="3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3"/>
      <c r="H52" s="3"/>
      <c r="I52" s="3"/>
      <c r="J52" s="3"/>
      <c r="K52" s="3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3"/>
      <c r="H53" s="3"/>
      <c r="I53" s="3"/>
      <c r="J53" s="3"/>
      <c r="K53" s="3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3"/>
      <c r="H54" s="3"/>
      <c r="I54" s="3"/>
      <c r="J54" s="3"/>
      <c r="K54" s="3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3"/>
      <c r="H55" s="3"/>
      <c r="I55" s="3"/>
      <c r="J55" s="3"/>
      <c r="K55" s="3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3"/>
      <c r="H56" s="3"/>
      <c r="I56" s="3"/>
      <c r="J56" s="3"/>
      <c r="K56" s="3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3"/>
      <c r="H57" s="3"/>
      <c r="I57" s="3"/>
      <c r="J57" s="3"/>
      <c r="K57" s="3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3"/>
      <c r="H58" s="3"/>
      <c r="I58" s="3"/>
      <c r="J58" s="3"/>
      <c r="K58" s="3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20">
    <mergeCell ref="B2:F2"/>
    <mergeCell ref="B3:B5"/>
    <mergeCell ref="C3:C5"/>
    <mergeCell ref="D3:D5"/>
    <mergeCell ref="E3:E5"/>
    <mergeCell ref="B6:B15"/>
    <mergeCell ref="H6:H15"/>
    <mergeCell ref="B16:B20"/>
    <mergeCell ref="H16:H20"/>
    <mergeCell ref="B21:B26"/>
    <mergeCell ref="H21:H26"/>
    <mergeCell ref="B27:B30"/>
    <mergeCell ref="H27:H30"/>
    <mergeCell ref="B31:B32"/>
    <mergeCell ref="H31:H32"/>
    <mergeCell ref="B33:B35"/>
    <mergeCell ref="H33:H35"/>
    <mergeCell ref="B37:B38"/>
    <mergeCell ref="C37:E37"/>
    <mergeCell ref="C38:E38"/>
  </mergeCells>
  <phoneticPr fontId="28" type="noConversion"/>
  <conditionalFormatting sqref="F6:F36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36">
    <cfRule type="cellIs" dxfId="49" priority="5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3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99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33203125" customWidth="1"/>
    <col min="4" max="4" width="40.664062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NCP 취약점 진단 상세결과(31항목)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1"/>
      <c r="B6" s="237" t="inlineStr">
        <is>
          <t xml:space="preserve">1. 계정관리</t>
        </is>
      </c>
      <c r="C6" s="238" t="inlineStr">
        <is>
          <t xml:space="preserve">AC-01</t>
        </is>
      </c>
      <c r="D6" s="239" t="inlineStr">
        <is>
          <t xml:space="preserve">패스워드 복잡성 설정</t>
        </is>
      </c>
      <c r="E6" s="240" t="inlineStr">
        <is>
          <t xml:space="preserve">양호 - 영문자·숫자·특수문자를 조합하여 8자 이상으로 패스워드가 설정된 경우
취약 - 패스워드 조합 규칙을 충족하지 않는 경우</t>
        </is>
      </c>
      <c r="F6" s="243"/>
      <c r="G6" s="242"/>
    </row>
    <row r="7" spans="1:16" ht="63.90" customHeight="1">
      <c r="A7" s="1"/>
      <c r="B7" s="163"/>
      <c r="C7" s="90" t="inlineStr">
        <is>
          <t xml:space="preserve">AC-02</t>
        </is>
      </c>
      <c r="D7" s="212" t="inlineStr">
        <is>
          <t xml:space="preserve">패스워드 최소 길이 설정</t>
        </is>
      </c>
      <c r="E7" s="108" t="inlineStr">
        <is>
          <t xml:space="preserve">양호 - 패스워드 최소 길이가 8자 이상으로 설정된 경우
취약 - 패스워드 최소 길이가 8자 미만인 경우</t>
        </is>
      </c>
      <c r="F7" s="244"/>
      <c r="G7" s="201"/>
    </row>
    <row r="8" spans="1:16" ht="79.50" customHeight="1">
      <c r="A8" s="1"/>
      <c r="B8" s="163"/>
      <c r="C8" s="90" t="inlineStr">
        <is>
          <t xml:space="preserve">AC-03</t>
        </is>
      </c>
      <c r="D8" s="212" t="inlineStr">
        <is>
          <t xml:space="preserve">강화된 인증방식 적용</t>
        </is>
      </c>
      <c r="E8" s="108" t="inlineStr">
        <is>
          <t xml:space="preserve">양호 - 메인 계정·Sub Account 모두 ID/PW 외 추가 인증수단(인증번호·OTP)을 적용한 경우
취약 - 2차 인증이 미적용된 계정이 존재하는 경우</t>
        </is>
      </c>
      <c r="F8" s="244"/>
      <c r="G8" s="201"/>
    </row>
    <row r="9" spans="1:16" ht="63.90" customHeight="1">
      <c r="A9" s="1"/>
      <c r="B9" s="163"/>
      <c r="C9" s="90" t="inlineStr">
        <is>
          <t xml:space="preserve">AC-04</t>
        </is>
      </c>
      <c r="D9" s="212" t="inlineStr">
        <is>
          <t xml:space="preserve">API 인증키 관리</t>
        </is>
      </c>
      <c r="E9" s="108" t="inlineStr">
        <is>
          <t xml:space="preserve">양호 - 메인 계정·Sub Account의 Access Key를 주기적으로 관리·교체하는 경우
취약 - Access Key가 장기간 미교체·방치된 경우</t>
        </is>
      </c>
      <c r="F9" s="244"/>
      <c r="G9" s="201"/>
    </row>
    <row r="10" spans="1:16" ht="63.90" customHeight="1">
      <c r="A10" s="1"/>
      <c r="B10" s="163"/>
      <c r="C10" s="90" t="inlineStr">
        <is>
          <t xml:space="preserve">AC-05</t>
        </is>
      </c>
      <c r="D10" s="212" t="inlineStr">
        <is>
          <t xml:space="preserve">계정 권한 부여 방식</t>
        </is>
      </c>
      <c r="E10" s="108" t="inlineStr">
        <is>
          <t xml:space="preserve">양호 - Sub Account의 모든 계정이 그룹에 속하여 권한을 부여받은 경우
취약 - 그룹에 속하지 않은 특수권한 계정이 존재하는 경우</t>
        </is>
      </c>
      <c r="F10" s="244"/>
      <c r="G10" s="201"/>
    </row>
    <row r="11" spans="1:16" ht="63.90" customHeight="1">
      <c r="A11" s="1"/>
      <c r="B11" s="163"/>
      <c r="C11" s="90" t="inlineStr">
        <is>
          <t xml:space="preserve">AC-06</t>
        </is>
      </c>
      <c r="D11" s="212" t="inlineStr">
        <is>
          <t xml:space="preserve">메인 계정 사용 금지</t>
        </is>
      </c>
      <c r="E11" s="108" t="inlineStr">
        <is>
          <t xml:space="preserve">양호 - 메인 계정을 사용하지 않고 서브 계정에 적절한 권한을 부여하여 사용하는 경우
취약 - 메인(루트) 계정을 상시 사용하는 경우</t>
        </is>
      </c>
      <c r="F11" s="244"/>
      <c r="G11" s="201"/>
    </row>
    <row r="12" spans="1:16" ht="79.50" customHeight="1">
      <c r="A12" s="1"/>
      <c r="B12" s="163"/>
      <c r="C12" s="90" t="inlineStr">
        <is>
          <t xml:space="preserve">AC-07</t>
        </is>
      </c>
      <c r="D12" s="212" t="inlineStr">
        <is>
          <t xml:space="preserve">불필요한 계정 제거</t>
        </is>
      </c>
      <c r="E12" s="108" t="inlineStr">
        <is>
          <t xml:space="preserve">양호 - Sub Account에 불필요·미사용(퇴직·휴직·장기미사용) 계정이 존재하지 않는 경우
취약 - 불필요·미사용 계정이 존재하는 경우</t>
        </is>
      </c>
      <c r="F12" s="244"/>
      <c r="G12" s="201"/>
    </row>
    <row r="13" spans="1:16" ht="48.30" customHeight="1">
      <c r="A13" s="1"/>
      <c r="B13" s="163"/>
      <c r="C13" s="90" t="inlineStr">
        <is>
          <t xml:space="preserve">AC-08</t>
        </is>
      </c>
      <c r="D13" s="212" t="inlineStr">
        <is>
          <t xml:space="preserve">계정 속성 만료 활성화</t>
        </is>
      </c>
      <c r="E13" s="108" t="inlineStr">
        <is>
          <t xml:space="preserve">양호 - 미사용 세션 및 비밀번호 만료 기능이 활성화되고 적절한 만료일이 설정된 경우
취약 - 만료 설정이 비활성화된 경우</t>
        </is>
      </c>
      <c r="F13" s="244"/>
      <c r="G13" s="201"/>
    </row>
    <row r="14" spans="1:16" ht="63.90" customHeight="1">
      <c r="A14" s="1"/>
      <c r="B14" s="163"/>
      <c r="C14" s="90" t="inlineStr">
        <is>
          <t xml:space="preserve">AC-09</t>
        </is>
      </c>
      <c r="D14" s="212" t="inlineStr">
        <is>
          <t xml:space="preserve">정확한 정책 및 역할 할당</t>
        </is>
      </c>
      <c r="E14" s="108" t="inlineStr">
        <is>
          <t xml:space="preserve">양호 - Sub Account 계정에 필요한 정책과 적절한 역할이 할당된 경우
취약 - 과도하거나 부적절한 정책·역할이 부여된 경우</t>
        </is>
      </c>
      <c r="F14" s="244"/>
      <c r="G14" s="201"/>
    </row>
    <row r="15" spans="1:16" ht="79.50" customHeight="1">
      <c r="A15" s="1"/>
      <c r="B15" s="245"/>
      <c r="C15" s="246" t="inlineStr">
        <is>
          <t xml:space="preserve">AC-10</t>
        </is>
      </c>
      <c r="D15" s="247" t="inlineStr">
        <is>
          <t xml:space="preserve">통합 계정 관리</t>
        </is>
      </c>
      <c r="E15" s="248" t="inlineStr">
        <is>
          <t xml:space="preserve">양호 - Organization으로 거버넌스 정책을 수립하여 계정별 서비스·사용량을 제어하는 경우
취약 - 다수 계정이 통합 관리 없이 개별 운영되는 경우</t>
        </is>
      </c>
      <c r="F15" s="251"/>
      <c r="G15" s="250"/>
    </row>
    <row r="16" spans="1:16" ht="63.90" customHeight="1">
      <c r="A16" s="1"/>
      <c r="B16" s="237" t="inlineStr">
        <is>
          <t xml:space="preserve">2. 네트워크 보안</t>
        </is>
      </c>
      <c r="C16" s="238" t="inlineStr">
        <is>
          <t xml:space="preserve">VP-01</t>
        </is>
      </c>
      <c r="D16" s="239" t="inlineStr">
        <is>
          <t xml:space="preserve">VPC Naming 설정</t>
        </is>
      </c>
      <c r="E16" s="240" t="inlineStr">
        <is>
          <t xml:space="preserve">양호 - VPC 이름을 통해 서비스를 식별할 수 있는 경우
취약 - 식별이 불가능한 이름으로 VPC가 생성된 경우</t>
        </is>
      </c>
      <c r="F16" s="243"/>
      <c r="G16" s="242"/>
    </row>
    <row r="17" spans="1:16" ht="63.90" customHeight="1">
      <c r="A17" s="1"/>
      <c r="B17" s="163"/>
      <c r="C17" s="90" t="inlineStr">
        <is>
          <t xml:space="preserve">VP-02</t>
        </is>
      </c>
      <c r="D17" s="212" t="inlineStr">
        <is>
          <t xml:space="preserve">서비스 목적에 따른 네트워크 분리</t>
        </is>
      </c>
      <c r="E17" s="108" t="inlineStr">
        <is>
          <t xml:space="preserve">양호 - 서비스 사용 목적에 따라 Subnet이 분리된 경우
취약 - 목적 구분 없이 Subnet이 혼용되는 경우</t>
        </is>
      </c>
      <c r="F17" s="244"/>
      <c r="G17" s="201"/>
    </row>
    <row r="18" spans="1:16" ht="63.90" customHeight="1">
      <c r="A18" s="1"/>
      <c r="B18" s="163"/>
      <c r="C18" s="90" t="inlineStr">
        <is>
          <t xml:space="preserve">VP-03</t>
        </is>
      </c>
      <c r="D18" s="212" t="inlineStr">
        <is>
          <t xml:space="preserve">NACL 관리</t>
        </is>
      </c>
      <c r="E18" s="108" t="inlineStr">
        <is>
          <t xml:space="preserve">양호 - 전체 차단 정책을 기본으로 서비스에 필요한 IP·Port만 허용된 경우
취약 - Network ACL 정책이 없거나 광범위하게 허용된 경우</t>
        </is>
      </c>
      <c r="F18" s="244"/>
      <c r="G18" s="201"/>
    </row>
    <row r="19" spans="1:16" ht="63.90" customHeight="1">
      <c r="A19" s="1"/>
      <c r="B19" s="163"/>
      <c r="C19" s="90" t="inlineStr">
        <is>
          <t xml:space="preserve">VP-04</t>
        </is>
      </c>
      <c r="D19" s="212" t="inlineStr">
        <is>
          <t xml:space="preserve">NAT Gateway 관리</t>
        </is>
      </c>
      <c r="E19" s="108" t="inlineStr">
        <is>
          <t xml:space="preserve">양호 - 외부 통신이 더 이상 필요 없는 서버가 NAT Gateway 설정에서 제외된 경우
취약 - 사용 목적이 완료된 서버가 외부 통신 가능 상태로 남아있는 경우</t>
        </is>
      </c>
      <c r="F19" s="244"/>
      <c r="G19" s="201"/>
    </row>
    <row r="20" spans="1:16" ht="79.50" customHeight="1">
      <c r="A20" s="1"/>
      <c r="B20" s="245"/>
      <c r="C20" s="246" t="inlineStr">
        <is>
          <t xml:space="preserve">VP-05</t>
        </is>
      </c>
      <c r="D20" s="247" t="inlineStr">
        <is>
          <t xml:space="preserve">안전한 접속 수단 설정</t>
        </is>
      </c>
      <c r="E20" s="248" t="inlineStr">
        <is>
          <t xml:space="preserve">양호 - 정보자산 접속 시 SSL VPN·IPsec VPN·Certificate Manager 등 안전한 접속 수단을 적용한 경우
취약 - 암호화되지 않은 접속 수단을 사용하는 경우</t>
        </is>
      </c>
      <c r="F20" s="251"/>
      <c r="G20" s="250"/>
    </row>
    <row r="21" spans="1:16" ht="63.90" customHeight="1">
      <c r="A21" s="1"/>
      <c r="B21" s="237" t="inlineStr">
        <is>
          <t xml:space="preserve">3. 서버 보안</t>
        </is>
      </c>
      <c r="C21" s="238" t="inlineStr">
        <is>
          <t xml:space="preserve">SV-01</t>
        </is>
      </c>
      <c r="D21" s="239" t="inlineStr">
        <is>
          <t xml:space="preserve">서비스 포트 관리</t>
        </is>
      </c>
      <c r="E21" s="240" t="inlineStr">
        <is>
          <t xml:space="preserve">양호 - ACG에 서비스에 필요한 IP·Port만 허용된 경우
취약 - 불필요한 IP·Port(ANY 등)가 허용된 경우</t>
        </is>
      </c>
      <c r="F21" s="243"/>
      <c r="G21" s="242"/>
    </row>
    <row r="22" spans="1:16" ht="63.90" customHeight="1">
      <c r="A22" s="1"/>
      <c r="B22" s="163"/>
      <c r="C22" s="90" t="inlineStr">
        <is>
          <t xml:space="preserve">SV-02</t>
        </is>
      </c>
      <c r="D22" s="212" t="inlineStr">
        <is>
          <t xml:space="preserve">서버간 통신 제어</t>
        </is>
      </c>
      <c r="E22" s="108" t="inlineStr">
        <is>
          <t xml:space="preserve">양호 - 서버 간 통신이 승인된 정책 범위 내에서만 ACG로 허용된 경우
취약 - 서버 간 통신이 광범위하게 허용된 경우</t>
        </is>
      </c>
      <c r="F22" s="244"/>
      <c r="G22" s="201"/>
    </row>
    <row r="23" spans="1:16" ht="63.90" customHeight="1">
      <c r="A23" s="1"/>
      <c r="B23" s="163"/>
      <c r="C23" s="90" t="inlineStr">
        <is>
          <t xml:space="preserve">SV-03</t>
        </is>
      </c>
      <c r="D23" s="212" t="inlineStr">
        <is>
          <t xml:space="preserve">사용자 접근 통제</t>
        </is>
      </c>
      <c r="E23" s="108" t="inlineStr">
        <is>
          <t xml:space="preserve">양호 - 서버 접속 시 인증키를 통해 접속하는 경우
취약 - ID/Password 직접 입력 방식으로 서버에 접속하는 경우</t>
        </is>
      </c>
      <c r="F23" s="244"/>
      <c r="G23" s="201"/>
    </row>
    <row r="24" spans="1:16" ht="63.90" customHeight="1">
      <c r="A24" s="1"/>
      <c r="B24" s="163"/>
      <c r="C24" s="90" t="inlineStr">
        <is>
          <t xml:space="preserve">SV-04</t>
        </is>
      </c>
      <c r="D24" s="212" t="inlineStr">
        <is>
          <t xml:space="preserve">공인 IP 사용 제한</t>
        </is>
      </c>
      <c r="E24" s="108" t="inlineStr">
        <is>
          <t xml:space="preserve">양호 - Private Zone에 위치한 서버에 공인 IP가 할당되지 않은 경우
취약 - Private Zone 서버에 공인 IP가 할당된 경우</t>
        </is>
      </c>
      <c r="F24" s="244"/>
      <c r="G24" s="201"/>
    </row>
    <row r="25" spans="1:16" ht="63.90" customHeight="1">
      <c r="A25" s="1"/>
      <c r="B25" s="163"/>
      <c r="C25" s="90" t="inlineStr">
        <is>
          <t xml:space="preserve">SV-05</t>
        </is>
      </c>
      <c r="D25" s="212" t="inlineStr">
        <is>
          <t xml:space="preserve">불필요한 서버 제거</t>
        </is>
      </c>
      <c r="E25" s="108" t="inlineStr">
        <is>
          <t xml:space="preserve">양호 - 사용 목적이 완료된 서버를 정기 검토를 통해 반납 처리하는 경우
취약 - 불필요한 서버가 미반납 상태로 방치된 경우</t>
        </is>
      </c>
      <c r="F25" s="244"/>
      <c r="G25" s="201"/>
    </row>
    <row r="26" spans="1:16" ht="63.90" customHeight="1">
      <c r="A26" s="1"/>
      <c r="B26" s="245"/>
      <c r="C26" s="246" t="inlineStr">
        <is>
          <t xml:space="preserve">SV-06</t>
        </is>
      </c>
      <c r="D26" s="247" t="inlineStr">
        <is>
          <t xml:space="preserve">OS 취약성 점검</t>
        </is>
      </c>
      <c r="E26" s="248" t="inlineStr">
        <is>
          <t xml:space="preserve">양호 - 주기적으로 OS 취약성 점검을 이행하는 경우
취약 - OS 취약성 점검이 수행되지 않는 경우</t>
        </is>
      </c>
      <c r="F26" s="251"/>
      <c r="G26" s="250"/>
    </row>
    <row r="27" spans="1:16" ht="48.30" customHeight="1">
      <c r="A27" s="1"/>
      <c r="B27" s="237" t="inlineStr">
        <is>
          <t xml:space="preserve">4. 스토리지 보안</t>
        </is>
      </c>
      <c r="C27" s="238" t="inlineStr">
        <is>
          <t xml:space="preserve">ST-01</t>
        </is>
      </c>
      <c r="D27" s="239" t="inlineStr">
        <is>
          <t xml:space="preserve">버킷 공개 설정</t>
        </is>
      </c>
      <c r="E27" s="240" t="inlineStr">
        <is>
          <t xml:space="preserve">양호 - 중요정보를 보관한 Object Storage 버킷이 비공개로 설정된 경우
취약 - 버킷이 외부에 공개로 설정된 경우</t>
        </is>
      </c>
      <c r="F27" s="243"/>
      <c r="G27" s="242"/>
    </row>
    <row r="28" spans="1:16" ht="79.50" customHeight="1">
      <c r="A28" s="1"/>
      <c r="B28" s="163"/>
      <c r="C28" s="90" t="inlineStr">
        <is>
          <t xml:space="preserve">ST-02</t>
        </is>
      </c>
      <c r="D28" s="212" t="inlineStr">
        <is>
          <t xml:space="preserve">데이터 수명 주기 관리</t>
        </is>
      </c>
      <c r="E28" s="108" t="inlineStr">
        <is>
          <t xml:space="preserve">양호 - 사용 완료 데이터가 수명주기 정책에 따라 Archive Storage 등으로 이관·보관되는 경우
취약 - 수명주기 정책 없이 데이터가 방치된 경우</t>
        </is>
      </c>
      <c r="F28" s="244"/>
      <c r="G28" s="201"/>
    </row>
    <row r="29" spans="1:16" ht="48.30" customHeight="1">
      <c r="A29" s="1"/>
      <c r="B29" s="163"/>
      <c r="C29" s="90" t="inlineStr">
        <is>
          <t xml:space="preserve">ST-03</t>
        </is>
      </c>
      <c r="D29" s="212" t="inlineStr">
        <is>
          <t xml:space="preserve">불필요한 버킷 제거</t>
        </is>
      </c>
      <c r="E29" s="108" t="inlineStr">
        <is>
          <t xml:space="preserve">양호 - 사용 목적이 완료된 버킷을 정기 검토를 통해 삭제 처리하는 경우
취약 - 불필요한 버킷이 방치된 경우</t>
        </is>
      </c>
      <c r="F29" s="244"/>
      <c r="G29" s="201"/>
    </row>
    <row r="30" spans="1:16" ht="79.50" customHeight="1">
      <c r="A30" s="1"/>
      <c r="B30" s="245"/>
      <c r="C30" s="246" t="inlineStr">
        <is>
          <t xml:space="preserve">ST-04</t>
        </is>
      </c>
      <c r="D30" s="247" t="inlineStr">
        <is>
          <t xml:space="preserve">NAS 접근제어</t>
        </is>
      </c>
      <c r="E30" s="248" t="inlineStr">
        <is>
          <t xml:space="preserve">양호 - 사용 중지 서버 또는 공유 대상이 아닌 서버의 NAS 마운트 여부를 주기적으로 점검하는 경우
취약 - 불필요한 서버가 NAS에 마운트된 경우</t>
        </is>
      </c>
      <c r="F30" s="251"/>
      <c r="G30" s="250"/>
    </row>
    <row r="31" spans="1:16" ht="63.90" customHeight="1">
      <c r="A31" s="1"/>
      <c r="B31" s="237" t="inlineStr">
        <is>
          <t xml:space="preserve">5. DB 보안</t>
        </is>
      </c>
      <c r="C31" s="238" t="inlineStr">
        <is>
          <t xml:space="preserve">DB-01</t>
        </is>
      </c>
      <c r="D31" s="239" t="inlineStr">
        <is>
          <t xml:space="preserve">DB 접근통제</t>
        </is>
      </c>
      <c r="E31" s="240" t="inlineStr">
        <is>
          <t xml:space="preserve">양호 - DB 접근이 필요한 응용프로그램·서버·사용자를 식별하고 접근통제 정책에 따라 통제하는 경우
취약 - DB 접근통제 정책이 미흡한 경우</t>
        </is>
      </c>
      <c r="F31" s="243"/>
      <c r="G31" s="242"/>
    </row>
    <row r="32" spans="1:16" ht="63.90" customHeight="1">
      <c r="A32" s="1"/>
      <c r="B32" s="245"/>
      <c r="C32" s="246" t="inlineStr">
        <is>
          <t xml:space="preserve">DB-02</t>
        </is>
      </c>
      <c r="D32" s="247" t="inlineStr">
        <is>
          <t xml:space="preserve">DB Backup</t>
        </is>
      </c>
      <c r="E32" s="248" t="inlineStr">
        <is>
          <t xml:space="preserve">양호 - 데이터 가용성·무결성 유지를 위해 이중화 구성 및 백업 절차를 마련한 경우
취약 - 백업·이중화 절차가 마련되지 않은 경우</t>
        </is>
      </c>
      <c r="F32" s="251"/>
      <c r="G32" s="250"/>
    </row>
    <row r="33" spans="1:16" ht="63.90" customHeight="1">
      <c r="A33" s="1"/>
      <c r="B33" s="237" t="inlineStr">
        <is>
          <t xml:space="preserve">6. 클라우드 환경 보안 감사</t>
        </is>
      </c>
      <c r="C33" s="238" t="inlineStr">
        <is>
          <t xml:space="preserve">AU-01</t>
        </is>
      </c>
      <c r="D33" s="239" t="inlineStr">
        <is>
          <t xml:space="preserve">계정 활동 기반 감사</t>
        </is>
      </c>
      <c r="E33" s="240" t="inlineStr">
        <is>
          <t xml:space="preserve">양호 - Cloud Activity Tracer로 계정 접근권한 적정성을 정기 검토하는 경우
취약 - 계정 활동 로그 점검이 이행되지 않는 경우</t>
        </is>
      </c>
      <c r="F33" s="243"/>
      <c r="G33" s="242"/>
    </row>
    <row r="34" spans="1:16" ht="63.90" customHeight="1">
      <c r="A34" s="1"/>
      <c r="B34" s="163"/>
      <c r="C34" s="90" t="inlineStr">
        <is>
          <t xml:space="preserve">AU-02</t>
        </is>
      </c>
      <c r="D34" s="212" t="inlineStr">
        <is>
          <t xml:space="preserve">리소스 기반 감사</t>
        </is>
      </c>
      <c r="E34" s="108" t="inlineStr">
        <is>
          <t xml:space="preserve">양호 - Resource Manager로 리소스 생성·변경·삭제 적정성을 정기 검토하는 경우
취약 - 리소스 변경 이력 점검이 이행되지 않는 경우</t>
        </is>
      </c>
      <c r="F34" s="244"/>
      <c r="G34" s="201"/>
    </row>
    <row r="35" spans="1:16" ht="63.90" customHeight="1">
      <c r="A35" s="1"/>
      <c r="B35" s="245"/>
      <c r="C35" s="246" t="inlineStr">
        <is>
          <t xml:space="preserve">AU-03</t>
        </is>
      </c>
      <c r="D35" s="247" t="inlineStr">
        <is>
          <t xml:space="preserve">모범 사례 기반 감사</t>
        </is>
      </c>
      <c r="E35" s="248" t="inlineStr">
        <is>
          <t xml:space="preserve">양호 - Cloud Advisor 점검항목의 검사결과가 모두 정상인 경우
취약 - 모범 사례 기반 점검 결과 조치되지 않은 항목이 존재하는 경우</t>
        </is>
      </c>
      <c r="F35" s="251"/>
      <c r="G35" s="250"/>
    </row>
    <row r="36" spans="1:16" ht="63.90" customHeight="1">
      <c r="A36" s="1"/>
      <c r="B36" s="252" t="inlineStr">
        <is>
          <t xml:space="preserve">7. 서비스 연속성 확보</t>
        </is>
      </c>
      <c r="C36" s="253" t="inlineStr">
        <is>
          <t xml:space="preserve">MU-01</t>
        </is>
      </c>
      <c r="D36" s="254" t="inlineStr">
        <is>
          <t xml:space="preserve">멀티존 구성</t>
        </is>
      </c>
      <c r="E36" s="255" t="inlineStr">
        <is>
          <t xml:space="preserve">양호 - 중요 서버가 Zone을 통해 이중화되어 있는 경우
취약 - 중요 서버가 단일 Zone에 구성된 경우</t>
        </is>
      </c>
      <c r="F36" s="258"/>
      <c r="G36" s="257"/>
    </row>
    <row r="37" spans="1:16" ht="20.25" customHeight="1">
      <c r="A37" s="1"/>
      <c r="B37" s="174" t="s">
        <v>28</v>
      </c>
      <c r="C37" s="166" t="inlineStr">
        <is>
          <t xml:space="preserve">취약항목 개수</t>
        </is>
      </c>
      <c r="D37" s="184"/>
      <c r="E37" s="185"/>
      <c r="F37" s="85">
        <f>IF(COUNTIF(F$6:F$36,"?*")=0,"",COUNTIF(F$6:F$36,"취약"))</f>
      </c>
      <c r="G37" s="77"/>
      <c r="H37" s="5"/>
      <c r="I37" s="5"/>
      <c r="J37" s="5"/>
      <c r="K37" s="5"/>
      <c r="L37" s="5"/>
      <c r="M37" s="5"/>
      <c r="N37" s="5"/>
      <c r="O37" s="5"/>
      <c r="P37" s="5"/>
    </row>
    <row r="38" spans="1:26" ht="20.25" customHeight="1" thickBot="1">
      <c r="A38" s="1"/>
      <c r="B38" s="183"/>
      <c r="C38" s="169" t="s">
        <v>30</v>
      </c>
      <c r="D38" s="186"/>
      <c r="E38" s="187"/>
      <c r="F38" s="79">
        <f>IF(COUNTIF(F$6:F$36,"?*")=0,"",IFERROR(COUNTIF(F$6:F$36,"양호")/(COUNTIF(F$6:F$36,"양호")+COUNTIF(F$6:F$36,"취약")),"N/A"))</f>
      </c>
      <c r="G38" s="79"/>
      <c r="H38" s="5"/>
      <c r="I38" s="5"/>
      <c r="J38" s="5"/>
      <c r="K38" s="5"/>
      <c r="L38" s="5"/>
      <c r="M38" s="5"/>
      <c r="N38" s="5"/>
      <c r="O38" s="5"/>
      <c r="P38" s="5"/>
    </row>
    <row r="39" spans="1:2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>
      <c r="A46" s="1"/>
      <c r="B46" s="1"/>
      <c r="C46" s="1"/>
      <c r="D46" s="1"/>
      <c r="E46" s="3"/>
      <c r="F46" s="3"/>
      <c r="G46" s="5"/>
      <c r="H46" s="3"/>
      <c r="I46" s="5"/>
      <c r="J46" s="3"/>
      <c r="K46" s="5"/>
      <c r="L46" s="3"/>
      <c r="M46" s="5"/>
      <c r="N46" s="3"/>
      <c r="O46" s="5"/>
      <c r="P46" s="3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>
      <c r="A47" s="1"/>
      <c r="B47" s="1"/>
      <c r="C47" s="1"/>
      <c r="D47" s="1"/>
      <c r="E47" s="3"/>
      <c r="F47" s="3"/>
      <c r="G47" s="5"/>
      <c r="H47" s="3"/>
      <c r="I47" s="5"/>
      <c r="J47" s="3"/>
      <c r="K47" s="5"/>
      <c r="L47" s="3"/>
      <c r="M47" s="5"/>
      <c r="N47" s="3"/>
      <c r="O47" s="5"/>
      <c r="P47" s="3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>
      <c r="A48" s="1"/>
      <c r="B48" s="1"/>
      <c r="C48" s="1"/>
      <c r="D48" s="1"/>
      <c r="E48" s="3"/>
      <c r="F48" s="3"/>
      <c r="G48" s="5"/>
      <c r="H48" s="3"/>
      <c r="I48" s="5"/>
      <c r="J48" s="3"/>
      <c r="K48" s="5"/>
      <c r="L48" s="3"/>
      <c r="M48" s="5"/>
      <c r="N48" s="3"/>
      <c r="O48" s="5"/>
      <c r="P48" s="3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>
      <c r="A49" s="1"/>
      <c r="B49" s="1"/>
      <c r="C49" s="1"/>
      <c r="D49" s="1"/>
      <c r="E49" s="3"/>
      <c r="F49" s="3"/>
      <c r="G49" s="5"/>
      <c r="H49" s="3"/>
      <c r="I49" s="5"/>
      <c r="J49" s="3"/>
      <c r="K49" s="5"/>
      <c r="L49" s="3"/>
      <c r="M49" s="5"/>
      <c r="N49" s="3"/>
      <c r="O49" s="5"/>
      <c r="P49" s="3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1"/>
      <c r="B50" s="1"/>
      <c r="C50" s="1"/>
      <c r="D50" s="1"/>
      <c r="E50" s="3"/>
      <c r="F50" s="3"/>
      <c r="G50" s="5"/>
      <c r="H50" s="3"/>
      <c r="I50" s="5"/>
      <c r="J50" s="3"/>
      <c r="K50" s="5"/>
      <c r="L50" s="3"/>
      <c r="M50" s="5"/>
      <c r="N50" s="3"/>
      <c r="O50" s="5"/>
      <c r="P50" s="3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1"/>
      <c r="B51" s="1"/>
      <c r="C51" s="1"/>
      <c r="D51" s="1"/>
      <c r="E51" s="3"/>
      <c r="F51" s="3"/>
      <c r="G51" s="5"/>
      <c r="H51" s="3"/>
      <c r="I51" s="5"/>
      <c r="J51" s="3"/>
      <c r="K51" s="5"/>
      <c r="L51" s="3"/>
      <c r="M51" s="5"/>
      <c r="N51" s="3"/>
      <c r="O51" s="5"/>
      <c r="P51" s="3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1"/>
      <c r="B52" s="1"/>
      <c r="C52" s="1"/>
      <c r="D52" s="1"/>
      <c r="E52" s="3"/>
      <c r="F52" s="3"/>
      <c r="G52" s="5"/>
      <c r="H52" s="3"/>
      <c r="I52" s="5"/>
      <c r="J52" s="3"/>
      <c r="K52" s="5"/>
      <c r="L52" s="3"/>
      <c r="M52" s="5"/>
      <c r="N52" s="3"/>
      <c r="O52" s="5"/>
      <c r="P52" s="3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1"/>
      <c r="B53" s="1"/>
      <c r="C53" s="1"/>
      <c r="D53" s="1"/>
      <c r="E53" s="3"/>
      <c r="F53" s="3"/>
      <c r="G53" s="5"/>
      <c r="H53" s="3"/>
      <c r="I53" s="5"/>
      <c r="J53" s="3"/>
      <c r="K53" s="5"/>
      <c r="L53" s="3"/>
      <c r="M53" s="5"/>
      <c r="N53" s="3"/>
      <c r="O53" s="5"/>
      <c r="P53" s="3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1"/>
      <c r="B54" s="1"/>
      <c r="C54" s="1"/>
      <c r="D54" s="1"/>
      <c r="E54" s="3"/>
      <c r="F54" s="3"/>
      <c r="G54" s="5"/>
      <c r="H54" s="3"/>
      <c r="I54" s="5"/>
      <c r="J54" s="3"/>
      <c r="K54" s="5"/>
      <c r="L54" s="3"/>
      <c r="M54" s="5"/>
      <c r="N54" s="3"/>
      <c r="O54" s="5"/>
      <c r="P54" s="3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1"/>
      <c r="B55" s="1"/>
      <c r="C55" s="1"/>
      <c r="D55" s="1"/>
      <c r="E55" s="3"/>
      <c r="F55" s="3"/>
      <c r="G55" s="5"/>
      <c r="H55" s="3"/>
      <c r="I55" s="5"/>
      <c r="J55" s="3"/>
      <c r="K55" s="5"/>
      <c r="L55" s="3"/>
      <c r="M55" s="5"/>
      <c r="N55" s="3"/>
      <c r="O55" s="5"/>
      <c r="P55" s="3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</sheetData>
  <mergeCells count="15">
    <mergeCell ref="B2:F2"/>
    <mergeCell ref="F3:F5"/>
    <mergeCell ref="B3:B5"/>
    <mergeCell ref="C3:C5"/>
    <mergeCell ref="D3:D5"/>
    <mergeCell ref="E3:E5"/>
    <mergeCell ref="B6:B15"/>
    <mergeCell ref="B16:B20"/>
    <mergeCell ref="B21:B26"/>
    <mergeCell ref="B27:B30"/>
    <mergeCell ref="B31:B32"/>
    <mergeCell ref="B33:B35"/>
    <mergeCell ref="B37:B38"/>
    <mergeCell ref="C37:E37"/>
    <mergeCell ref="C38:E38"/>
  </mergeCells>
  <phoneticPr fontId="28" type="noConversion"/>
  <conditionalFormatting sqref="F6:F3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3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진단결과(NCP)</vt:lpstr>
      <vt:lpstr>3-1. 진단 결과(NCP)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