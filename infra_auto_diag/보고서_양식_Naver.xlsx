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'1.0' encoding='UTF-8' standalone='yes'?>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xr:revisionPtr revIDLastSave="0" documentId="8_{563BB05D-38C1-430B-B59B-47F1B63AA2EE}" xr6:coauthVersionLast="47" xr6:coauthVersionMax="47" xr10:uidLastSave="{00000000-0000-0000-0000-000000000000}"/>
  <bookViews>
    <workbookView xWindow="-108" yWindow="-108" windowWidth="23256" windowHeight="12456" firstSheet="0" activeTab="0" xr2:uid="{00000000-000D-0000-FFFF-FFFF00000000}"/>
  </bookViews>
  <sheets>
    <sheet name="0. 표지" sheetId="1" r:id="rId1"/>
    <sheet name="1. 진단 대상" sheetId="2" r:id="rId2"/>
    <sheet name="2-1. 요약결과(그래프)" sheetId="3" r:id="rId3"/>
    <sheet name="2-2. 요약 진단결과(NCP)" sheetId="4" r:id="rId4"/>
    <sheet name="3-1. 진단 결과(NCP)" sheetId="5" r:id="rId5"/>
  </sheets>
  <definedNames>
    <definedName name="_xlnm.Print_Area" localSheetId="0">'0. 표지'!$A$1:$L$23</definedName>
    <definedName name="_xlnm.Print_Area" localSheetId="1">'1. 진단 대상'!$A$1:$G$5</definedName>
    <definedName name="_xlnm.Print_Area" localSheetId="2">'2-1. 요약결과(그래프)'!$A$1:$Y$87</definedName>
    <definedName name="_xlnm.Print_Area" localSheetId="4">'3-1. 진단 결과(NCP)'!$B$6:$G$38</definedName>
    <definedName name="_xlnm.Print_Titles" localSheetId="3">'2-2. 요약 진단결과(NCP)'!$2:$5</definedName>
    <definedName name="_xlnm.Print_Titles" localSheetId="4">'3-1. 진단 결과(NCP)'!$2:$5</definedName>
  </definedNames>
  <calcPr calcId="191028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<sst xmlns="http://schemas.openxmlformats.org/spreadsheetml/2006/main" count="39" uniqueCount="32">
  <si>
    <t>문서번호</t>
  </si>
  <si>
    <t>작성자</t>
  </si>
  <si>
    <t>보안등급</t>
  </si>
  <si>
    <t>Ver</t>
  </si>
  <si>
    <t>순번</t>
  </si>
  <si>
    <t>진단 대상</t>
  </si>
  <si>
    <t>비고</t>
  </si>
  <si>
    <t>용도</t>
  </si>
  <si>
    <r>
      <rPr>
        <b/>
        <sz val="12"/>
        <color theme="1"/>
        <rFont val="Arial"/>
        <family val="2"/>
      </rPr>
      <t xml:space="preserve">  </t>
    </r>
    <r>
      <rPr>
        <b/>
        <sz val="12"/>
        <color theme="1"/>
        <rFont val="맑은 고딕"/>
        <family val="3"/>
        <charset val="129"/>
      </rPr>
      <t>※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대상별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평균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점수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그래프</t>
    </r>
  </si>
  <si>
    <t>평균</t>
  </si>
  <si>
    <t>수량</t>
  </si>
  <si>
    <t>전체</t>
  </si>
  <si>
    <t>안전(85이상)</t>
  </si>
  <si>
    <t>양호(70~85미만)</t>
  </si>
  <si>
    <t>취약(70미만)</t>
  </si>
  <si>
    <t>NO.</t>
  </si>
  <si>
    <t>점수</t>
  </si>
  <si>
    <t>진단 도메인</t>
  </si>
  <si>
    <t>평균 점수</t>
  </si>
  <si>
    <t>진단항목</t>
  </si>
  <si>
    <t>No.</t>
  </si>
  <si>
    <t>세부 진단항목</t>
  </si>
  <si>
    <t>중
요
도</t>
  </si>
  <si>
    <t xml:space="preserve"> </t>
  </si>
  <si>
    <t>영역별점수</t>
  </si>
  <si>
    <t>양호</t>
  </si>
  <si>
    <t>취약</t>
  </si>
  <si>
    <t>N/A</t>
  </si>
  <si>
    <t>점검결과</t>
  </si>
  <si>
    <t>취약항목 개수</t>
    <phoneticPr fontId="28" type="noConversion"/>
  </si>
  <si>
    <t>보안 적용율 (양호항목 / 진단항목) %</t>
  </si>
  <si>
    <t>진단기준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</si>
</sst>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%"/>
    <numFmt numFmtId="177" formatCode="0_);[Red]\(0\)"/>
    <numFmt numFmtId="178" formatCode="0.0_);[Red]\(0.0\)"/>
    <numFmt numFmtId="179" formatCode="0_ "/>
  </numFmts>
  <fonts count="30">
    <font>
      <sz val="11"/>
      <color rgb="FF000000"/>
      <name val="Calibri"/>
      <scheme val="minor"/>
    </font>
    <font>
      <sz val="10"/>
      <color theme="1"/>
      <name val="Arial"/>
      <family val="2"/>
    </font>
    <font>
      <b/>
      <sz val="14"/>
      <color theme="1"/>
      <name val="Malgun Gothic"/>
      <family val="3"/>
      <charset val="129"/>
    </font>
    <font>
      <sz val="11"/>
      <color theme="1"/>
      <name val="Dotum"/>
      <family val="3"/>
      <charset val="129"/>
    </font>
    <font>
      <b/>
      <sz val="10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Calibri"/>
      <family val="2"/>
    </font>
    <font>
      <sz val="11"/>
      <color theme="1"/>
      <name val="Arial"/>
      <family val="2"/>
    </font>
    <font>
      <sz val="10"/>
      <color theme="1"/>
      <name val="Malgun Gothic"/>
      <family val="3"/>
      <charset val="129"/>
    </font>
    <font>
      <b/>
      <sz val="16"/>
      <color theme="1"/>
      <name val="Malgun Gothic"/>
      <family val="3"/>
      <charset val="129"/>
    </font>
    <font>
      <b/>
      <sz val="12"/>
      <color theme="1"/>
      <name val="Malgun Gothic"/>
      <family val="3"/>
      <charset val="129"/>
    </font>
    <font>
      <b/>
      <sz val="24"/>
      <color theme="1"/>
      <name val="Malgun Gothic"/>
      <family val="3"/>
      <charset val="129"/>
    </font>
    <font>
      <b/>
      <sz val="13"/>
      <color theme="1"/>
      <name val="Malgun Gothic"/>
      <family val="3"/>
      <charset val="129"/>
    </font>
    <font>
      <sz val="14"/>
      <color theme="1"/>
      <name val="Malgun Gothic"/>
      <family val="3"/>
      <charset val="129"/>
    </font>
    <font>
      <b/>
      <sz val="11"/>
      <color theme="1"/>
      <name val="Dotum"/>
      <family val="3"/>
      <charset val="129"/>
    </font>
    <font>
      <b/>
      <sz val="11"/>
      <color theme="1"/>
      <name val="Arial"/>
      <family val="2"/>
    </font>
    <font>
      <sz val="9"/>
      <color theme="1"/>
      <name val="Malgun Gothic"/>
      <family val="3"/>
      <charset val="129"/>
    </font>
    <font>
      <sz val="11"/>
      <color rgb="FFFF0000"/>
      <name val="Arial"/>
      <family val="2"/>
    </font>
    <font>
      <sz val="11"/>
      <color rgb="FF7F7F7F"/>
      <name val="Arial"/>
      <family val="2"/>
    </font>
    <font>
      <b/>
      <sz val="16"/>
      <color theme="1"/>
      <name val="Arial"/>
      <family val="2"/>
    </font>
    <font>
      <b/>
      <sz val="12"/>
      <color theme="1"/>
      <name val="Arial"/>
      <family val="2"/>
    </font>
    <font>
      <b/>
      <sz val="14"/>
      <color rgb="FF7030A0"/>
      <name val="Malgun Gothic"/>
      <family val="3"/>
      <charset val="129"/>
    </font>
    <font>
      <sz val="12"/>
      <color theme="1"/>
      <name val="Malgun Gothic"/>
      <family val="3"/>
      <charset val="129"/>
    </font>
    <font>
      <b/>
      <sz val="9"/>
      <color rgb="FF7030A0"/>
      <name val="Malgun Gothic"/>
      <family val="3"/>
      <charset val="129"/>
    </font>
    <font>
      <sz val="11"/>
      <color theme="1"/>
      <name val="Calibri"/>
      <family val="2"/>
      <scheme val="minor"/>
    </font>
    <font>
      <b/>
      <sz val="9"/>
      <color theme="1"/>
      <name val="Malgun Gothic"/>
      <family val="3"/>
      <charset val="129"/>
    </font>
    <font>
      <b/>
      <sz val="12"/>
      <color theme="1"/>
      <name val="맑은 고딕"/>
      <family val="3"/>
      <charset val="129"/>
    </font>
    <font>
      <sz val="8"/>
      <name val="Calibri"/>
      <family val="3"/>
      <charset val="129"/>
      <scheme val="minor"/>
    </font>
    <font>
      <b/>
      <sz val="10"/>
      <color rgb="FFFF0000"/>
      <name val="Malgun Gothic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BD4B4"/>
        <bgColor rgb="FFFBD4B4"/>
      </patternFill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</fills>
  <borders count="102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93">
    <xf numFmtId="0" fontId="0" fillId="0" borderId="0" xfId="0"/>
    <xf numFmtId="0" fontId="1" fillId="0" borderId="0" xfId="0" applyFont="1" applyAlignment="1">
      <alignment vertical="center" wrapText="1"/>
    </xf>
    <xf numFmtId="0" fontId="3" fillId="0" borderId="0" xfId="0" applyFont="1"/>
    <xf numFmtId="0" fontId="1" fillId="0" borderId="0" xfId="0" applyFont="1" applyAlignment="1">
      <alignment horizontal="center" vertical="center" wrapText="1"/>
    </xf>
    <xf numFmtId="0" fontId="5" fillId="0" borderId="0" xfId="0" applyFont="1"/>
    <xf numFmtId="0" fontId="8" fillId="0" borderId="0" xfId="0" applyFont="1"/>
    <xf numFmtId="0" fontId="9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10" fillId="0" borderId="0" xfId="0" applyFont="1" applyAlignment="1">
      <alignment horizontal="center" vertical="top" wrapText="1"/>
    </xf>
    <xf numFmtId="0" fontId="9" fillId="0" borderId="6" xfId="0" applyFont="1" applyBorder="1" applyAlignment="1">
      <alignment horizontal="center" vertical="center"/>
    </xf>
    <xf numFmtId="0" fontId="11" fillId="0" borderId="0" xfId="0" applyFont="1" applyAlignment="1">
      <alignment horizontal="left" vertical="center" shrinkToFit="1"/>
    </xf>
    <xf numFmtId="0" fontId="9" fillId="0" borderId="0" xfId="0" applyFont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9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4" fillId="2" borderId="13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15" fillId="2" borderId="18" xfId="0" applyFont="1" applyFill="1" applyBorder="1" applyAlignment="1">
      <alignment horizontal="center" vertical="center"/>
    </xf>
    <xf numFmtId="0" fontId="15" fillId="2" borderId="19" xfId="0" applyFont="1" applyFill="1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/>
    </xf>
    <xf numFmtId="0" fontId="16" fillId="2" borderId="2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17" fillId="0" borderId="13" xfId="0" applyFont="1" applyBorder="1" applyAlignment="1">
      <alignment horizontal="center" vertical="center" wrapText="1"/>
    </xf>
    <xf numFmtId="0" fontId="19" fillId="0" borderId="7" xfId="0" applyFont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17" fillId="0" borderId="6" xfId="0" applyFont="1" applyBorder="1" applyAlignment="1">
      <alignment horizontal="center" vertical="center" wrapText="1"/>
    </xf>
    <xf numFmtId="176" fontId="8" fillId="0" borderId="6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top" wrapText="1"/>
    </xf>
    <xf numFmtId="0" fontId="11" fillId="0" borderId="0" xfId="0" applyFont="1" applyAlignment="1">
      <alignment horizontal="center" vertical="center" shrinkToFit="1"/>
    </xf>
    <xf numFmtId="0" fontId="20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23" fillId="0" borderId="0" xfId="0" applyFont="1" applyAlignment="1">
      <alignment horizontal="left" vertical="center" wrapText="1"/>
    </xf>
    <xf numFmtId="0" fontId="4" fillId="2" borderId="23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4" fillId="2" borderId="27" xfId="0" applyFont="1" applyFill="1" applyBorder="1" applyAlignment="1">
      <alignment horizontal="center" vertical="center" wrapText="1"/>
    </xf>
    <xf numFmtId="176" fontId="24" fillId="0" borderId="6" xfId="0" applyNumberFormat="1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9" fillId="0" borderId="31" xfId="0" applyFont="1" applyBorder="1" applyAlignment="1">
      <alignment horizontal="left" vertical="center" wrapText="1"/>
    </xf>
    <xf numFmtId="0" fontId="9" fillId="0" borderId="31" xfId="0" applyFont="1" applyBorder="1" applyAlignment="1">
      <alignment horizontal="center" vertical="center"/>
    </xf>
    <xf numFmtId="176" fontId="8" fillId="0" borderId="13" xfId="0" applyNumberFormat="1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9" fontId="17" fillId="0" borderId="0" xfId="0" applyNumberFormat="1" applyFont="1" applyAlignment="1">
      <alignment vertical="center" wrapText="1"/>
    </xf>
    <xf numFmtId="0" fontId="8" fillId="0" borderId="6" xfId="0" applyFont="1" applyBorder="1" applyAlignment="1">
      <alignment horizontal="center" vertical="center"/>
    </xf>
    <xf numFmtId="0" fontId="17" fillId="0" borderId="0" xfId="0" applyFont="1"/>
    <xf numFmtId="0" fontId="19" fillId="0" borderId="11" xfId="0" applyFont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8" fillId="0" borderId="31" xfId="0" applyFont="1" applyBorder="1" applyAlignment="1">
      <alignment horizontal="center" vertical="center"/>
    </xf>
    <xf numFmtId="0" fontId="4" fillId="6" borderId="23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77" fontId="9" fillId="0" borderId="32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78" fontId="9" fillId="0" borderId="0" xfId="0" applyNumberFormat="1" applyFont="1" applyAlignment="1">
      <alignment horizontal="center" vertical="center" wrapText="1"/>
    </xf>
    <xf numFmtId="0" fontId="18" fillId="0" borderId="6" xfId="0" applyFont="1" applyBorder="1" applyAlignment="1">
      <alignment horizontal="center" vertical="center"/>
    </xf>
    <xf numFmtId="0" fontId="4" fillId="6" borderId="10" xfId="0" applyFont="1" applyFill="1" applyBorder="1" applyAlignment="1">
      <alignment horizontal="center" vertical="center" wrapText="1"/>
    </xf>
    <xf numFmtId="176" fontId="9" fillId="0" borderId="6" xfId="0" applyNumberFormat="1" applyFont="1" applyBorder="1" applyAlignment="1">
      <alignment horizontal="center" vertical="center" wrapText="1"/>
    </xf>
    <xf numFmtId="177" fontId="9" fillId="0" borderId="11" xfId="0" applyNumberFormat="1" applyFont="1" applyBorder="1" applyAlignment="1">
      <alignment horizontal="center" vertical="center" wrapText="1"/>
    </xf>
    <xf numFmtId="0" fontId="4" fillId="6" borderId="28" xfId="0" applyFont="1" applyFill="1" applyBorder="1" applyAlignment="1">
      <alignment horizontal="center" vertical="center" wrapText="1"/>
    </xf>
    <xf numFmtId="176" fontId="9" fillId="0" borderId="27" xfId="0" applyNumberFormat="1" applyFont="1" applyBorder="1" applyAlignment="1">
      <alignment horizontal="center" vertical="center" wrapText="1"/>
    </xf>
    <xf numFmtId="177" fontId="9" fillId="0" borderId="29" xfId="0" applyNumberFormat="1" applyFont="1" applyBorder="1" applyAlignment="1">
      <alignment horizontal="center" vertical="center" wrapText="1"/>
    </xf>
    <xf numFmtId="0" fontId="9" fillId="0" borderId="27" xfId="0" applyFont="1" applyBorder="1" applyAlignment="1">
      <alignment horizontal="left" vertical="center" wrapText="1"/>
    </xf>
    <xf numFmtId="0" fontId="9" fillId="0" borderId="26" xfId="0" applyFont="1" applyBorder="1" applyAlignment="1">
      <alignment horizontal="left" vertical="center" wrapText="1"/>
    </xf>
    <xf numFmtId="0" fontId="9" fillId="6" borderId="10" xfId="0" applyFont="1" applyFill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  <xf numFmtId="0" fontId="9" fillId="6" borderId="11" xfId="0" applyFont="1" applyFill="1" applyBorder="1" applyAlignment="1">
      <alignment horizontal="center" vertical="center" wrapText="1"/>
    </xf>
    <xf numFmtId="176" fontId="9" fillId="0" borderId="11" xfId="0" applyNumberFormat="1" applyFont="1" applyBorder="1" applyAlignment="1">
      <alignment horizontal="center" vertical="center" wrapText="1"/>
    </xf>
    <xf numFmtId="179" fontId="4" fillId="2" borderId="37" xfId="0" applyNumberFormat="1" applyFont="1" applyFill="1" applyBorder="1" applyAlignment="1">
      <alignment horizontal="center" vertical="center" wrapText="1"/>
    </xf>
    <xf numFmtId="176" fontId="26" fillId="2" borderId="27" xfId="0" applyNumberFormat="1" applyFont="1" applyFill="1" applyBorder="1" applyAlignment="1">
      <alignment horizontal="center" vertical="center" wrapText="1"/>
    </xf>
    <xf numFmtId="176" fontId="4" fillId="2" borderId="27" xfId="0" applyNumberFormat="1" applyFont="1" applyFill="1" applyBorder="1" applyAlignment="1">
      <alignment horizontal="center" vertical="center" wrapText="1"/>
    </xf>
    <xf numFmtId="176" fontId="9" fillId="0" borderId="0" xfId="0" applyNumberFormat="1" applyFont="1" applyAlignment="1">
      <alignment horizontal="center" vertical="center" wrapText="1"/>
    </xf>
    <xf numFmtId="178" fontId="9" fillId="6" borderId="13" xfId="0" applyNumberFormat="1" applyFont="1" applyFill="1" applyBorder="1" applyAlignment="1">
      <alignment horizontal="center" vertical="center" wrapText="1"/>
    </xf>
    <xf numFmtId="0" fontId="4" fillId="6" borderId="10" xfId="0" applyFont="1" applyFill="1" applyBorder="1" applyAlignment="1">
      <alignment horizontal="center" vertical="center"/>
    </xf>
    <xf numFmtId="0" fontId="4" fillId="6" borderId="28" xfId="0" applyFont="1" applyFill="1" applyBorder="1" applyAlignment="1">
      <alignment horizontal="center" vertical="center"/>
    </xf>
    <xf numFmtId="0" fontId="25" fillId="0" borderId="0" xfId="0" applyFont="1" applyAlignment="1">
      <alignment vertical="center" wrapText="1"/>
    </xf>
    <xf numFmtId="3" fontId="4" fillId="2" borderId="37" xfId="0" applyNumberFormat="1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25" fillId="0" borderId="16" xfId="0" applyFont="1" applyBorder="1" applyAlignment="1">
      <alignment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41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 vertical="center" wrapText="1"/>
    </xf>
    <xf numFmtId="0" fontId="9" fillId="0" borderId="48" xfId="0" applyFont="1" applyBorder="1" applyAlignment="1">
      <alignment horizontal="center" vertical="center" wrapText="1"/>
    </xf>
    <xf numFmtId="0" fontId="4" fillId="2" borderId="37" xfId="0" applyFont="1" applyFill="1" applyBorder="1" applyAlignment="1">
      <alignment horizontal="center"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0" borderId="51" xfId="0" applyFont="1" applyBorder="1" applyAlignment="1">
      <alignment horizontal="left" vertical="center" wrapText="1"/>
    </xf>
    <xf numFmtId="0" fontId="17" fillId="0" borderId="50" xfId="0" applyFont="1" applyBorder="1" applyAlignment="1">
      <alignment horizontal="center" vertical="center" wrapText="1"/>
    </xf>
    <xf numFmtId="176" fontId="8" fillId="0" borderId="50" xfId="0" applyNumberFormat="1" applyFont="1" applyBorder="1" applyAlignment="1">
      <alignment horizontal="center" vertical="center"/>
    </xf>
    <xf numFmtId="0" fontId="8" fillId="0" borderId="50" xfId="0" applyFont="1" applyBorder="1" applyAlignment="1">
      <alignment horizontal="center" vertical="center"/>
    </xf>
    <xf numFmtId="0" fontId="18" fillId="0" borderId="50" xfId="0" applyFont="1" applyBorder="1" applyAlignment="1">
      <alignment horizontal="center" vertical="center"/>
    </xf>
    <xf numFmtId="0" fontId="19" fillId="0" borderId="52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left" vertical="center" wrapText="1"/>
    </xf>
    <xf numFmtId="0" fontId="25" fillId="0" borderId="41" xfId="0" applyFont="1" applyBorder="1" applyAlignment="1">
      <alignment vertical="center" wrapText="1"/>
    </xf>
    <xf numFmtId="0" fontId="9" fillId="0" borderId="17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center" vertical="center"/>
    </xf>
    <xf numFmtId="0" fontId="9" fillId="0" borderId="47" xfId="0" applyFont="1" applyBorder="1" applyAlignment="1">
      <alignment horizontal="left" vertical="center" wrapText="1"/>
    </xf>
    <xf numFmtId="0" fontId="9" fillId="0" borderId="35" xfId="0" applyFont="1" applyBorder="1" applyAlignment="1">
      <alignment horizontal="left" vertical="center" wrapText="1"/>
    </xf>
    <xf numFmtId="0" fontId="9" fillId="0" borderId="17" xfId="0" applyFont="1" applyBorder="1" applyAlignment="1">
      <alignment horizontal="left" vertical="center" wrapText="1"/>
    </xf>
    <xf numFmtId="0" fontId="9" fillId="0" borderId="41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left" vertical="center" wrapText="1"/>
    </xf>
    <xf numFmtId="0" fontId="9" fillId="0" borderId="25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center" vertical="center" wrapText="1"/>
    </xf>
    <xf numFmtId="0" fontId="25" fillId="0" borderId="54" xfId="0" applyFont="1" applyBorder="1" applyAlignment="1">
      <alignment vertical="center" wrapText="1"/>
    </xf>
    <xf numFmtId="0" fontId="4" fillId="2" borderId="31" xfId="0" applyFont="1" applyFill="1" applyBorder="1" applyAlignment="1">
      <alignment horizontal="center" vertical="center" wrapText="1"/>
    </xf>
    <xf numFmtId="176" fontId="8" fillId="0" borderId="37" xfId="0" applyNumberFormat="1" applyFont="1" applyBorder="1" applyAlignment="1">
      <alignment horizontal="center" vertical="center"/>
    </xf>
    <xf numFmtId="0" fontId="8" fillId="0" borderId="37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9" fillId="0" borderId="37" xfId="0" applyFont="1" applyBorder="1" applyAlignment="1">
      <alignment horizontal="left" wrapText="1"/>
    </xf>
    <xf numFmtId="0" fontId="9" fillId="0" borderId="17" xfId="0" applyFont="1" applyBorder="1" applyAlignment="1">
      <alignment horizontal="left" wrapText="1"/>
    </xf>
    <xf numFmtId="0" fontId="9" fillId="0" borderId="41" xfId="0" applyFont="1" applyBorder="1" applyAlignment="1">
      <alignment horizontal="left" wrapText="1"/>
    </xf>
    <xf numFmtId="0" fontId="9" fillId="0" borderId="50" xfId="0" applyFont="1" applyBorder="1" applyAlignment="1">
      <alignment horizontal="left" wrapText="1"/>
    </xf>
    <xf numFmtId="0" fontId="29" fillId="0" borderId="24" xfId="0" applyFont="1" applyBorder="1" applyAlignment="1">
      <alignment horizontal="center" vertical="center"/>
    </xf>
    <xf numFmtId="0" fontId="29" fillId="0" borderId="50" xfId="0" applyFont="1" applyBorder="1" applyAlignment="1">
      <alignment horizontal="center" vertical="center"/>
    </xf>
    <xf numFmtId="0" fontId="25" fillId="0" borderId="55" xfId="0" applyFont="1" applyBorder="1" applyAlignment="1">
      <alignment vertical="center" wrapText="1"/>
    </xf>
    <xf numFmtId="0" fontId="9" fillId="0" borderId="50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29" fillId="0" borderId="45" xfId="0" applyFont="1" applyBorder="1" applyAlignment="1">
      <alignment horizontal="center" vertical="center"/>
    </xf>
    <xf numFmtId="0" fontId="9" fillId="0" borderId="13" xfId="0" applyFont="1" applyBorder="1" applyAlignment="1">
      <alignment horizontal="left" wrapText="1"/>
    </xf>
    <xf numFmtId="0" fontId="9" fillId="0" borderId="56" xfId="0" applyFont="1" applyBorder="1" applyAlignment="1">
      <alignment wrapText="1"/>
    </xf>
    <xf numFmtId="0" fontId="10" fillId="0" borderId="0" xfId="0" applyFont="1" applyAlignment="1">
      <alignment horizontal="center" vertical="center"/>
    </xf>
    <xf numFmtId="0" fontId="0" fillId="0" borderId="0" xfId="0"/>
    <xf numFmtId="0" fontId="12" fillId="0" borderId="0" xfId="0" applyFont="1" applyAlignment="1">
      <alignment horizontal="center" vertical="top"/>
    </xf>
    <xf numFmtId="0" fontId="13" fillId="0" borderId="0" xfId="0" applyFont="1" applyAlignment="1">
      <alignment horizontal="left"/>
    </xf>
    <xf numFmtId="31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 vertical="center" shrinkToFit="1"/>
    </xf>
    <xf numFmtId="0" fontId="4" fillId="2" borderId="1" xfId="0" applyFont="1" applyFill="1" applyBorder="1" applyAlignment="1">
      <alignment horizontal="center" vertical="center"/>
    </xf>
    <xf numFmtId="0" fontId="7" fillId="0" borderId="5" xfId="0" applyFont="1" applyBorder="1"/>
    <xf numFmtId="0" fontId="6" fillId="2" borderId="2" xfId="0" applyFont="1" applyFill="1" applyBorder="1" applyAlignment="1">
      <alignment horizontal="center" vertical="center"/>
    </xf>
    <xf numFmtId="0" fontId="7" fillId="0" borderId="3" xfId="0" applyFont="1" applyBorder="1"/>
    <xf numFmtId="0" fontId="7" fillId="0" borderId="14" xfId="0" applyFont="1" applyBorder="1"/>
    <xf numFmtId="0" fontId="4" fillId="2" borderId="4" xfId="0" applyFont="1" applyFill="1" applyBorder="1" applyAlignment="1">
      <alignment horizontal="center" vertical="center"/>
    </xf>
    <xf numFmtId="0" fontId="7" fillId="0" borderId="7" xfId="0" applyFont="1" applyBorder="1"/>
    <xf numFmtId="0" fontId="4" fillId="4" borderId="8" xfId="0" applyFont="1" applyFill="1" applyBorder="1" applyAlignment="1">
      <alignment horizontal="center" vertical="center"/>
    </xf>
    <xf numFmtId="0" fontId="7" fillId="0" borderId="25" xfId="0" applyFont="1" applyBorder="1"/>
    <xf numFmtId="0" fontId="7" fillId="0" borderId="9" xfId="0" applyFont="1" applyBorder="1"/>
    <xf numFmtId="0" fontId="2" fillId="0" borderId="0" xfId="0" applyFont="1" applyAlignment="1">
      <alignment horizontal="center" vertical="center" wrapText="1"/>
    </xf>
    <xf numFmtId="0" fontId="21" fillId="0" borderId="0" xfId="0" applyFont="1" applyAlignment="1">
      <alignment horizontal="left" vertical="center" shrinkToFit="1"/>
    </xf>
    <xf numFmtId="0" fontId="11" fillId="0" borderId="0" xfId="0" applyFont="1" applyAlignment="1">
      <alignment horizontal="center" vertical="center" wrapText="1"/>
    </xf>
    <xf numFmtId="0" fontId="11" fillId="7" borderId="33" xfId="0" applyFont="1" applyFill="1" applyBorder="1" applyAlignment="1">
      <alignment horizontal="center" vertical="center" wrapText="1"/>
    </xf>
    <xf numFmtId="0" fontId="7" fillId="0" borderId="32" xfId="0" applyFont="1" applyBorder="1"/>
    <xf numFmtId="176" fontId="16" fillId="5" borderId="1" xfId="0" applyNumberFormat="1" applyFont="1" applyFill="1" applyBorder="1" applyAlignment="1">
      <alignment horizontal="center" vertical="center"/>
    </xf>
    <xf numFmtId="176" fontId="16" fillId="5" borderId="22" xfId="0" applyNumberFormat="1" applyFont="1" applyFill="1" applyBorder="1" applyAlignment="1">
      <alignment horizontal="center" vertical="center"/>
    </xf>
    <xf numFmtId="176" fontId="16" fillId="5" borderId="30" xfId="0" applyNumberFormat="1" applyFont="1" applyFill="1" applyBorder="1" applyAlignment="1">
      <alignment horizontal="center" vertical="center"/>
    </xf>
    <xf numFmtId="176" fontId="16" fillId="5" borderId="53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43" xfId="0" applyFont="1" applyFill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2" borderId="44" xfId="0" applyFont="1" applyFill="1" applyBorder="1" applyAlignment="1">
      <alignment horizontal="center" vertical="center" wrapText="1"/>
    </xf>
    <xf numFmtId="0" fontId="4" fillId="2" borderId="34" xfId="0" applyFont="1" applyFill="1" applyBorder="1" applyAlignment="1">
      <alignment horizontal="center" vertical="center" wrapText="1"/>
    </xf>
    <xf numFmtId="0" fontId="4" fillId="2" borderId="35" xfId="0" applyFont="1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4" fillId="2" borderId="39" xfId="0" applyFont="1" applyFill="1" applyBorder="1" applyAlignment="1">
      <alignment horizontal="center" vertical="center" wrapText="1"/>
    </xf>
    <xf numFmtId="0" fontId="4" fillId="2" borderId="40" xfId="0" applyFont="1" applyFill="1" applyBorder="1" applyAlignment="1">
      <alignment horizontal="center" vertical="center" wrapText="1"/>
    </xf>
    <xf numFmtId="0" fontId="10" fillId="0" borderId="49" xfId="0" applyFont="1" applyBorder="1" applyAlignment="1">
      <alignment horizontal="left" vertical="center" shrinkToFit="1"/>
    </xf>
    <xf numFmtId="0" fontId="0" fillId="0" borderId="49" xfId="0" applyBorder="1"/>
    <xf numFmtId="0" fontId="4" fillId="2" borderId="22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47" xfId="0" applyFont="1" applyFill="1" applyBorder="1" applyAlignment="1">
      <alignment horizontal="center" vertical="center" wrapText="1"/>
    </xf>
    <xf numFmtId="0" fontId="4" fillId="2" borderId="26" xfId="0" applyFont="1" applyFill="1" applyBorder="1" applyAlignment="1">
      <alignment horizontal="center" vertical="center" wrapText="1"/>
    </xf>
    <xf numFmtId="0" fontId="4" fillId="2" borderId="42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7" fillId="0" borderId="17" xfId="0" applyFont="1" applyBorder="1"/>
    <xf numFmtId="0" fontId="7" fillId="0" borderId="26" xfId="0" applyFont="1" applyBorder="1"/>
    <xf numFmtId="0" fontId="7" fillId="0" borderId="43" xfId="0" applyFont="1" applyBorder="1"/>
    <xf numFmtId="0" fontId="7" fillId="0" borderId="30" xfId="0" applyFont="1" applyBorder="1"/>
    <xf numFmtId="0" fontId="7" fillId="0" borderId="35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0" borderId="3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7" fillId="0" borderId="22" xfId="0" applyFont="1" applyBorder="1"/>
    <xf numFmtId="0" fontId="9" fillId="0" borderId="13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9" fillId="0" borderId="45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wrapText="1" vertical="center"/>
    </xf>
    <xf numFmtId="0" fontId="9" fillId="0" borderId="17" xfId="0" applyFont="1" applyBorder="1" applyAlignment="1">
      <alignment horizontal="left" wrapText="1" vertical="center"/>
    </xf>
    <xf numFmtId="0" fontId="9" fillId="0" borderId="41" xfId="0" applyFont="1" applyBorder="1" applyAlignment="1">
      <alignment horizontal="left" wrapText="1" vertical="center"/>
    </xf>
    <xf numFmtId="0" fontId="9" fillId="0" borderId="50" xfId="0" applyFont="1" applyBorder="1" applyAlignment="1">
      <alignment horizontal="left" wrapText="1" vertical="center"/>
    </xf>
    <xf numFmtId="0" fontId="9" fillId="0" borderId="56" xfId="0" applyFont="1" applyBorder="1" applyAlignment="1">
      <alignment wrapText="1" horizontal="left" vertical="center"/>
    </xf>
    <xf numFmtId="0" fontId="9" fillId="0" borderId="17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left" vertical="center" wrapText="1"/>
    </xf>
    <xf numFmtId="0" fontId="9" fillId="0" borderId="26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wrapText="1" vertical="center"/>
    </xf>
    <xf numFmtId="0" fontId="9" fillId="0" borderId="13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9" fillId="0" borderId="25" xfId="0" applyFont="1" applyBorder="1" applyAlignment="1">
      <alignment horizontal="left" vertical="center" wrapText="1"/>
    </xf>
    <xf numFmtId="0" fontId="9" fillId="0" borderId="16" xfId="0" applyFont="1" applyBorder="1" applyAlignment="1">
      <alignment vertical="center" wrapText="1"/>
    </xf>
    <xf numFmtId="0" fontId="9" fillId="0" borderId="55" xfId="0" applyFont="1" applyBorder="1" applyAlignment="1">
      <alignment vertical="center" wrapText="1"/>
    </xf>
    <xf numFmtId="0" fontId="9" fillId="0" borderId="46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35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24" xfId="0" applyFont="1" applyBorder="1" applyAlignment="1">
      <alignment horizontal="left" vertical="center" wrapText="1"/>
    </xf>
    <xf numFmtId="0" fontId="9" fillId="0" borderId="54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9" fillId="0" borderId="16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 wrapText="1"/>
    </xf>
    <xf numFmtId="0" fontId="9" fillId="0" borderId="24" xfId="0" applyFont="1" applyBorder="1" applyAlignment="1">
      <alignment horizontal="left" vertical="center" wrapText="1"/>
    </xf>
    <xf numFmtId="0" fontId="9" fillId="0" borderId="41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51" xfId="0" applyFont="1" applyBorder="1" applyAlignment="1">
      <alignment horizontal="left" vertical="center" wrapText="1"/>
    </xf>
    <xf numFmtId="0" fontId="4" fillId="2" borderId="57" xfId="0" applyFont="1" applyFill="1" applyBorder="1" applyAlignment="1">
      <alignment horizontal="center" vertical="center" wrapText="1"/>
    </xf>
    <xf numFmtId="0" fontId="9" fillId="0" borderId="58" xfId="0" applyFont="1" applyBorder="1" applyAlignment="1">
      <alignment horizontal="center" vertical="center" wrapText="1"/>
    </xf>
    <xf numFmtId="0" fontId="9" fillId="0" borderId="59" xfId="0" applyFont="1" applyBorder="1" applyAlignment="1">
      <alignment horizontal="left" vertical="center" wrapText="1"/>
    </xf>
    <xf numFmtId="0" fontId="9" fillId="0" borderId="60" xfId="0" applyFont="1" applyBorder="1" applyAlignment="1">
      <alignment horizontal="left" vertical="center" wrapText="1"/>
    </xf>
    <xf numFmtId="0" fontId="9" fillId="0" borderId="61" xfId="0" applyFont="1" applyBorder="1" applyAlignment="1">
      <alignment horizontal="center" vertical="center" wrapText="1"/>
    </xf>
    <xf numFmtId="0" fontId="9" fillId="0" borderId="62" xfId="0" applyFont="1" applyBorder="1" applyAlignment="1">
      <alignment horizontal="left" vertical="center" wrapText="1"/>
    </xf>
    <xf numFmtId="0" fontId="9" fillId="0" borderId="61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4" fillId="2" borderId="63" xfId="0" applyFont="1" applyFill="1" applyBorder="1" applyAlignment="1">
      <alignment horizontal="center" vertical="center" wrapText="1"/>
    </xf>
    <xf numFmtId="0" fontId="9" fillId="0" borderId="64" xfId="0" applyFont="1" applyBorder="1" applyAlignment="1">
      <alignment horizontal="center" vertical="center" wrapText="1"/>
    </xf>
    <xf numFmtId="0" fontId="9" fillId="0" borderId="65" xfId="0" applyFont="1" applyBorder="1" applyAlignment="1">
      <alignment horizontal="left" vertical="center" wrapText="1"/>
    </xf>
    <xf numFmtId="0" fontId="9" fillId="0" borderId="66" xfId="0" applyFont="1" applyBorder="1" applyAlignment="1">
      <alignment horizontal="left" vertical="center" wrapText="1"/>
    </xf>
    <xf numFmtId="0" fontId="9" fillId="0" borderId="67" xfId="0" applyFont="1" applyBorder="1" applyAlignment="1">
      <alignment horizontal="center" vertical="center" wrapText="1"/>
    </xf>
    <xf numFmtId="0" fontId="9" fillId="0" borderId="68" xfId="0" applyFont="1" applyBorder="1" applyAlignment="1">
      <alignment horizontal="left" vertical="center" wrapText="1"/>
    </xf>
    <xf numFmtId="0" fontId="9" fillId="0" borderId="67" xfId="0" applyFont="1" applyBorder="1" applyAlignment="1">
      <alignment horizontal="center" vertical="center" wrapText="1"/>
    </xf>
    <xf numFmtId="0" fontId="4" fillId="2" borderId="69" xfId="0" applyFont="1" applyFill="1" applyBorder="1" applyAlignment="1">
      <alignment horizontal="center" vertical="center" wrapText="1"/>
    </xf>
    <xf numFmtId="0" fontId="9" fillId="0" borderId="70" xfId="0" applyFont="1" applyBorder="1" applyAlignment="1">
      <alignment horizontal="center" vertical="center" wrapText="1"/>
    </xf>
    <xf numFmtId="0" fontId="9" fillId="0" borderId="71" xfId="0" applyFont="1" applyBorder="1" applyAlignment="1">
      <alignment horizontal="left" vertical="center" wrapText="1"/>
    </xf>
    <xf numFmtId="0" fontId="9" fillId="0" borderId="72" xfId="0" applyFont="1" applyBorder="1" applyAlignment="1">
      <alignment horizontal="left" vertical="center" wrapText="1"/>
    </xf>
    <xf numFmtId="0" fontId="9" fillId="0" borderId="73" xfId="0" applyFont="1" applyBorder="1" applyAlignment="1">
      <alignment horizontal="center" vertical="center" wrapText="1"/>
    </xf>
    <xf numFmtId="0" fontId="9" fillId="0" borderId="74" xfId="0" applyFont="1" applyBorder="1" applyAlignment="1">
      <alignment horizontal="left" vertical="center" wrapText="1"/>
    </xf>
    <xf numFmtId="0" fontId="9" fillId="0" borderId="73" xfId="0" applyFont="1" applyBorder="1" applyAlignment="1">
      <alignment horizontal="center" vertical="center" wrapText="1"/>
    </xf>
    <xf numFmtId="0" fontId="9" fillId="0" borderId="75" xfId="0" applyFont="1" applyBorder="1" applyAlignment="1">
      <alignment horizontal="center" vertical="center" wrapText="1"/>
    </xf>
    <xf numFmtId="0" fontId="9" fillId="0" borderId="76" xfId="0" applyFont="1" applyBorder="1" applyAlignment="1">
      <alignment horizontal="left" vertical="center" wrapText="1"/>
    </xf>
    <xf numFmtId="0" fontId="9" fillId="0" borderId="77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center" vertical="center" wrapText="1"/>
    </xf>
    <xf numFmtId="176" fontId="16" fillId="5" borderId="79" xfId="0" applyNumberFormat="1" applyFont="1" applyFill="1" applyBorder="1" applyAlignment="1">
      <alignment horizontal="center" vertical="center"/>
    </xf>
    <xf numFmtId="176" fontId="8" fillId="0" borderId="80" xfId="0" applyNumberFormat="1" applyFont="1" applyBorder="1" applyAlignment="1">
      <alignment horizontal="center" vertical="center"/>
    </xf>
    <xf numFmtId="0" fontId="8" fillId="0" borderId="8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9" fillId="0" borderId="83" xfId="0" applyFont="1" applyBorder="1" applyAlignment="1">
      <alignment horizontal="center" vertical="center"/>
    </xf>
    <xf numFmtId="0" fontId="9" fillId="0" borderId="84" xfId="0" applyFont="1" applyBorder="1" applyAlignment="1">
      <alignment horizontal="center" vertical="center" wrapText="1"/>
    </xf>
    <xf numFmtId="0" fontId="9" fillId="0" borderId="85" xfId="0" applyFont="1" applyBorder="1" applyAlignment="1">
      <alignment horizontal="left" vertical="center" wrapText="1"/>
    </xf>
    <xf numFmtId="0" fontId="9" fillId="0" borderId="86" xfId="0" applyFont="1" applyBorder="1" applyAlignment="1">
      <alignment horizontal="center" vertical="center" wrapText="1"/>
    </xf>
    <xf numFmtId="0" fontId="17" fillId="0" borderId="87" xfId="0" applyFont="1" applyBorder="1" applyAlignment="1">
      <alignment horizontal="center" vertical="center" wrapText="1"/>
    </xf>
    <xf numFmtId="176" fontId="16" fillId="5" borderId="88" xfId="0" applyNumberFormat="1" applyFont="1" applyFill="1" applyBorder="1" applyAlignment="1">
      <alignment horizontal="center" vertical="center"/>
    </xf>
    <xf numFmtId="176" fontId="8" fillId="0" borderId="89" xfId="0" applyNumberFormat="1" applyFont="1" applyBorder="1" applyAlignment="1">
      <alignment horizontal="center" vertical="center"/>
    </xf>
    <xf numFmtId="0" fontId="8" fillId="0" borderId="90" xfId="0" applyFont="1" applyBorder="1" applyAlignment="1">
      <alignment horizontal="center" vertical="center"/>
    </xf>
    <xf numFmtId="0" fontId="18" fillId="0" borderId="91" xfId="0" applyFont="1" applyBorder="1" applyAlignment="1">
      <alignment horizontal="center" vertical="center"/>
    </xf>
    <xf numFmtId="0" fontId="19" fillId="0" borderId="92" xfId="0" applyFont="1" applyBorder="1" applyAlignment="1">
      <alignment horizontal="center" vertical="center"/>
    </xf>
    <xf numFmtId="0" fontId="9" fillId="0" borderId="93" xfId="0" applyFont="1" applyBorder="1" applyAlignment="1">
      <alignment horizontal="center" vertical="center" wrapText="1"/>
    </xf>
    <xf numFmtId="0" fontId="9" fillId="0" borderId="94" xfId="0" applyFont="1" applyBorder="1" applyAlignment="1">
      <alignment horizontal="left" vertical="center" wrapText="1"/>
    </xf>
    <xf numFmtId="0" fontId="9" fillId="0" borderId="95" xfId="0" applyFont="1" applyBorder="1" applyAlignment="1">
      <alignment horizontal="center" vertical="center" wrapText="1"/>
    </xf>
    <xf numFmtId="0" fontId="17" fillId="0" borderId="96" xfId="0" applyFont="1" applyBorder="1" applyAlignment="1">
      <alignment horizontal="center" vertical="center" wrapText="1"/>
    </xf>
    <xf numFmtId="176" fontId="16" fillId="5" borderId="97" xfId="0" applyNumberFormat="1" applyFont="1" applyFill="1" applyBorder="1" applyAlignment="1">
      <alignment horizontal="center" vertical="center"/>
    </xf>
    <xf numFmtId="176" fontId="8" fillId="0" borderId="98" xfId="0" applyNumberFormat="1" applyFont="1" applyBorder="1" applyAlignment="1">
      <alignment horizontal="center" vertical="center"/>
    </xf>
    <xf numFmtId="0" fontId="8" fillId="0" borderId="99" xfId="0" applyFont="1" applyBorder="1" applyAlignment="1">
      <alignment horizontal="center" vertical="center"/>
    </xf>
    <xf numFmtId="0" fontId="18" fillId="0" borderId="100" xfId="0" applyFont="1" applyBorder="1" applyAlignment="1">
      <alignment horizontal="center" vertical="center"/>
    </xf>
    <xf numFmtId="0" fontId="19" fillId="0" borderId="101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0" shrinkToFit="1"/>
    </xf>
    <xf numFmtId="0" fontId="0" fillId="0" borderId="0" xfId="0" applyAlignment="1">
      <alignment shrinkToFit="1" wrapText="0"/>
    </xf>
    <xf numFmtId="0" fontId="4" fillId="6" borderId="10" xfId="0" applyFont="1" applyFill="1" applyBorder="1" applyAlignment="1">
      <alignment horizontal="center" vertical="center" wrapText="0" shrinkToFit="1"/>
    </xf>
    <xf numFmtId="0" fontId="4" fillId="6" borderId="10" xfId="0" applyFont="1" applyFill="1" applyBorder="1" applyAlignment="1">
      <alignment horizontal="center" vertical="center" shrinkToFit="1" wrapText="0"/>
    </xf>
    <xf numFmtId="0" fontId="4" fillId="6" borderId="28" xfId="0" applyFont="1" applyFill="1" applyBorder="1" applyAlignment="1">
      <alignment horizontal="center" vertical="center" shrinkToFit="1" wrapText="0"/>
    </xf>
    <xf numFmtId="0" fontId="4" fillId="2" borderId="6" xfId="0" applyFont="1" applyFill="1" applyBorder="1" applyAlignment="1">
      <alignment horizontal="center" vertical="center" wrapText="0" shrinkToFit="1"/>
    </xf>
    <xf numFmtId="0" fontId="4" fillId="2" borderId="31" xfId="0" applyFont="1" applyFill="1" applyBorder="1" applyAlignment="1">
      <alignment horizontal="center" vertical="center" wrapText="0" shrinkToFit="1"/>
    </xf>
  </cellXfs>
  <cellStyles count="1">
    <cellStyle name="표준" xfId="0" builtinId="0"/>
  </cellStyles>
  <dxfs count="65"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i/>
        <color rgb="FFBFBFB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A5A5A5"/>
      </font>
      <fill>
        <patternFill patternType="none"/>
      </fill>
    </dxf>
    <dxf>
      <font>
        <b/>
        <color rgb="FFFF0000"/>
      </font>
    </dxf>
    <dxf>
      <font>
        <i/>
        <color rgb="FF7F7F7F"/>
      </font>
    </dxf>
    <dxf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noFill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0070C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1-7A86-47A3-ACA5-9DCD32675A9F}"/>
              </c:ext>
            </c:extLst>
          </c:dPt>
          <c:dPt>
            <c:idx val="1"/>
            <c:invertIfNegative val="1"/>
            <c:bubble3D val="0"/>
            <c:spPr>
              <a:solidFill>
                <a:schemeClr val="accent6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3-7A86-47A3-ACA5-9DCD32675A9F}"/>
              </c:ext>
            </c:extLst>
          </c:dPt>
          <c:dPt>
            <c:idx val="2"/>
            <c:invertIfNegative val="1"/>
            <c:bubble3D val="0"/>
            <c:spPr>
              <a:solidFill>
                <a:srgbClr val="00B05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5-7A86-47A3-ACA5-9DCD32675A9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800" b="1" i="0"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'2-1. 요약결과(그래프)'!$B$5</c:f>
            </c:strRef>
          </c:cat>
          <c:val>
            <c:numRef>
              <c:f>'2-1. 요약결과(그래프)'!$C$5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A86-47A3-ACA5-9DCD32675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41735124"/>
        <c:axId val="2003459599"/>
        <c:axId val="0"/>
      </c:bar3DChart>
      <c:catAx>
        <c:axId val="44173512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003459599"/>
        <c:crosses val="autoZero"/>
        <c:auto val="1"/>
        <c:lblAlgn val="ctr"/>
        <c:lblOffset val="100"/>
        <c:noMultiLvlLbl val="1"/>
      </c:catAx>
      <c:valAx>
        <c:axId val="2003459599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numFmt formatCode="0.0%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441735124"/>
        <c:crosses val="autoZero"/>
        <c:crossBetween val="between"/>
        <c:majorUnit val="0.1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>
        <c:manualLayout>
          <c:xMode val="edge"/>
          <c:yMode val="edge"/>
          <c:x val="7.7128059229816082E-2"/>
          <c:y val="0.18445467347761871"/>
          <c:w val="0.70710209837196936"/>
          <c:h val="0.8126048764975258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0070C0"/>
              </a:solidFill>
            </c:spPr>
            <c:extLst>
              <c:ext xmlns:c16="http://schemas.microsoft.com/office/drawing/2014/chart" uri="{C3380CC4-5D6E-409C-BE32-E72D297353CC}">
                <c16:uniqueId val="{00000001-77E4-479C-88F8-625111425951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77E4-479C-88F8-625111425951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5-77E4-479C-88F8-625111425951}"/>
              </c:ext>
            </c:extLst>
          </c:dPt>
          <c:dLbls>
            <c:numFmt formatCode="0.0%;;;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'2-1. 요약결과(그래프)'!$B$18:$B$20</c:f>
            </c:strRef>
          </c:cat>
          <c:val>
            <c:numRef>
              <c:f>'2-1. 요약결과(그래프)'!$C$18:$C$20</c:f>
            </c:numRef>
          </c:val>
          <c:extLst>
            <c:ext xmlns:c16="http://schemas.microsoft.com/office/drawing/2014/chart" uri="{C3380CC4-5D6E-409C-BE32-E72D297353CC}">
              <c16:uniqueId val="{00000006-77E4-479C-88F8-6251114259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1"/>
          <c:order val="0"/>
          <c:tx>
            <c:strRef>
              <c:f>'2-1. 요약결과(그래프)'!$Y$36</c:f>
            </c:strRef>
          </c:tx>
          <c:invertIfNegative val="1"/>
          <c:cat>
            <c:strRef>
              <c:f>'2-1. 요약결과(그래프)'!$X$37</c:f>
            </c:strRef>
          </c:cat>
          <c:val>
            <c:numRef>
              <c:f>'2-1. 요약결과(그래프)'!$Y$37</c:f>
            </c:numRef>
          </c:val>
          <c:extLst>
            <c:ext xmlns:c16="http://schemas.microsoft.com/office/drawing/2014/chart" uri="{C3380CC4-5D6E-409C-BE32-E72D297353CC}">
              <c16:uniqueId val="{00000001-023D-49B6-95D9-5AB205C7A6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450173397"/>
        <c:axId val="326852350"/>
        <c:axId val="0"/>
      </c:bar3DChart>
      <c:catAx>
        <c:axId val="145017339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0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326852350"/>
        <c:crosses val="autoZero"/>
        <c:auto val="1"/>
        <c:lblAlgn val="ctr"/>
        <c:lblOffset val="100"/>
        <c:noMultiLvlLbl val="1"/>
      </c:catAx>
      <c:valAx>
        <c:axId val="326852350"/>
        <c:scaling>
          <c:orientation val="minMax"/>
          <c:max val="1"/>
          <c:min val="0"/>
        </c:scaling>
        <c:delete val="0"/>
        <c:axPos val="l"/>
        <c:numFmt formatCode="0.0%" sourceLinked="0"/>
        <c:majorTickMark val="cross"/>
        <c:minorTickMark val="cross"/>
        <c:tickLblPos val="nextTo"/>
        <c:spPr>
          <a:ln>
            <a:noFill/>
          </a:ln>
        </c:spPr>
        <c:crossAx val="1450173397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'2-1. 요약결과(그래프)'!$C$66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'2-1. 요약결과(그래프)'!$B$67:$B$73</c:f>
            </c:strRef>
          </c:cat>
          <c:val>
            <c:numRef>
              <c:f>'2-1. 요약결과(그래프)'!$C$67:$C$73</c:f>
            </c:numRef>
          </c:val>
          <c:extLst>
            <c:ext xmlns:c16="http://schemas.microsoft.com/office/drawing/2014/chart" uri="{C3380CC4-5D6E-409C-BE32-E72D297353CC}">
              <c16:uniqueId val="{00000000-54C2-448E-9A91-E9F1BDA87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185042"/>
        <c:axId val="2121838978"/>
      </c:radarChart>
      <c:catAx>
        <c:axId val="13421850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121838978"/>
        <c:crosses val="autoZero"/>
        <c:auto val="1"/>
        <c:lblAlgn val="ctr"/>
        <c:lblOffset val="100"/>
        <c:noMultiLvlLbl val="1"/>
      </c:catAx>
      <c:valAx>
        <c:axId val="2121838978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numFmt formatCode="0.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342185042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'1.0' encoding='UTF-8' standalone='yes'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'1.0' encoding='UTF-8' standalone='yes'?>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png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53341</xdr:colOff>
      <xdr:row>18</xdr:row>
      <xdr:rowOff>154832</xdr:rowOff>
    </xdr:from>
    <xdr:to>
      <xdr:col>7</xdr:col>
      <xdr:colOff>564942</xdr:colOff>
      <xdr:row>22</xdr:row>
      <xdr:rowOff>24272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F559E390-0C0A-1A57-60C1-ACA69BBBC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39441" y="3949592"/>
          <a:ext cx="1105961" cy="540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45720</xdr:colOff>
      <xdr:row>1</xdr:row>
      <xdr:rowOff>609600</xdr:rowOff>
    </xdr:from>
    <xdr:ext cx="4524375" cy="2905125"/>
    <xdr:graphicFrame macro="">
      <xdr:nvGraphicFramePr>
        <xdr:cNvPr id="428166509" name="Chart 1">
          <a:extLst>
            <a:ext uri="{FF2B5EF4-FFF2-40B4-BE49-F238E27FC236}">
              <a16:creationId xmlns:a16="http://schemas.microsoft.com/office/drawing/2014/main" id="{00000000-0008-0000-0200-00006D4D85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4</xdr:col>
      <xdr:colOff>55245</xdr:colOff>
      <xdr:row>16</xdr:row>
      <xdr:rowOff>9525</xdr:rowOff>
    </xdr:from>
    <xdr:ext cx="4514850" cy="2543175"/>
    <xdr:graphicFrame macro="">
      <xdr:nvGraphicFramePr>
        <xdr:cNvPr id="1859825319" name="Chart 2">
          <a:extLst>
            <a:ext uri="{FF2B5EF4-FFF2-40B4-BE49-F238E27FC236}">
              <a16:creationId xmlns:a16="http://schemas.microsoft.com/office/drawing/2014/main" id="{00000000-0008-0000-0200-0000A7AEDA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aphicFrame macro="">
      <xdr:nvGraphicFramePr>
        <xdr:cNvPr id="593833550" name="Chart 3">
          <a:extLst>
            <a:ext uri="{FF2B5EF4-FFF2-40B4-BE49-F238E27FC236}">
              <a16:creationId xmlns:a16="http://schemas.microsoft.com/office/drawing/2014/main" id="{00000000-0008-0000-0200-00004E2E65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4</xdr:col>
      <xdr:colOff>7620</xdr:colOff>
      <xdr:row>64</xdr:row>
      <xdr:rowOff>161925</xdr:rowOff>
    </xdr:from>
    <xdr:ext cx="4991100" cy="3381375"/>
    <xdr:graphicFrame macro="">
      <xdr:nvGraphicFramePr>
        <xdr:cNvPr id="2062254066" name="Chart 4">
          <a:extLst>
            <a:ext uri="{FF2B5EF4-FFF2-40B4-BE49-F238E27FC236}">
              <a16:creationId xmlns:a16="http://schemas.microsoft.com/office/drawing/2014/main" id="{00000000-0008-0000-0200-0000F27FEB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7</xdr:col>
      <xdr:colOff>171450</xdr:colOff>
      <xdr:row>1</xdr:row>
      <xdr:rowOff>104775</xdr:rowOff>
    </xdr:from>
    <xdr:ext cx="3009900" cy="4476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3855338" y="3565688"/>
          <a:ext cx="2981325" cy="428625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600" b="1">
              <a:solidFill>
                <a:schemeClr val="dk1"/>
              </a:solidFill>
              <a:latin typeface="Cambria"/>
              <a:ea typeface="Cambria"/>
              <a:cs typeface="Cambria"/>
              <a:sym typeface="Cambria"/>
            </a:rPr>
            <a:t>대상별 평균 점수 현황</a:t>
          </a:r>
          <a:endParaRPr sz="1400"/>
        </a:p>
      </xdr:txBody>
    </xdr:sp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1326776" y="7147672"/>
          <a:ext cx="7581900" cy="5000625"/>
          <a:chOff x="1555050" y="1279688"/>
          <a:chExt cx="7581884" cy="5000623"/>
        </a:xfrm>
      </xdr:grpSpPr>
      <xdr:grpSp>
        <xdr:nvGrpSpPr>
          <xdr:cNvPr id="4" name="Shape 4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GrpSpPr/>
        </xdr:nvGrpSpPr>
        <xdr:grpSpPr>
          <a:xfrm>
            <a:off x="1555050" y="1279688"/>
            <a:ext cx="7581884" cy="5000623"/>
            <a:chOff x="1354930" y="9157947"/>
            <a:chExt cx="9551175" cy="4367550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SpPr/>
          </xdr:nvSpPr>
          <xdr:spPr>
            <a:xfrm>
              <a:off x="1354930" y="9157947"/>
              <a:ext cx="9551175" cy="43675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6" name="Shape 6">
              <a:extLst>
                <a:ext uri="{FF2B5EF4-FFF2-40B4-BE49-F238E27FC236}">
                  <a16:creationId xmlns:a16="http://schemas.microsoft.com/office/drawing/2014/main" id="{00000000-0008-0000-0200-000006000000}"/>
                </a:ext>
              </a:extLst>
            </xdr:cNvPr>
            <xdr:cNvSpPr txBox="1"/>
          </xdr:nvSpPr>
          <xdr:spPr>
            <a:xfrm>
              <a:off x="4342380" y="9157947"/>
              <a:ext cx="3511663" cy="307522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600" b="1">
                  <a:solidFill>
                    <a:schemeClr val="dk1"/>
                  </a:solidFill>
                  <a:latin typeface="Cambria"/>
                  <a:ea typeface="Cambria"/>
                  <a:cs typeface="Cambria"/>
                  <a:sym typeface="Cambria"/>
                </a:rPr>
                <a:t>클라우드 진단결과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4</xdr:col>
      <xdr:colOff>190500</xdr:colOff>
      <xdr:row>64</xdr:row>
      <xdr:rowOff>161925</xdr:rowOff>
    </xdr:from>
    <xdr:ext cx="4991100" cy="3381375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pSpPr/>
      </xdr:nvGrpSpPr>
      <xdr:grpSpPr>
        <a:xfrm>
          <a:off x="2861982" y="12712513"/>
          <a:ext cx="4991100" cy="3381375"/>
          <a:chOff x="2850450" y="2089313"/>
          <a:chExt cx="4991088" cy="3381358"/>
        </a:xfrm>
      </xdr:grpSpPr>
      <xdr:grpSp>
        <xdr:nvGrpSpPr>
          <xdr:cNvPr id="9" name="Shape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GrpSpPr/>
        </xdr:nvGrpSpPr>
        <xdr:grpSpPr>
          <a:xfrm>
            <a:off x="2850450" y="2089313"/>
            <a:ext cx="4991088" cy="3381358"/>
            <a:chOff x="3104748" y="15558805"/>
            <a:chExt cx="6348800" cy="3462850"/>
          </a:xfrm>
        </xdr:grpSpPr>
        <xdr:sp macro="" textlink="">
          <xdr:nvSpPr>
            <xdr:cNvPr id="10" name="Shape 5">
              <a:extLst>
                <a:ext uri="{FF2B5EF4-FFF2-40B4-BE49-F238E27FC236}">
                  <a16:creationId xmlns:a16="http://schemas.microsoft.com/office/drawing/2014/main" id="{00000000-0008-0000-0200-00000A000000}"/>
                </a:ext>
              </a:extLst>
            </xdr:cNvPr>
            <xdr:cNvSpPr/>
          </xdr:nvSpPr>
          <xdr:spPr>
            <a:xfrm>
              <a:off x="3104748" y="15558805"/>
              <a:ext cx="6348800" cy="34628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11" name="Shape 9">
              <a:extLst>
                <a:ext uri="{FF2B5EF4-FFF2-40B4-BE49-F238E27FC236}">
                  <a16:creationId xmlns:a16="http://schemas.microsoft.com/office/drawing/2014/main" id="{00000000-0008-0000-0200-00000B000000}"/>
                </a:ext>
              </a:extLst>
            </xdr:cNvPr>
            <xdr:cNvSpPr txBox="1"/>
          </xdr:nvSpPr>
          <xdr:spPr>
            <a:xfrm flipH="1">
              <a:off x="3117457" y="15580265"/>
              <a:ext cx="2420189" cy="228005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 b="1">
                  <a:solidFill>
                    <a:schemeClr val="dk1"/>
                  </a:solidFill>
                  <a:latin typeface="Dotum"/>
                  <a:ea typeface="Dotum"/>
                  <a:cs typeface="Dotum"/>
                  <a:sym typeface="Dotum"/>
                </a:rPr>
                <a:t>NCP 항목별 진단 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3</xdr:col>
      <xdr:colOff>238125</xdr:colOff>
      <xdr:row>44</xdr:row>
      <xdr:rowOff>19050</xdr:rowOff>
    </xdr:from>
    <xdr:ext cx="3848100" cy="542925"/>
    <xdr:sp macro="" textlink="">
      <xdr:nvSpPr>
        <xdr:cNvPr id="16" name="Shape 12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3426713" y="3513300"/>
          <a:ext cx="3838575" cy="533400"/>
        </a:xfrm>
        <a:prstGeom prst="leftRightArrow">
          <a:avLst>
            <a:gd name="adj1" fmla="val 50000"/>
            <a:gd name="adj2" fmla="val 29546"/>
          </a:avLst>
        </a:prstGeom>
        <a:solidFill>
          <a:srgbClr val="FABF8E"/>
        </a:solidFill>
        <a:ln>
          <a:noFill/>
        </a:ln>
      </xdr:spPr>
      <xdr:txBody>
        <a:bodyPr spcFirstLastPara="1" wrap="square" lIns="18275" tIns="0" rIns="0" bIns="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latin typeface="Cambria"/>
              <a:ea typeface="Cambria"/>
              <a:cs typeface="Cambria"/>
              <a:sym typeface="Cambria"/>
            </a:rPr>
            <a:t>NCP</a:t>
          </a:r>
          <a:endParaRPr sz="1200" b="1">
            <a:latin typeface="Cambria"/>
            <a:ea typeface="Cambria"/>
            <a:cs typeface="Cambria"/>
            <a:sym typeface="Cambria"/>
          </a:endParaRP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L1000"/>
  <sheetViews>
    <sheetView zoomScaleNormal="100" workbookViewId="0" tabSelected="1">
      <selection activeCell="A1" sqref="A1"/>
    </sheetView>
  </sheetViews>
  <sheetFormatPr defaultColWidth="14.44140625" defaultRowHeight="15" customHeight="1"/>
  <cols>
    <col min="1" max="1" width="1.6640625" customWidth="1"/>
    <col min="2" max="11" width="8.6640625" customWidth="1"/>
    <col min="12" max="12" width="18.5546875" customWidth="1"/>
    <col min="13" max="26" width="8.6640625" customWidth="1"/>
  </cols>
  <sheetData>
    <row r="1" spans="2:12" ht="9.75" customHeight="1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13.5" customHeight="1"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spans="2:12" ht="13.5" customHeight="1">
      <c r="B3" s="4"/>
      <c r="C3" s="4"/>
      <c r="D3" s="4"/>
      <c r="E3" s="4"/>
      <c r="F3" s="4"/>
      <c r="G3" s="4"/>
      <c r="H3" s="4"/>
      <c r="I3" s="4"/>
      <c r="J3" s="4"/>
      <c r="K3" s="6" t="s">
        <v>0</v>
      </c>
      <c r="L3" s="8"/>
    </row>
    <row r="4" spans="2:12" ht="13.5" customHeight="1">
      <c r="B4" s="4"/>
      <c r="C4" s="4"/>
      <c r="D4" s="4"/>
      <c r="E4" s="4"/>
      <c r="F4" s="4"/>
      <c r="G4" s="4"/>
      <c r="H4" s="4"/>
      <c r="I4" s="4"/>
      <c r="J4" s="4"/>
      <c r="K4" s="6" t="s">
        <v>1</v>
      </c>
      <c r="L4" s="11"/>
    </row>
    <row r="5" spans="2:12" ht="13.5" customHeight="1">
      <c r="B5" s="4"/>
      <c r="C5" s="4"/>
      <c r="D5" s="4"/>
      <c r="E5" s="4"/>
      <c r="F5" s="4"/>
      <c r="G5" s="4"/>
      <c r="H5" s="4"/>
      <c r="I5" s="4"/>
      <c r="J5" s="4"/>
      <c r="K5" s="6" t="s">
        <v>2</v>
      </c>
      <c r="L5" s="11"/>
    </row>
    <row r="6" spans="2:12" ht="13.5" customHeight="1">
      <c r="B6" s="4"/>
      <c r="C6" s="4"/>
      <c r="D6" s="4"/>
      <c r="E6" s="4"/>
      <c r="F6" s="4"/>
      <c r="G6" s="4"/>
      <c r="H6" s="4"/>
      <c r="I6" s="4"/>
      <c r="J6" s="4"/>
      <c r="K6" s="6" t="s">
        <v>3</v>
      </c>
      <c r="L6" s="11"/>
    </row>
    <row r="7" spans="2:12" ht="13.5" customHeight="1"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8" spans="2:12" ht="13.5" customHeight="1">
      <c r="B8" s="4"/>
      <c r="C8" s="4"/>
      <c r="D8" s="4"/>
      <c r="E8" s="4"/>
      <c r="F8" s="4"/>
      <c r="G8" s="4"/>
      <c r="H8" s="4"/>
      <c r="I8" s="4"/>
      <c r="J8" s="4"/>
      <c r="K8" s="4"/>
      <c r="L8" s="4"/>
    </row>
    <row r="9" spans="2:12" ht="13.5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</row>
    <row r="10" spans="2:12" ht="13.5" customHeight="1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2:12" ht="30" customHeight="1">
      <c r="B11" s="137" t="inlineStr">
        <is>
          <t xml:space="preserve">"제로데이클리닉" 취약점 진단</t>
        </is>
      </c>
      <c r="C11" s="138"/>
      <c r="D11" s="138"/>
      <c r="E11" s="138"/>
      <c r="F11" s="138"/>
      <c r="G11" s="138"/>
      <c r="H11" s="138"/>
      <c r="I11" s="138"/>
      <c r="J11" s="138"/>
      <c r="K11" s="138"/>
      <c r="L11" s="138"/>
    </row>
    <row r="12" spans="2:12" ht="13.5" customHeight="1"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spans="2:12" ht="44.4" customHeight="1">
      <c r="B13" s="139" t="inlineStr">
        <is>
          <t xml:space="preserve">클라우드 진단 상세결과</t>
        </is>
      </c>
      <c r="C13" s="138"/>
      <c r="D13" s="138"/>
      <c r="E13" s="138"/>
      <c r="F13" s="138"/>
      <c r="G13" s="138"/>
      <c r="H13" s="138"/>
      <c r="I13" s="138"/>
      <c r="J13" s="138"/>
      <c r="K13" s="138"/>
      <c r="L13" s="138"/>
    </row>
    <row r="14" spans="2:12" ht="13.5" customHeight="1"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spans="2:12" ht="13.5" customHeight="1">
      <c r="B15" s="4"/>
      <c r="C15" s="4"/>
      <c r="D15" s="4"/>
      <c r="E15" s="140"/>
      <c r="F15" s="138"/>
      <c r="G15" s="138"/>
      <c r="H15" s="138"/>
      <c r="I15" s="138"/>
      <c r="J15" s="138"/>
      <c r="K15" s="138"/>
      <c r="L15" s="4"/>
    </row>
    <row r="16" spans="2:12" ht="13.5" customHeight="1"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spans="2:12" ht="13.5" customHeight="1"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2:12" ht="30" customHeight="1">
      <c r="B18" s="141"/>
      <c r="C18" s="138"/>
      <c r="D18" s="138"/>
      <c r="E18" s="138"/>
      <c r="F18" s="138"/>
      <c r="G18" s="138"/>
      <c r="H18" s="138"/>
      <c r="I18" s="138"/>
      <c r="J18" s="138"/>
      <c r="K18" s="138"/>
      <c r="L18" s="138"/>
    </row>
    <row r="19" spans="2:12" ht="13.5" customHeight="1">
      <c r="B19" s="4"/>
      <c r="C19" s="4"/>
      <c r="D19" s="4"/>
      <c r="E19" s="4"/>
      <c r="F19" s="17"/>
      <c r="G19" s="18"/>
      <c r="H19" s="18"/>
      <c r="I19" s="18"/>
      <c r="J19" s="18"/>
      <c r="K19" s="4"/>
      <c r="L19" s="4"/>
    </row>
    <row r="20" spans="2:12" ht="13.5" customHeight="1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2:12" ht="13.5" customHeight="1"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2:12" ht="13.5" customHeight="1"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2:12" ht="13.5" customHeight="1"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2:12" ht="13.5" customHeight="1"/>
    <row r="25" spans="2:12" ht="13.5" customHeight="1"/>
    <row r="26" spans="2:12" ht="13.5" customHeight="1"/>
    <row r="27" spans="2:12" ht="13.5" customHeight="1"/>
    <row r="28" spans="2:12" ht="13.5" customHeight="1"/>
    <row r="29" spans="2:12" ht="13.5" customHeight="1"/>
    <row r="30" spans="2:12" ht="13.5" customHeight="1"/>
    <row r="31" spans="2:12" ht="13.5" customHeight="1"/>
    <row r="32" spans="2:1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4">
    <mergeCell ref="B11:L11"/>
    <mergeCell ref="B13:L13"/>
    <mergeCell ref="E15:K15"/>
    <mergeCell ref="B18:L18"/>
  </mergeCells>
  <phoneticPr fontId="28" type="noConversion"/>
  <printOptions horizontalCentered="1"/>
  <pageMargins left="0.7" right="0.7" top="0.75" bottom="0.75" header="0" footer="0"/>
  <pageSetup paperSize="9" orientation="portrait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995"/>
  <sheetViews>
    <sheetView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3.6640625" customWidth="1"/>
    <col min="3" max="3" width="26" customWidth="1"/>
    <col min="4" max="4" width="16" customWidth="1"/>
    <col min="5" max="5" width="18" customWidth="1"/>
    <col min="6" max="6" width="22.88671875" customWidth="1"/>
    <col min="7" max="7" width="8.33203125" customWidth="1"/>
    <col min="8" max="26" width="8.6640625" customWidth="1"/>
  </cols>
  <sheetData>
    <row r="1" spans="1:26" ht="28.5" customHeight="1">
      <c r="B1" s="142" t="inlineStr">
        <is>
          <t xml:space="preserve">  ※ 진단 대상 리스트 - 클라우드 계정 1개 (NCP 1개)</t>
        </is>
      </c>
      <c r="C1" s="138"/>
      <c r="D1" s="138"/>
      <c r="E1" s="138"/>
      <c r="F1" s="138"/>
      <c r="G1" s="138"/>
    </row>
    <row r="2" spans="1:26" ht="16.5" customHeight="1">
      <c r="B2" s="143" t="s">
        <v>4</v>
      </c>
      <c r="C2" s="145" t="s">
        <v>5</v>
      </c>
      <c r="D2" s="146"/>
      <c r="E2" s="146"/>
      <c r="F2" s="147"/>
      <c r="G2" s="148" t="s">
        <v>6</v>
      </c>
    </row>
    <row r="3" spans="1:26" ht="16.5" customHeight="1">
      <c r="B3" s="144"/>
      <c r="C3" s="7" t="inlineStr">
        <is>
          <t xml:space="preserve">계정 ID</t>
        </is>
      </c>
      <c r="D3" s="7" t="inlineStr">
        <is>
          <t xml:space="preserve">리전</t>
        </is>
      </c>
      <c r="E3" s="7" t="inlineStr">
        <is>
          <t xml:space="preserve">구분</t>
        </is>
      </c>
      <c r="F3" s="7" t="s">
        <v>7</v>
      </c>
      <c r="G3" s="149"/>
    </row>
    <row r="4" spans="1:26" ht="16.5" customHeight="1">
      <c r="B4" s="150" t="inlineStr">
        <is>
          <t xml:space="preserve">NCP</t>
        </is>
      </c>
      <c r="C4" s="151"/>
      <c r="D4" s="151"/>
      <c r="E4" s="151"/>
      <c r="F4" s="151"/>
      <c r="G4" s="152"/>
      <c r="H4" s="13"/>
    </row>
    <row r="5" spans="1:26" ht="16.5" customHeight="1">
      <c r="B5" s="14"/>
      <c r="C5" s="8"/>
      <c r="D5" s="11"/>
      <c r="E5" s="8"/>
      <c r="F5" s="8"/>
      <c r="G5" s="16"/>
      <c r="H5" s="13"/>
    </row>
    <row r="6" spans="1:26" ht="16.5" customHeight="1">
      <c r="A6" s="2"/>
      <c r="H6" s="13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6.5" customHeight="1">
      <c r="H7" s="13"/>
    </row>
    <row r="8" spans="1:26" ht="13.5" customHeight="1">
      <c r="A8" s="2"/>
      <c r="H8" s="13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6.5" customHeight="1"/>
    <row r="10" spans="1:26" ht="13.5" customHeight="1"/>
    <row r="11" spans="1:26" ht="13.5" customHeight="1"/>
    <row r="12" spans="1:26" ht="13.5" customHeight="1"/>
    <row r="13" spans="1:26" ht="13.5" customHeight="1"/>
    <row r="14" spans="1:26" ht="13.5" customHeight="1"/>
    <row r="15" spans="1:26" ht="13.5" customHeight="1"/>
    <row r="16" spans="1:2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</sheetData>
  <mergeCells count="5">
    <mergeCell ref="B1:G1"/>
    <mergeCell ref="B2:B3"/>
    <mergeCell ref="C2:F2"/>
    <mergeCell ref="G2:G3"/>
    <mergeCell ref="B4:G4"/>
  </mergeCells>
  <phoneticPr fontId="28" type="noConversion"/>
  <pageMargins left="0.7" right="0.7" top="0.75" bottom="0.75" header="0" footer="0"/>
  <pageSetup paperSize="9" scale="78" orientation="portrait" fitToWidth="1" fitToHeight="0"/>
  <headerFooter>
    <oddFooter>&amp;C&amp;P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1000"/>
  <sheetViews>
    <sheetView zoomScale="85" zoomScaleNormal="85" workbookViewId="0">
      <selection activeCell="A1" sqref="A1"/>
    </sheetView>
  </sheetViews>
  <sheetFormatPr defaultColWidth="14.44140625" defaultRowHeight="15" customHeight="1"/>
  <cols>
    <col min="1" max="1" width="0.44140625" customWidth="1"/>
    <col min="2" max="2" width="18.88671875" customWidth="1"/>
    <col min="3" max="3" width="10.33203125" customWidth="1"/>
    <col min="4" max="4" width="9.33203125" customWidth="1"/>
    <col min="5" max="5" width="3.33203125" customWidth="1"/>
    <col min="6" max="19" width="4.88671875" customWidth="1"/>
    <col min="20" max="20" width="6.6640625" customWidth="1"/>
    <col min="21" max="21" width="15.33203125" customWidth="1"/>
    <col min="22" max="22" width="10.33203125" customWidth="1"/>
    <col min="23" max="23" width="6.5546875" customWidth="1"/>
    <col min="24" max="24" width="20.66" customWidth="1"/>
    <col min="25" max="25" width="9.6640625" customWidth="1"/>
    <col min="26" max="26" width="9.5546875" customWidth="1"/>
    <col min="27" max="27" width="10.6640625" customWidth="1"/>
    <col min="28" max="28" width="7.6640625" customWidth="1"/>
    <col min="29" max="29" width="12.6640625" customWidth="1"/>
    <col min="30" max="31" width="8.88671875" customWidth="1"/>
    <col min="32" max="32" width="3.6640625" customWidth="1"/>
    <col min="33" max="40" width="8.88671875" customWidth="1"/>
    <col min="41" max="41" width="1.5546875" customWidth="1"/>
    <col min="42" max="43" width="8.88671875" customWidth="1"/>
    <col min="44" max="44" width="6.109375" customWidth="1"/>
    <col min="45" max="45" width="5.109375" customWidth="1"/>
  </cols>
  <sheetData>
    <row r="1" spans="1:45" ht="6" customHeight="1">
      <c r="A1" s="31"/>
      <c r="B1" s="31"/>
      <c r="C1" s="153"/>
      <c r="D1" s="138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</row>
    <row r="2" spans="1:45" ht="49.5" customHeight="1">
      <c r="A2" s="10"/>
      <c r="B2" s="154" t="s">
        <v>8</v>
      </c>
      <c r="C2" s="138"/>
      <c r="D2" s="138"/>
      <c r="E2" s="1"/>
      <c r="F2" s="1"/>
      <c r="G2" s="1"/>
      <c r="H2" s="1"/>
      <c r="I2" s="1"/>
      <c r="J2" s="1"/>
      <c r="K2" s="1"/>
      <c r="L2" s="1"/>
      <c r="M2" s="1"/>
      <c r="N2" s="1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</row>
    <row r="3" spans="1:45" ht="20.25" customHeight="1">
      <c r="A3" s="31"/>
      <c r="B3" s="31"/>
      <c r="C3" s="31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</row>
    <row r="4" spans="1:45" ht="20.25" customHeight="1">
      <c r="A4" s="31"/>
      <c r="B4" s="41" t="s">
        <v>5</v>
      </c>
      <c r="C4" s="19" t="s">
        <v>9</v>
      </c>
      <c r="D4" s="20" t="s">
        <v>10</v>
      </c>
      <c r="E4" s="39"/>
      <c r="F4" s="39"/>
      <c r="G4" s="39"/>
      <c r="H4" s="39"/>
      <c r="I4" s="39"/>
      <c r="J4" s="39"/>
      <c r="K4" s="39"/>
      <c r="L4" s="39"/>
      <c r="M4" s="39"/>
      <c r="N4" s="39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</row>
    <row r="5" spans="1:45" ht="20.25" customHeight="1">
      <c r="A5" s="31"/>
      <c r="B5" s="42" t="inlineStr">
        <is>
          <t xml:space="preserve">NCP</t>
        </is>
      </c>
      <c r="C5" s="45">
        <f>IFERROR(AVERAGE('2-2. 요약 진단결과(NCP)'!F38:F38),"")</f>
      </c>
      <c r="D5" s="43">
        <f>COUNTIF(X37:X42,"?*")</f>
      </c>
      <c r="E5" s="39"/>
      <c r="F5" s="39"/>
      <c r="G5" s="39"/>
      <c r="H5" s="39"/>
      <c r="I5" s="39"/>
      <c r="J5" s="39"/>
      <c r="K5" s="39"/>
      <c r="L5" s="39"/>
      <c r="M5" s="39"/>
      <c r="N5" s="39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</row>
    <row r="6" spans="1:45" ht="18.75" customHeight="1">
      <c r="A6" s="31"/>
      <c r="E6" s="39"/>
      <c r="F6" s="39"/>
      <c r="G6" s="39"/>
      <c r="H6" s="39"/>
      <c r="I6" s="39"/>
      <c r="J6" s="39"/>
      <c r="K6" s="39"/>
      <c r="L6" s="39"/>
      <c r="M6" s="39"/>
      <c r="N6" s="39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</row>
    <row r="7" spans="1:45" ht="18.75" customHeight="1">
      <c r="A7" s="31"/>
      <c r="E7" s="39"/>
      <c r="F7" s="39"/>
      <c r="G7" s="39"/>
      <c r="H7" s="39"/>
      <c r="I7" s="39"/>
      <c r="J7" s="39"/>
      <c r="K7" s="39"/>
      <c r="L7" s="39"/>
      <c r="M7" s="39"/>
      <c r="N7" s="39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</row>
    <row r="8" spans="1:45" ht="18.75" customHeight="1">
      <c r="A8" s="31"/>
      <c r="B8" s="31"/>
      <c r="C8" s="31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</row>
    <row r="9" spans="1:45" ht="18.75" customHeight="1">
      <c r="A9" s="31"/>
      <c r="B9" s="31"/>
      <c r="C9" s="31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</row>
    <row r="10" spans="1:45" ht="18.75" customHeight="1">
      <c r="A10" s="31"/>
      <c r="B10" s="31"/>
      <c r="C10" s="31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</row>
    <row r="11" spans="1:45" ht="18.75" customHeight="1">
      <c r="A11" s="31"/>
      <c r="B11" s="31"/>
      <c r="C11" s="31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</row>
    <row r="12" spans="1:45" ht="18.75" customHeight="1">
      <c r="A12" s="31"/>
      <c r="B12" s="31"/>
      <c r="C12" s="31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</row>
    <row r="13" spans="1:45" ht="18.75" customHeight="1">
      <c r="A13" s="31"/>
      <c r="B13" s="31"/>
      <c r="C13" s="31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1"/>
      <c r="AA13" s="31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31"/>
      <c r="AR13" s="31"/>
      <c r="AS13" s="31"/>
    </row>
    <row r="14" spans="1:45" ht="18.75" customHeight="1">
      <c r="A14" s="31"/>
      <c r="B14" s="31"/>
      <c r="C14" s="31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1"/>
      <c r="AA14" s="55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</row>
    <row r="15" spans="1:45" ht="18.75" customHeight="1">
      <c r="A15" s="31"/>
      <c r="B15" s="31"/>
      <c r="C15" s="31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1"/>
      <c r="AA15" s="31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31"/>
      <c r="AO15" s="31"/>
      <c r="AP15" s="31"/>
      <c r="AQ15" s="31"/>
      <c r="AR15" s="31"/>
      <c r="AS15" s="31"/>
    </row>
    <row r="16" spans="1:45" ht="18.75" customHeight="1">
      <c r="A16" s="31"/>
      <c r="B16" s="31"/>
      <c r="C16" s="31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1"/>
      <c r="V16" s="31"/>
      <c r="W16" s="31"/>
      <c r="X16" s="31"/>
      <c r="Y16" s="31"/>
      <c r="Z16" s="31"/>
      <c r="AA16" s="53"/>
      <c r="AB16" s="53"/>
      <c r="AC16" s="53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31"/>
      <c r="AO16" s="31"/>
      <c r="AP16" s="31"/>
      <c r="AQ16" s="31"/>
      <c r="AR16" s="31"/>
      <c r="AS16" s="31"/>
    </row>
    <row r="17" spans="1:45" ht="18.75" customHeight="1">
      <c r="A17" s="31"/>
      <c r="B17" s="59" t="s">
        <v>11</v>
      </c>
      <c r="C17" s="60"/>
      <c r="D17" s="61">
        <f>COUNTA('1. 진단 대상'!$B$5:$B$5)</f>
      </c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1"/>
      <c r="V17" s="31"/>
      <c r="W17" s="31"/>
      <c r="X17" s="31"/>
      <c r="Y17" s="31"/>
      <c r="Z17" s="31"/>
      <c r="AA17" s="53"/>
      <c r="AB17" s="53"/>
      <c r="AC17" s="53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31"/>
      <c r="AO17" s="31"/>
      <c r="AP17" s="31"/>
      <c r="AQ17" s="62"/>
      <c r="AR17" s="39"/>
      <c r="AS17" s="63"/>
    </row>
    <row r="18" spans="1:45" ht="18.75" customHeight="1">
      <c r="A18" s="31"/>
      <c r="B18" s="65" t="s">
        <v>12</v>
      </c>
      <c r="C18" s="66">
        <f>IF($D$17=0,0,D18/$D$17)</f>
      </c>
      <c r="D18" s="67">
        <f>COUNTIF('2-2. 요약 진단결과(NCP)'!F38:F38,"&gt;=0.85")</f>
      </c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62"/>
      <c r="AR18" s="39"/>
      <c r="AS18" s="63"/>
    </row>
    <row r="19" spans="1:45" ht="21" customHeight="1">
      <c r="A19" s="31"/>
      <c r="B19" s="65" t="s">
        <v>13</v>
      </c>
      <c r="C19" s="66">
        <f>IF($D$17=0,0,D19/$D$17)</f>
      </c>
      <c r="D19" s="67">
        <f>COUNTIFS('2-2. 요약 진단결과(NCP)'!F38:F38,"&gt;=0.7",'2-2. 요약 진단결과(NCP)'!F38:F38,"&lt;0.85")</f>
      </c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62"/>
      <c r="AR19" s="39"/>
      <c r="AS19" s="63"/>
    </row>
    <row r="20" spans="1:45" ht="18.75" customHeight="1">
      <c r="A20" s="31"/>
      <c r="B20" s="68" t="s">
        <v>14</v>
      </c>
      <c r="C20" s="69">
        <f>IF($D$17=0,0,D20/$D$17)</f>
      </c>
      <c r="D20" s="70">
        <f>COUNTIF('2-2. 요약 진단결과(NCP)'!F38:F38,"&lt;0.7")</f>
      </c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62"/>
      <c r="AR20" s="39"/>
      <c r="AS20" s="63"/>
    </row>
    <row r="21" spans="1:45" ht="18.75" customHeight="1">
      <c r="A21" s="31"/>
      <c r="B21" s="31"/>
      <c r="C21" s="31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62"/>
      <c r="AR21" s="39"/>
      <c r="AS21" s="63"/>
    </row>
    <row r="22" spans="1:45" ht="13.5" customHeight="1">
      <c r="A22" s="31"/>
      <c r="B22" s="31"/>
      <c r="C22" s="31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62"/>
      <c r="AR22" s="39"/>
      <c r="AS22" s="63"/>
    </row>
    <row r="23" spans="1:45" ht="13.5" customHeight="1">
      <c r="A23" s="31"/>
      <c r="B23" s="31"/>
      <c r="C23" s="31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62"/>
      <c r="AR23" s="39"/>
      <c r="AS23" s="63"/>
    </row>
    <row r="24" spans="1:45" ht="13.5" customHeight="1">
      <c r="A24" s="31"/>
      <c r="B24" s="31"/>
      <c r="C24" s="31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62"/>
      <c r="AR24" s="39"/>
      <c r="AS24" s="63"/>
    </row>
    <row r="25" spans="1:45" ht="13.5" customHeight="1">
      <c r="A25" s="31"/>
      <c r="B25" s="31"/>
      <c r="C25" s="31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62"/>
      <c r="AR25" s="39"/>
      <c r="AS25" s="63"/>
    </row>
    <row r="26" spans="1:45" ht="13.5" customHeight="1">
      <c r="A26" s="31"/>
      <c r="B26" s="31"/>
      <c r="C26" s="31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62"/>
      <c r="AR26" s="39"/>
      <c r="AS26" s="63"/>
    </row>
    <row r="27" spans="1:45" ht="13.5" customHeight="1">
      <c r="A27" s="31"/>
      <c r="B27" s="31"/>
      <c r="C27" s="31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62"/>
      <c r="AR27" s="39"/>
      <c r="AS27" s="63"/>
    </row>
    <row r="28" spans="1:45" ht="13.5" customHeight="1">
      <c r="A28" s="31"/>
      <c r="B28" s="31"/>
      <c r="C28" s="31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62"/>
      <c r="AR28" s="39"/>
      <c r="AS28" s="63"/>
    </row>
    <row r="29" spans="1:45" ht="13.5" customHeight="1">
      <c r="A29" s="31"/>
      <c r="B29" s="31"/>
      <c r="C29" s="31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62"/>
      <c r="AR29" s="39"/>
      <c r="AS29" s="63"/>
    </row>
    <row r="30" spans="1:45" ht="13.5" customHeight="1">
      <c r="A30" s="31"/>
      <c r="B30" s="31"/>
      <c r="C30" s="31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62"/>
      <c r="AR30" s="39"/>
      <c r="AS30" s="63"/>
    </row>
    <row r="31" spans="1:45" ht="13.5" customHeight="1">
      <c r="A31" s="31"/>
      <c r="B31" s="31"/>
      <c r="C31" s="31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62"/>
      <c r="AR31" s="39"/>
      <c r="AS31" s="63"/>
    </row>
    <row r="32" spans="1:45" ht="13.5" customHeight="1">
      <c r="A32" s="31"/>
      <c r="B32" s="31"/>
      <c r="C32" s="31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</row>
    <row r="33" spans="1:45" ht="13.5" customHeight="1">
      <c r="A33" s="31"/>
      <c r="B33" s="31"/>
      <c r="C33" s="31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155"/>
      <c r="AR33" s="138"/>
      <c r="AS33" s="138"/>
    </row>
    <row r="34" spans="1:45" ht="13.5" customHeight="1">
      <c r="A34" s="31"/>
      <c r="B34" s="31"/>
      <c r="C34" s="31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62"/>
      <c r="AR34" s="62"/>
      <c r="AS34" s="62"/>
    </row>
    <row r="35" spans="1:45" ht="13.5" customHeight="1">
      <c r="A35" s="31"/>
      <c r="B35" s="31"/>
      <c r="C35" s="31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156" t="inlineStr">
        <is>
          <t xml:space="preserve">NCP</t>
        </is>
      </c>
      <c r="X35" s="146"/>
      <c r="Y35" s="157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62"/>
      <c r="AQ35" s="39"/>
      <c r="AR35" s="155"/>
      <c r="AS35" s="138"/>
    </row>
    <row r="36" spans="1:45" ht="13.5" customHeight="1">
      <c r="A36" s="31"/>
      <c r="B36" s="31"/>
      <c r="C36" s="31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73" t="s">
        <v>15</v>
      </c>
      <c r="X36" s="74" t="inlineStr">
        <is>
          <t xml:space="preserve">계정 ID</t>
        </is>
      </c>
      <c r="Y36" s="75" t="s">
        <v>16</v>
      </c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62"/>
      <c r="AQ36" s="39"/>
      <c r="AR36" s="62"/>
      <c r="AS36" s="62"/>
    </row>
    <row r="37" spans="1:45" ht="13.5" customHeight="1">
      <c r="A37" s="31"/>
      <c r="B37" s="31"/>
      <c r="C37" s="31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73">
        <v>1</v>
      </c>
      <c r="X37" s="286">
        <f>IFERROR(INDEX('2-2. 요약 진단결과(NCP)'!$F$4:$G$4,MATCH($W37,'2-2. 요약 진단결과(NCP)'!$F$3:$G$3,0)),"")</f>
      </c>
      <c r="Y37" s="76">
        <f>IFERROR(INDEX('2-2. 요약 진단결과(NCP)'!$F:$G,MATCH("보안 적용율*",'2-2. 요약 진단결과(NCP)'!$C:$C,0),MATCH($W37,'2-2. 요약 진단결과(NCP)'!$F$3:$G$3,0)),"")</f>
      </c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62"/>
      <c r="AQ37" s="39"/>
      <c r="AR37" s="62"/>
      <c r="AS37" s="39"/>
    </row>
    <row r="38" spans="1:45" ht="13.5" customHeight="1">
      <c r="A38" s="31"/>
      <c r="B38" s="31"/>
      <c r="C38" s="31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X38" s="287"/>
      <c r="Z38" s="53"/>
      <c r="AA38" s="53"/>
      <c r="AB38" s="31"/>
      <c r="AC38" s="31"/>
      <c r="AD38" s="31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62"/>
      <c r="AQ38" s="39"/>
      <c r="AR38" s="62"/>
      <c r="AS38" s="39"/>
    </row>
    <row r="39" spans="1:45" ht="13.5" customHeight="1">
      <c r="A39" s="31"/>
      <c r="B39" s="31"/>
      <c r="C39" s="31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X39" s="287"/>
      <c r="Z39" s="53"/>
      <c r="AA39" s="53"/>
      <c r="AB39" s="31"/>
      <c r="AC39" s="31"/>
      <c r="AD39" s="31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62"/>
      <c r="AQ39" s="39"/>
      <c r="AR39" s="62"/>
      <c r="AS39" s="39"/>
    </row>
    <row r="40" spans="1:45" ht="13.5" customHeight="1">
      <c r="A40" s="31"/>
      <c r="B40" s="31"/>
      <c r="C40" s="31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X40" s="287"/>
      <c r="Z40" s="53"/>
      <c r="AA40" s="53"/>
      <c r="AB40" s="31"/>
      <c r="AC40" s="31"/>
      <c r="AD40" s="31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62"/>
      <c r="AQ40" s="39"/>
      <c r="AR40" s="62"/>
      <c r="AS40" s="39"/>
    </row>
    <row r="41" spans="1:45" ht="13.5" customHeight="1">
      <c r="A41" s="31"/>
      <c r="B41" s="31"/>
      <c r="C41" s="31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X41" s="287"/>
      <c r="Z41" s="53"/>
      <c r="AA41" s="53"/>
      <c r="AB41" s="31"/>
      <c r="AC41" s="31"/>
      <c r="AD41" s="31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62"/>
      <c r="AQ41" s="39"/>
      <c r="AR41" s="62"/>
      <c r="AS41" s="39"/>
    </row>
    <row r="42" spans="1:45" ht="13.5" customHeight="1">
      <c r="A42" s="31"/>
      <c r="B42" s="31"/>
      <c r="C42" s="31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X42" s="287"/>
      <c r="Z42" s="53"/>
      <c r="AA42" s="53"/>
      <c r="AB42" s="31"/>
      <c r="AC42" s="31"/>
      <c r="AD42" s="31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62"/>
      <c r="AQ42" s="39"/>
      <c r="AR42" s="62"/>
      <c r="AS42" s="39"/>
    </row>
    <row r="43" spans="1:45" ht="13.5" customHeight="1">
      <c r="A43" s="31"/>
      <c r="B43" s="31"/>
      <c r="C43" s="31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62"/>
      <c r="X43" s="39"/>
      <c r="Y43" s="80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62"/>
      <c r="AQ43" s="39"/>
      <c r="AR43" s="62"/>
      <c r="AS43" s="39"/>
    </row>
    <row r="44" spans="1:45" ht="13.5" customHeight="1">
      <c r="A44" s="31"/>
      <c r="B44" s="31"/>
      <c r="C44" s="31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62"/>
      <c r="AQ44" s="39"/>
      <c r="AR44" s="62"/>
      <c r="AS44" s="39"/>
    </row>
    <row r="45" spans="1:45" ht="13.5" customHeight="1">
      <c r="A45" s="31"/>
      <c r="B45" s="31"/>
      <c r="C45" s="31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62"/>
      <c r="AQ45" s="39"/>
      <c r="AR45" s="62"/>
      <c r="AS45" s="39"/>
    </row>
    <row r="46" spans="1:45" ht="13.5" customHeight="1">
      <c r="A46" s="31"/>
      <c r="B46" s="31"/>
      <c r="C46" s="31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62"/>
      <c r="AQ46" s="39"/>
      <c r="AR46" s="62"/>
      <c r="AS46" s="39"/>
    </row>
    <row r="47" spans="1:45" ht="13.5" customHeight="1">
      <c r="A47" s="31"/>
      <c r="B47" s="31"/>
      <c r="C47" s="31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62"/>
      <c r="AQ47" s="39"/>
      <c r="AR47" s="62"/>
      <c r="AS47" s="39"/>
    </row>
    <row r="48" spans="1:45" ht="13.5" customHeight="1">
      <c r="A48" s="31"/>
      <c r="B48" s="31"/>
      <c r="C48" s="31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62"/>
      <c r="AQ48" s="39"/>
      <c r="AR48" s="62"/>
      <c r="AS48" s="39"/>
    </row>
    <row r="49" spans="1:45" ht="13.5" customHeight="1">
      <c r="A49" s="31"/>
      <c r="B49" s="31"/>
      <c r="C49" s="31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62"/>
      <c r="AQ49" s="39"/>
      <c r="AR49" s="62"/>
      <c r="AS49" s="39"/>
    </row>
    <row r="50" spans="1:45" ht="13.5" customHeight="1">
      <c r="A50" s="31"/>
      <c r="B50" s="31"/>
      <c r="C50" s="31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62"/>
      <c r="Y50" s="39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62"/>
      <c r="AQ50" s="39"/>
      <c r="AR50" s="62"/>
      <c r="AS50" s="39"/>
    </row>
    <row r="51" spans="1:45" ht="13.5" customHeight="1">
      <c r="A51" s="31"/>
      <c r="B51" s="31"/>
      <c r="C51" s="31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62"/>
      <c r="Y51" s="39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62"/>
      <c r="AQ51" s="39"/>
      <c r="AR51" s="63"/>
      <c r="AS51" s="31"/>
    </row>
    <row r="52" spans="1:45" ht="13.5" customHeight="1">
      <c r="A52" s="31"/>
      <c r="B52" s="31"/>
      <c r="C52" s="31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62"/>
      <c r="Y52" s="39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62"/>
      <c r="AQ52" s="39"/>
      <c r="AR52" s="63"/>
      <c r="AS52" s="31"/>
    </row>
    <row r="53" spans="1:45" ht="13.5" customHeight="1">
      <c r="A53" s="31"/>
      <c r="B53" s="31"/>
      <c r="C53" s="31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62"/>
      <c r="Y53" s="39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62"/>
      <c r="AQ53" s="39"/>
      <c r="AR53" s="63"/>
      <c r="AS53" s="31"/>
    </row>
    <row r="54" spans="1:45" ht="13.5" customHeight="1">
      <c r="A54" s="31"/>
      <c r="B54" s="31"/>
      <c r="C54" s="31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62"/>
      <c r="Y54" s="39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62"/>
      <c r="AQ54" s="39"/>
      <c r="AR54" s="63"/>
      <c r="AS54" s="31"/>
    </row>
    <row r="55" spans="1:45" ht="13.5" customHeight="1">
      <c r="A55" s="31"/>
      <c r="B55" s="31"/>
      <c r="C55" s="31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62"/>
      <c r="Y55" s="39"/>
      <c r="Z55" s="80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</row>
    <row r="56" spans="1:45" ht="13.5" customHeight="1">
      <c r="A56" s="31"/>
      <c r="B56" s="31"/>
      <c r="C56" s="31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62"/>
      <c r="Y56" s="39"/>
      <c r="Z56" s="80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</row>
    <row r="57" spans="1:45" ht="13.5" customHeight="1">
      <c r="A57" s="31"/>
      <c r="B57" s="31"/>
      <c r="C57" s="31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62"/>
      <c r="Y57" s="39"/>
      <c r="Z57" s="80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</row>
    <row r="58" spans="1:45" ht="13.5" customHeight="1">
      <c r="A58" s="31"/>
      <c r="B58" s="31"/>
      <c r="C58" s="31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80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</row>
    <row r="59" spans="1:45" ht="13.5" customHeight="1">
      <c r="A59" s="31"/>
      <c r="B59" s="31"/>
      <c r="C59" s="31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80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</row>
    <row r="60" spans="1:45" ht="13.5" customHeight="1">
      <c r="A60" s="31"/>
      <c r="B60" s="31"/>
      <c r="C60" s="31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80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</row>
    <row r="61" spans="1:45" ht="13.5" customHeight="1">
      <c r="A61" s="31"/>
      <c r="B61" s="31"/>
      <c r="C61" s="31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1"/>
      <c r="X61" s="39"/>
      <c r="Y61" s="39"/>
      <c r="Z61" s="80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</row>
    <row r="62" spans="1:45" ht="13.5" customHeight="1">
      <c r="A62" s="31"/>
      <c r="B62" s="31"/>
      <c r="C62" s="31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1"/>
      <c r="X62" s="39"/>
      <c r="Y62" s="39"/>
      <c r="Z62" s="80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</row>
    <row r="63" spans="1:45" ht="13.5" customHeight="1">
      <c r="A63" s="31"/>
      <c r="B63" s="31"/>
      <c r="C63" s="31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1"/>
      <c r="X63" s="39"/>
      <c r="Y63" s="39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</row>
    <row r="64" spans="1:45" ht="13.5" customHeight="1">
      <c r="A64" s="31"/>
      <c r="B64" s="31"/>
      <c r="C64" s="31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1"/>
      <c r="X64" s="39"/>
      <c r="Y64" s="39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</row>
    <row r="65" spans="1:45" ht="13.5" customHeight="1">
      <c r="A65" s="31"/>
      <c r="B65" s="31"/>
      <c r="C65" s="31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U65" s="39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</row>
    <row r="66" spans="1:45" ht="13.5" customHeight="1">
      <c r="A66" s="31"/>
      <c r="B66" s="59" t="s">
        <v>17</v>
      </c>
      <c r="C66" s="81" t="s">
        <v>18</v>
      </c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U66" s="39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</row>
    <row r="67" spans="1:45" ht="13.5" customHeight="1">
      <c r="A67" s="31"/>
      <c r="B67" s="288">
        <f>'2-2. 요약 진단결과(NCP)'!B6</f>
      </c>
      <c r="C67" s="66">
        <f>'2-2. 요약 진단결과(NCP)'!H6</f>
      </c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U67" s="39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</row>
    <row r="68" spans="1:45" ht="13.5" customHeight="1">
      <c r="A68" s="31"/>
      <c r="B68" s="288">
        <f>'2-2. 요약 진단결과(NCP)'!B16</f>
      </c>
      <c r="C68" s="66">
        <f>'2-2. 요약 진단결과(NCP)'!H16</f>
      </c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U68" s="39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</row>
    <row r="69" spans="1:45" ht="13.5" customHeight="1">
      <c r="A69" s="31"/>
      <c r="B69" s="288">
        <f>'2-2. 요약 진단결과(NCP)'!B21</f>
      </c>
      <c r="C69" s="66">
        <f>'2-2. 요약 진단결과(NCP)'!H21</f>
      </c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U69" s="39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</row>
    <row r="70" spans="1:45" ht="13.5" customHeight="1">
      <c r="A70" s="31"/>
      <c r="B70" s="288">
        <f>'2-2. 요약 진단결과(NCP)'!B27</f>
      </c>
      <c r="C70" s="66">
        <f>'2-2. 요약 진단결과(NCP)'!H27</f>
      </c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U70" s="39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</row>
    <row r="71" spans="1:45" ht="13.5" customHeight="1">
      <c r="A71" s="31"/>
      <c r="B71" s="289">
        <f>'2-2. 요약 진단결과(NCP)'!B31</f>
      </c>
      <c r="C71" s="66">
        <f>'2-2. 요약 진단결과(NCP)'!H31</f>
      </c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U71" s="39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</row>
    <row r="72" spans="1:45" ht="13.5" customHeight="1">
      <c r="A72" s="31"/>
      <c r="B72" s="289">
        <f>'2-2. 요약 진단결과(NCP)'!B33</f>
      </c>
      <c r="C72" s="66">
        <f>'2-2. 요약 진단결과(NCP)'!H33</f>
      </c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U72" s="39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</row>
    <row r="73" spans="1:45" ht="13.5" customHeight="1">
      <c r="A73" s="31"/>
      <c r="B73" s="290">
        <f>'2-2. 요약 진단결과(NCP)'!B36</f>
      </c>
      <c r="C73" s="69">
        <f>'2-2. 요약 진단결과(NCP)'!H36</f>
      </c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</row>
    <row r="74" spans="1:45" ht="13.5" customHeight="1">
      <c r="A74" s="31"/>
      <c r="B74" s="31"/>
      <c r="C74" s="31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</row>
    <row r="75" spans="1:45" ht="13.5" customHeight="1">
      <c r="A75" s="31"/>
      <c r="B75" s="31"/>
      <c r="C75" s="31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</row>
    <row r="76" spans="1:45" ht="13.5" customHeight="1">
      <c r="A76" s="31"/>
      <c r="B76" s="31"/>
      <c r="C76" s="31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</row>
    <row r="77" spans="1:45" ht="13.5" customHeight="1">
      <c r="A77" s="31"/>
      <c r="B77" s="31"/>
      <c r="C77" s="31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</row>
    <row r="78" spans="1:45" ht="13.5" customHeight="1">
      <c r="A78" s="31"/>
      <c r="B78" s="31"/>
      <c r="C78" s="31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</row>
    <row r="79" spans="1:45" ht="13.5" customHeight="1">
      <c r="A79" s="31"/>
      <c r="B79" s="31"/>
      <c r="C79" s="31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</row>
    <row r="80" spans="1:45" ht="13.5" customHeight="1">
      <c r="A80" s="31"/>
      <c r="B80" s="31"/>
      <c r="C80" s="31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</row>
    <row r="81" spans="1:45" ht="13.5" customHeight="1">
      <c r="A81" s="31"/>
      <c r="B81" s="31"/>
      <c r="C81" s="31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</row>
    <row r="82" spans="1:45" ht="13.5" customHeight="1">
      <c r="A82" s="31"/>
      <c r="B82" s="31"/>
      <c r="C82" s="31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</row>
    <row r="83" spans="1:45" ht="13.5" customHeight="1">
      <c r="A83" s="31"/>
      <c r="B83" s="31"/>
      <c r="C83" s="31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</row>
    <row r="84" spans="1:45" ht="13.5" customHeight="1">
      <c r="A84" s="31"/>
      <c r="B84" s="31"/>
      <c r="C84" s="31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</row>
    <row r="85" spans="1:45" ht="13.5" customHeight="1">
      <c r="A85" s="31"/>
      <c r="B85" s="31"/>
      <c r="C85" s="31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</row>
    <row r="86" spans="1:45" ht="13.5" customHeight="1">
      <c r="A86" s="31"/>
      <c r="B86" s="31"/>
      <c r="C86" s="31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</row>
    <row r="87" spans="1:45" ht="13.5" customHeight="1">
      <c r="A87" s="31"/>
      <c r="B87" s="31"/>
      <c r="C87" s="31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  <c r="AO87" s="31"/>
      <c r="AP87" s="31"/>
      <c r="AQ87" s="31"/>
      <c r="AR87" s="31"/>
      <c r="AS87" s="31"/>
    </row>
    <row r="88" spans="1:45" ht="13.5" customHeight="1">
      <c r="A88" s="31"/>
      <c r="B88" s="31"/>
      <c r="C88" s="31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</row>
    <row r="89" spans="1:45" ht="13.5" customHeight="1">
      <c r="A89" s="31"/>
      <c r="B89" s="31"/>
      <c r="C89" s="31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</row>
    <row r="90" spans="1:45" ht="13.5" customHeight="1">
      <c r="A90" s="31"/>
      <c r="B90" s="31"/>
      <c r="C90" s="31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</row>
    <row r="91" spans="1:45" ht="13.5" customHeight="1">
      <c r="A91" s="31"/>
      <c r="B91" s="31"/>
      <c r="C91" s="31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</row>
    <row r="92" spans="1:45" ht="13.5" customHeight="1">
      <c r="A92" s="31"/>
      <c r="B92" s="31"/>
      <c r="C92" s="31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</row>
    <row r="93" spans="1:45" ht="13.5" customHeight="1">
      <c r="A93" s="31"/>
      <c r="B93" s="31"/>
      <c r="C93" s="31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</row>
    <row r="94" spans="1:45" ht="13.5" customHeight="1">
      <c r="A94" s="31"/>
      <c r="B94" s="31"/>
      <c r="C94" s="31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</row>
    <row r="95" spans="1:45" ht="13.5" customHeight="1">
      <c r="A95" s="31"/>
      <c r="B95" s="31"/>
      <c r="C95" s="31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</row>
    <row r="96" spans="1:45" ht="13.5" customHeight="1">
      <c r="A96" s="31"/>
      <c r="B96" s="31"/>
      <c r="C96" s="31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</row>
    <row r="97" spans="1:45" ht="13.5" customHeight="1">
      <c r="A97" s="31"/>
      <c r="B97" s="31"/>
      <c r="C97" s="31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</row>
    <row r="98" spans="1:45" ht="13.5" customHeight="1">
      <c r="A98" s="31"/>
      <c r="B98" s="31"/>
      <c r="C98" s="31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</row>
    <row r="99" spans="1:45" ht="13.5" customHeight="1">
      <c r="A99" s="31"/>
      <c r="B99" s="31"/>
      <c r="C99" s="31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</row>
    <row r="100" spans="1:45" ht="13.5" customHeight="1">
      <c r="A100" s="31"/>
      <c r="B100" s="31"/>
      <c r="C100" s="31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</row>
    <row r="101" spans="1:45" ht="13.5" customHeight="1">
      <c r="A101" s="31"/>
      <c r="B101" s="31"/>
      <c r="C101" s="31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</row>
    <row r="102" spans="1:45" ht="13.5" customHeight="1">
      <c r="A102" s="31"/>
      <c r="B102" s="31"/>
      <c r="C102" s="31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</row>
    <row r="103" spans="1:45" ht="13.5" customHeight="1">
      <c r="A103" s="31"/>
      <c r="B103" s="31"/>
      <c r="C103" s="31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  <c r="AO103" s="31"/>
      <c r="AP103" s="31"/>
      <c r="AQ103" s="31"/>
      <c r="AR103" s="31"/>
      <c r="AS103" s="31"/>
    </row>
    <row r="104" spans="1:45" ht="13.5" customHeight="1">
      <c r="A104" s="31"/>
      <c r="B104" s="31"/>
      <c r="C104" s="31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</row>
    <row r="105" spans="1:45" ht="13.5" customHeight="1">
      <c r="A105" s="31"/>
      <c r="B105" s="31"/>
      <c r="C105" s="31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</row>
    <row r="106" spans="1:45" ht="13.5" customHeight="1">
      <c r="A106" s="31"/>
      <c r="B106" s="31"/>
      <c r="C106" s="31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</row>
    <row r="107" spans="1:45" ht="13.5" customHeight="1">
      <c r="A107" s="31"/>
      <c r="B107" s="31"/>
      <c r="C107" s="31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</row>
    <row r="108" spans="1:45" ht="13.5" customHeight="1">
      <c r="A108" s="31"/>
      <c r="B108" s="31"/>
      <c r="C108" s="31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</row>
    <row r="109" spans="1:45" ht="13.5" customHeight="1">
      <c r="A109" s="31"/>
      <c r="B109" s="31"/>
      <c r="C109" s="31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</row>
    <row r="110" spans="1:45" ht="13.5" customHeight="1">
      <c r="A110" s="31"/>
      <c r="B110" s="31"/>
      <c r="C110" s="31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</row>
    <row r="111" spans="1:45" ht="13.5" customHeight="1">
      <c r="A111" s="31"/>
      <c r="B111" s="31"/>
      <c r="C111" s="31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</row>
    <row r="112" spans="1:45" ht="13.5" customHeight="1">
      <c r="A112" s="31"/>
      <c r="B112" s="31"/>
      <c r="C112" s="31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</row>
    <row r="113" spans="1:45" ht="13.5" customHeight="1">
      <c r="A113" s="31"/>
      <c r="B113" s="31"/>
      <c r="C113" s="31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</row>
    <row r="114" spans="1:45" ht="13.5" customHeight="1">
      <c r="A114" s="31"/>
      <c r="B114" s="31"/>
      <c r="C114" s="31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</row>
    <row r="115" spans="1:45" ht="13.5" customHeight="1">
      <c r="A115" s="31"/>
      <c r="B115" s="31"/>
      <c r="C115" s="31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</row>
    <row r="116" spans="1:45" ht="13.5" customHeight="1">
      <c r="A116" s="31"/>
      <c r="B116" s="31"/>
      <c r="C116" s="31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</row>
    <row r="117" spans="1:45" ht="13.5" customHeight="1">
      <c r="A117" s="31"/>
      <c r="B117" s="31"/>
      <c r="C117" s="31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</row>
    <row r="118" spans="1:45" ht="13.5" customHeight="1">
      <c r="A118" s="31"/>
      <c r="B118" s="31"/>
      <c r="C118" s="31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</row>
    <row r="119" spans="1:45" ht="13.5" customHeight="1">
      <c r="A119" s="31"/>
      <c r="B119" s="31"/>
      <c r="C119" s="31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</row>
    <row r="120" spans="1:45" ht="13.5" customHeight="1">
      <c r="A120" s="31"/>
      <c r="B120" s="31"/>
      <c r="C120" s="31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</row>
    <row r="121" spans="1:45" ht="13.5" customHeight="1">
      <c r="A121" s="31"/>
      <c r="B121" s="31"/>
      <c r="C121" s="31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</row>
    <row r="122" spans="1:45" ht="13.5" customHeight="1">
      <c r="A122" s="31"/>
      <c r="B122" s="31"/>
      <c r="C122" s="31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</row>
    <row r="123" spans="1:45" ht="13.5" customHeight="1">
      <c r="A123" s="31"/>
      <c r="B123" s="31"/>
      <c r="C123" s="31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</row>
    <row r="124" spans="1:45" ht="13.5" customHeight="1">
      <c r="A124" s="31"/>
      <c r="B124" s="31"/>
      <c r="C124" s="31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</row>
    <row r="125" spans="1:45" ht="13.5" customHeight="1">
      <c r="A125" s="31"/>
      <c r="B125" s="31"/>
      <c r="C125" s="31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</row>
    <row r="126" spans="1:45" ht="13.5" customHeight="1">
      <c r="A126" s="31"/>
      <c r="B126" s="31"/>
      <c r="C126" s="31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</row>
    <row r="127" spans="1:45" ht="13.5" customHeight="1">
      <c r="A127" s="31"/>
      <c r="B127" s="31"/>
      <c r="C127" s="31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  <c r="AP127" s="31"/>
      <c r="AQ127" s="31"/>
      <c r="AR127" s="31"/>
      <c r="AS127" s="31"/>
    </row>
    <row r="128" spans="1:45" ht="13.5" customHeight="1">
      <c r="A128" s="31"/>
      <c r="B128" s="31"/>
      <c r="C128" s="31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</row>
    <row r="129" spans="1:45" ht="13.5" customHeight="1">
      <c r="A129" s="31"/>
      <c r="B129" s="31"/>
      <c r="C129" s="31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</row>
    <row r="130" spans="1:45" ht="13.5" customHeight="1">
      <c r="A130" s="31"/>
      <c r="B130" s="31"/>
      <c r="C130" s="31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  <c r="AN130" s="31"/>
      <c r="AO130" s="31"/>
      <c r="AP130" s="31"/>
      <c r="AQ130" s="31"/>
      <c r="AR130" s="31"/>
      <c r="AS130" s="31"/>
    </row>
    <row r="131" spans="1:45" ht="13.5" customHeight="1">
      <c r="A131" s="31"/>
      <c r="B131" s="31"/>
      <c r="C131" s="31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31"/>
      <c r="AR131" s="31"/>
      <c r="AS131" s="31"/>
    </row>
    <row r="132" spans="1:45" ht="13.5" customHeight="1">
      <c r="A132" s="31"/>
      <c r="B132" s="31"/>
      <c r="C132" s="31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</row>
    <row r="133" spans="1:45" ht="13.5" customHeight="1">
      <c r="A133" s="31"/>
      <c r="B133" s="31"/>
      <c r="C133" s="31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</row>
    <row r="134" spans="1:45" ht="13.5" customHeight="1">
      <c r="A134" s="31"/>
      <c r="B134" s="31"/>
      <c r="C134" s="31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</row>
    <row r="135" spans="1:45" ht="13.5" customHeight="1">
      <c r="A135" s="31"/>
      <c r="B135" s="31"/>
      <c r="C135" s="31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</row>
    <row r="136" spans="1:45" ht="13.5" customHeight="1">
      <c r="A136" s="31"/>
      <c r="B136" s="31"/>
      <c r="C136" s="31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  <c r="AN136" s="31"/>
      <c r="AO136" s="31"/>
      <c r="AP136" s="31"/>
      <c r="AQ136" s="31"/>
      <c r="AR136" s="31"/>
      <c r="AS136" s="31"/>
    </row>
    <row r="137" spans="1:45" ht="13.5" customHeight="1">
      <c r="A137" s="31"/>
      <c r="B137" s="31"/>
      <c r="C137" s="31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1"/>
      <c r="AP137" s="31"/>
      <c r="AQ137" s="31"/>
      <c r="AR137" s="31"/>
      <c r="AS137" s="31"/>
    </row>
    <row r="138" spans="1:45" ht="13.5" customHeight="1">
      <c r="A138" s="31"/>
      <c r="B138" s="31"/>
      <c r="C138" s="31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</row>
    <row r="139" spans="1:45" ht="13.5" customHeight="1">
      <c r="A139" s="31"/>
      <c r="B139" s="31"/>
      <c r="C139" s="31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</row>
    <row r="140" spans="1:45" ht="13.5" customHeight="1">
      <c r="A140" s="31"/>
      <c r="B140" s="31"/>
      <c r="C140" s="31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  <c r="AN140" s="31"/>
      <c r="AO140" s="31"/>
      <c r="AP140" s="31"/>
      <c r="AQ140" s="31"/>
      <c r="AR140" s="31"/>
      <c r="AS140" s="31"/>
    </row>
    <row r="141" spans="1:45" ht="13.5" customHeight="1">
      <c r="A141" s="31"/>
      <c r="B141" s="31"/>
      <c r="C141" s="31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  <c r="AO141" s="31"/>
      <c r="AP141" s="31"/>
      <c r="AQ141" s="31"/>
      <c r="AR141" s="31"/>
      <c r="AS141" s="31"/>
    </row>
    <row r="142" spans="1:45" ht="13.5" customHeight="1">
      <c r="A142" s="31"/>
      <c r="B142" s="31"/>
      <c r="C142" s="31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</row>
    <row r="143" spans="1:45" ht="13.5" customHeight="1">
      <c r="A143" s="31"/>
      <c r="B143" s="31"/>
      <c r="C143" s="31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</row>
    <row r="144" spans="1:45" ht="13.5" customHeight="1">
      <c r="A144" s="31"/>
      <c r="B144" s="31"/>
      <c r="C144" s="31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</row>
    <row r="145" spans="1:45" ht="13.5" customHeight="1">
      <c r="A145" s="31"/>
      <c r="B145" s="31"/>
      <c r="C145" s="31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</row>
    <row r="146" spans="1:45" ht="13.5" customHeight="1">
      <c r="A146" s="31"/>
      <c r="B146" s="31"/>
      <c r="C146" s="31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  <c r="AN146" s="31"/>
      <c r="AO146" s="31"/>
      <c r="AP146" s="31"/>
      <c r="AQ146" s="31"/>
      <c r="AR146" s="31"/>
      <c r="AS146" s="31"/>
    </row>
    <row r="147" spans="1:45" ht="13.5" customHeight="1">
      <c r="A147" s="31"/>
      <c r="B147" s="31"/>
      <c r="C147" s="31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1"/>
      <c r="AP147" s="31"/>
      <c r="AQ147" s="31"/>
      <c r="AR147" s="31"/>
      <c r="AS147" s="31"/>
    </row>
    <row r="148" spans="1:45" ht="13.5" customHeight="1">
      <c r="A148" s="31"/>
      <c r="B148" s="31"/>
      <c r="C148" s="31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</row>
    <row r="149" spans="1:45" ht="13.5" customHeight="1">
      <c r="A149" s="31"/>
      <c r="B149" s="31"/>
      <c r="C149" s="31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</row>
    <row r="150" spans="1:45" ht="13.5" customHeight="1">
      <c r="A150" s="31"/>
      <c r="B150" s="31"/>
      <c r="C150" s="31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  <c r="AN150" s="31"/>
      <c r="AO150" s="31"/>
      <c r="AP150" s="31"/>
      <c r="AQ150" s="31"/>
      <c r="AR150" s="31"/>
      <c r="AS150" s="31"/>
    </row>
    <row r="151" spans="1:45" ht="13.5" customHeight="1">
      <c r="A151" s="31"/>
      <c r="B151" s="31"/>
      <c r="C151" s="31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  <c r="AO151" s="31"/>
      <c r="AP151" s="31"/>
      <c r="AQ151" s="31"/>
      <c r="AR151" s="31"/>
      <c r="AS151" s="31"/>
    </row>
    <row r="152" spans="1:45" ht="13.5" customHeight="1">
      <c r="A152" s="31"/>
      <c r="B152" s="31"/>
      <c r="C152" s="31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</row>
    <row r="153" spans="1:45" ht="13.5" customHeight="1">
      <c r="A153" s="31"/>
      <c r="B153" s="31"/>
      <c r="C153" s="31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</row>
    <row r="154" spans="1:45" ht="13.5" customHeight="1">
      <c r="A154" s="31"/>
      <c r="B154" s="31"/>
      <c r="C154" s="31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</row>
    <row r="155" spans="1:45" ht="13.5" customHeight="1">
      <c r="A155" s="31"/>
      <c r="B155" s="31"/>
      <c r="C155" s="31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  <c r="AN155" s="31"/>
      <c r="AO155" s="31"/>
      <c r="AP155" s="31"/>
      <c r="AQ155" s="31"/>
      <c r="AR155" s="31"/>
      <c r="AS155" s="31"/>
    </row>
    <row r="156" spans="1:45" ht="13.5" customHeight="1">
      <c r="A156" s="31"/>
      <c r="B156" s="31"/>
      <c r="C156" s="31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  <c r="AO156" s="31"/>
      <c r="AP156" s="31"/>
      <c r="AQ156" s="31"/>
      <c r="AR156" s="31"/>
      <c r="AS156" s="31"/>
    </row>
    <row r="157" spans="1:45" ht="13.5" customHeight="1">
      <c r="A157" s="31"/>
      <c r="B157" s="31"/>
      <c r="C157" s="31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</row>
    <row r="158" spans="1:45" ht="13.5" customHeight="1">
      <c r="A158" s="31"/>
      <c r="B158" s="31"/>
      <c r="C158" s="31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</row>
    <row r="159" spans="1:45" ht="13.5" customHeight="1">
      <c r="A159" s="31"/>
      <c r="B159" s="31"/>
      <c r="C159" s="31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  <c r="AN159" s="31"/>
      <c r="AO159" s="31"/>
      <c r="AP159" s="31"/>
      <c r="AQ159" s="31"/>
      <c r="AR159" s="31"/>
      <c r="AS159" s="31"/>
    </row>
    <row r="160" spans="1:45" ht="13.5" customHeight="1">
      <c r="A160" s="31"/>
      <c r="B160" s="31"/>
      <c r="C160" s="31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1"/>
      <c r="AP160" s="31"/>
      <c r="AQ160" s="31"/>
      <c r="AR160" s="31"/>
      <c r="AS160" s="31"/>
    </row>
    <row r="161" spans="1:45" ht="13.5" customHeight="1">
      <c r="A161" s="31"/>
      <c r="B161" s="31"/>
      <c r="C161" s="31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</row>
    <row r="162" spans="1:45" ht="13.5" customHeight="1">
      <c r="A162" s="31"/>
      <c r="B162" s="31"/>
      <c r="C162" s="31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</row>
    <row r="163" spans="1:45" ht="13.5" customHeight="1">
      <c r="A163" s="31"/>
      <c r="B163" s="31"/>
      <c r="C163" s="31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  <c r="AN163" s="31"/>
      <c r="AO163" s="31"/>
      <c r="AP163" s="31"/>
      <c r="AQ163" s="31"/>
      <c r="AR163" s="31"/>
      <c r="AS163" s="31"/>
    </row>
    <row r="164" spans="1:45" ht="13.5" customHeight="1">
      <c r="A164" s="31"/>
      <c r="B164" s="31"/>
      <c r="C164" s="31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  <c r="AO164" s="31"/>
      <c r="AP164" s="31"/>
      <c r="AQ164" s="31"/>
      <c r="AR164" s="31"/>
      <c r="AS164" s="31"/>
    </row>
    <row r="165" spans="1:45" ht="13.5" customHeight="1">
      <c r="A165" s="31"/>
      <c r="B165" s="31"/>
      <c r="C165" s="31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</row>
    <row r="166" spans="1:45" ht="13.5" customHeight="1">
      <c r="A166" s="31"/>
      <c r="B166" s="31"/>
      <c r="C166" s="31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  <c r="AL166" s="31"/>
      <c r="AM166" s="31"/>
      <c r="AN166" s="31"/>
      <c r="AO166" s="31"/>
      <c r="AP166" s="31"/>
      <c r="AQ166" s="31"/>
      <c r="AR166" s="31"/>
      <c r="AS166" s="31"/>
    </row>
    <row r="167" spans="1:45" ht="13.5" customHeight="1">
      <c r="A167" s="31"/>
      <c r="B167" s="31"/>
      <c r="C167" s="31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  <c r="AO167" s="31"/>
      <c r="AP167" s="31"/>
      <c r="AQ167" s="31"/>
      <c r="AR167" s="31"/>
      <c r="AS167" s="31"/>
    </row>
    <row r="168" spans="1:45" ht="13.5" customHeight="1">
      <c r="A168" s="31"/>
      <c r="B168" s="31"/>
      <c r="C168" s="31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</row>
    <row r="169" spans="1:45" ht="13.5" customHeight="1">
      <c r="A169" s="31"/>
      <c r="B169" s="31"/>
      <c r="C169" s="31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  <c r="AL169" s="31"/>
      <c r="AM169" s="31"/>
      <c r="AN169" s="31"/>
      <c r="AO169" s="31"/>
      <c r="AP169" s="31"/>
      <c r="AQ169" s="31"/>
      <c r="AR169" s="31"/>
      <c r="AS169" s="31"/>
    </row>
    <row r="170" spans="1:45" ht="13.5" customHeight="1">
      <c r="A170" s="31"/>
      <c r="B170" s="31"/>
      <c r="C170" s="31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  <c r="AO170" s="31"/>
      <c r="AP170" s="31"/>
      <c r="AQ170" s="31"/>
      <c r="AR170" s="31"/>
      <c r="AS170" s="31"/>
    </row>
    <row r="171" spans="1:45" ht="13.5" customHeight="1">
      <c r="A171" s="31"/>
      <c r="B171" s="31"/>
      <c r="C171" s="31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  <c r="AL171" s="31"/>
      <c r="AM171" s="31"/>
      <c r="AN171" s="31"/>
      <c r="AO171" s="31"/>
      <c r="AP171" s="31"/>
      <c r="AQ171" s="31"/>
      <c r="AR171" s="31"/>
      <c r="AS171" s="31"/>
    </row>
    <row r="172" spans="1:45" ht="13.5" customHeight="1">
      <c r="A172" s="31"/>
      <c r="B172" s="31"/>
      <c r="C172" s="31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  <c r="AO172" s="31"/>
      <c r="AP172" s="31"/>
      <c r="AQ172" s="31"/>
      <c r="AR172" s="31"/>
      <c r="AS172" s="31"/>
    </row>
    <row r="173" spans="1:45" ht="13.5" customHeight="1">
      <c r="A173" s="31"/>
      <c r="B173" s="31"/>
      <c r="C173" s="31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</row>
    <row r="174" spans="1:45" ht="13.5" customHeight="1">
      <c r="A174" s="31"/>
      <c r="B174" s="31"/>
      <c r="C174" s="31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  <c r="AL174" s="31"/>
      <c r="AM174" s="31"/>
      <c r="AN174" s="31"/>
      <c r="AO174" s="31"/>
      <c r="AP174" s="31"/>
      <c r="AQ174" s="31"/>
      <c r="AR174" s="31"/>
      <c r="AS174" s="31"/>
    </row>
    <row r="175" spans="1:45" ht="13.5" customHeight="1">
      <c r="A175" s="31"/>
      <c r="B175" s="31"/>
      <c r="C175" s="31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  <c r="AO175" s="31"/>
      <c r="AP175" s="31"/>
      <c r="AQ175" s="31"/>
      <c r="AR175" s="31"/>
      <c r="AS175" s="31"/>
    </row>
    <row r="176" spans="1:45" ht="13.5" customHeight="1">
      <c r="A176" s="31"/>
      <c r="B176" s="31"/>
      <c r="C176" s="31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</row>
    <row r="177" spans="1:45" ht="13.5" customHeight="1">
      <c r="A177" s="31"/>
      <c r="B177" s="31"/>
      <c r="C177" s="31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</row>
    <row r="178" spans="1:45" ht="13.5" customHeight="1">
      <c r="A178" s="31"/>
      <c r="B178" s="31"/>
      <c r="C178" s="31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  <c r="AL178" s="31"/>
      <c r="AM178" s="31"/>
      <c r="AN178" s="31"/>
      <c r="AO178" s="31"/>
      <c r="AP178" s="31"/>
      <c r="AQ178" s="31"/>
      <c r="AR178" s="31"/>
      <c r="AS178" s="31"/>
    </row>
    <row r="179" spans="1:45" ht="13.5" customHeight="1">
      <c r="A179" s="31"/>
      <c r="B179" s="31"/>
      <c r="C179" s="31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</row>
    <row r="180" spans="1:45" ht="13.5" customHeight="1">
      <c r="A180" s="31"/>
      <c r="B180" s="31"/>
      <c r="C180" s="31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</row>
    <row r="181" spans="1:45" ht="13.5" customHeight="1">
      <c r="A181" s="31"/>
      <c r="B181" s="31"/>
      <c r="C181" s="31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</row>
    <row r="182" spans="1:45" ht="13.5" customHeight="1">
      <c r="A182" s="31"/>
      <c r="B182" s="31"/>
      <c r="C182" s="31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  <c r="AL182" s="31"/>
      <c r="AM182" s="31"/>
      <c r="AN182" s="31"/>
      <c r="AO182" s="31"/>
      <c r="AP182" s="31"/>
      <c r="AQ182" s="31"/>
      <c r="AR182" s="31"/>
      <c r="AS182" s="31"/>
    </row>
    <row r="183" spans="1:45" ht="13.5" customHeight="1">
      <c r="A183" s="31"/>
      <c r="B183" s="31"/>
      <c r="C183" s="31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1"/>
      <c r="AP183" s="31"/>
      <c r="AQ183" s="31"/>
      <c r="AR183" s="31"/>
      <c r="AS183" s="31"/>
    </row>
    <row r="184" spans="1:45" ht="13.5" customHeight="1">
      <c r="A184" s="31"/>
      <c r="B184" s="31"/>
      <c r="C184" s="31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</row>
    <row r="185" spans="1:45" ht="13.5" customHeight="1">
      <c r="A185" s="31"/>
      <c r="B185" s="31"/>
      <c r="C185" s="31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  <c r="AL185" s="31"/>
      <c r="AM185" s="31"/>
      <c r="AN185" s="31"/>
      <c r="AO185" s="31"/>
      <c r="AP185" s="31"/>
      <c r="AQ185" s="31"/>
      <c r="AR185" s="31"/>
      <c r="AS185" s="31"/>
    </row>
    <row r="186" spans="1:45" ht="13.5" customHeight="1">
      <c r="A186" s="31"/>
      <c r="B186" s="31"/>
      <c r="C186" s="31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1"/>
      <c r="AP186" s="31"/>
      <c r="AQ186" s="31"/>
      <c r="AR186" s="31"/>
      <c r="AS186" s="31"/>
    </row>
    <row r="187" spans="1:45" ht="13.5" customHeight="1">
      <c r="A187" s="31"/>
      <c r="B187" s="31"/>
      <c r="C187" s="31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  <c r="AL187" s="31"/>
      <c r="AM187" s="31"/>
      <c r="AN187" s="31"/>
      <c r="AO187" s="31"/>
      <c r="AP187" s="31"/>
      <c r="AQ187" s="31"/>
      <c r="AR187" s="31"/>
      <c r="AS187" s="31"/>
    </row>
    <row r="188" spans="1:45" ht="13.5" customHeight="1">
      <c r="A188" s="31"/>
      <c r="B188" s="31"/>
      <c r="C188" s="31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1"/>
      <c r="AP188" s="31"/>
      <c r="AQ188" s="31"/>
      <c r="AR188" s="31"/>
      <c r="AS188" s="31"/>
    </row>
    <row r="189" spans="1:45" ht="13.5" customHeight="1">
      <c r="A189" s="31"/>
      <c r="B189" s="31"/>
      <c r="C189" s="31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</row>
    <row r="190" spans="1:45" ht="13.5" customHeight="1">
      <c r="A190" s="31"/>
      <c r="B190" s="31"/>
      <c r="C190" s="31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</row>
    <row r="191" spans="1:45" ht="13.5" customHeight="1">
      <c r="A191" s="31"/>
      <c r="B191" s="31"/>
      <c r="C191" s="31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</row>
    <row r="192" spans="1:45" ht="13.5" customHeight="1">
      <c r="A192" s="31"/>
      <c r="B192" s="31"/>
      <c r="C192" s="31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  <c r="AL192" s="31"/>
      <c r="AM192" s="31"/>
      <c r="AN192" s="31"/>
      <c r="AO192" s="31"/>
      <c r="AP192" s="31"/>
      <c r="AQ192" s="31"/>
      <c r="AR192" s="31"/>
      <c r="AS192" s="31"/>
    </row>
    <row r="193" spans="1:45" ht="13.5" customHeight="1">
      <c r="A193" s="31"/>
      <c r="B193" s="31"/>
      <c r="C193" s="31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1"/>
      <c r="AP193" s="31"/>
      <c r="AQ193" s="31"/>
      <c r="AR193" s="31"/>
      <c r="AS193" s="31"/>
    </row>
    <row r="194" spans="1:45" ht="13.5" customHeight="1">
      <c r="A194" s="31"/>
      <c r="B194" s="31"/>
      <c r="C194" s="31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</row>
    <row r="195" spans="1:45" ht="13.5" customHeight="1">
      <c r="A195" s="31"/>
      <c r="B195" s="31"/>
      <c r="C195" s="31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</row>
    <row r="196" spans="1:45" ht="13.5" customHeight="1">
      <c r="A196" s="31"/>
      <c r="B196" s="31"/>
      <c r="C196" s="31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  <c r="AP196" s="31"/>
      <c r="AQ196" s="31"/>
      <c r="AR196" s="31"/>
      <c r="AS196" s="31"/>
    </row>
    <row r="197" spans="1:45" ht="13.5" customHeight="1">
      <c r="A197" s="31"/>
      <c r="B197" s="31"/>
      <c r="C197" s="31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/>
      <c r="AL197" s="31"/>
      <c r="AM197" s="31"/>
      <c r="AN197" s="31"/>
      <c r="AO197" s="31"/>
      <c r="AP197" s="31"/>
      <c r="AQ197" s="31"/>
      <c r="AR197" s="31"/>
      <c r="AS197" s="31"/>
    </row>
    <row r="198" spans="1:45" ht="13.5" customHeight="1">
      <c r="A198" s="31"/>
      <c r="B198" s="31"/>
      <c r="C198" s="31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1"/>
      <c r="AP198" s="31"/>
      <c r="AQ198" s="31"/>
      <c r="AR198" s="31"/>
      <c r="AS198" s="31"/>
    </row>
    <row r="199" spans="1:45" ht="13.5" customHeight="1">
      <c r="A199" s="31"/>
      <c r="B199" s="31"/>
      <c r="C199" s="31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  <c r="AP199" s="31"/>
      <c r="AQ199" s="31"/>
      <c r="AR199" s="31"/>
      <c r="AS199" s="31"/>
    </row>
    <row r="200" spans="1:45" ht="13.5" customHeight="1">
      <c r="A200" s="31"/>
      <c r="B200" s="31"/>
      <c r="C200" s="31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/>
      <c r="AL200" s="31"/>
      <c r="AM200" s="31"/>
      <c r="AN200" s="31"/>
      <c r="AO200" s="31"/>
      <c r="AP200" s="31"/>
      <c r="AQ200" s="31"/>
      <c r="AR200" s="31"/>
      <c r="AS200" s="31"/>
    </row>
    <row r="201" spans="1:45" ht="13.5" customHeight="1">
      <c r="A201" s="31"/>
      <c r="B201" s="31"/>
      <c r="C201" s="31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1"/>
      <c r="AP201" s="31"/>
      <c r="AQ201" s="31"/>
      <c r="AR201" s="31"/>
      <c r="AS201" s="31"/>
    </row>
    <row r="202" spans="1:45" ht="13.5" customHeight="1">
      <c r="A202" s="31"/>
      <c r="B202" s="31"/>
      <c r="C202" s="31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</row>
    <row r="203" spans="1:45" ht="13.5" customHeight="1">
      <c r="A203" s="31"/>
      <c r="B203" s="31"/>
      <c r="C203" s="31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  <c r="AL203" s="31"/>
      <c r="AM203" s="31"/>
      <c r="AN203" s="31"/>
      <c r="AO203" s="31"/>
      <c r="AP203" s="31"/>
      <c r="AQ203" s="31"/>
      <c r="AR203" s="31"/>
      <c r="AS203" s="31"/>
    </row>
    <row r="204" spans="1:45" ht="13.5" customHeight="1">
      <c r="A204" s="31"/>
      <c r="B204" s="31"/>
      <c r="C204" s="31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31"/>
      <c r="AK204" s="31"/>
      <c r="AL204" s="31"/>
      <c r="AM204" s="31"/>
      <c r="AN204" s="31"/>
      <c r="AO204" s="31"/>
      <c r="AP204" s="31"/>
      <c r="AQ204" s="31"/>
      <c r="AR204" s="31"/>
      <c r="AS204" s="31"/>
    </row>
    <row r="205" spans="1:45" ht="13.5" customHeight="1">
      <c r="A205" s="31"/>
      <c r="B205" s="31"/>
      <c r="C205" s="31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31"/>
      <c r="AK205" s="31"/>
      <c r="AL205" s="31"/>
      <c r="AM205" s="31"/>
      <c r="AN205" s="31"/>
      <c r="AO205" s="31"/>
      <c r="AP205" s="31"/>
      <c r="AQ205" s="31"/>
      <c r="AR205" s="31"/>
      <c r="AS205" s="31"/>
    </row>
    <row r="206" spans="1:45" ht="13.5" customHeight="1">
      <c r="A206" s="31"/>
      <c r="B206" s="31"/>
      <c r="C206" s="31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31"/>
      <c r="AN206" s="31"/>
      <c r="AO206" s="31"/>
      <c r="AP206" s="31"/>
      <c r="AQ206" s="31"/>
      <c r="AR206" s="31"/>
      <c r="AS206" s="31"/>
    </row>
    <row r="207" spans="1:45" ht="13.5" customHeight="1">
      <c r="A207" s="31"/>
      <c r="B207" s="31"/>
      <c r="C207" s="31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  <c r="AO207" s="31"/>
      <c r="AP207" s="31"/>
      <c r="AQ207" s="31"/>
      <c r="AR207" s="31"/>
      <c r="AS207" s="31"/>
    </row>
    <row r="208" spans="1:45" ht="13.5" customHeight="1">
      <c r="A208" s="31"/>
      <c r="B208" s="31"/>
      <c r="C208" s="31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  <c r="AP208" s="31"/>
      <c r="AQ208" s="31"/>
      <c r="AR208" s="31"/>
      <c r="AS208" s="31"/>
    </row>
    <row r="209" spans="1:45" ht="13.5" customHeight="1">
      <c r="A209" s="31"/>
      <c r="B209" s="31"/>
      <c r="C209" s="31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</row>
    <row r="210" spans="1:45" ht="13.5" customHeight="1">
      <c r="A210" s="31"/>
      <c r="B210" s="31"/>
      <c r="C210" s="31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31"/>
      <c r="AN210" s="31"/>
      <c r="AO210" s="31"/>
      <c r="AP210" s="31"/>
      <c r="AQ210" s="31"/>
      <c r="AR210" s="31"/>
      <c r="AS210" s="31"/>
    </row>
    <row r="211" spans="1:45" ht="13.5" customHeight="1">
      <c r="A211" s="31"/>
      <c r="B211" s="31"/>
      <c r="C211" s="31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1"/>
      <c r="AP211" s="31"/>
      <c r="AQ211" s="31"/>
      <c r="AR211" s="31"/>
      <c r="AS211" s="31"/>
    </row>
    <row r="212" spans="1:45" ht="13.5" customHeight="1">
      <c r="A212" s="31"/>
      <c r="B212" s="31"/>
      <c r="C212" s="31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  <c r="AP212" s="31"/>
      <c r="AQ212" s="31"/>
      <c r="AR212" s="31"/>
      <c r="AS212" s="31"/>
    </row>
    <row r="213" spans="1:45" ht="13.5" customHeight="1">
      <c r="A213" s="31"/>
      <c r="B213" s="31"/>
      <c r="C213" s="31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31"/>
      <c r="AK213" s="31"/>
      <c r="AL213" s="31"/>
      <c r="AM213" s="31"/>
      <c r="AN213" s="31"/>
      <c r="AO213" s="31"/>
      <c r="AP213" s="31"/>
      <c r="AQ213" s="31"/>
      <c r="AR213" s="31"/>
      <c r="AS213" s="31"/>
    </row>
    <row r="214" spans="1:45" ht="13.5" customHeight="1">
      <c r="A214" s="31"/>
      <c r="B214" s="31"/>
      <c r="C214" s="31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1"/>
      <c r="AP214" s="31"/>
      <c r="AQ214" s="31"/>
      <c r="AR214" s="31"/>
      <c r="AS214" s="31"/>
    </row>
    <row r="215" spans="1:45" ht="13.5" customHeight="1">
      <c r="A215" s="31"/>
      <c r="B215" s="31"/>
      <c r="C215" s="31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</row>
    <row r="216" spans="1:45" ht="13.5" customHeight="1">
      <c r="A216" s="31"/>
      <c r="B216" s="31"/>
      <c r="C216" s="31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31"/>
      <c r="AK216" s="31"/>
      <c r="AL216" s="31"/>
      <c r="AM216" s="31"/>
      <c r="AN216" s="31"/>
      <c r="AO216" s="31"/>
      <c r="AP216" s="31"/>
      <c r="AQ216" s="31"/>
      <c r="AR216" s="31"/>
      <c r="AS216" s="31"/>
    </row>
    <row r="217" spans="1:45" ht="13.5" customHeight="1">
      <c r="A217" s="31"/>
      <c r="B217" s="31"/>
      <c r="C217" s="31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1"/>
      <c r="AP217" s="31"/>
      <c r="AQ217" s="31"/>
      <c r="AR217" s="31"/>
      <c r="AS217" s="31"/>
    </row>
    <row r="218" spans="1:45" ht="13.5" customHeight="1">
      <c r="A218" s="31"/>
      <c r="B218" s="31"/>
      <c r="C218" s="31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</row>
    <row r="219" spans="1:45" ht="13.5" customHeight="1">
      <c r="A219" s="31"/>
      <c r="B219" s="31"/>
      <c r="C219" s="31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31"/>
      <c r="AK219" s="31"/>
      <c r="AL219" s="31"/>
      <c r="AM219" s="31"/>
      <c r="AN219" s="31"/>
      <c r="AO219" s="31"/>
      <c r="AP219" s="31"/>
      <c r="AQ219" s="31"/>
      <c r="AR219" s="31"/>
      <c r="AS219" s="31"/>
    </row>
    <row r="220" spans="1:45" ht="13.5" customHeight="1">
      <c r="A220" s="31"/>
      <c r="B220" s="31"/>
      <c r="C220" s="31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1"/>
      <c r="AP220" s="31"/>
      <c r="AQ220" s="31"/>
      <c r="AR220" s="31"/>
      <c r="AS220" s="31"/>
    </row>
    <row r="221" spans="1:45" ht="13.5" customHeight="1">
      <c r="A221" s="31"/>
      <c r="B221" s="31"/>
      <c r="C221" s="31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/>
      <c r="AQ221" s="31"/>
      <c r="AR221" s="31"/>
      <c r="AS221" s="31"/>
    </row>
    <row r="222" spans="1:45" ht="13.5" customHeight="1">
      <c r="A222" s="31"/>
      <c r="B222" s="31"/>
      <c r="C222" s="31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</row>
    <row r="223" spans="1:45" ht="13.5" customHeight="1">
      <c r="A223" s="31"/>
      <c r="B223" s="31"/>
      <c r="C223" s="31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  <c r="AP223" s="31"/>
      <c r="AQ223" s="31"/>
      <c r="AR223" s="31"/>
      <c r="AS223" s="31"/>
    </row>
    <row r="224" spans="1:45" ht="13.5" customHeight="1">
      <c r="A224" s="31"/>
      <c r="B224" s="31"/>
      <c r="C224" s="31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</row>
    <row r="225" spans="1:45" ht="13.5" customHeight="1">
      <c r="A225" s="31"/>
      <c r="B225" s="31"/>
      <c r="C225" s="31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31"/>
      <c r="AK225" s="31"/>
      <c r="AL225" s="31"/>
      <c r="AM225" s="31"/>
      <c r="AN225" s="31"/>
      <c r="AO225" s="31"/>
      <c r="AP225" s="31"/>
      <c r="AQ225" s="31"/>
      <c r="AR225" s="31"/>
      <c r="AS225" s="31"/>
    </row>
    <row r="226" spans="1:45" ht="13.5" customHeight="1">
      <c r="A226" s="31"/>
      <c r="B226" s="31"/>
      <c r="C226" s="31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1"/>
      <c r="AP226" s="31"/>
      <c r="AQ226" s="31"/>
      <c r="AR226" s="31"/>
      <c r="AS226" s="31"/>
    </row>
    <row r="227" spans="1:45" ht="13.5" customHeight="1">
      <c r="A227" s="31"/>
      <c r="B227" s="31"/>
      <c r="C227" s="31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</row>
    <row r="228" spans="1:45" ht="13.5" customHeight="1">
      <c r="A228" s="31"/>
      <c r="B228" s="31"/>
      <c r="C228" s="31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</row>
    <row r="229" spans="1:45" ht="13.5" customHeight="1">
      <c r="A229" s="31"/>
      <c r="B229" s="31"/>
      <c r="C229" s="31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31"/>
      <c r="AK229" s="31"/>
      <c r="AL229" s="31"/>
      <c r="AM229" s="31"/>
      <c r="AN229" s="31"/>
      <c r="AO229" s="31"/>
      <c r="AP229" s="31"/>
      <c r="AQ229" s="31"/>
      <c r="AR229" s="31"/>
      <c r="AS229" s="31"/>
    </row>
    <row r="230" spans="1:45" ht="13.5" customHeight="1">
      <c r="A230" s="31"/>
      <c r="B230" s="31"/>
      <c r="C230" s="31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  <c r="AO230" s="31"/>
      <c r="AP230" s="31"/>
      <c r="AQ230" s="31"/>
      <c r="AR230" s="31"/>
      <c r="AS230" s="31"/>
    </row>
    <row r="231" spans="1:45" ht="13.5" customHeight="1">
      <c r="A231" s="31"/>
      <c r="B231" s="31"/>
      <c r="C231" s="31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</row>
    <row r="232" spans="1:45" ht="13.5" customHeight="1">
      <c r="A232" s="31"/>
      <c r="B232" s="31"/>
      <c r="C232" s="31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31"/>
      <c r="AN232" s="31"/>
      <c r="AO232" s="31"/>
      <c r="AP232" s="31"/>
      <c r="AQ232" s="31"/>
      <c r="AR232" s="31"/>
      <c r="AS232" s="31"/>
    </row>
    <row r="233" spans="1:45" ht="13.5" customHeight="1">
      <c r="A233" s="31"/>
      <c r="B233" s="31"/>
      <c r="C233" s="31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  <c r="AO233" s="31"/>
      <c r="AP233" s="31"/>
      <c r="AQ233" s="31"/>
      <c r="AR233" s="31"/>
      <c r="AS233" s="31"/>
    </row>
    <row r="234" spans="1:45" ht="13.5" customHeight="1">
      <c r="A234" s="31"/>
      <c r="B234" s="31"/>
      <c r="C234" s="31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</row>
    <row r="235" spans="1:45" ht="13.5" customHeight="1">
      <c r="A235" s="31"/>
      <c r="B235" s="31"/>
      <c r="C235" s="31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</row>
    <row r="236" spans="1:45" ht="13.5" customHeight="1">
      <c r="A236" s="31"/>
      <c r="B236" s="31"/>
      <c r="C236" s="31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  <c r="AP236" s="31"/>
      <c r="AQ236" s="31"/>
      <c r="AR236" s="31"/>
      <c r="AS236" s="31"/>
    </row>
    <row r="237" spans="1:45" ht="13.5" customHeight="1">
      <c r="A237" s="31"/>
      <c r="B237" s="31"/>
      <c r="C237" s="31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31"/>
      <c r="AN237" s="31"/>
      <c r="AO237" s="31"/>
      <c r="AP237" s="31"/>
      <c r="AQ237" s="31"/>
      <c r="AR237" s="31"/>
      <c r="AS237" s="31"/>
    </row>
    <row r="238" spans="1:45" ht="13.5" customHeight="1">
      <c r="A238" s="31"/>
      <c r="B238" s="31"/>
      <c r="C238" s="31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  <c r="AO238" s="31"/>
      <c r="AP238" s="31"/>
      <c r="AQ238" s="31"/>
      <c r="AR238" s="31"/>
      <c r="AS238" s="31"/>
    </row>
    <row r="239" spans="1:45" ht="13.5" customHeight="1">
      <c r="A239" s="31"/>
      <c r="B239" s="31"/>
      <c r="C239" s="31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  <c r="AP239" s="31"/>
      <c r="AQ239" s="31"/>
      <c r="AR239" s="31"/>
      <c r="AS239" s="31"/>
    </row>
    <row r="240" spans="1:45" ht="13.5" customHeight="1">
      <c r="A240" s="31"/>
      <c r="B240" s="31"/>
      <c r="C240" s="31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31"/>
      <c r="AK240" s="31"/>
      <c r="AL240" s="31"/>
      <c r="AM240" s="31"/>
      <c r="AN240" s="31"/>
      <c r="AO240" s="31"/>
      <c r="AP240" s="31"/>
      <c r="AQ240" s="31"/>
      <c r="AR240" s="31"/>
      <c r="AS240" s="31"/>
    </row>
    <row r="241" spans="1:45" ht="13.5" customHeight="1">
      <c r="A241" s="31"/>
      <c r="B241" s="31"/>
      <c r="C241" s="31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  <c r="AO241" s="31"/>
      <c r="AP241" s="31"/>
      <c r="AQ241" s="31"/>
      <c r="AR241" s="31"/>
      <c r="AS241" s="31"/>
    </row>
    <row r="242" spans="1:45" ht="13.5" customHeight="1">
      <c r="A242" s="31"/>
      <c r="B242" s="31"/>
      <c r="C242" s="31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1"/>
      <c r="AP242" s="31"/>
      <c r="AQ242" s="31"/>
      <c r="AR242" s="31"/>
      <c r="AS242" s="31"/>
    </row>
    <row r="243" spans="1:45" ht="13.5" customHeight="1">
      <c r="A243" s="31"/>
      <c r="B243" s="31"/>
      <c r="C243" s="31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  <c r="AP243" s="31"/>
      <c r="AQ243" s="31"/>
      <c r="AR243" s="31"/>
      <c r="AS243" s="31"/>
    </row>
    <row r="244" spans="1:45" ht="13.5" customHeight="1">
      <c r="A244" s="31"/>
      <c r="B244" s="31"/>
      <c r="C244" s="31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31"/>
      <c r="AN244" s="31"/>
      <c r="AO244" s="31"/>
      <c r="AP244" s="31"/>
      <c r="AQ244" s="31"/>
      <c r="AR244" s="31"/>
      <c r="AS244" s="31"/>
    </row>
    <row r="245" spans="1:45" ht="13.5" customHeight="1">
      <c r="A245" s="31"/>
      <c r="B245" s="31"/>
      <c r="C245" s="31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  <c r="AO245" s="31"/>
      <c r="AP245" s="31"/>
      <c r="AQ245" s="31"/>
      <c r="AR245" s="31"/>
      <c r="AS245" s="31"/>
    </row>
    <row r="246" spans="1:45" ht="13.5" customHeight="1">
      <c r="A246" s="31"/>
      <c r="B246" s="31"/>
      <c r="C246" s="31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1"/>
    </row>
    <row r="247" spans="1:45" ht="13.5" customHeight="1">
      <c r="A247" s="31"/>
      <c r="B247" s="31"/>
      <c r="C247" s="31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  <c r="AK247" s="31"/>
      <c r="AL247" s="31"/>
      <c r="AM247" s="31"/>
      <c r="AN247" s="31"/>
      <c r="AO247" s="31"/>
      <c r="AP247" s="31"/>
      <c r="AQ247" s="31"/>
      <c r="AR247" s="31"/>
      <c r="AS247" s="31"/>
    </row>
    <row r="248" spans="1:45" ht="13.5" customHeight="1">
      <c r="A248" s="31"/>
      <c r="B248" s="31"/>
      <c r="C248" s="31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  <c r="AO248" s="31"/>
      <c r="AP248" s="31"/>
      <c r="AQ248" s="31"/>
      <c r="AR248" s="31"/>
      <c r="AS248" s="31"/>
    </row>
    <row r="249" spans="1:45" ht="13.5" customHeight="1">
      <c r="A249" s="31"/>
      <c r="B249" s="31"/>
      <c r="C249" s="31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  <c r="AP249" s="31"/>
      <c r="AQ249" s="31"/>
      <c r="AR249" s="31"/>
      <c r="AS249" s="31"/>
    </row>
    <row r="250" spans="1:45" ht="13.5" customHeight="1">
      <c r="A250" s="31"/>
      <c r="B250" s="31"/>
      <c r="C250" s="31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  <c r="AK250" s="31"/>
      <c r="AL250" s="31"/>
      <c r="AM250" s="31"/>
      <c r="AN250" s="31"/>
      <c r="AO250" s="31"/>
      <c r="AP250" s="31"/>
      <c r="AQ250" s="31"/>
      <c r="AR250" s="31"/>
      <c r="AS250" s="31"/>
    </row>
    <row r="251" spans="1:45" ht="13.5" customHeight="1">
      <c r="A251" s="31"/>
      <c r="B251" s="31"/>
      <c r="C251" s="31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  <c r="AO251" s="31"/>
      <c r="AP251" s="31"/>
      <c r="AQ251" s="31"/>
      <c r="AR251" s="31"/>
      <c r="AS251" s="31"/>
    </row>
    <row r="252" spans="1:45" ht="13.5" customHeight="1">
      <c r="A252" s="31"/>
      <c r="B252" s="31"/>
      <c r="C252" s="31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1"/>
      <c r="AP252" s="31"/>
      <c r="AQ252" s="31"/>
      <c r="AR252" s="31"/>
      <c r="AS252" s="31"/>
    </row>
    <row r="253" spans="1:45" ht="13.5" customHeight="1">
      <c r="A253" s="31"/>
      <c r="B253" s="31"/>
      <c r="C253" s="31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  <c r="AK253" s="31"/>
      <c r="AL253" s="31"/>
      <c r="AM253" s="31"/>
      <c r="AN253" s="31"/>
      <c r="AO253" s="31"/>
      <c r="AP253" s="31"/>
      <c r="AQ253" s="31"/>
      <c r="AR253" s="31"/>
      <c r="AS253" s="31"/>
    </row>
    <row r="254" spans="1:45" ht="13.5" customHeight="1">
      <c r="A254" s="31"/>
      <c r="B254" s="31"/>
      <c r="C254" s="31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  <c r="AO254" s="31"/>
      <c r="AP254" s="31"/>
      <c r="AQ254" s="31"/>
      <c r="AR254" s="31"/>
      <c r="AS254" s="31"/>
    </row>
    <row r="255" spans="1:45" ht="13.5" customHeight="1">
      <c r="A255" s="31"/>
      <c r="B255" s="31"/>
      <c r="C255" s="31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1"/>
      <c r="AP255" s="31"/>
      <c r="AQ255" s="31"/>
      <c r="AR255" s="31"/>
      <c r="AS255" s="31"/>
    </row>
    <row r="256" spans="1:45" ht="13.5" customHeight="1">
      <c r="A256" s="31"/>
      <c r="B256" s="31"/>
      <c r="C256" s="31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1"/>
    </row>
    <row r="257" spans="1:45" ht="13.5" customHeight="1">
      <c r="A257" s="31"/>
      <c r="B257" s="31"/>
      <c r="C257" s="31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  <c r="AP257" s="31"/>
      <c r="AQ257" s="31"/>
      <c r="AR257" s="31"/>
      <c r="AS257" s="31"/>
    </row>
    <row r="258" spans="1:45" ht="13.5" customHeight="1">
      <c r="A258" s="31"/>
      <c r="B258" s="31"/>
      <c r="C258" s="31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1"/>
    </row>
    <row r="259" spans="1:45" ht="13.5" customHeight="1">
      <c r="A259" s="31"/>
      <c r="B259" s="31"/>
      <c r="C259" s="31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  <c r="AL259" s="31"/>
      <c r="AM259" s="31"/>
      <c r="AN259" s="31"/>
      <c r="AO259" s="31"/>
      <c r="AP259" s="31"/>
      <c r="AQ259" s="31"/>
      <c r="AR259" s="31"/>
      <c r="AS259" s="31"/>
    </row>
    <row r="260" spans="1:45" ht="13.5" customHeight="1">
      <c r="A260" s="31"/>
      <c r="B260" s="31"/>
      <c r="C260" s="31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  <c r="AO260" s="31"/>
      <c r="AP260" s="31"/>
      <c r="AQ260" s="31"/>
      <c r="AR260" s="31"/>
      <c r="AS260" s="31"/>
    </row>
    <row r="261" spans="1:45" ht="13.5" customHeight="1">
      <c r="A261" s="31"/>
      <c r="B261" s="31"/>
      <c r="C261" s="31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</row>
    <row r="262" spans="1:45" ht="13.5" customHeight="1">
      <c r="A262" s="31"/>
      <c r="B262" s="31"/>
      <c r="C262" s="31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  <c r="AL262" s="31"/>
      <c r="AM262" s="31"/>
      <c r="AN262" s="31"/>
      <c r="AO262" s="31"/>
      <c r="AP262" s="31"/>
      <c r="AQ262" s="31"/>
      <c r="AR262" s="31"/>
      <c r="AS262" s="31"/>
    </row>
    <row r="263" spans="1:45" ht="13.5" customHeight="1">
      <c r="A263" s="31"/>
      <c r="B263" s="31"/>
      <c r="C263" s="31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  <c r="AO263" s="31"/>
      <c r="AP263" s="31"/>
      <c r="AQ263" s="31"/>
      <c r="AR263" s="31"/>
      <c r="AS263" s="31"/>
    </row>
    <row r="264" spans="1:45" ht="13.5" customHeight="1">
      <c r="A264" s="31"/>
      <c r="B264" s="31"/>
      <c r="C264" s="31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</row>
    <row r="265" spans="1:45" ht="13.5" customHeight="1">
      <c r="A265" s="31"/>
      <c r="B265" s="31"/>
      <c r="C265" s="31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</row>
    <row r="266" spans="1:45" ht="13.5" customHeight="1">
      <c r="A266" s="31"/>
      <c r="B266" s="31"/>
      <c r="C266" s="31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</row>
    <row r="267" spans="1:45" ht="13.5" customHeight="1">
      <c r="A267" s="31"/>
      <c r="B267" s="31"/>
      <c r="C267" s="31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</row>
    <row r="268" spans="1:45" ht="13.5" customHeight="1">
      <c r="A268" s="31"/>
      <c r="B268" s="31"/>
      <c r="C268" s="31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31"/>
      <c r="AN268" s="31"/>
      <c r="AO268" s="31"/>
      <c r="AP268" s="31"/>
      <c r="AQ268" s="31"/>
      <c r="AR268" s="31"/>
      <c r="AS268" s="31"/>
    </row>
    <row r="269" spans="1:45" ht="13.5" customHeight="1">
      <c r="A269" s="31"/>
      <c r="B269" s="31"/>
      <c r="C269" s="31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1"/>
      <c r="AP269" s="31"/>
      <c r="AQ269" s="31"/>
      <c r="AR269" s="31"/>
      <c r="AS269" s="31"/>
    </row>
    <row r="270" spans="1:45" ht="13.5" customHeight="1">
      <c r="A270" s="31"/>
      <c r="B270" s="31"/>
      <c r="C270" s="31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</row>
    <row r="271" spans="1:45" ht="13.5" customHeight="1">
      <c r="A271" s="31"/>
      <c r="B271" s="31"/>
      <c r="C271" s="31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1"/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  <c r="AL271" s="31"/>
      <c r="AM271" s="31"/>
      <c r="AN271" s="31"/>
      <c r="AO271" s="31"/>
      <c r="AP271" s="31"/>
      <c r="AQ271" s="31"/>
      <c r="AR271" s="31"/>
      <c r="AS271" s="31"/>
    </row>
    <row r="272" spans="1:45" ht="13.5" customHeight="1">
      <c r="A272" s="31"/>
      <c r="B272" s="31"/>
      <c r="C272" s="31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1"/>
      <c r="AP272" s="31"/>
      <c r="AQ272" s="31"/>
      <c r="AR272" s="31"/>
      <c r="AS272" s="31"/>
    </row>
    <row r="273" spans="1:45" ht="13.5" customHeight="1">
      <c r="A273" s="31"/>
      <c r="B273" s="31"/>
      <c r="C273" s="31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1"/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</row>
    <row r="274" spans="1:45" ht="13.5" customHeight="1">
      <c r="A274" s="31"/>
      <c r="B274" s="31"/>
      <c r="C274" s="31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</row>
    <row r="275" spans="1:45" ht="13.5" customHeight="1">
      <c r="A275" s="31"/>
      <c r="B275" s="31"/>
      <c r="C275" s="31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1"/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  <c r="AL275" s="31"/>
      <c r="AM275" s="31"/>
      <c r="AN275" s="31"/>
      <c r="AO275" s="31"/>
      <c r="AP275" s="31"/>
      <c r="AQ275" s="31"/>
      <c r="AR275" s="31"/>
      <c r="AS275" s="31"/>
    </row>
    <row r="276" spans="1:45" ht="13.5" customHeight="1">
      <c r="A276" s="31"/>
      <c r="B276" s="31"/>
      <c r="C276" s="31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1"/>
      <c r="AP276" s="31"/>
      <c r="AQ276" s="31"/>
      <c r="AR276" s="31"/>
      <c r="AS276" s="31"/>
    </row>
    <row r="277" spans="1:45" ht="13.5" customHeight="1">
      <c r="A277" s="31"/>
      <c r="B277" s="31"/>
      <c r="C277" s="31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</row>
    <row r="278" spans="1:45" ht="13.5" customHeight="1">
      <c r="A278" s="31"/>
      <c r="B278" s="31"/>
      <c r="C278" s="31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</row>
    <row r="279" spans="1:45" ht="13.5" customHeight="1">
      <c r="A279" s="31"/>
      <c r="B279" s="31"/>
      <c r="C279" s="31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  <c r="AL279" s="31"/>
      <c r="AM279" s="31"/>
      <c r="AN279" s="31"/>
      <c r="AO279" s="31"/>
      <c r="AP279" s="31"/>
      <c r="AQ279" s="31"/>
      <c r="AR279" s="31"/>
      <c r="AS279" s="31"/>
    </row>
    <row r="280" spans="1:45" ht="13.5" customHeight="1">
      <c r="A280" s="31"/>
      <c r="B280" s="31"/>
      <c r="C280" s="31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  <c r="AO280" s="31"/>
      <c r="AP280" s="31"/>
      <c r="AQ280" s="31"/>
      <c r="AR280" s="31"/>
      <c r="AS280" s="31"/>
    </row>
    <row r="281" spans="1:45" ht="13.5" customHeight="1">
      <c r="A281" s="31"/>
      <c r="B281" s="31"/>
      <c r="C281" s="31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1"/>
    </row>
    <row r="282" spans="1:45" ht="13.5" customHeight="1">
      <c r="A282" s="31"/>
      <c r="B282" s="31"/>
      <c r="C282" s="31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1"/>
    </row>
    <row r="283" spans="1:45" ht="13.5" customHeight="1">
      <c r="A283" s="31"/>
      <c r="B283" s="31"/>
      <c r="C283" s="31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1"/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  <c r="AL283" s="31"/>
      <c r="AM283" s="31"/>
      <c r="AN283" s="31"/>
      <c r="AO283" s="31"/>
      <c r="AP283" s="31"/>
      <c r="AQ283" s="31"/>
      <c r="AR283" s="31"/>
      <c r="AS283" s="31"/>
    </row>
    <row r="284" spans="1:45" ht="13.5" customHeight="1">
      <c r="A284" s="31"/>
      <c r="B284" s="31"/>
      <c r="C284" s="31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  <c r="AO284" s="31"/>
      <c r="AP284" s="31"/>
      <c r="AQ284" s="31"/>
      <c r="AR284" s="31"/>
      <c r="AS284" s="31"/>
    </row>
    <row r="285" spans="1:45" ht="13.5" customHeight="1">
      <c r="A285" s="31"/>
      <c r="B285" s="31"/>
      <c r="C285" s="31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1"/>
    </row>
    <row r="286" spans="1:45" ht="13.5" customHeight="1">
      <c r="A286" s="31"/>
      <c r="B286" s="31"/>
      <c r="C286" s="31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1"/>
    </row>
    <row r="287" spans="1:45" ht="13.5" customHeight="1">
      <c r="A287" s="31"/>
      <c r="B287" s="31"/>
      <c r="C287" s="31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1"/>
    </row>
    <row r="288" spans="1:45" ht="13.5" customHeight="1">
      <c r="A288" s="31"/>
      <c r="B288" s="31"/>
      <c r="C288" s="31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  <c r="AP288" s="31"/>
      <c r="AQ288" s="31"/>
      <c r="AR288" s="31"/>
      <c r="AS288" s="31"/>
    </row>
    <row r="289" spans="1:45" ht="13.5" customHeight="1">
      <c r="A289" s="31"/>
      <c r="B289" s="31"/>
      <c r="C289" s="31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  <c r="AO289" s="31"/>
      <c r="AP289" s="31"/>
      <c r="AQ289" s="31"/>
      <c r="AR289" s="31"/>
      <c r="AS289" s="31"/>
    </row>
    <row r="290" spans="1:45" ht="13.5" customHeight="1">
      <c r="A290" s="31"/>
      <c r="B290" s="31"/>
      <c r="C290" s="31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  <c r="AO290" s="31"/>
      <c r="AP290" s="31"/>
      <c r="AQ290" s="31"/>
      <c r="AR290" s="31"/>
      <c r="AS290" s="31"/>
    </row>
    <row r="291" spans="1:45" ht="13.5" customHeight="1">
      <c r="A291" s="31"/>
      <c r="B291" s="31"/>
      <c r="C291" s="31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  <c r="AP291" s="31"/>
      <c r="AQ291" s="31"/>
      <c r="AR291" s="31"/>
      <c r="AS291" s="31"/>
    </row>
    <row r="292" spans="1:45" ht="13.5" customHeight="1">
      <c r="A292" s="31"/>
      <c r="B292" s="31"/>
      <c r="C292" s="31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  <c r="AP292" s="31"/>
      <c r="AQ292" s="31"/>
      <c r="AR292" s="31"/>
      <c r="AS292" s="31"/>
    </row>
    <row r="293" spans="1:45" ht="13.5" customHeight="1">
      <c r="A293" s="31"/>
      <c r="B293" s="31"/>
      <c r="C293" s="31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1"/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  <c r="AL293" s="31"/>
      <c r="AM293" s="31"/>
      <c r="AN293" s="31"/>
      <c r="AO293" s="31"/>
      <c r="AP293" s="31"/>
      <c r="AQ293" s="31"/>
      <c r="AR293" s="31"/>
      <c r="AS293" s="31"/>
    </row>
    <row r="294" spans="1:45" ht="13.5" customHeight="1">
      <c r="A294" s="31"/>
      <c r="B294" s="31"/>
      <c r="C294" s="31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  <c r="AO294" s="31"/>
      <c r="AP294" s="31"/>
      <c r="AQ294" s="31"/>
      <c r="AR294" s="31"/>
      <c r="AS294" s="31"/>
    </row>
    <row r="295" spans="1:45" ht="13.5" customHeight="1">
      <c r="A295" s="31"/>
      <c r="B295" s="31"/>
      <c r="C295" s="31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  <c r="AP295" s="31"/>
      <c r="AQ295" s="31"/>
      <c r="AR295" s="31"/>
      <c r="AS295" s="31"/>
    </row>
    <row r="296" spans="1:45" ht="13.5" customHeight="1">
      <c r="A296" s="31"/>
      <c r="B296" s="31"/>
      <c r="C296" s="31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  <c r="AP296" s="31"/>
      <c r="AQ296" s="31"/>
      <c r="AR296" s="31"/>
      <c r="AS296" s="31"/>
    </row>
    <row r="297" spans="1:45" ht="13.5" customHeight="1">
      <c r="A297" s="31"/>
      <c r="B297" s="31"/>
      <c r="C297" s="31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  <c r="AP297" s="31"/>
      <c r="AQ297" s="31"/>
      <c r="AR297" s="31"/>
      <c r="AS297" s="31"/>
    </row>
    <row r="298" spans="1:45" ht="13.5" customHeight="1">
      <c r="A298" s="31"/>
      <c r="B298" s="31"/>
      <c r="C298" s="31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  <c r="AP298" s="31"/>
      <c r="AQ298" s="31"/>
      <c r="AR298" s="31"/>
      <c r="AS298" s="31"/>
    </row>
    <row r="299" spans="1:45" ht="13.5" customHeight="1">
      <c r="A299" s="31"/>
      <c r="B299" s="31"/>
      <c r="C299" s="31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1"/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  <c r="AL299" s="31"/>
      <c r="AM299" s="31"/>
      <c r="AN299" s="31"/>
      <c r="AO299" s="31"/>
      <c r="AP299" s="31"/>
      <c r="AQ299" s="31"/>
      <c r="AR299" s="31"/>
      <c r="AS299" s="31"/>
    </row>
    <row r="300" spans="1:45" ht="13.5" customHeight="1">
      <c r="A300" s="31"/>
      <c r="B300" s="31"/>
      <c r="C300" s="31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  <c r="AO300" s="31"/>
      <c r="AP300" s="31"/>
      <c r="AQ300" s="31"/>
      <c r="AR300" s="31"/>
      <c r="AS300" s="31"/>
    </row>
    <row r="301" spans="1:45" ht="13.5" customHeight="1">
      <c r="A301" s="31"/>
      <c r="B301" s="31"/>
      <c r="C301" s="31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1"/>
      <c r="AP301" s="31"/>
      <c r="AQ301" s="31"/>
      <c r="AR301" s="31"/>
      <c r="AS301" s="31"/>
    </row>
    <row r="302" spans="1:45" ht="13.5" customHeight="1">
      <c r="A302" s="31"/>
      <c r="B302" s="31"/>
      <c r="C302" s="31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1"/>
      <c r="AP302" s="31"/>
      <c r="AQ302" s="31"/>
      <c r="AR302" s="31"/>
      <c r="AS302" s="31"/>
    </row>
    <row r="303" spans="1:45" ht="13.5" customHeight="1">
      <c r="A303" s="31"/>
      <c r="B303" s="31"/>
      <c r="C303" s="31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1"/>
      <c r="AP303" s="31"/>
      <c r="AQ303" s="31"/>
      <c r="AR303" s="31"/>
      <c r="AS303" s="31"/>
    </row>
    <row r="304" spans="1:45" ht="13.5" customHeight="1">
      <c r="A304" s="31"/>
      <c r="B304" s="31"/>
      <c r="C304" s="31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1"/>
      <c r="AP304" s="31"/>
      <c r="AQ304" s="31"/>
      <c r="AR304" s="31"/>
      <c r="AS304" s="31"/>
    </row>
    <row r="305" spans="1:45" ht="13.5" customHeight="1">
      <c r="A305" s="31"/>
      <c r="B305" s="31"/>
      <c r="C305" s="31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1"/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  <c r="AK305" s="31"/>
      <c r="AL305" s="31"/>
      <c r="AM305" s="31"/>
      <c r="AN305" s="31"/>
      <c r="AO305" s="31"/>
      <c r="AP305" s="31"/>
      <c r="AQ305" s="31"/>
      <c r="AR305" s="31"/>
      <c r="AS305" s="31"/>
    </row>
    <row r="306" spans="1:45" ht="13.5" customHeight="1">
      <c r="A306" s="31"/>
      <c r="B306" s="31"/>
      <c r="C306" s="31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  <c r="AO306" s="31"/>
      <c r="AP306" s="31"/>
      <c r="AQ306" s="31"/>
      <c r="AR306" s="31"/>
      <c r="AS306" s="31"/>
    </row>
    <row r="307" spans="1:45" ht="13.5" customHeight="1">
      <c r="A307" s="31"/>
      <c r="B307" s="31"/>
      <c r="C307" s="31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1"/>
    </row>
    <row r="308" spans="1:45" ht="13.5" customHeight="1">
      <c r="A308" s="31"/>
      <c r="B308" s="31"/>
      <c r="C308" s="31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1"/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  <c r="AK308" s="31"/>
      <c r="AL308" s="31"/>
      <c r="AM308" s="31"/>
      <c r="AN308" s="31"/>
      <c r="AO308" s="31"/>
      <c r="AP308" s="31"/>
      <c r="AQ308" s="31"/>
      <c r="AR308" s="31"/>
      <c r="AS308" s="31"/>
    </row>
    <row r="309" spans="1:45" ht="13.5" customHeight="1">
      <c r="A309" s="31"/>
      <c r="B309" s="31"/>
      <c r="C309" s="31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  <c r="AO309" s="31"/>
      <c r="AP309" s="31"/>
      <c r="AQ309" s="31"/>
      <c r="AR309" s="31"/>
      <c r="AS309" s="31"/>
    </row>
    <row r="310" spans="1:45" ht="13.5" customHeight="1">
      <c r="A310" s="31"/>
      <c r="B310" s="31"/>
      <c r="C310" s="31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1"/>
    </row>
    <row r="311" spans="1:45" ht="13.5" customHeight="1">
      <c r="A311" s="31"/>
      <c r="B311" s="31"/>
      <c r="C311" s="31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1"/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  <c r="AK311" s="31"/>
      <c r="AL311" s="31"/>
      <c r="AM311" s="31"/>
      <c r="AN311" s="31"/>
      <c r="AO311" s="31"/>
      <c r="AP311" s="31"/>
      <c r="AQ311" s="31"/>
      <c r="AR311" s="31"/>
      <c r="AS311" s="31"/>
    </row>
    <row r="312" spans="1:45" ht="13.5" customHeight="1">
      <c r="A312" s="31"/>
      <c r="B312" s="31"/>
      <c r="C312" s="31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  <c r="AO312" s="31"/>
      <c r="AP312" s="31"/>
      <c r="AQ312" s="31"/>
      <c r="AR312" s="31"/>
      <c r="AS312" s="31"/>
    </row>
    <row r="313" spans="1:45" ht="13.5" customHeight="1">
      <c r="A313" s="31"/>
      <c r="B313" s="31"/>
      <c r="C313" s="31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1"/>
    </row>
    <row r="314" spans="1:45" ht="13.5" customHeight="1">
      <c r="A314" s="31"/>
      <c r="B314" s="31"/>
      <c r="C314" s="31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1"/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  <c r="AK314" s="31"/>
      <c r="AL314" s="31"/>
      <c r="AM314" s="31"/>
      <c r="AN314" s="31"/>
      <c r="AO314" s="31"/>
      <c r="AP314" s="31"/>
      <c r="AQ314" s="31"/>
      <c r="AR314" s="31"/>
      <c r="AS314" s="31"/>
    </row>
    <row r="315" spans="1:45" ht="13.5" customHeight="1">
      <c r="A315" s="31"/>
      <c r="B315" s="31"/>
      <c r="C315" s="31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  <c r="AO315" s="31"/>
      <c r="AP315" s="31"/>
      <c r="AQ315" s="31"/>
      <c r="AR315" s="31"/>
      <c r="AS315" s="31"/>
    </row>
    <row r="316" spans="1:45" ht="13.5" customHeight="1">
      <c r="A316" s="31"/>
      <c r="B316" s="31"/>
      <c r="C316" s="31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1"/>
      <c r="AP316" s="31"/>
      <c r="AQ316" s="31"/>
      <c r="AR316" s="31"/>
      <c r="AS316" s="31"/>
    </row>
    <row r="317" spans="1:45" ht="13.5" customHeight="1">
      <c r="A317" s="31"/>
      <c r="B317" s="31"/>
      <c r="C317" s="31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1"/>
      <c r="AP317" s="31"/>
      <c r="AQ317" s="31"/>
      <c r="AR317" s="31"/>
      <c r="AS317" s="31"/>
    </row>
    <row r="318" spans="1:45" ht="13.5" customHeight="1">
      <c r="A318" s="31"/>
      <c r="B318" s="31"/>
      <c r="C318" s="31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1"/>
      <c r="AA318" s="31"/>
      <c r="AB318" s="31"/>
      <c r="AC318" s="31"/>
      <c r="AD318" s="31"/>
      <c r="AE318" s="31"/>
      <c r="AF318" s="31"/>
      <c r="AG318" s="31"/>
      <c r="AH318" s="31"/>
      <c r="AI318" s="31"/>
      <c r="AJ318" s="31"/>
      <c r="AK318" s="31"/>
      <c r="AL318" s="31"/>
      <c r="AM318" s="31"/>
      <c r="AN318" s="31"/>
      <c r="AO318" s="31"/>
      <c r="AP318" s="31"/>
      <c r="AQ318" s="31"/>
      <c r="AR318" s="31"/>
      <c r="AS318" s="31"/>
    </row>
    <row r="319" spans="1:45" ht="13.5" customHeight="1">
      <c r="A319" s="31"/>
      <c r="B319" s="31"/>
      <c r="C319" s="31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  <c r="AO319" s="31"/>
      <c r="AP319" s="31"/>
      <c r="AQ319" s="31"/>
      <c r="AR319" s="31"/>
      <c r="AS319" s="31"/>
    </row>
    <row r="320" spans="1:45" ht="13.5" customHeight="1">
      <c r="A320" s="31"/>
      <c r="B320" s="31"/>
      <c r="C320" s="31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1"/>
      <c r="AP320" s="31"/>
      <c r="AQ320" s="31"/>
      <c r="AR320" s="31"/>
      <c r="AS320" s="31"/>
    </row>
    <row r="321" spans="1:45" ht="13.5" customHeight="1">
      <c r="A321" s="31"/>
      <c r="B321" s="31"/>
      <c r="C321" s="31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1"/>
      <c r="AP321" s="31"/>
      <c r="AQ321" s="31"/>
      <c r="AR321" s="31"/>
      <c r="AS321" s="31"/>
    </row>
    <row r="322" spans="1:45" ht="13.5" customHeight="1">
      <c r="A322" s="31"/>
      <c r="B322" s="31"/>
      <c r="C322" s="31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1"/>
      <c r="AA322" s="31"/>
      <c r="AB322" s="31"/>
      <c r="AC322" s="31"/>
      <c r="AD322" s="31"/>
      <c r="AE322" s="31"/>
      <c r="AF322" s="31"/>
      <c r="AG322" s="31"/>
      <c r="AH322" s="31"/>
      <c r="AI322" s="31"/>
      <c r="AJ322" s="31"/>
      <c r="AK322" s="31"/>
      <c r="AL322" s="31"/>
      <c r="AM322" s="31"/>
      <c r="AN322" s="31"/>
      <c r="AO322" s="31"/>
      <c r="AP322" s="31"/>
      <c r="AQ322" s="31"/>
      <c r="AR322" s="31"/>
      <c r="AS322" s="31"/>
    </row>
    <row r="323" spans="1:45" ht="13.5" customHeight="1">
      <c r="A323" s="31"/>
      <c r="B323" s="31"/>
      <c r="C323" s="31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  <c r="AO323" s="31"/>
      <c r="AP323" s="31"/>
      <c r="AQ323" s="31"/>
      <c r="AR323" s="31"/>
      <c r="AS323" s="31"/>
    </row>
    <row r="324" spans="1:45" ht="13.5" customHeight="1">
      <c r="A324" s="31"/>
      <c r="B324" s="31"/>
      <c r="C324" s="31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1"/>
      <c r="AP324" s="31"/>
      <c r="AQ324" s="31"/>
      <c r="AR324" s="31"/>
      <c r="AS324" s="31"/>
    </row>
    <row r="325" spans="1:45" ht="13.5" customHeight="1">
      <c r="A325" s="31"/>
      <c r="B325" s="31"/>
      <c r="C325" s="31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1"/>
      <c r="AA325" s="31"/>
      <c r="AB325" s="31"/>
      <c r="AC325" s="31"/>
      <c r="AD325" s="31"/>
      <c r="AE325" s="31"/>
      <c r="AF325" s="31"/>
      <c r="AG325" s="31"/>
      <c r="AH325" s="31"/>
      <c r="AI325" s="31"/>
      <c r="AJ325" s="31"/>
      <c r="AK325" s="31"/>
      <c r="AL325" s="31"/>
      <c r="AM325" s="31"/>
      <c r="AN325" s="31"/>
      <c r="AO325" s="31"/>
      <c r="AP325" s="31"/>
      <c r="AQ325" s="31"/>
      <c r="AR325" s="31"/>
      <c r="AS325" s="31"/>
    </row>
    <row r="326" spans="1:45" ht="13.5" customHeight="1">
      <c r="A326" s="31"/>
      <c r="B326" s="31"/>
      <c r="C326" s="31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  <c r="AO326" s="31"/>
      <c r="AP326" s="31"/>
      <c r="AQ326" s="31"/>
      <c r="AR326" s="31"/>
      <c r="AS326" s="31"/>
    </row>
    <row r="327" spans="1:45" ht="13.5" customHeight="1">
      <c r="A327" s="31"/>
      <c r="B327" s="31"/>
      <c r="C327" s="31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1"/>
      <c r="AP327" s="31"/>
      <c r="AQ327" s="31"/>
      <c r="AR327" s="31"/>
      <c r="AS327" s="31"/>
    </row>
    <row r="328" spans="1:45" ht="13.5" customHeight="1">
      <c r="A328" s="31"/>
      <c r="B328" s="31"/>
      <c r="C328" s="31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1"/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  <c r="AK328" s="31"/>
      <c r="AL328" s="31"/>
      <c r="AM328" s="31"/>
      <c r="AN328" s="31"/>
      <c r="AO328" s="31"/>
      <c r="AP328" s="31"/>
      <c r="AQ328" s="31"/>
      <c r="AR328" s="31"/>
      <c r="AS328" s="31"/>
    </row>
    <row r="329" spans="1:45" ht="13.5" customHeight="1">
      <c r="A329" s="31"/>
      <c r="B329" s="31"/>
      <c r="C329" s="31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  <c r="AO329" s="31"/>
      <c r="AP329" s="31"/>
      <c r="AQ329" s="31"/>
      <c r="AR329" s="31"/>
      <c r="AS329" s="31"/>
    </row>
    <row r="330" spans="1:45" ht="13.5" customHeight="1">
      <c r="A330" s="31"/>
      <c r="B330" s="31"/>
      <c r="C330" s="31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1"/>
      <c r="AP330" s="31"/>
      <c r="AQ330" s="31"/>
      <c r="AR330" s="31"/>
      <c r="AS330" s="31"/>
    </row>
    <row r="331" spans="1:45" ht="13.5" customHeight="1">
      <c r="A331" s="31"/>
      <c r="B331" s="31"/>
      <c r="C331" s="31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1"/>
      <c r="AA331" s="31"/>
      <c r="AB331" s="31"/>
      <c r="AC331" s="31"/>
      <c r="AD331" s="31"/>
      <c r="AE331" s="31"/>
      <c r="AF331" s="31"/>
      <c r="AG331" s="31"/>
      <c r="AH331" s="31"/>
      <c r="AI331" s="31"/>
      <c r="AJ331" s="31"/>
      <c r="AK331" s="31"/>
      <c r="AL331" s="31"/>
      <c r="AM331" s="31"/>
      <c r="AN331" s="31"/>
      <c r="AO331" s="31"/>
      <c r="AP331" s="31"/>
      <c r="AQ331" s="31"/>
      <c r="AR331" s="31"/>
      <c r="AS331" s="31"/>
    </row>
    <row r="332" spans="1:45" ht="13.5" customHeight="1">
      <c r="A332" s="31"/>
      <c r="B332" s="31"/>
      <c r="C332" s="31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  <c r="AO332" s="31"/>
      <c r="AP332" s="31"/>
      <c r="AQ332" s="31"/>
      <c r="AR332" s="31"/>
      <c r="AS332" s="31"/>
    </row>
    <row r="333" spans="1:45" ht="13.5" customHeight="1">
      <c r="A333" s="31"/>
      <c r="B333" s="31"/>
      <c r="C333" s="31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1"/>
      <c r="AP333" s="31"/>
      <c r="AQ333" s="31"/>
      <c r="AR333" s="31"/>
      <c r="AS333" s="31"/>
    </row>
    <row r="334" spans="1:45" ht="13.5" customHeight="1">
      <c r="A334" s="31"/>
      <c r="B334" s="31"/>
      <c r="C334" s="31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1"/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  <c r="AK334" s="31"/>
      <c r="AL334" s="31"/>
      <c r="AM334" s="31"/>
      <c r="AN334" s="31"/>
      <c r="AO334" s="31"/>
      <c r="AP334" s="31"/>
      <c r="AQ334" s="31"/>
      <c r="AR334" s="31"/>
      <c r="AS334" s="31"/>
    </row>
    <row r="335" spans="1:45" ht="13.5" customHeight="1">
      <c r="A335" s="31"/>
      <c r="B335" s="31"/>
      <c r="C335" s="31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1"/>
      <c r="AA335" s="31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31"/>
      <c r="AN335" s="31"/>
      <c r="AO335" s="31"/>
      <c r="AP335" s="31"/>
      <c r="AQ335" s="31"/>
      <c r="AR335" s="31"/>
      <c r="AS335" s="31"/>
    </row>
    <row r="336" spans="1:45" ht="13.5" customHeight="1">
      <c r="A336" s="31"/>
      <c r="B336" s="31"/>
      <c r="C336" s="31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31"/>
      <c r="AN336" s="31"/>
      <c r="AO336" s="31"/>
      <c r="AP336" s="31"/>
      <c r="AQ336" s="31"/>
      <c r="AR336" s="31"/>
      <c r="AS336" s="31"/>
    </row>
    <row r="337" spans="1:45" ht="13.5" customHeight="1">
      <c r="A337" s="31"/>
      <c r="B337" s="31"/>
      <c r="C337" s="31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1"/>
      <c r="AA337" s="31"/>
      <c r="AB337" s="31"/>
      <c r="AC337" s="31"/>
      <c r="AD337" s="31"/>
      <c r="AE337" s="31"/>
      <c r="AF337" s="31"/>
      <c r="AG337" s="31"/>
      <c r="AH337" s="31"/>
      <c r="AI337" s="31"/>
      <c r="AJ337" s="31"/>
      <c r="AK337" s="31"/>
      <c r="AL337" s="31"/>
      <c r="AM337" s="31"/>
      <c r="AN337" s="31"/>
      <c r="AO337" s="31"/>
      <c r="AP337" s="31"/>
      <c r="AQ337" s="31"/>
      <c r="AR337" s="31"/>
      <c r="AS337" s="31"/>
    </row>
    <row r="338" spans="1:45" ht="13.5" customHeight="1">
      <c r="A338" s="31"/>
      <c r="B338" s="31"/>
      <c r="C338" s="31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1"/>
      <c r="AA338" s="31"/>
      <c r="AB338" s="31"/>
      <c r="AC338" s="31"/>
      <c r="AD338" s="31"/>
      <c r="AE338" s="31"/>
      <c r="AF338" s="31"/>
      <c r="AG338" s="31"/>
      <c r="AH338" s="31"/>
      <c r="AI338" s="31"/>
      <c r="AJ338" s="31"/>
      <c r="AK338" s="31"/>
      <c r="AL338" s="31"/>
      <c r="AM338" s="31"/>
      <c r="AN338" s="31"/>
      <c r="AO338" s="31"/>
      <c r="AP338" s="31"/>
      <c r="AQ338" s="31"/>
      <c r="AR338" s="31"/>
      <c r="AS338" s="31"/>
    </row>
    <row r="339" spans="1:45" ht="13.5" customHeight="1">
      <c r="A339" s="31"/>
      <c r="B339" s="31"/>
      <c r="C339" s="31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31"/>
      <c r="AN339" s="31"/>
      <c r="AO339" s="31"/>
      <c r="AP339" s="31"/>
      <c r="AQ339" s="31"/>
      <c r="AR339" s="31"/>
      <c r="AS339" s="31"/>
    </row>
    <row r="340" spans="1:45" ht="13.5" customHeight="1">
      <c r="A340" s="31"/>
      <c r="B340" s="31"/>
      <c r="C340" s="31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31"/>
      <c r="AN340" s="31"/>
      <c r="AO340" s="31"/>
      <c r="AP340" s="31"/>
      <c r="AQ340" s="31"/>
      <c r="AR340" s="31"/>
      <c r="AS340" s="31"/>
    </row>
    <row r="341" spans="1:45" ht="13.5" customHeight="1">
      <c r="A341" s="31"/>
      <c r="B341" s="31"/>
      <c r="C341" s="31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1"/>
      <c r="AA341" s="31"/>
      <c r="AB341" s="31"/>
      <c r="AC341" s="31"/>
      <c r="AD341" s="31"/>
      <c r="AE341" s="31"/>
      <c r="AF341" s="31"/>
      <c r="AG341" s="31"/>
      <c r="AH341" s="31"/>
      <c r="AI341" s="31"/>
      <c r="AJ341" s="31"/>
      <c r="AK341" s="31"/>
      <c r="AL341" s="31"/>
      <c r="AM341" s="31"/>
      <c r="AN341" s="31"/>
      <c r="AO341" s="31"/>
      <c r="AP341" s="31"/>
      <c r="AQ341" s="31"/>
      <c r="AR341" s="31"/>
      <c r="AS341" s="31"/>
    </row>
    <row r="342" spans="1:45" ht="13.5" customHeight="1">
      <c r="A342" s="31"/>
      <c r="B342" s="31"/>
      <c r="C342" s="31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31"/>
      <c r="AN342" s="31"/>
      <c r="AO342" s="31"/>
      <c r="AP342" s="31"/>
      <c r="AQ342" s="31"/>
      <c r="AR342" s="31"/>
      <c r="AS342" s="31"/>
    </row>
    <row r="343" spans="1:45" ht="13.5" customHeight="1">
      <c r="A343" s="31"/>
      <c r="B343" s="31"/>
      <c r="C343" s="31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31"/>
      <c r="AN343" s="31"/>
      <c r="AO343" s="31"/>
      <c r="AP343" s="31"/>
      <c r="AQ343" s="31"/>
      <c r="AR343" s="31"/>
      <c r="AS343" s="31"/>
    </row>
    <row r="344" spans="1:45" ht="13.5" customHeight="1">
      <c r="A344" s="31"/>
      <c r="B344" s="31"/>
      <c r="C344" s="31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31"/>
      <c r="AN344" s="31"/>
      <c r="AO344" s="31"/>
      <c r="AP344" s="31"/>
      <c r="AQ344" s="31"/>
      <c r="AR344" s="31"/>
      <c r="AS344" s="31"/>
    </row>
    <row r="345" spans="1:45" ht="13.5" customHeight="1">
      <c r="A345" s="31"/>
      <c r="B345" s="31"/>
      <c r="C345" s="31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1"/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  <c r="AL345" s="31"/>
      <c r="AM345" s="31"/>
      <c r="AN345" s="31"/>
      <c r="AO345" s="31"/>
      <c r="AP345" s="31"/>
      <c r="AQ345" s="31"/>
      <c r="AR345" s="31"/>
      <c r="AS345" s="31"/>
    </row>
    <row r="346" spans="1:45" ht="13.5" customHeight="1">
      <c r="A346" s="31"/>
      <c r="B346" s="31"/>
      <c r="C346" s="31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1"/>
      <c r="AA346" s="31"/>
      <c r="AB346" s="31"/>
      <c r="AC346" s="31"/>
      <c r="AD346" s="31"/>
      <c r="AE346" s="31"/>
      <c r="AF346" s="31"/>
      <c r="AG346" s="31"/>
      <c r="AH346" s="31"/>
      <c r="AI346" s="31"/>
      <c r="AJ346" s="31"/>
      <c r="AK346" s="31"/>
      <c r="AL346" s="31"/>
      <c r="AM346" s="31"/>
      <c r="AN346" s="31"/>
      <c r="AO346" s="31"/>
      <c r="AP346" s="31"/>
      <c r="AQ346" s="31"/>
      <c r="AR346" s="31"/>
      <c r="AS346" s="31"/>
    </row>
    <row r="347" spans="1:45" ht="13.5" customHeight="1">
      <c r="A347" s="31"/>
      <c r="B347" s="31"/>
      <c r="C347" s="31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1"/>
      <c r="AA347" s="31"/>
      <c r="AB347" s="31"/>
      <c r="AC347" s="31"/>
      <c r="AD347" s="31"/>
      <c r="AE347" s="31"/>
      <c r="AF347" s="31"/>
      <c r="AG347" s="31"/>
      <c r="AH347" s="31"/>
      <c r="AI347" s="31"/>
      <c r="AJ347" s="31"/>
      <c r="AK347" s="31"/>
      <c r="AL347" s="31"/>
      <c r="AM347" s="31"/>
      <c r="AN347" s="31"/>
      <c r="AO347" s="31"/>
      <c r="AP347" s="31"/>
      <c r="AQ347" s="31"/>
      <c r="AR347" s="31"/>
      <c r="AS347" s="31"/>
    </row>
    <row r="348" spans="1:45" ht="13.5" customHeight="1">
      <c r="A348" s="31"/>
      <c r="B348" s="31"/>
      <c r="C348" s="31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1"/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  <c r="AK348" s="31"/>
      <c r="AL348" s="31"/>
      <c r="AM348" s="31"/>
      <c r="AN348" s="31"/>
      <c r="AO348" s="31"/>
      <c r="AP348" s="31"/>
      <c r="AQ348" s="31"/>
      <c r="AR348" s="31"/>
      <c r="AS348" s="31"/>
    </row>
    <row r="349" spans="1:45" ht="13.5" customHeight="1">
      <c r="A349" s="31"/>
      <c r="B349" s="31"/>
      <c r="C349" s="31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1"/>
      <c r="AA349" s="31"/>
      <c r="AB349" s="31"/>
      <c r="AC349" s="31"/>
      <c r="AD349" s="31"/>
      <c r="AE349" s="31"/>
      <c r="AF349" s="31"/>
      <c r="AG349" s="31"/>
      <c r="AH349" s="31"/>
      <c r="AI349" s="31"/>
      <c r="AJ349" s="31"/>
      <c r="AK349" s="31"/>
      <c r="AL349" s="31"/>
      <c r="AM349" s="31"/>
      <c r="AN349" s="31"/>
      <c r="AO349" s="31"/>
      <c r="AP349" s="31"/>
      <c r="AQ349" s="31"/>
      <c r="AR349" s="31"/>
      <c r="AS349" s="31"/>
    </row>
    <row r="350" spans="1:45" ht="13.5" customHeight="1">
      <c r="A350" s="31"/>
      <c r="B350" s="31"/>
      <c r="C350" s="31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1"/>
      <c r="AA350" s="31"/>
      <c r="AB350" s="31"/>
      <c r="AC350" s="31"/>
      <c r="AD350" s="31"/>
      <c r="AE350" s="31"/>
      <c r="AF350" s="31"/>
      <c r="AG350" s="31"/>
      <c r="AH350" s="31"/>
      <c r="AI350" s="31"/>
      <c r="AJ350" s="31"/>
      <c r="AK350" s="31"/>
      <c r="AL350" s="31"/>
      <c r="AM350" s="31"/>
      <c r="AN350" s="31"/>
      <c r="AO350" s="31"/>
      <c r="AP350" s="31"/>
      <c r="AQ350" s="31"/>
      <c r="AR350" s="31"/>
      <c r="AS350" s="31"/>
    </row>
    <row r="351" spans="1:45" ht="13.5" customHeight="1">
      <c r="A351" s="31"/>
      <c r="B351" s="31"/>
      <c r="C351" s="31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1"/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  <c r="AK351" s="31"/>
      <c r="AL351" s="31"/>
      <c r="AM351" s="31"/>
      <c r="AN351" s="31"/>
      <c r="AO351" s="31"/>
      <c r="AP351" s="31"/>
      <c r="AQ351" s="31"/>
      <c r="AR351" s="31"/>
      <c r="AS351" s="31"/>
    </row>
    <row r="352" spans="1:45" ht="13.5" customHeight="1">
      <c r="A352" s="31"/>
      <c r="B352" s="31"/>
      <c r="C352" s="31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1"/>
      <c r="AA352" s="31"/>
      <c r="AB352" s="31"/>
      <c r="AC352" s="31"/>
      <c r="AD352" s="31"/>
      <c r="AE352" s="31"/>
      <c r="AF352" s="31"/>
      <c r="AG352" s="31"/>
      <c r="AH352" s="31"/>
      <c r="AI352" s="31"/>
      <c r="AJ352" s="31"/>
      <c r="AK352" s="31"/>
      <c r="AL352" s="31"/>
      <c r="AM352" s="31"/>
      <c r="AN352" s="31"/>
      <c r="AO352" s="31"/>
      <c r="AP352" s="31"/>
      <c r="AQ352" s="31"/>
      <c r="AR352" s="31"/>
      <c r="AS352" s="31"/>
    </row>
    <row r="353" spans="1:45" ht="13.5" customHeight="1">
      <c r="A353" s="31"/>
      <c r="B353" s="31"/>
      <c r="C353" s="31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31"/>
      <c r="AN353" s="31"/>
      <c r="AO353" s="31"/>
      <c r="AP353" s="31"/>
      <c r="AQ353" s="31"/>
      <c r="AR353" s="31"/>
      <c r="AS353" s="31"/>
    </row>
    <row r="354" spans="1:45" ht="13.5" customHeight="1">
      <c r="A354" s="31"/>
      <c r="B354" s="31"/>
      <c r="C354" s="31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  <c r="AL354" s="31"/>
      <c r="AM354" s="31"/>
      <c r="AN354" s="31"/>
      <c r="AO354" s="31"/>
      <c r="AP354" s="31"/>
      <c r="AQ354" s="31"/>
      <c r="AR354" s="31"/>
      <c r="AS354" s="31"/>
    </row>
    <row r="355" spans="1:45" ht="13.5" customHeight="1">
      <c r="A355" s="31"/>
      <c r="B355" s="31"/>
      <c r="C355" s="31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1"/>
      <c r="AA355" s="31"/>
      <c r="AB355" s="31"/>
      <c r="AC355" s="31"/>
      <c r="AD355" s="31"/>
      <c r="AE355" s="31"/>
      <c r="AF355" s="31"/>
      <c r="AG355" s="31"/>
      <c r="AH355" s="31"/>
      <c r="AI355" s="31"/>
      <c r="AJ355" s="31"/>
      <c r="AK355" s="31"/>
      <c r="AL355" s="31"/>
      <c r="AM355" s="31"/>
      <c r="AN355" s="31"/>
      <c r="AO355" s="31"/>
      <c r="AP355" s="31"/>
      <c r="AQ355" s="31"/>
      <c r="AR355" s="31"/>
      <c r="AS355" s="31"/>
    </row>
    <row r="356" spans="1:45" ht="13.5" customHeight="1">
      <c r="A356" s="31"/>
      <c r="B356" s="31"/>
      <c r="C356" s="31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  <c r="AL356" s="31"/>
      <c r="AM356" s="31"/>
      <c r="AN356" s="31"/>
      <c r="AO356" s="31"/>
      <c r="AP356" s="31"/>
      <c r="AQ356" s="31"/>
      <c r="AR356" s="31"/>
      <c r="AS356" s="31"/>
    </row>
    <row r="357" spans="1:45" ht="13.5" customHeight="1">
      <c r="A357" s="31"/>
      <c r="B357" s="31"/>
      <c r="C357" s="31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1"/>
      <c r="AA357" s="31"/>
      <c r="AB357" s="31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31"/>
      <c r="AN357" s="31"/>
      <c r="AO357" s="31"/>
      <c r="AP357" s="31"/>
      <c r="AQ357" s="31"/>
      <c r="AR357" s="31"/>
      <c r="AS357" s="31"/>
    </row>
    <row r="358" spans="1:45" ht="13.5" customHeight="1">
      <c r="A358" s="31"/>
      <c r="B358" s="31"/>
      <c r="C358" s="31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1"/>
      <c r="AA358" s="31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31"/>
      <c r="AN358" s="31"/>
      <c r="AO358" s="31"/>
      <c r="AP358" s="31"/>
      <c r="AQ358" s="31"/>
      <c r="AR358" s="31"/>
      <c r="AS358" s="31"/>
    </row>
    <row r="359" spans="1:45" ht="13.5" customHeight="1">
      <c r="A359" s="31"/>
      <c r="B359" s="31"/>
      <c r="C359" s="31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1"/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  <c r="AK359" s="31"/>
      <c r="AL359" s="31"/>
      <c r="AM359" s="31"/>
      <c r="AN359" s="31"/>
      <c r="AO359" s="31"/>
      <c r="AP359" s="31"/>
      <c r="AQ359" s="31"/>
      <c r="AR359" s="31"/>
      <c r="AS359" s="31"/>
    </row>
    <row r="360" spans="1:45" ht="13.5" customHeight="1">
      <c r="A360" s="31"/>
      <c r="B360" s="31"/>
      <c r="C360" s="31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1"/>
      <c r="AA360" s="31"/>
      <c r="AB360" s="31"/>
      <c r="AC360" s="31"/>
      <c r="AD360" s="31"/>
      <c r="AE360" s="31"/>
      <c r="AF360" s="31"/>
      <c r="AG360" s="31"/>
      <c r="AH360" s="31"/>
      <c r="AI360" s="31"/>
      <c r="AJ360" s="31"/>
      <c r="AK360" s="31"/>
      <c r="AL360" s="31"/>
      <c r="AM360" s="31"/>
      <c r="AN360" s="31"/>
      <c r="AO360" s="31"/>
      <c r="AP360" s="31"/>
      <c r="AQ360" s="31"/>
      <c r="AR360" s="31"/>
      <c r="AS360" s="31"/>
    </row>
    <row r="361" spans="1:45" ht="13.5" customHeight="1">
      <c r="A361" s="31"/>
      <c r="B361" s="31"/>
      <c r="C361" s="31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1"/>
      <c r="AA361" s="31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31"/>
      <c r="AN361" s="31"/>
      <c r="AO361" s="31"/>
      <c r="AP361" s="31"/>
      <c r="AQ361" s="31"/>
      <c r="AR361" s="31"/>
      <c r="AS361" s="31"/>
    </row>
    <row r="362" spans="1:45" ht="13.5" customHeight="1">
      <c r="A362" s="31"/>
      <c r="B362" s="31"/>
      <c r="C362" s="31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1"/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31"/>
      <c r="AN362" s="31"/>
      <c r="AO362" s="31"/>
      <c r="AP362" s="31"/>
      <c r="AQ362" s="31"/>
      <c r="AR362" s="31"/>
      <c r="AS362" s="31"/>
    </row>
    <row r="363" spans="1:45" ht="13.5" customHeight="1">
      <c r="A363" s="31"/>
      <c r="B363" s="31"/>
      <c r="C363" s="31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  <c r="AL363" s="31"/>
      <c r="AM363" s="31"/>
      <c r="AN363" s="31"/>
      <c r="AO363" s="31"/>
      <c r="AP363" s="31"/>
      <c r="AQ363" s="31"/>
      <c r="AR363" s="31"/>
      <c r="AS363" s="31"/>
    </row>
    <row r="364" spans="1:45" ht="13.5" customHeight="1">
      <c r="A364" s="31"/>
      <c r="B364" s="31"/>
      <c r="C364" s="31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1"/>
      <c r="AA364" s="31"/>
      <c r="AB364" s="31"/>
      <c r="AC364" s="31"/>
      <c r="AD364" s="31"/>
      <c r="AE364" s="31"/>
      <c r="AF364" s="31"/>
      <c r="AG364" s="31"/>
      <c r="AH364" s="31"/>
      <c r="AI364" s="31"/>
      <c r="AJ364" s="31"/>
      <c r="AK364" s="31"/>
      <c r="AL364" s="31"/>
      <c r="AM364" s="31"/>
      <c r="AN364" s="31"/>
      <c r="AO364" s="31"/>
      <c r="AP364" s="31"/>
      <c r="AQ364" s="31"/>
      <c r="AR364" s="31"/>
      <c r="AS364" s="31"/>
    </row>
    <row r="365" spans="1:45" ht="13.5" customHeight="1">
      <c r="A365" s="31"/>
      <c r="B365" s="31"/>
      <c r="C365" s="31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31"/>
      <c r="AN365" s="31"/>
      <c r="AO365" s="31"/>
      <c r="AP365" s="31"/>
      <c r="AQ365" s="31"/>
      <c r="AR365" s="31"/>
      <c r="AS365" s="31"/>
    </row>
    <row r="366" spans="1:45" ht="13.5" customHeight="1">
      <c r="A366" s="31"/>
      <c r="B366" s="31"/>
      <c r="C366" s="31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  <c r="AL366" s="31"/>
      <c r="AM366" s="31"/>
      <c r="AN366" s="31"/>
      <c r="AO366" s="31"/>
      <c r="AP366" s="31"/>
      <c r="AQ366" s="31"/>
      <c r="AR366" s="31"/>
      <c r="AS366" s="31"/>
    </row>
    <row r="367" spans="1:45" ht="13.5" customHeight="1">
      <c r="A367" s="31"/>
      <c r="B367" s="31"/>
      <c r="C367" s="31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1"/>
      <c r="AA367" s="31"/>
      <c r="AB367" s="31"/>
      <c r="AC367" s="31"/>
      <c r="AD367" s="31"/>
      <c r="AE367" s="31"/>
      <c r="AF367" s="31"/>
      <c r="AG367" s="31"/>
      <c r="AH367" s="31"/>
      <c r="AI367" s="31"/>
      <c r="AJ367" s="31"/>
      <c r="AK367" s="31"/>
      <c r="AL367" s="31"/>
      <c r="AM367" s="31"/>
      <c r="AN367" s="31"/>
      <c r="AO367" s="31"/>
      <c r="AP367" s="31"/>
      <c r="AQ367" s="31"/>
      <c r="AR367" s="31"/>
      <c r="AS367" s="31"/>
    </row>
    <row r="368" spans="1:45" ht="13.5" customHeight="1">
      <c r="A368" s="31"/>
      <c r="B368" s="31"/>
      <c r="C368" s="31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1"/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  <c r="AK368" s="31"/>
      <c r="AL368" s="31"/>
      <c r="AM368" s="31"/>
      <c r="AN368" s="31"/>
      <c r="AO368" s="31"/>
      <c r="AP368" s="31"/>
      <c r="AQ368" s="31"/>
      <c r="AR368" s="31"/>
      <c r="AS368" s="31"/>
    </row>
    <row r="369" spans="1:45" ht="13.5" customHeight="1">
      <c r="A369" s="31"/>
      <c r="B369" s="31"/>
      <c r="C369" s="31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1"/>
      <c r="AA369" s="31"/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  <c r="AL369" s="31"/>
      <c r="AM369" s="31"/>
      <c r="AN369" s="31"/>
      <c r="AO369" s="31"/>
      <c r="AP369" s="31"/>
      <c r="AQ369" s="31"/>
      <c r="AR369" s="31"/>
      <c r="AS369" s="31"/>
    </row>
    <row r="370" spans="1:45" ht="13.5" customHeight="1">
      <c r="A370" s="31"/>
      <c r="B370" s="31"/>
      <c r="C370" s="31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1"/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  <c r="AK370" s="31"/>
      <c r="AL370" s="31"/>
      <c r="AM370" s="31"/>
      <c r="AN370" s="31"/>
      <c r="AO370" s="31"/>
      <c r="AP370" s="31"/>
      <c r="AQ370" s="31"/>
      <c r="AR370" s="31"/>
      <c r="AS370" s="31"/>
    </row>
    <row r="371" spans="1:45" ht="13.5" customHeight="1">
      <c r="A371" s="31"/>
      <c r="B371" s="31"/>
      <c r="C371" s="31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1"/>
      <c r="AA371" s="31"/>
      <c r="AB371" s="31"/>
      <c r="AC371" s="31"/>
      <c r="AD371" s="31"/>
      <c r="AE371" s="31"/>
      <c r="AF371" s="31"/>
      <c r="AG371" s="31"/>
      <c r="AH371" s="31"/>
      <c r="AI371" s="31"/>
      <c r="AJ371" s="31"/>
      <c r="AK371" s="31"/>
      <c r="AL371" s="31"/>
      <c r="AM371" s="31"/>
      <c r="AN371" s="31"/>
      <c r="AO371" s="31"/>
      <c r="AP371" s="31"/>
      <c r="AQ371" s="31"/>
      <c r="AR371" s="31"/>
      <c r="AS371" s="31"/>
    </row>
    <row r="372" spans="1:45" ht="13.5" customHeight="1">
      <c r="A372" s="31"/>
      <c r="B372" s="31"/>
      <c r="C372" s="31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1"/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  <c r="AK372" s="31"/>
      <c r="AL372" s="31"/>
      <c r="AM372" s="31"/>
      <c r="AN372" s="31"/>
      <c r="AO372" s="31"/>
      <c r="AP372" s="31"/>
      <c r="AQ372" s="31"/>
      <c r="AR372" s="31"/>
      <c r="AS372" s="31"/>
    </row>
    <row r="373" spans="1:45" ht="13.5" customHeight="1">
      <c r="A373" s="31"/>
      <c r="B373" s="31"/>
      <c r="C373" s="31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1"/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  <c r="AN373" s="31"/>
      <c r="AO373" s="31"/>
      <c r="AP373" s="31"/>
      <c r="AQ373" s="31"/>
      <c r="AR373" s="31"/>
      <c r="AS373" s="31"/>
    </row>
    <row r="374" spans="1:45" ht="13.5" customHeight="1">
      <c r="A374" s="31"/>
      <c r="B374" s="31"/>
      <c r="C374" s="31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  <c r="AN374" s="31"/>
      <c r="AO374" s="31"/>
      <c r="AP374" s="31"/>
      <c r="AQ374" s="31"/>
      <c r="AR374" s="31"/>
      <c r="AS374" s="31"/>
    </row>
    <row r="375" spans="1:45" ht="13.5" customHeight="1">
      <c r="A375" s="31"/>
      <c r="B375" s="31"/>
      <c r="C375" s="31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  <c r="AN375" s="31"/>
      <c r="AO375" s="31"/>
      <c r="AP375" s="31"/>
      <c r="AQ375" s="31"/>
      <c r="AR375" s="31"/>
      <c r="AS375" s="31"/>
    </row>
    <row r="376" spans="1:45" ht="13.5" customHeight="1">
      <c r="A376" s="31"/>
      <c r="B376" s="31"/>
      <c r="C376" s="31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  <c r="AL376" s="31"/>
      <c r="AM376" s="31"/>
      <c r="AN376" s="31"/>
      <c r="AO376" s="31"/>
      <c r="AP376" s="31"/>
      <c r="AQ376" s="31"/>
      <c r="AR376" s="31"/>
      <c r="AS376" s="31"/>
    </row>
    <row r="377" spans="1:45" ht="13.5" customHeight="1">
      <c r="A377" s="31"/>
      <c r="B377" s="31"/>
      <c r="C377" s="31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1"/>
      <c r="AA377" s="31"/>
      <c r="AB377" s="31"/>
      <c r="AC377" s="31"/>
      <c r="AD377" s="31"/>
      <c r="AE377" s="31"/>
      <c r="AF377" s="31"/>
      <c r="AG377" s="31"/>
      <c r="AH377" s="31"/>
      <c r="AI377" s="31"/>
      <c r="AJ377" s="31"/>
      <c r="AK377" s="31"/>
      <c r="AL377" s="31"/>
      <c r="AM377" s="31"/>
      <c r="AN377" s="31"/>
      <c r="AO377" s="31"/>
      <c r="AP377" s="31"/>
      <c r="AQ377" s="31"/>
      <c r="AR377" s="31"/>
      <c r="AS377" s="31"/>
    </row>
    <row r="378" spans="1:45" ht="13.5" customHeight="1">
      <c r="A378" s="31"/>
      <c r="B378" s="31"/>
      <c r="C378" s="31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1"/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  <c r="AK378" s="31"/>
      <c r="AL378" s="31"/>
      <c r="AM378" s="31"/>
      <c r="AN378" s="31"/>
      <c r="AO378" s="31"/>
      <c r="AP378" s="31"/>
      <c r="AQ378" s="31"/>
      <c r="AR378" s="31"/>
      <c r="AS378" s="31"/>
    </row>
    <row r="379" spans="1:45" ht="13.5" customHeight="1">
      <c r="A379" s="31"/>
      <c r="B379" s="31"/>
      <c r="C379" s="31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1"/>
      <c r="AA379" s="31"/>
      <c r="AB379" s="31"/>
      <c r="AC379" s="31"/>
      <c r="AD379" s="31"/>
      <c r="AE379" s="31"/>
      <c r="AF379" s="31"/>
      <c r="AG379" s="31"/>
      <c r="AH379" s="31"/>
      <c r="AI379" s="31"/>
      <c r="AJ379" s="31"/>
      <c r="AK379" s="31"/>
      <c r="AL379" s="31"/>
      <c r="AM379" s="31"/>
      <c r="AN379" s="31"/>
      <c r="AO379" s="31"/>
      <c r="AP379" s="31"/>
      <c r="AQ379" s="31"/>
      <c r="AR379" s="31"/>
      <c r="AS379" s="31"/>
    </row>
    <row r="380" spans="1:45" ht="13.5" customHeight="1">
      <c r="A380" s="31"/>
      <c r="B380" s="31"/>
      <c r="C380" s="31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1"/>
      <c r="AA380" s="31"/>
      <c r="AB380" s="31"/>
      <c r="AC380" s="31"/>
      <c r="AD380" s="31"/>
      <c r="AE380" s="31"/>
      <c r="AF380" s="31"/>
      <c r="AG380" s="31"/>
      <c r="AH380" s="31"/>
      <c r="AI380" s="31"/>
      <c r="AJ380" s="31"/>
      <c r="AK380" s="31"/>
      <c r="AL380" s="31"/>
      <c r="AM380" s="31"/>
      <c r="AN380" s="31"/>
      <c r="AO380" s="31"/>
      <c r="AP380" s="31"/>
      <c r="AQ380" s="31"/>
      <c r="AR380" s="31"/>
      <c r="AS380" s="31"/>
    </row>
    <row r="381" spans="1:45" ht="13.5" customHeight="1">
      <c r="A381" s="31"/>
      <c r="B381" s="31"/>
      <c r="C381" s="31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1"/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  <c r="AK381" s="31"/>
      <c r="AL381" s="31"/>
      <c r="AM381" s="31"/>
      <c r="AN381" s="31"/>
      <c r="AO381" s="31"/>
      <c r="AP381" s="31"/>
      <c r="AQ381" s="31"/>
      <c r="AR381" s="31"/>
      <c r="AS381" s="31"/>
    </row>
    <row r="382" spans="1:45" ht="13.5" customHeight="1">
      <c r="A382" s="31"/>
      <c r="B382" s="31"/>
      <c r="C382" s="31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1"/>
      <c r="AA382" s="31"/>
      <c r="AB382" s="31"/>
      <c r="AC382" s="31"/>
      <c r="AD382" s="31"/>
      <c r="AE382" s="31"/>
      <c r="AF382" s="31"/>
      <c r="AG382" s="31"/>
      <c r="AH382" s="31"/>
      <c r="AI382" s="31"/>
      <c r="AJ382" s="31"/>
      <c r="AK382" s="31"/>
      <c r="AL382" s="31"/>
      <c r="AM382" s="31"/>
      <c r="AN382" s="31"/>
      <c r="AO382" s="31"/>
      <c r="AP382" s="31"/>
      <c r="AQ382" s="31"/>
      <c r="AR382" s="31"/>
      <c r="AS382" s="31"/>
    </row>
    <row r="383" spans="1:45" ht="13.5" customHeight="1">
      <c r="A383" s="31"/>
      <c r="B383" s="31"/>
      <c r="C383" s="31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1"/>
      <c r="AA383" s="31"/>
      <c r="AB383" s="31"/>
      <c r="AC383" s="31"/>
      <c r="AD383" s="31"/>
      <c r="AE383" s="31"/>
      <c r="AF383" s="31"/>
      <c r="AG383" s="31"/>
      <c r="AH383" s="31"/>
      <c r="AI383" s="31"/>
      <c r="AJ383" s="31"/>
      <c r="AK383" s="31"/>
      <c r="AL383" s="31"/>
      <c r="AM383" s="31"/>
      <c r="AN383" s="31"/>
      <c r="AO383" s="31"/>
      <c r="AP383" s="31"/>
      <c r="AQ383" s="31"/>
      <c r="AR383" s="31"/>
      <c r="AS383" s="31"/>
    </row>
    <row r="384" spans="1:45" ht="13.5" customHeight="1">
      <c r="A384" s="31"/>
      <c r="B384" s="31"/>
      <c r="C384" s="31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1"/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  <c r="AK384" s="31"/>
      <c r="AL384" s="31"/>
      <c r="AM384" s="31"/>
      <c r="AN384" s="31"/>
      <c r="AO384" s="31"/>
      <c r="AP384" s="31"/>
      <c r="AQ384" s="31"/>
      <c r="AR384" s="31"/>
      <c r="AS384" s="31"/>
    </row>
    <row r="385" spans="1:45" ht="13.5" customHeight="1">
      <c r="A385" s="31"/>
      <c r="B385" s="31"/>
      <c r="C385" s="31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  <c r="AL385" s="31"/>
      <c r="AM385" s="31"/>
      <c r="AN385" s="31"/>
      <c r="AO385" s="31"/>
      <c r="AP385" s="31"/>
      <c r="AQ385" s="31"/>
      <c r="AR385" s="31"/>
      <c r="AS385" s="31"/>
    </row>
    <row r="386" spans="1:45" ht="13.5" customHeight="1">
      <c r="A386" s="31"/>
      <c r="B386" s="31"/>
      <c r="C386" s="31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1"/>
      <c r="AA386" s="31"/>
      <c r="AB386" s="31"/>
      <c r="AC386" s="31"/>
      <c r="AD386" s="31"/>
      <c r="AE386" s="31"/>
      <c r="AF386" s="31"/>
      <c r="AG386" s="31"/>
      <c r="AH386" s="31"/>
      <c r="AI386" s="31"/>
      <c r="AJ386" s="31"/>
      <c r="AK386" s="31"/>
      <c r="AL386" s="31"/>
      <c r="AM386" s="31"/>
      <c r="AN386" s="31"/>
      <c r="AO386" s="31"/>
      <c r="AP386" s="31"/>
      <c r="AQ386" s="31"/>
      <c r="AR386" s="31"/>
      <c r="AS386" s="31"/>
    </row>
    <row r="387" spans="1:45" ht="13.5" customHeight="1">
      <c r="A387" s="31"/>
      <c r="B387" s="31"/>
      <c r="C387" s="31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1"/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  <c r="AK387" s="31"/>
      <c r="AL387" s="31"/>
      <c r="AM387" s="31"/>
      <c r="AN387" s="31"/>
      <c r="AO387" s="31"/>
      <c r="AP387" s="31"/>
      <c r="AQ387" s="31"/>
      <c r="AR387" s="31"/>
      <c r="AS387" s="31"/>
    </row>
    <row r="388" spans="1:45" ht="13.5" customHeight="1">
      <c r="A388" s="31"/>
      <c r="B388" s="31"/>
      <c r="C388" s="31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1"/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  <c r="AK388" s="31"/>
      <c r="AL388" s="31"/>
      <c r="AM388" s="31"/>
      <c r="AN388" s="31"/>
      <c r="AO388" s="31"/>
      <c r="AP388" s="31"/>
      <c r="AQ388" s="31"/>
      <c r="AR388" s="31"/>
      <c r="AS388" s="31"/>
    </row>
    <row r="389" spans="1:45" ht="13.5" customHeight="1">
      <c r="A389" s="31"/>
      <c r="B389" s="31"/>
      <c r="C389" s="31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1"/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  <c r="AK389" s="31"/>
      <c r="AL389" s="31"/>
      <c r="AM389" s="31"/>
      <c r="AN389" s="31"/>
      <c r="AO389" s="31"/>
      <c r="AP389" s="31"/>
      <c r="AQ389" s="31"/>
      <c r="AR389" s="31"/>
      <c r="AS389" s="31"/>
    </row>
    <row r="390" spans="1:45" ht="13.5" customHeight="1">
      <c r="A390" s="31"/>
      <c r="B390" s="31"/>
      <c r="C390" s="31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1"/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  <c r="AK390" s="31"/>
      <c r="AL390" s="31"/>
      <c r="AM390" s="31"/>
      <c r="AN390" s="31"/>
      <c r="AO390" s="31"/>
      <c r="AP390" s="31"/>
      <c r="AQ390" s="31"/>
      <c r="AR390" s="31"/>
      <c r="AS390" s="31"/>
    </row>
    <row r="391" spans="1:45" ht="13.5" customHeight="1">
      <c r="A391" s="31"/>
      <c r="B391" s="31"/>
      <c r="C391" s="31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  <c r="AL391" s="31"/>
      <c r="AM391" s="31"/>
      <c r="AN391" s="31"/>
      <c r="AO391" s="31"/>
      <c r="AP391" s="31"/>
      <c r="AQ391" s="31"/>
      <c r="AR391" s="31"/>
      <c r="AS391" s="31"/>
    </row>
    <row r="392" spans="1:45" ht="13.5" customHeight="1">
      <c r="A392" s="31"/>
      <c r="B392" s="31"/>
      <c r="C392" s="31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1"/>
      <c r="AA392" s="31"/>
      <c r="AB392" s="31"/>
      <c r="AC392" s="31"/>
      <c r="AD392" s="31"/>
      <c r="AE392" s="31"/>
      <c r="AF392" s="31"/>
      <c r="AG392" s="31"/>
      <c r="AH392" s="31"/>
      <c r="AI392" s="31"/>
      <c r="AJ392" s="31"/>
      <c r="AK392" s="31"/>
      <c r="AL392" s="31"/>
      <c r="AM392" s="31"/>
      <c r="AN392" s="31"/>
      <c r="AO392" s="31"/>
      <c r="AP392" s="31"/>
      <c r="AQ392" s="31"/>
      <c r="AR392" s="31"/>
      <c r="AS392" s="31"/>
    </row>
    <row r="393" spans="1:45" ht="13.5" customHeight="1">
      <c r="A393" s="31"/>
      <c r="B393" s="31"/>
      <c r="C393" s="31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1"/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  <c r="AK393" s="31"/>
      <c r="AL393" s="31"/>
      <c r="AM393" s="31"/>
      <c r="AN393" s="31"/>
      <c r="AO393" s="31"/>
      <c r="AP393" s="31"/>
      <c r="AQ393" s="31"/>
      <c r="AR393" s="31"/>
      <c r="AS393" s="31"/>
    </row>
    <row r="394" spans="1:45" ht="13.5" customHeight="1">
      <c r="A394" s="31"/>
      <c r="B394" s="31"/>
      <c r="C394" s="31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1"/>
      <c r="AA394" s="31"/>
      <c r="AB394" s="31"/>
      <c r="AC394" s="31"/>
      <c r="AD394" s="31"/>
      <c r="AE394" s="31"/>
      <c r="AF394" s="31"/>
      <c r="AG394" s="31"/>
      <c r="AH394" s="31"/>
      <c r="AI394" s="31"/>
      <c r="AJ394" s="31"/>
      <c r="AK394" s="31"/>
      <c r="AL394" s="31"/>
      <c r="AM394" s="31"/>
      <c r="AN394" s="31"/>
      <c r="AO394" s="31"/>
      <c r="AP394" s="31"/>
      <c r="AQ394" s="31"/>
      <c r="AR394" s="31"/>
      <c r="AS394" s="31"/>
    </row>
    <row r="395" spans="1:45" ht="13.5" customHeight="1">
      <c r="A395" s="31"/>
      <c r="B395" s="31"/>
      <c r="C395" s="31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1"/>
      <c r="AA395" s="31"/>
      <c r="AB395" s="31"/>
      <c r="AC395" s="31"/>
      <c r="AD395" s="31"/>
      <c r="AE395" s="31"/>
      <c r="AF395" s="31"/>
      <c r="AG395" s="31"/>
      <c r="AH395" s="31"/>
      <c r="AI395" s="31"/>
      <c r="AJ395" s="31"/>
      <c r="AK395" s="31"/>
      <c r="AL395" s="31"/>
      <c r="AM395" s="31"/>
      <c r="AN395" s="31"/>
      <c r="AO395" s="31"/>
      <c r="AP395" s="31"/>
      <c r="AQ395" s="31"/>
      <c r="AR395" s="31"/>
      <c r="AS395" s="31"/>
    </row>
    <row r="396" spans="1:45" ht="13.5" customHeight="1">
      <c r="A396" s="31"/>
      <c r="B396" s="31"/>
      <c r="C396" s="31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1"/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  <c r="AK396" s="31"/>
      <c r="AL396" s="31"/>
      <c r="AM396" s="31"/>
      <c r="AN396" s="31"/>
      <c r="AO396" s="31"/>
      <c r="AP396" s="31"/>
      <c r="AQ396" s="31"/>
      <c r="AR396" s="31"/>
      <c r="AS396" s="31"/>
    </row>
    <row r="397" spans="1:45" ht="13.5" customHeight="1">
      <c r="A397" s="31"/>
      <c r="B397" s="31"/>
      <c r="C397" s="31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1"/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  <c r="AK397" s="31"/>
      <c r="AL397" s="31"/>
      <c r="AM397" s="31"/>
      <c r="AN397" s="31"/>
      <c r="AO397" s="31"/>
      <c r="AP397" s="31"/>
      <c r="AQ397" s="31"/>
      <c r="AR397" s="31"/>
      <c r="AS397" s="31"/>
    </row>
    <row r="398" spans="1:45" ht="13.5" customHeight="1">
      <c r="A398" s="31"/>
      <c r="B398" s="31"/>
      <c r="C398" s="31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1"/>
      <c r="AA398" s="31"/>
      <c r="AB398" s="31"/>
      <c r="AC398" s="31"/>
      <c r="AD398" s="31"/>
      <c r="AE398" s="31"/>
      <c r="AF398" s="31"/>
      <c r="AG398" s="31"/>
      <c r="AH398" s="31"/>
      <c r="AI398" s="31"/>
      <c r="AJ398" s="31"/>
      <c r="AK398" s="31"/>
      <c r="AL398" s="31"/>
      <c r="AM398" s="31"/>
      <c r="AN398" s="31"/>
      <c r="AO398" s="31"/>
      <c r="AP398" s="31"/>
      <c r="AQ398" s="31"/>
      <c r="AR398" s="31"/>
      <c r="AS398" s="31"/>
    </row>
    <row r="399" spans="1:45" ht="13.5" customHeight="1">
      <c r="A399" s="31"/>
      <c r="B399" s="31"/>
      <c r="C399" s="31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1"/>
      <c r="AA399" s="31"/>
      <c r="AB399" s="31"/>
      <c r="AC399" s="31"/>
      <c r="AD399" s="31"/>
      <c r="AE399" s="31"/>
      <c r="AF399" s="31"/>
      <c r="AG399" s="31"/>
      <c r="AH399" s="31"/>
      <c r="AI399" s="31"/>
      <c r="AJ399" s="31"/>
      <c r="AK399" s="31"/>
      <c r="AL399" s="31"/>
      <c r="AM399" s="31"/>
      <c r="AN399" s="31"/>
      <c r="AO399" s="31"/>
      <c r="AP399" s="31"/>
      <c r="AQ399" s="31"/>
      <c r="AR399" s="31"/>
      <c r="AS399" s="31"/>
    </row>
    <row r="400" spans="1:45" ht="13.5" customHeight="1">
      <c r="A400" s="31"/>
      <c r="B400" s="31"/>
      <c r="C400" s="31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1"/>
      <c r="AA400" s="31"/>
      <c r="AB400" s="31"/>
      <c r="AC400" s="31"/>
      <c r="AD400" s="31"/>
      <c r="AE400" s="31"/>
      <c r="AF400" s="31"/>
      <c r="AG400" s="31"/>
      <c r="AH400" s="31"/>
      <c r="AI400" s="31"/>
      <c r="AJ400" s="31"/>
      <c r="AK400" s="31"/>
      <c r="AL400" s="31"/>
      <c r="AM400" s="31"/>
      <c r="AN400" s="31"/>
      <c r="AO400" s="31"/>
      <c r="AP400" s="31"/>
      <c r="AQ400" s="31"/>
      <c r="AR400" s="31"/>
      <c r="AS400" s="31"/>
    </row>
    <row r="401" spans="1:45" ht="13.5" customHeight="1">
      <c r="A401" s="31"/>
      <c r="B401" s="31"/>
      <c r="C401" s="31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1"/>
      <c r="AA401" s="31"/>
      <c r="AB401" s="31"/>
      <c r="AC401" s="31"/>
      <c r="AD401" s="31"/>
      <c r="AE401" s="31"/>
      <c r="AF401" s="31"/>
      <c r="AG401" s="31"/>
      <c r="AH401" s="31"/>
      <c r="AI401" s="31"/>
      <c r="AJ401" s="31"/>
      <c r="AK401" s="31"/>
      <c r="AL401" s="31"/>
      <c r="AM401" s="31"/>
      <c r="AN401" s="31"/>
      <c r="AO401" s="31"/>
      <c r="AP401" s="31"/>
      <c r="AQ401" s="31"/>
      <c r="AR401" s="31"/>
      <c r="AS401" s="31"/>
    </row>
    <row r="402" spans="1:45" ht="13.5" customHeight="1">
      <c r="A402" s="31"/>
      <c r="B402" s="31"/>
      <c r="C402" s="31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1"/>
      <c r="AA402" s="31"/>
      <c r="AB402" s="31"/>
      <c r="AC402" s="31"/>
      <c r="AD402" s="31"/>
      <c r="AE402" s="31"/>
      <c r="AF402" s="31"/>
      <c r="AG402" s="31"/>
      <c r="AH402" s="31"/>
      <c r="AI402" s="31"/>
      <c r="AJ402" s="31"/>
      <c r="AK402" s="31"/>
      <c r="AL402" s="31"/>
      <c r="AM402" s="31"/>
      <c r="AN402" s="31"/>
      <c r="AO402" s="31"/>
      <c r="AP402" s="31"/>
      <c r="AQ402" s="31"/>
      <c r="AR402" s="31"/>
      <c r="AS402" s="31"/>
    </row>
    <row r="403" spans="1:45" ht="13.5" customHeight="1">
      <c r="A403" s="31"/>
      <c r="B403" s="31"/>
      <c r="C403" s="31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1"/>
      <c r="AA403" s="31"/>
      <c r="AB403" s="31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31"/>
      <c r="AN403" s="31"/>
      <c r="AO403" s="31"/>
      <c r="AP403" s="31"/>
      <c r="AQ403" s="31"/>
      <c r="AR403" s="31"/>
      <c r="AS403" s="31"/>
    </row>
    <row r="404" spans="1:45" ht="13.5" customHeight="1">
      <c r="A404" s="31"/>
      <c r="B404" s="31"/>
      <c r="C404" s="31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1"/>
      <c r="AA404" s="31"/>
      <c r="AB404" s="31"/>
      <c r="AC404" s="31"/>
      <c r="AD404" s="31"/>
      <c r="AE404" s="31"/>
      <c r="AF404" s="31"/>
      <c r="AG404" s="31"/>
      <c r="AH404" s="31"/>
      <c r="AI404" s="31"/>
      <c r="AJ404" s="31"/>
      <c r="AK404" s="31"/>
      <c r="AL404" s="31"/>
      <c r="AM404" s="31"/>
      <c r="AN404" s="31"/>
      <c r="AO404" s="31"/>
      <c r="AP404" s="31"/>
      <c r="AQ404" s="31"/>
      <c r="AR404" s="31"/>
      <c r="AS404" s="31"/>
    </row>
    <row r="405" spans="1:45" ht="13.5" customHeight="1">
      <c r="A405" s="31"/>
      <c r="B405" s="31"/>
      <c r="C405" s="31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  <c r="AN405" s="31"/>
      <c r="AO405" s="31"/>
      <c r="AP405" s="31"/>
      <c r="AQ405" s="31"/>
      <c r="AR405" s="31"/>
      <c r="AS405" s="31"/>
    </row>
    <row r="406" spans="1:45" ht="13.5" customHeight="1">
      <c r="A406" s="31"/>
      <c r="B406" s="31"/>
      <c r="C406" s="31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1"/>
      <c r="AA406" s="31"/>
      <c r="AB406" s="31"/>
      <c r="AC406" s="31"/>
      <c r="AD406" s="31"/>
      <c r="AE406" s="31"/>
      <c r="AF406" s="31"/>
      <c r="AG406" s="31"/>
      <c r="AH406" s="31"/>
      <c r="AI406" s="31"/>
      <c r="AJ406" s="31"/>
      <c r="AK406" s="31"/>
      <c r="AL406" s="31"/>
      <c r="AM406" s="31"/>
      <c r="AN406" s="31"/>
      <c r="AO406" s="31"/>
      <c r="AP406" s="31"/>
      <c r="AQ406" s="31"/>
      <c r="AR406" s="31"/>
      <c r="AS406" s="31"/>
    </row>
    <row r="407" spans="1:45" ht="13.5" customHeight="1">
      <c r="A407" s="31"/>
      <c r="B407" s="31"/>
      <c r="C407" s="31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1"/>
      <c r="AA407" s="31"/>
      <c r="AB407" s="31"/>
      <c r="AC407" s="31"/>
      <c r="AD407" s="31"/>
      <c r="AE407" s="31"/>
      <c r="AF407" s="31"/>
      <c r="AG407" s="31"/>
      <c r="AH407" s="31"/>
      <c r="AI407" s="31"/>
      <c r="AJ407" s="31"/>
      <c r="AK407" s="31"/>
      <c r="AL407" s="31"/>
      <c r="AM407" s="31"/>
      <c r="AN407" s="31"/>
      <c r="AO407" s="31"/>
      <c r="AP407" s="31"/>
      <c r="AQ407" s="31"/>
      <c r="AR407" s="31"/>
      <c r="AS407" s="31"/>
    </row>
    <row r="408" spans="1:45" ht="13.5" customHeight="1">
      <c r="A408" s="31"/>
      <c r="B408" s="31"/>
      <c r="C408" s="31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1"/>
      <c r="AA408" s="31"/>
      <c r="AB408" s="31"/>
      <c r="AC408" s="31"/>
      <c r="AD408" s="31"/>
      <c r="AE408" s="31"/>
      <c r="AF408" s="31"/>
      <c r="AG408" s="31"/>
      <c r="AH408" s="31"/>
      <c r="AI408" s="31"/>
      <c r="AJ408" s="31"/>
      <c r="AK408" s="31"/>
      <c r="AL408" s="31"/>
      <c r="AM408" s="31"/>
      <c r="AN408" s="31"/>
      <c r="AO408" s="31"/>
      <c r="AP408" s="31"/>
      <c r="AQ408" s="31"/>
      <c r="AR408" s="31"/>
      <c r="AS408" s="31"/>
    </row>
    <row r="409" spans="1:45" ht="13.5" customHeight="1">
      <c r="A409" s="31"/>
      <c r="B409" s="31"/>
      <c r="C409" s="31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1"/>
      <c r="AA409" s="31"/>
      <c r="AB409" s="31"/>
      <c r="AC409" s="31"/>
      <c r="AD409" s="31"/>
      <c r="AE409" s="31"/>
      <c r="AF409" s="31"/>
      <c r="AG409" s="31"/>
      <c r="AH409" s="31"/>
      <c r="AI409" s="31"/>
      <c r="AJ409" s="31"/>
      <c r="AK409" s="31"/>
      <c r="AL409" s="31"/>
      <c r="AM409" s="31"/>
      <c r="AN409" s="31"/>
      <c r="AO409" s="31"/>
      <c r="AP409" s="31"/>
      <c r="AQ409" s="31"/>
      <c r="AR409" s="31"/>
      <c r="AS409" s="31"/>
    </row>
    <row r="410" spans="1:45" ht="13.5" customHeight="1">
      <c r="A410" s="31"/>
      <c r="B410" s="31"/>
      <c r="C410" s="31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1"/>
      <c r="AA410" s="31"/>
      <c r="AB410" s="31"/>
      <c r="AC410" s="31"/>
      <c r="AD410" s="31"/>
      <c r="AE410" s="31"/>
      <c r="AF410" s="31"/>
      <c r="AG410" s="31"/>
      <c r="AH410" s="31"/>
      <c r="AI410" s="31"/>
      <c r="AJ410" s="31"/>
      <c r="AK410" s="31"/>
      <c r="AL410" s="31"/>
      <c r="AM410" s="31"/>
      <c r="AN410" s="31"/>
      <c r="AO410" s="31"/>
      <c r="AP410" s="31"/>
      <c r="AQ410" s="31"/>
      <c r="AR410" s="31"/>
      <c r="AS410" s="31"/>
    </row>
    <row r="411" spans="1:45" ht="13.5" customHeight="1">
      <c r="A411" s="31"/>
      <c r="B411" s="31"/>
      <c r="C411" s="31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1"/>
      <c r="AA411" s="31"/>
      <c r="AB411" s="31"/>
      <c r="AC411" s="31"/>
      <c r="AD411" s="31"/>
      <c r="AE411" s="31"/>
      <c r="AF411" s="31"/>
      <c r="AG411" s="31"/>
      <c r="AH411" s="31"/>
      <c r="AI411" s="31"/>
      <c r="AJ411" s="31"/>
      <c r="AK411" s="31"/>
      <c r="AL411" s="31"/>
      <c r="AM411" s="31"/>
      <c r="AN411" s="31"/>
      <c r="AO411" s="31"/>
      <c r="AP411" s="31"/>
      <c r="AQ411" s="31"/>
      <c r="AR411" s="31"/>
      <c r="AS411" s="31"/>
    </row>
    <row r="412" spans="1:45" ht="13.5" customHeight="1">
      <c r="A412" s="31"/>
      <c r="B412" s="31"/>
      <c r="C412" s="31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1"/>
      <c r="AA412" s="31"/>
      <c r="AB412" s="31"/>
      <c r="AC412" s="31"/>
      <c r="AD412" s="31"/>
      <c r="AE412" s="31"/>
      <c r="AF412" s="31"/>
      <c r="AG412" s="31"/>
      <c r="AH412" s="31"/>
      <c r="AI412" s="31"/>
      <c r="AJ412" s="31"/>
      <c r="AK412" s="31"/>
      <c r="AL412" s="31"/>
      <c r="AM412" s="31"/>
      <c r="AN412" s="31"/>
      <c r="AO412" s="31"/>
      <c r="AP412" s="31"/>
      <c r="AQ412" s="31"/>
      <c r="AR412" s="31"/>
      <c r="AS412" s="31"/>
    </row>
    <row r="413" spans="1:45" ht="13.5" customHeight="1">
      <c r="A413" s="31"/>
      <c r="B413" s="31"/>
      <c r="C413" s="31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1"/>
      <c r="AA413" s="31"/>
      <c r="AB413" s="31"/>
      <c r="AC413" s="31"/>
      <c r="AD413" s="31"/>
      <c r="AE413" s="31"/>
      <c r="AF413" s="31"/>
      <c r="AG413" s="31"/>
      <c r="AH413" s="31"/>
      <c r="AI413" s="31"/>
      <c r="AJ413" s="31"/>
      <c r="AK413" s="31"/>
      <c r="AL413" s="31"/>
      <c r="AM413" s="31"/>
      <c r="AN413" s="31"/>
      <c r="AO413" s="31"/>
      <c r="AP413" s="31"/>
      <c r="AQ413" s="31"/>
      <c r="AR413" s="31"/>
      <c r="AS413" s="31"/>
    </row>
    <row r="414" spans="1:45" ht="13.5" customHeight="1">
      <c r="A414" s="31"/>
      <c r="B414" s="31"/>
      <c r="C414" s="31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1"/>
      <c r="AA414" s="31"/>
      <c r="AB414" s="31"/>
      <c r="AC414" s="31"/>
      <c r="AD414" s="31"/>
      <c r="AE414" s="31"/>
      <c r="AF414" s="31"/>
      <c r="AG414" s="31"/>
      <c r="AH414" s="31"/>
      <c r="AI414" s="31"/>
      <c r="AJ414" s="31"/>
      <c r="AK414" s="31"/>
      <c r="AL414" s="31"/>
      <c r="AM414" s="31"/>
      <c r="AN414" s="31"/>
      <c r="AO414" s="31"/>
      <c r="AP414" s="31"/>
      <c r="AQ414" s="31"/>
      <c r="AR414" s="31"/>
      <c r="AS414" s="31"/>
    </row>
    <row r="415" spans="1:45" ht="13.5" customHeight="1">
      <c r="A415" s="31"/>
      <c r="B415" s="31"/>
      <c r="C415" s="31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1"/>
      <c r="AA415" s="31"/>
      <c r="AB415" s="31"/>
      <c r="AC415" s="31"/>
      <c r="AD415" s="31"/>
      <c r="AE415" s="31"/>
      <c r="AF415" s="31"/>
      <c r="AG415" s="31"/>
      <c r="AH415" s="31"/>
      <c r="AI415" s="31"/>
      <c r="AJ415" s="31"/>
      <c r="AK415" s="31"/>
      <c r="AL415" s="31"/>
      <c r="AM415" s="31"/>
      <c r="AN415" s="31"/>
      <c r="AO415" s="31"/>
      <c r="AP415" s="31"/>
      <c r="AQ415" s="31"/>
      <c r="AR415" s="31"/>
      <c r="AS415" s="31"/>
    </row>
    <row r="416" spans="1:45" ht="13.5" customHeight="1">
      <c r="A416" s="31"/>
      <c r="B416" s="31"/>
      <c r="C416" s="31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1"/>
      <c r="AA416" s="31"/>
      <c r="AB416" s="31"/>
      <c r="AC416" s="31"/>
      <c r="AD416" s="31"/>
      <c r="AE416" s="31"/>
      <c r="AF416" s="31"/>
      <c r="AG416" s="31"/>
      <c r="AH416" s="31"/>
      <c r="AI416" s="31"/>
      <c r="AJ416" s="31"/>
      <c r="AK416" s="31"/>
      <c r="AL416" s="31"/>
      <c r="AM416" s="31"/>
      <c r="AN416" s="31"/>
      <c r="AO416" s="31"/>
      <c r="AP416" s="31"/>
      <c r="AQ416" s="31"/>
      <c r="AR416" s="31"/>
      <c r="AS416" s="31"/>
    </row>
    <row r="417" spans="1:45" ht="13.5" customHeight="1">
      <c r="A417" s="31"/>
      <c r="B417" s="31"/>
      <c r="C417" s="31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1"/>
      <c r="AA417" s="31"/>
      <c r="AB417" s="31"/>
      <c r="AC417" s="31"/>
      <c r="AD417" s="31"/>
      <c r="AE417" s="31"/>
      <c r="AF417" s="31"/>
      <c r="AG417" s="31"/>
      <c r="AH417" s="31"/>
      <c r="AI417" s="31"/>
      <c r="AJ417" s="31"/>
      <c r="AK417" s="31"/>
      <c r="AL417" s="31"/>
      <c r="AM417" s="31"/>
      <c r="AN417" s="31"/>
      <c r="AO417" s="31"/>
      <c r="AP417" s="31"/>
      <c r="AQ417" s="31"/>
      <c r="AR417" s="31"/>
      <c r="AS417" s="31"/>
    </row>
    <row r="418" spans="1:45" ht="13.5" customHeight="1">
      <c r="A418" s="31"/>
      <c r="B418" s="31"/>
      <c r="C418" s="31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1"/>
      <c r="AA418" s="31"/>
      <c r="AB418" s="31"/>
      <c r="AC418" s="31"/>
      <c r="AD418" s="31"/>
      <c r="AE418" s="31"/>
      <c r="AF418" s="31"/>
      <c r="AG418" s="31"/>
      <c r="AH418" s="31"/>
      <c r="AI418" s="31"/>
      <c r="AJ418" s="31"/>
      <c r="AK418" s="31"/>
      <c r="AL418" s="31"/>
      <c r="AM418" s="31"/>
      <c r="AN418" s="31"/>
      <c r="AO418" s="31"/>
      <c r="AP418" s="31"/>
      <c r="AQ418" s="31"/>
      <c r="AR418" s="31"/>
      <c r="AS418" s="31"/>
    </row>
    <row r="419" spans="1:45" ht="13.5" customHeight="1">
      <c r="A419" s="31"/>
      <c r="B419" s="31"/>
      <c r="C419" s="31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1"/>
      <c r="AA419" s="31"/>
      <c r="AB419" s="31"/>
      <c r="AC419" s="31"/>
      <c r="AD419" s="31"/>
      <c r="AE419" s="31"/>
      <c r="AF419" s="31"/>
      <c r="AG419" s="31"/>
      <c r="AH419" s="31"/>
      <c r="AI419" s="31"/>
      <c r="AJ419" s="31"/>
      <c r="AK419" s="31"/>
      <c r="AL419" s="31"/>
      <c r="AM419" s="31"/>
      <c r="AN419" s="31"/>
      <c r="AO419" s="31"/>
      <c r="AP419" s="31"/>
      <c r="AQ419" s="31"/>
      <c r="AR419" s="31"/>
      <c r="AS419" s="31"/>
    </row>
    <row r="420" spans="1:45" ht="13.5" customHeight="1">
      <c r="A420" s="31"/>
      <c r="B420" s="31"/>
      <c r="C420" s="31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1"/>
      <c r="AA420" s="31"/>
      <c r="AB420" s="31"/>
      <c r="AC420" s="31"/>
      <c r="AD420" s="31"/>
      <c r="AE420" s="31"/>
      <c r="AF420" s="31"/>
      <c r="AG420" s="31"/>
      <c r="AH420" s="31"/>
      <c r="AI420" s="31"/>
      <c r="AJ420" s="31"/>
      <c r="AK420" s="31"/>
      <c r="AL420" s="31"/>
      <c r="AM420" s="31"/>
      <c r="AN420" s="31"/>
      <c r="AO420" s="31"/>
      <c r="AP420" s="31"/>
      <c r="AQ420" s="31"/>
      <c r="AR420" s="31"/>
      <c r="AS420" s="31"/>
    </row>
    <row r="421" spans="1:45" ht="13.5" customHeight="1">
      <c r="A421" s="31"/>
      <c r="B421" s="31"/>
      <c r="C421" s="31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1"/>
      <c r="AA421" s="31"/>
      <c r="AB421" s="31"/>
      <c r="AC421" s="31"/>
      <c r="AD421" s="31"/>
      <c r="AE421" s="31"/>
      <c r="AF421" s="31"/>
      <c r="AG421" s="31"/>
      <c r="AH421" s="31"/>
      <c r="AI421" s="31"/>
      <c r="AJ421" s="31"/>
      <c r="AK421" s="31"/>
      <c r="AL421" s="31"/>
      <c r="AM421" s="31"/>
      <c r="AN421" s="31"/>
      <c r="AO421" s="31"/>
      <c r="AP421" s="31"/>
      <c r="AQ421" s="31"/>
      <c r="AR421" s="31"/>
      <c r="AS421" s="31"/>
    </row>
    <row r="422" spans="1:45" ht="13.5" customHeight="1">
      <c r="A422" s="31"/>
      <c r="B422" s="31"/>
      <c r="C422" s="31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1"/>
      <c r="AA422" s="31"/>
      <c r="AB422" s="31"/>
      <c r="AC422" s="31"/>
      <c r="AD422" s="31"/>
      <c r="AE422" s="31"/>
      <c r="AF422" s="31"/>
      <c r="AG422" s="31"/>
      <c r="AH422" s="31"/>
      <c r="AI422" s="31"/>
      <c r="AJ422" s="31"/>
      <c r="AK422" s="31"/>
      <c r="AL422" s="31"/>
      <c r="AM422" s="31"/>
      <c r="AN422" s="31"/>
      <c r="AO422" s="31"/>
      <c r="AP422" s="31"/>
      <c r="AQ422" s="31"/>
      <c r="AR422" s="31"/>
      <c r="AS422" s="31"/>
    </row>
    <row r="423" spans="1:45" ht="13.5" customHeight="1">
      <c r="A423" s="31"/>
      <c r="B423" s="31"/>
      <c r="C423" s="31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1"/>
      <c r="AA423" s="31"/>
      <c r="AB423" s="31"/>
      <c r="AC423" s="31"/>
      <c r="AD423" s="31"/>
      <c r="AE423" s="31"/>
      <c r="AF423" s="31"/>
      <c r="AG423" s="31"/>
      <c r="AH423" s="31"/>
      <c r="AI423" s="31"/>
      <c r="AJ423" s="31"/>
      <c r="AK423" s="31"/>
      <c r="AL423" s="31"/>
      <c r="AM423" s="31"/>
      <c r="AN423" s="31"/>
      <c r="AO423" s="31"/>
      <c r="AP423" s="31"/>
      <c r="AQ423" s="31"/>
      <c r="AR423" s="31"/>
      <c r="AS423" s="31"/>
    </row>
    <row r="424" spans="1:45" ht="13.5" customHeight="1">
      <c r="A424" s="31"/>
      <c r="B424" s="31"/>
      <c r="C424" s="31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1"/>
      <c r="AA424" s="31"/>
      <c r="AB424" s="31"/>
      <c r="AC424" s="31"/>
      <c r="AD424" s="31"/>
      <c r="AE424" s="31"/>
      <c r="AF424" s="31"/>
      <c r="AG424" s="31"/>
      <c r="AH424" s="31"/>
      <c r="AI424" s="31"/>
      <c r="AJ424" s="31"/>
      <c r="AK424" s="31"/>
      <c r="AL424" s="31"/>
      <c r="AM424" s="31"/>
      <c r="AN424" s="31"/>
      <c r="AO424" s="31"/>
      <c r="AP424" s="31"/>
      <c r="AQ424" s="31"/>
      <c r="AR424" s="31"/>
      <c r="AS424" s="31"/>
    </row>
    <row r="425" spans="1:45" ht="13.5" customHeight="1">
      <c r="A425" s="31"/>
      <c r="B425" s="31"/>
      <c r="C425" s="31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1"/>
      <c r="AA425" s="31"/>
      <c r="AB425" s="31"/>
      <c r="AC425" s="31"/>
      <c r="AD425" s="31"/>
      <c r="AE425" s="31"/>
      <c r="AF425" s="31"/>
      <c r="AG425" s="31"/>
      <c r="AH425" s="31"/>
      <c r="AI425" s="31"/>
      <c r="AJ425" s="31"/>
      <c r="AK425" s="31"/>
      <c r="AL425" s="31"/>
      <c r="AM425" s="31"/>
      <c r="AN425" s="31"/>
      <c r="AO425" s="31"/>
      <c r="AP425" s="31"/>
      <c r="AQ425" s="31"/>
      <c r="AR425" s="31"/>
      <c r="AS425" s="31"/>
    </row>
    <row r="426" spans="1:45" ht="13.5" customHeight="1">
      <c r="A426" s="31"/>
      <c r="B426" s="31"/>
      <c r="C426" s="31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1"/>
      <c r="AA426" s="31"/>
      <c r="AB426" s="31"/>
      <c r="AC426" s="31"/>
      <c r="AD426" s="31"/>
      <c r="AE426" s="31"/>
      <c r="AF426" s="31"/>
      <c r="AG426" s="31"/>
      <c r="AH426" s="31"/>
      <c r="AI426" s="31"/>
      <c r="AJ426" s="31"/>
      <c r="AK426" s="31"/>
      <c r="AL426" s="31"/>
      <c r="AM426" s="31"/>
      <c r="AN426" s="31"/>
      <c r="AO426" s="31"/>
      <c r="AP426" s="31"/>
      <c r="AQ426" s="31"/>
      <c r="AR426" s="31"/>
      <c r="AS426" s="31"/>
    </row>
    <row r="427" spans="1:45" ht="13.5" customHeight="1">
      <c r="A427" s="31"/>
      <c r="B427" s="31"/>
      <c r="C427" s="31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1"/>
      <c r="AA427" s="31"/>
      <c r="AB427" s="31"/>
      <c r="AC427" s="31"/>
      <c r="AD427" s="31"/>
      <c r="AE427" s="31"/>
      <c r="AF427" s="31"/>
      <c r="AG427" s="31"/>
      <c r="AH427" s="31"/>
      <c r="AI427" s="31"/>
      <c r="AJ427" s="31"/>
      <c r="AK427" s="31"/>
      <c r="AL427" s="31"/>
      <c r="AM427" s="31"/>
      <c r="AN427" s="31"/>
      <c r="AO427" s="31"/>
      <c r="AP427" s="31"/>
      <c r="AQ427" s="31"/>
      <c r="AR427" s="31"/>
      <c r="AS427" s="31"/>
    </row>
    <row r="428" spans="1:45" ht="13.5" customHeight="1">
      <c r="A428" s="31"/>
      <c r="B428" s="31"/>
      <c r="C428" s="31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1"/>
      <c r="AA428" s="31"/>
      <c r="AB428" s="31"/>
      <c r="AC428" s="31"/>
      <c r="AD428" s="31"/>
      <c r="AE428" s="31"/>
      <c r="AF428" s="31"/>
      <c r="AG428" s="31"/>
      <c r="AH428" s="31"/>
      <c r="AI428" s="31"/>
      <c r="AJ428" s="31"/>
      <c r="AK428" s="31"/>
      <c r="AL428" s="31"/>
      <c r="AM428" s="31"/>
      <c r="AN428" s="31"/>
      <c r="AO428" s="31"/>
      <c r="AP428" s="31"/>
      <c r="AQ428" s="31"/>
      <c r="AR428" s="31"/>
      <c r="AS428" s="31"/>
    </row>
    <row r="429" spans="1:45" ht="13.5" customHeight="1">
      <c r="A429" s="31"/>
      <c r="B429" s="31"/>
      <c r="C429" s="31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1"/>
      <c r="AA429" s="31"/>
      <c r="AB429" s="31"/>
      <c r="AC429" s="31"/>
      <c r="AD429" s="31"/>
      <c r="AE429" s="31"/>
      <c r="AF429" s="31"/>
      <c r="AG429" s="31"/>
      <c r="AH429" s="31"/>
      <c r="AI429" s="31"/>
      <c r="AJ429" s="31"/>
      <c r="AK429" s="31"/>
      <c r="AL429" s="31"/>
      <c r="AM429" s="31"/>
      <c r="AN429" s="31"/>
      <c r="AO429" s="31"/>
      <c r="AP429" s="31"/>
      <c r="AQ429" s="31"/>
      <c r="AR429" s="31"/>
      <c r="AS429" s="31"/>
    </row>
    <row r="430" spans="1:45" ht="13.5" customHeight="1">
      <c r="A430" s="31"/>
      <c r="B430" s="31"/>
      <c r="C430" s="31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1"/>
      <c r="AA430" s="31"/>
      <c r="AB430" s="31"/>
      <c r="AC430" s="31"/>
      <c r="AD430" s="31"/>
      <c r="AE430" s="31"/>
      <c r="AF430" s="31"/>
      <c r="AG430" s="31"/>
      <c r="AH430" s="31"/>
      <c r="AI430" s="31"/>
      <c r="AJ430" s="31"/>
      <c r="AK430" s="31"/>
      <c r="AL430" s="31"/>
      <c r="AM430" s="31"/>
      <c r="AN430" s="31"/>
      <c r="AO430" s="31"/>
      <c r="AP430" s="31"/>
      <c r="AQ430" s="31"/>
      <c r="AR430" s="31"/>
      <c r="AS430" s="31"/>
    </row>
    <row r="431" spans="1:45" ht="13.5" customHeight="1">
      <c r="A431" s="31"/>
      <c r="B431" s="31"/>
      <c r="C431" s="31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1"/>
      <c r="AA431" s="31"/>
      <c r="AB431" s="31"/>
      <c r="AC431" s="31"/>
      <c r="AD431" s="31"/>
      <c r="AE431" s="31"/>
      <c r="AF431" s="31"/>
      <c r="AG431" s="31"/>
      <c r="AH431" s="31"/>
      <c r="AI431" s="31"/>
      <c r="AJ431" s="31"/>
      <c r="AK431" s="31"/>
      <c r="AL431" s="31"/>
      <c r="AM431" s="31"/>
      <c r="AN431" s="31"/>
      <c r="AO431" s="31"/>
      <c r="AP431" s="31"/>
      <c r="AQ431" s="31"/>
      <c r="AR431" s="31"/>
      <c r="AS431" s="31"/>
    </row>
    <row r="432" spans="1:45" ht="13.5" customHeight="1">
      <c r="A432" s="31"/>
      <c r="B432" s="31"/>
      <c r="C432" s="31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1"/>
      <c r="AA432" s="31"/>
      <c r="AB432" s="31"/>
      <c r="AC432" s="31"/>
      <c r="AD432" s="31"/>
      <c r="AE432" s="31"/>
      <c r="AF432" s="31"/>
      <c r="AG432" s="31"/>
      <c r="AH432" s="31"/>
      <c r="AI432" s="31"/>
      <c r="AJ432" s="31"/>
      <c r="AK432" s="31"/>
      <c r="AL432" s="31"/>
      <c r="AM432" s="31"/>
      <c r="AN432" s="31"/>
      <c r="AO432" s="31"/>
      <c r="AP432" s="31"/>
      <c r="AQ432" s="31"/>
      <c r="AR432" s="31"/>
      <c r="AS432" s="31"/>
    </row>
    <row r="433" spans="1:45" ht="13.5" customHeight="1">
      <c r="A433" s="31"/>
      <c r="B433" s="31"/>
      <c r="C433" s="31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1"/>
      <c r="AA433" s="31"/>
      <c r="AB433" s="31"/>
      <c r="AC433" s="31"/>
      <c r="AD433" s="31"/>
      <c r="AE433" s="31"/>
      <c r="AF433" s="31"/>
      <c r="AG433" s="31"/>
      <c r="AH433" s="31"/>
      <c r="AI433" s="31"/>
      <c r="AJ433" s="31"/>
      <c r="AK433" s="31"/>
      <c r="AL433" s="31"/>
      <c r="AM433" s="31"/>
      <c r="AN433" s="31"/>
      <c r="AO433" s="31"/>
      <c r="AP433" s="31"/>
      <c r="AQ433" s="31"/>
      <c r="AR433" s="31"/>
      <c r="AS433" s="31"/>
    </row>
    <row r="434" spans="1:45" ht="13.5" customHeight="1">
      <c r="A434" s="31"/>
      <c r="B434" s="31"/>
      <c r="C434" s="31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1"/>
      <c r="AA434" s="31"/>
      <c r="AB434" s="31"/>
      <c r="AC434" s="31"/>
      <c r="AD434" s="31"/>
      <c r="AE434" s="31"/>
      <c r="AF434" s="31"/>
      <c r="AG434" s="31"/>
      <c r="AH434" s="31"/>
      <c r="AI434" s="31"/>
      <c r="AJ434" s="31"/>
      <c r="AK434" s="31"/>
      <c r="AL434" s="31"/>
      <c r="AM434" s="31"/>
      <c r="AN434" s="31"/>
      <c r="AO434" s="31"/>
      <c r="AP434" s="31"/>
      <c r="AQ434" s="31"/>
      <c r="AR434" s="31"/>
      <c r="AS434" s="31"/>
    </row>
    <row r="435" spans="1:45" ht="13.5" customHeight="1">
      <c r="A435" s="31"/>
      <c r="B435" s="31"/>
      <c r="C435" s="31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1"/>
      <c r="AA435" s="31"/>
      <c r="AB435" s="31"/>
      <c r="AC435" s="31"/>
      <c r="AD435" s="31"/>
      <c r="AE435" s="31"/>
      <c r="AF435" s="31"/>
      <c r="AG435" s="31"/>
      <c r="AH435" s="31"/>
      <c r="AI435" s="31"/>
      <c r="AJ435" s="31"/>
      <c r="AK435" s="31"/>
      <c r="AL435" s="31"/>
      <c r="AM435" s="31"/>
      <c r="AN435" s="31"/>
      <c r="AO435" s="31"/>
      <c r="AP435" s="31"/>
      <c r="AQ435" s="31"/>
      <c r="AR435" s="31"/>
      <c r="AS435" s="31"/>
    </row>
    <row r="436" spans="1:45" ht="13.5" customHeight="1">
      <c r="A436" s="31"/>
      <c r="B436" s="31"/>
      <c r="C436" s="31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1"/>
      <c r="AA436" s="31"/>
      <c r="AB436" s="31"/>
      <c r="AC436" s="31"/>
      <c r="AD436" s="31"/>
      <c r="AE436" s="31"/>
      <c r="AF436" s="31"/>
      <c r="AG436" s="31"/>
      <c r="AH436" s="31"/>
      <c r="AI436" s="31"/>
      <c r="AJ436" s="31"/>
      <c r="AK436" s="31"/>
      <c r="AL436" s="31"/>
      <c r="AM436" s="31"/>
      <c r="AN436" s="31"/>
      <c r="AO436" s="31"/>
      <c r="AP436" s="31"/>
      <c r="AQ436" s="31"/>
      <c r="AR436" s="31"/>
      <c r="AS436" s="31"/>
    </row>
    <row r="437" spans="1:45" ht="13.5" customHeight="1">
      <c r="A437" s="31"/>
      <c r="B437" s="31"/>
      <c r="C437" s="31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1"/>
      <c r="AA437" s="31"/>
      <c r="AB437" s="31"/>
      <c r="AC437" s="31"/>
      <c r="AD437" s="31"/>
      <c r="AE437" s="31"/>
      <c r="AF437" s="31"/>
      <c r="AG437" s="31"/>
      <c r="AH437" s="31"/>
      <c r="AI437" s="31"/>
      <c r="AJ437" s="31"/>
      <c r="AK437" s="31"/>
      <c r="AL437" s="31"/>
      <c r="AM437" s="31"/>
      <c r="AN437" s="31"/>
      <c r="AO437" s="31"/>
      <c r="AP437" s="31"/>
      <c r="AQ437" s="31"/>
      <c r="AR437" s="31"/>
      <c r="AS437" s="31"/>
    </row>
    <row r="438" spans="1:45" ht="13.5" customHeight="1">
      <c r="A438" s="31"/>
      <c r="B438" s="31"/>
      <c r="C438" s="31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1"/>
      <c r="AA438" s="31"/>
      <c r="AB438" s="31"/>
      <c r="AC438" s="31"/>
      <c r="AD438" s="31"/>
      <c r="AE438" s="31"/>
      <c r="AF438" s="31"/>
      <c r="AG438" s="31"/>
      <c r="AH438" s="31"/>
      <c r="AI438" s="31"/>
      <c r="AJ438" s="31"/>
      <c r="AK438" s="31"/>
      <c r="AL438" s="31"/>
      <c r="AM438" s="31"/>
      <c r="AN438" s="31"/>
      <c r="AO438" s="31"/>
      <c r="AP438" s="31"/>
      <c r="AQ438" s="31"/>
      <c r="AR438" s="31"/>
      <c r="AS438" s="31"/>
    </row>
    <row r="439" spans="1:45" ht="13.5" customHeight="1">
      <c r="A439" s="31"/>
      <c r="B439" s="31"/>
      <c r="C439" s="31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1"/>
      <c r="AA439" s="31"/>
      <c r="AB439" s="31"/>
      <c r="AC439" s="31"/>
      <c r="AD439" s="31"/>
      <c r="AE439" s="31"/>
      <c r="AF439" s="31"/>
      <c r="AG439" s="31"/>
      <c r="AH439" s="31"/>
      <c r="AI439" s="31"/>
      <c r="AJ439" s="31"/>
      <c r="AK439" s="31"/>
      <c r="AL439" s="31"/>
      <c r="AM439" s="31"/>
      <c r="AN439" s="31"/>
      <c r="AO439" s="31"/>
      <c r="AP439" s="31"/>
      <c r="AQ439" s="31"/>
      <c r="AR439" s="31"/>
      <c r="AS439" s="31"/>
    </row>
    <row r="440" spans="1:45" ht="13.5" customHeight="1">
      <c r="A440" s="31"/>
      <c r="B440" s="31"/>
      <c r="C440" s="31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1"/>
      <c r="AA440" s="31"/>
      <c r="AB440" s="31"/>
      <c r="AC440" s="31"/>
      <c r="AD440" s="31"/>
      <c r="AE440" s="31"/>
      <c r="AF440" s="31"/>
      <c r="AG440" s="31"/>
      <c r="AH440" s="31"/>
      <c r="AI440" s="31"/>
      <c r="AJ440" s="31"/>
      <c r="AK440" s="31"/>
      <c r="AL440" s="31"/>
      <c r="AM440" s="31"/>
      <c r="AN440" s="31"/>
      <c r="AO440" s="31"/>
      <c r="AP440" s="31"/>
      <c r="AQ440" s="31"/>
      <c r="AR440" s="31"/>
      <c r="AS440" s="31"/>
    </row>
    <row r="441" spans="1:45" ht="13.5" customHeight="1">
      <c r="A441" s="31"/>
      <c r="B441" s="31"/>
      <c r="C441" s="31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1"/>
      <c r="AA441" s="31"/>
      <c r="AB441" s="31"/>
      <c r="AC441" s="31"/>
      <c r="AD441" s="31"/>
      <c r="AE441" s="31"/>
      <c r="AF441" s="31"/>
      <c r="AG441" s="31"/>
      <c r="AH441" s="31"/>
      <c r="AI441" s="31"/>
      <c r="AJ441" s="31"/>
      <c r="AK441" s="31"/>
      <c r="AL441" s="31"/>
      <c r="AM441" s="31"/>
      <c r="AN441" s="31"/>
      <c r="AO441" s="31"/>
      <c r="AP441" s="31"/>
      <c r="AQ441" s="31"/>
      <c r="AR441" s="31"/>
      <c r="AS441" s="31"/>
    </row>
    <row r="442" spans="1:45" ht="13.5" customHeight="1">
      <c r="A442" s="31"/>
      <c r="B442" s="31"/>
      <c r="C442" s="31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1"/>
      <c r="AA442" s="31"/>
      <c r="AB442" s="31"/>
      <c r="AC442" s="31"/>
      <c r="AD442" s="31"/>
      <c r="AE442" s="31"/>
      <c r="AF442" s="31"/>
      <c r="AG442" s="31"/>
      <c r="AH442" s="31"/>
      <c r="AI442" s="31"/>
      <c r="AJ442" s="31"/>
      <c r="AK442" s="31"/>
      <c r="AL442" s="31"/>
      <c r="AM442" s="31"/>
      <c r="AN442" s="31"/>
      <c r="AO442" s="31"/>
      <c r="AP442" s="31"/>
      <c r="AQ442" s="31"/>
      <c r="AR442" s="31"/>
      <c r="AS442" s="31"/>
    </row>
    <row r="443" spans="1:45" ht="13.5" customHeight="1">
      <c r="A443" s="31"/>
      <c r="B443" s="31"/>
      <c r="C443" s="31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1"/>
      <c r="AA443" s="31"/>
      <c r="AB443" s="31"/>
      <c r="AC443" s="31"/>
      <c r="AD443" s="31"/>
      <c r="AE443" s="31"/>
      <c r="AF443" s="31"/>
      <c r="AG443" s="31"/>
      <c r="AH443" s="31"/>
      <c r="AI443" s="31"/>
      <c r="AJ443" s="31"/>
      <c r="AK443" s="31"/>
      <c r="AL443" s="31"/>
      <c r="AM443" s="31"/>
      <c r="AN443" s="31"/>
      <c r="AO443" s="31"/>
      <c r="AP443" s="31"/>
      <c r="AQ443" s="31"/>
      <c r="AR443" s="31"/>
      <c r="AS443" s="31"/>
    </row>
    <row r="444" spans="1:45" ht="13.5" customHeight="1">
      <c r="A444" s="31"/>
      <c r="B444" s="31"/>
      <c r="C444" s="31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1"/>
      <c r="AA444" s="31"/>
      <c r="AB444" s="31"/>
      <c r="AC444" s="31"/>
      <c r="AD444" s="31"/>
      <c r="AE444" s="31"/>
      <c r="AF444" s="31"/>
      <c r="AG444" s="31"/>
      <c r="AH444" s="31"/>
      <c r="AI444" s="31"/>
      <c r="AJ444" s="31"/>
      <c r="AK444" s="31"/>
      <c r="AL444" s="31"/>
      <c r="AM444" s="31"/>
      <c r="AN444" s="31"/>
      <c r="AO444" s="31"/>
      <c r="AP444" s="31"/>
      <c r="AQ444" s="31"/>
      <c r="AR444" s="31"/>
      <c r="AS444" s="31"/>
    </row>
    <row r="445" spans="1:45" ht="13.5" customHeight="1">
      <c r="A445" s="31"/>
      <c r="B445" s="31"/>
      <c r="C445" s="31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1"/>
      <c r="AA445" s="31"/>
      <c r="AB445" s="31"/>
      <c r="AC445" s="31"/>
      <c r="AD445" s="31"/>
      <c r="AE445" s="31"/>
      <c r="AF445" s="31"/>
      <c r="AG445" s="31"/>
      <c r="AH445" s="31"/>
      <c r="AI445" s="31"/>
      <c r="AJ445" s="31"/>
      <c r="AK445" s="31"/>
      <c r="AL445" s="31"/>
      <c r="AM445" s="31"/>
      <c r="AN445" s="31"/>
      <c r="AO445" s="31"/>
      <c r="AP445" s="31"/>
      <c r="AQ445" s="31"/>
      <c r="AR445" s="31"/>
      <c r="AS445" s="31"/>
    </row>
    <row r="446" spans="1:45" ht="13.5" customHeight="1">
      <c r="A446" s="31"/>
      <c r="B446" s="31"/>
      <c r="C446" s="31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1"/>
      <c r="AA446" s="31"/>
      <c r="AB446" s="31"/>
      <c r="AC446" s="31"/>
      <c r="AD446" s="31"/>
      <c r="AE446" s="31"/>
      <c r="AF446" s="31"/>
      <c r="AG446" s="31"/>
      <c r="AH446" s="31"/>
      <c r="AI446" s="31"/>
      <c r="AJ446" s="31"/>
      <c r="AK446" s="31"/>
      <c r="AL446" s="31"/>
      <c r="AM446" s="31"/>
      <c r="AN446" s="31"/>
      <c r="AO446" s="31"/>
      <c r="AP446" s="31"/>
      <c r="AQ446" s="31"/>
      <c r="AR446" s="31"/>
      <c r="AS446" s="31"/>
    </row>
    <row r="447" spans="1:45" ht="13.5" customHeight="1">
      <c r="A447" s="31"/>
      <c r="B447" s="31"/>
      <c r="C447" s="31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1"/>
      <c r="AA447" s="31"/>
      <c r="AB447" s="31"/>
      <c r="AC447" s="31"/>
      <c r="AD447" s="31"/>
      <c r="AE447" s="31"/>
      <c r="AF447" s="31"/>
      <c r="AG447" s="31"/>
      <c r="AH447" s="31"/>
      <c r="AI447" s="31"/>
      <c r="AJ447" s="31"/>
      <c r="AK447" s="31"/>
      <c r="AL447" s="31"/>
      <c r="AM447" s="31"/>
      <c r="AN447" s="31"/>
      <c r="AO447" s="31"/>
      <c r="AP447" s="31"/>
      <c r="AQ447" s="31"/>
      <c r="AR447" s="31"/>
      <c r="AS447" s="31"/>
    </row>
    <row r="448" spans="1:45" ht="13.5" customHeight="1">
      <c r="A448" s="31"/>
      <c r="B448" s="31"/>
      <c r="C448" s="31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1"/>
      <c r="AA448" s="31"/>
      <c r="AB448" s="31"/>
      <c r="AC448" s="31"/>
      <c r="AD448" s="31"/>
      <c r="AE448" s="31"/>
      <c r="AF448" s="31"/>
      <c r="AG448" s="31"/>
      <c r="AH448" s="31"/>
      <c r="AI448" s="31"/>
      <c r="AJ448" s="31"/>
      <c r="AK448" s="31"/>
      <c r="AL448" s="31"/>
      <c r="AM448" s="31"/>
      <c r="AN448" s="31"/>
      <c r="AO448" s="31"/>
      <c r="AP448" s="31"/>
      <c r="AQ448" s="31"/>
      <c r="AR448" s="31"/>
      <c r="AS448" s="31"/>
    </row>
    <row r="449" spans="1:45" ht="13.5" customHeight="1">
      <c r="A449" s="31"/>
      <c r="B449" s="31"/>
      <c r="C449" s="31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1"/>
      <c r="AA449" s="31"/>
      <c r="AB449" s="31"/>
      <c r="AC449" s="31"/>
      <c r="AD449" s="31"/>
      <c r="AE449" s="31"/>
      <c r="AF449" s="31"/>
      <c r="AG449" s="31"/>
      <c r="AH449" s="31"/>
      <c r="AI449" s="31"/>
      <c r="AJ449" s="31"/>
      <c r="AK449" s="31"/>
      <c r="AL449" s="31"/>
      <c r="AM449" s="31"/>
      <c r="AN449" s="31"/>
      <c r="AO449" s="31"/>
      <c r="AP449" s="31"/>
      <c r="AQ449" s="31"/>
      <c r="AR449" s="31"/>
      <c r="AS449" s="31"/>
    </row>
    <row r="450" spans="1:45" ht="13.5" customHeight="1">
      <c r="A450" s="31"/>
      <c r="B450" s="31"/>
      <c r="C450" s="31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1"/>
      <c r="AA450" s="31"/>
      <c r="AB450" s="31"/>
      <c r="AC450" s="31"/>
      <c r="AD450" s="31"/>
      <c r="AE450" s="31"/>
      <c r="AF450" s="31"/>
      <c r="AG450" s="31"/>
      <c r="AH450" s="31"/>
      <c r="AI450" s="31"/>
      <c r="AJ450" s="31"/>
      <c r="AK450" s="31"/>
      <c r="AL450" s="31"/>
      <c r="AM450" s="31"/>
      <c r="AN450" s="31"/>
      <c r="AO450" s="31"/>
      <c r="AP450" s="31"/>
      <c r="AQ450" s="31"/>
      <c r="AR450" s="31"/>
      <c r="AS450" s="31"/>
    </row>
    <row r="451" spans="1:45" ht="13.5" customHeight="1">
      <c r="A451" s="31"/>
      <c r="B451" s="31"/>
      <c r="C451" s="31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1"/>
      <c r="AA451" s="31"/>
      <c r="AB451" s="31"/>
      <c r="AC451" s="31"/>
      <c r="AD451" s="31"/>
      <c r="AE451" s="31"/>
      <c r="AF451" s="31"/>
      <c r="AG451" s="31"/>
      <c r="AH451" s="31"/>
      <c r="AI451" s="31"/>
      <c r="AJ451" s="31"/>
      <c r="AK451" s="31"/>
      <c r="AL451" s="31"/>
      <c r="AM451" s="31"/>
      <c r="AN451" s="31"/>
      <c r="AO451" s="31"/>
      <c r="AP451" s="31"/>
      <c r="AQ451" s="31"/>
      <c r="AR451" s="31"/>
      <c r="AS451" s="31"/>
    </row>
    <row r="452" spans="1:45" ht="13.5" customHeight="1">
      <c r="A452" s="31"/>
      <c r="B452" s="31"/>
      <c r="C452" s="31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1"/>
      <c r="AA452" s="31"/>
      <c r="AB452" s="31"/>
      <c r="AC452" s="31"/>
      <c r="AD452" s="31"/>
      <c r="AE452" s="31"/>
      <c r="AF452" s="31"/>
      <c r="AG452" s="31"/>
      <c r="AH452" s="31"/>
      <c r="AI452" s="31"/>
      <c r="AJ452" s="31"/>
      <c r="AK452" s="31"/>
      <c r="AL452" s="31"/>
      <c r="AM452" s="31"/>
      <c r="AN452" s="31"/>
      <c r="AO452" s="31"/>
      <c r="AP452" s="31"/>
      <c r="AQ452" s="31"/>
      <c r="AR452" s="31"/>
      <c r="AS452" s="31"/>
    </row>
    <row r="453" spans="1:45" ht="13.5" customHeight="1">
      <c r="A453" s="31"/>
      <c r="B453" s="31"/>
      <c r="C453" s="31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1"/>
      <c r="AA453" s="31"/>
      <c r="AB453" s="31"/>
      <c r="AC453" s="31"/>
      <c r="AD453" s="31"/>
      <c r="AE453" s="31"/>
      <c r="AF453" s="31"/>
      <c r="AG453" s="31"/>
      <c r="AH453" s="31"/>
      <c r="AI453" s="31"/>
      <c r="AJ453" s="31"/>
      <c r="AK453" s="31"/>
      <c r="AL453" s="31"/>
      <c r="AM453" s="31"/>
      <c r="AN453" s="31"/>
      <c r="AO453" s="31"/>
      <c r="AP453" s="31"/>
      <c r="AQ453" s="31"/>
      <c r="AR453" s="31"/>
      <c r="AS453" s="31"/>
    </row>
    <row r="454" spans="1:45" ht="13.5" customHeight="1">
      <c r="A454" s="31"/>
      <c r="B454" s="31"/>
      <c r="C454" s="31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1"/>
      <c r="AA454" s="31"/>
      <c r="AB454" s="31"/>
      <c r="AC454" s="31"/>
      <c r="AD454" s="31"/>
      <c r="AE454" s="31"/>
      <c r="AF454" s="31"/>
      <c r="AG454" s="31"/>
      <c r="AH454" s="31"/>
      <c r="AI454" s="31"/>
      <c r="AJ454" s="31"/>
      <c r="AK454" s="31"/>
      <c r="AL454" s="31"/>
      <c r="AM454" s="31"/>
      <c r="AN454" s="31"/>
      <c r="AO454" s="31"/>
      <c r="AP454" s="31"/>
      <c r="AQ454" s="31"/>
      <c r="AR454" s="31"/>
      <c r="AS454" s="31"/>
    </row>
    <row r="455" spans="1:45" ht="13.5" customHeight="1">
      <c r="A455" s="31"/>
      <c r="B455" s="31"/>
      <c r="C455" s="31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1"/>
      <c r="AA455" s="31"/>
      <c r="AB455" s="31"/>
      <c r="AC455" s="31"/>
      <c r="AD455" s="31"/>
      <c r="AE455" s="31"/>
      <c r="AF455" s="31"/>
      <c r="AG455" s="31"/>
      <c r="AH455" s="31"/>
      <c r="AI455" s="31"/>
      <c r="AJ455" s="31"/>
      <c r="AK455" s="31"/>
      <c r="AL455" s="31"/>
      <c r="AM455" s="31"/>
      <c r="AN455" s="31"/>
      <c r="AO455" s="31"/>
      <c r="AP455" s="31"/>
      <c r="AQ455" s="31"/>
      <c r="AR455" s="31"/>
      <c r="AS455" s="31"/>
    </row>
    <row r="456" spans="1:45" ht="13.5" customHeight="1">
      <c r="A456" s="31"/>
      <c r="B456" s="31"/>
      <c r="C456" s="31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1"/>
      <c r="AA456" s="31"/>
      <c r="AB456" s="31"/>
      <c r="AC456" s="31"/>
      <c r="AD456" s="31"/>
      <c r="AE456" s="31"/>
      <c r="AF456" s="31"/>
      <c r="AG456" s="31"/>
      <c r="AH456" s="31"/>
      <c r="AI456" s="31"/>
      <c r="AJ456" s="31"/>
      <c r="AK456" s="31"/>
      <c r="AL456" s="31"/>
      <c r="AM456" s="31"/>
      <c r="AN456" s="31"/>
      <c r="AO456" s="31"/>
      <c r="AP456" s="31"/>
      <c r="AQ456" s="31"/>
      <c r="AR456" s="31"/>
      <c r="AS456" s="31"/>
    </row>
    <row r="457" spans="1:45" ht="13.5" customHeight="1">
      <c r="A457" s="31"/>
      <c r="B457" s="31"/>
      <c r="C457" s="31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1"/>
      <c r="AA457" s="31"/>
      <c r="AB457" s="31"/>
      <c r="AC457" s="31"/>
      <c r="AD457" s="31"/>
      <c r="AE457" s="31"/>
      <c r="AF457" s="31"/>
      <c r="AG457" s="31"/>
      <c r="AH457" s="31"/>
      <c r="AI457" s="31"/>
      <c r="AJ457" s="31"/>
      <c r="AK457" s="31"/>
      <c r="AL457" s="31"/>
      <c r="AM457" s="31"/>
      <c r="AN457" s="31"/>
      <c r="AO457" s="31"/>
      <c r="AP457" s="31"/>
      <c r="AQ457" s="31"/>
      <c r="AR457" s="31"/>
      <c r="AS457" s="31"/>
    </row>
    <row r="458" spans="1:45" ht="13.5" customHeight="1">
      <c r="A458" s="31"/>
      <c r="B458" s="31"/>
      <c r="C458" s="31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1"/>
      <c r="AA458" s="31"/>
      <c r="AB458" s="31"/>
      <c r="AC458" s="31"/>
      <c r="AD458" s="31"/>
      <c r="AE458" s="31"/>
      <c r="AF458" s="31"/>
      <c r="AG458" s="31"/>
      <c r="AH458" s="31"/>
      <c r="AI458" s="31"/>
      <c r="AJ458" s="31"/>
      <c r="AK458" s="31"/>
      <c r="AL458" s="31"/>
      <c r="AM458" s="31"/>
      <c r="AN458" s="31"/>
      <c r="AO458" s="31"/>
      <c r="AP458" s="31"/>
      <c r="AQ458" s="31"/>
      <c r="AR458" s="31"/>
      <c r="AS458" s="31"/>
    </row>
    <row r="459" spans="1:45" ht="13.5" customHeight="1">
      <c r="A459" s="31"/>
      <c r="B459" s="31"/>
      <c r="C459" s="31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1"/>
      <c r="AA459" s="31"/>
      <c r="AB459" s="31"/>
      <c r="AC459" s="31"/>
      <c r="AD459" s="31"/>
      <c r="AE459" s="31"/>
      <c r="AF459" s="31"/>
      <c r="AG459" s="31"/>
      <c r="AH459" s="31"/>
      <c r="AI459" s="31"/>
      <c r="AJ459" s="31"/>
      <c r="AK459" s="31"/>
      <c r="AL459" s="31"/>
      <c r="AM459" s="31"/>
      <c r="AN459" s="31"/>
      <c r="AO459" s="31"/>
      <c r="AP459" s="31"/>
      <c r="AQ459" s="31"/>
      <c r="AR459" s="31"/>
      <c r="AS459" s="31"/>
    </row>
    <row r="460" spans="1:45" ht="13.5" customHeight="1">
      <c r="A460" s="31"/>
      <c r="B460" s="31"/>
      <c r="C460" s="31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1"/>
      <c r="AA460" s="31"/>
      <c r="AB460" s="31"/>
      <c r="AC460" s="31"/>
      <c r="AD460" s="31"/>
      <c r="AE460" s="31"/>
      <c r="AF460" s="31"/>
      <c r="AG460" s="31"/>
      <c r="AH460" s="31"/>
      <c r="AI460" s="31"/>
      <c r="AJ460" s="31"/>
      <c r="AK460" s="31"/>
      <c r="AL460" s="31"/>
      <c r="AM460" s="31"/>
      <c r="AN460" s="31"/>
      <c r="AO460" s="31"/>
      <c r="AP460" s="31"/>
      <c r="AQ460" s="31"/>
      <c r="AR460" s="31"/>
      <c r="AS460" s="31"/>
    </row>
    <row r="461" spans="1:45" ht="13.5" customHeight="1">
      <c r="A461" s="31"/>
      <c r="B461" s="31"/>
      <c r="C461" s="31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1"/>
      <c r="AA461" s="31"/>
      <c r="AB461" s="31"/>
      <c r="AC461" s="31"/>
      <c r="AD461" s="31"/>
      <c r="AE461" s="31"/>
      <c r="AF461" s="31"/>
      <c r="AG461" s="31"/>
      <c r="AH461" s="31"/>
      <c r="AI461" s="31"/>
      <c r="AJ461" s="31"/>
      <c r="AK461" s="31"/>
      <c r="AL461" s="31"/>
      <c r="AM461" s="31"/>
      <c r="AN461" s="31"/>
      <c r="AO461" s="31"/>
      <c r="AP461" s="31"/>
      <c r="AQ461" s="31"/>
      <c r="AR461" s="31"/>
      <c r="AS461" s="31"/>
    </row>
    <row r="462" spans="1:45" ht="13.5" customHeight="1">
      <c r="A462" s="31"/>
      <c r="B462" s="31"/>
      <c r="C462" s="31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1"/>
      <c r="AA462" s="31"/>
      <c r="AB462" s="31"/>
      <c r="AC462" s="31"/>
      <c r="AD462" s="31"/>
      <c r="AE462" s="31"/>
      <c r="AF462" s="31"/>
      <c r="AG462" s="31"/>
      <c r="AH462" s="31"/>
      <c r="AI462" s="31"/>
      <c r="AJ462" s="31"/>
      <c r="AK462" s="31"/>
      <c r="AL462" s="31"/>
      <c r="AM462" s="31"/>
      <c r="AN462" s="31"/>
      <c r="AO462" s="31"/>
      <c r="AP462" s="31"/>
      <c r="AQ462" s="31"/>
      <c r="AR462" s="31"/>
      <c r="AS462" s="31"/>
    </row>
    <row r="463" spans="1:45" ht="13.5" customHeight="1">
      <c r="A463" s="31"/>
      <c r="B463" s="31"/>
      <c r="C463" s="31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1"/>
      <c r="AA463" s="31"/>
      <c r="AB463" s="31"/>
      <c r="AC463" s="31"/>
      <c r="AD463" s="31"/>
      <c r="AE463" s="31"/>
      <c r="AF463" s="31"/>
      <c r="AG463" s="31"/>
      <c r="AH463" s="31"/>
      <c r="AI463" s="31"/>
      <c r="AJ463" s="31"/>
      <c r="AK463" s="31"/>
      <c r="AL463" s="31"/>
      <c r="AM463" s="31"/>
      <c r="AN463" s="31"/>
      <c r="AO463" s="31"/>
      <c r="AP463" s="31"/>
      <c r="AQ463" s="31"/>
      <c r="AR463" s="31"/>
      <c r="AS463" s="31"/>
    </row>
    <row r="464" spans="1:45" ht="13.5" customHeight="1">
      <c r="A464" s="31"/>
      <c r="B464" s="31"/>
      <c r="C464" s="31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1"/>
      <c r="AA464" s="31"/>
      <c r="AB464" s="31"/>
      <c r="AC464" s="31"/>
      <c r="AD464" s="31"/>
      <c r="AE464" s="31"/>
      <c r="AF464" s="31"/>
      <c r="AG464" s="31"/>
      <c r="AH464" s="31"/>
      <c r="AI464" s="31"/>
      <c r="AJ464" s="31"/>
      <c r="AK464" s="31"/>
      <c r="AL464" s="31"/>
      <c r="AM464" s="31"/>
      <c r="AN464" s="31"/>
      <c r="AO464" s="31"/>
      <c r="AP464" s="31"/>
      <c r="AQ464" s="31"/>
      <c r="AR464" s="31"/>
      <c r="AS464" s="31"/>
    </row>
    <row r="465" spans="1:45" ht="13.5" customHeight="1">
      <c r="A465" s="31"/>
      <c r="B465" s="31"/>
      <c r="C465" s="31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1"/>
      <c r="AA465" s="31"/>
      <c r="AB465" s="31"/>
      <c r="AC465" s="31"/>
      <c r="AD465" s="31"/>
      <c r="AE465" s="31"/>
      <c r="AF465" s="31"/>
      <c r="AG465" s="31"/>
      <c r="AH465" s="31"/>
      <c r="AI465" s="31"/>
      <c r="AJ465" s="31"/>
      <c r="AK465" s="31"/>
      <c r="AL465" s="31"/>
      <c r="AM465" s="31"/>
      <c r="AN465" s="31"/>
      <c r="AO465" s="31"/>
      <c r="AP465" s="31"/>
      <c r="AQ465" s="31"/>
      <c r="AR465" s="31"/>
      <c r="AS465" s="31"/>
    </row>
    <row r="466" spans="1:45" ht="13.5" customHeight="1">
      <c r="A466" s="31"/>
      <c r="B466" s="31"/>
      <c r="C466" s="31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1"/>
      <c r="AA466" s="31"/>
      <c r="AB466" s="31"/>
      <c r="AC466" s="31"/>
      <c r="AD466" s="31"/>
      <c r="AE466" s="31"/>
      <c r="AF466" s="31"/>
      <c r="AG466" s="31"/>
      <c r="AH466" s="31"/>
      <c r="AI466" s="31"/>
      <c r="AJ466" s="31"/>
      <c r="AK466" s="31"/>
      <c r="AL466" s="31"/>
      <c r="AM466" s="31"/>
      <c r="AN466" s="31"/>
      <c r="AO466" s="31"/>
      <c r="AP466" s="31"/>
      <c r="AQ466" s="31"/>
      <c r="AR466" s="31"/>
      <c r="AS466" s="31"/>
    </row>
    <row r="467" spans="1:45" ht="13.5" customHeight="1">
      <c r="A467" s="31"/>
      <c r="B467" s="31"/>
      <c r="C467" s="31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1"/>
      <c r="AA467" s="31"/>
      <c r="AB467" s="31"/>
      <c r="AC467" s="31"/>
      <c r="AD467" s="31"/>
      <c r="AE467" s="31"/>
      <c r="AF467" s="31"/>
      <c r="AG467" s="31"/>
      <c r="AH467" s="31"/>
      <c r="AI467" s="31"/>
      <c r="AJ467" s="31"/>
      <c r="AK467" s="31"/>
      <c r="AL467" s="31"/>
      <c r="AM467" s="31"/>
      <c r="AN467" s="31"/>
      <c r="AO467" s="31"/>
      <c r="AP467" s="31"/>
      <c r="AQ467" s="31"/>
      <c r="AR467" s="31"/>
      <c r="AS467" s="31"/>
    </row>
    <row r="468" spans="1:45" ht="13.5" customHeight="1">
      <c r="A468" s="31"/>
      <c r="B468" s="31"/>
      <c r="C468" s="31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1"/>
      <c r="AA468" s="31"/>
      <c r="AB468" s="31"/>
      <c r="AC468" s="31"/>
      <c r="AD468" s="31"/>
      <c r="AE468" s="31"/>
      <c r="AF468" s="31"/>
      <c r="AG468" s="31"/>
      <c r="AH468" s="31"/>
      <c r="AI468" s="31"/>
      <c r="AJ468" s="31"/>
      <c r="AK468" s="31"/>
      <c r="AL468" s="31"/>
      <c r="AM468" s="31"/>
      <c r="AN468" s="31"/>
      <c r="AO468" s="31"/>
      <c r="AP468" s="31"/>
      <c r="AQ468" s="31"/>
      <c r="AR468" s="31"/>
      <c r="AS468" s="31"/>
    </row>
    <row r="469" spans="1:45" ht="13.5" customHeight="1">
      <c r="A469" s="31"/>
      <c r="B469" s="31"/>
      <c r="C469" s="31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1"/>
      <c r="AA469" s="31"/>
      <c r="AB469" s="31"/>
      <c r="AC469" s="31"/>
      <c r="AD469" s="31"/>
      <c r="AE469" s="31"/>
      <c r="AF469" s="31"/>
      <c r="AG469" s="31"/>
      <c r="AH469" s="31"/>
      <c r="AI469" s="31"/>
      <c r="AJ469" s="31"/>
      <c r="AK469" s="31"/>
      <c r="AL469" s="31"/>
      <c r="AM469" s="31"/>
      <c r="AN469" s="31"/>
      <c r="AO469" s="31"/>
      <c r="AP469" s="31"/>
      <c r="AQ469" s="31"/>
      <c r="AR469" s="31"/>
      <c r="AS469" s="31"/>
    </row>
    <row r="470" spans="1:45" ht="13.5" customHeight="1">
      <c r="A470" s="31"/>
      <c r="B470" s="31"/>
      <c r="C470" s="31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1"/>
      <c r="AA470" s="31"/>
      <c r="AB470" s="31"/>
      <c r="AC470" s="31"/>
      <c r="AD470" s="31"/>
      <c r="AE470" s="31"/>
      <c r="AF470" s="31"/>
      <c r="AG470" s="31"/>
      <c r="AH470" s="31"/>
      <c r="AI470" s="31"/>
      <c r="AJ470" s="31"/>
      <c r="AK470" s="31"/>
      <c r="AL470" s="31"/>
      <c r="AM470" s="31"/>
      <c r="AN470" s="31"/>
      <c r="AO470" s="31"/>
      <c r="AP470" s="31"/>
      <c r="AQ470" s="31"/>
      <c r="AR470" s="31"/>
      <c r="AS470" s="31"/>
    </row>
    <row r="471" spans="1:45" ht="13.5" customHeight="1">
      <c r="A471" s="31"/>
      <c r="B471" s="31"/>
      <c r="C471" s="31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1"/>
      <c r="AA471" s="31"/>
      <c r="AB471" s="31"/>
      <c r="AC471" s="31"/>
      <c r="AD471" s="31"/>
      <c r="AE471" s="31"/>
      <c r="AF471" s="31"/>
      <c r="AG471" s="31"/>
      <c r="AH471" s="31"/>
      <c r="AI471" s="31"/>
      <c r="AJ471" s="31"/>
      <c r="AK471" s="31"/>
      <c r="AL471" s="31"/>
      <c r="AM471" s="31"/>
      <c r="AN471" s="31"/>
      <c r="AO471" s="31"/>
      <c r="AP471" s="31"/>
      <c r="AQ471" s="31"/>
      <c r="AR471" s="31"/>
      <c r="AS471" s="31"/>
    </row>
    <row r="472" spans="1:45" ht="13.5" customHeight="1">
      <c r="A472" s="31"/>
      <c r="B472" s="31"/>
      <c r="C472" s="31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1"/>
      <c r="AA472" s="31"/>
      <c r="AB472" s="31"/>
      <c r="AC472" s="31"/>
      <c r="AD472" s="31"/>
      <c r="AE472" s="31"/>
      <c r="AF472" s="31"/>
      <c r="AG472" s="31"/>
      <c r="AH472" s="31"/>
      <c r="AI472" s="31"/>
      <c r="AJ472" s="31"/>
      <c r="AK472" s="31"/>
      <c r="AL472" s="31"/>
      <c r="AM472" s="31"/>
      <c r="AN472" s="31"/>
      <c r="AO472" s="31"/>
      <c r="AP472" s="31"/>
      <c r="AQ472" s="31"/>
      <c r="AR472" s="31"/>
      <c r="AS472" s="31"/>
    </row>
    <row r="473" spans="1:45" ht="13.5" customHeight="1">
      <c r="A473" s="31"/>
      <c r="B473" s="31"/>
      <c r="C473" s="31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1"/>
      <c r="AA473" s="31"/>
      <c r="AB473" s="31"/>
      <c r="AC473" s="31"/>
      <c r="AD473" s="31"/>
      <c r="AE473" s="31"/>
      <c r="AF473" s="31"/>
      <c r="AG473" s="31"/>
      <c r="AH473" s="31"/>
      <c r="AI473" s="31"/>
      <c r="AJ473" s="31"/>
      <c r="AK473" s="31"/>
      <c r="AL473" s="31"/>
      <c r="AM473" s="31"/>
      <c r="AN473" s="31"/>
      <c r="AO473" s="31"/>
      <c r="AP473" s="31"/>
      <c r="AQ473" s="31"/>
      <c r="AR473" s="31"/>
      <c r="AS473" s="31"/>
    </row>
    <row r="474" spans="1:45" ht="13.5" customHeight="1">
      <c r="A474" s="31"/>
      <c r="B474" s="31"/>
      <c r="C474" s="31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1"/>
      <c r="AA474" s="31"/>
      <c r="AB474" s="31"/>
      <c r="AC474" s="31"/>
      <c r="AD474" s="31"/>
      <c r="AE474" s="31"/>
      <c r="AF474" s="31"/>
      <c r="AG474" s="31"/>
      <c r="AH474" s="31"/>
      <c r="AI474" s="31"/>
      <c r="AJ474" s="31"/>
      <c r="AK474" s="31"/>
      <c r="AL474" s="31"/>
      <c r="AM474" s="31"/>
      <c r="AN474" s="31"/>
      <c r="AO474" s="31"/>
      <c r="AP474" s="31"/>
      <c r="AQ474" s="31"/>
      <c r="AR474" s="31"/>
      <c r="AS474" s="31"/>
    </row>
    <row r="475" spans="1:45" ht="13.5" customHeight="1">
      <c r="A475" s="31"/>
      <c r="B475" s="31"/>
      <c r="C475" s="31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1"/>
      <c r="AA475" s="31"/>
      <c r="AB475" s="31"/>
      <c r="AC475" s="31"/>
      <c r="AD475" s="31"/>
      <c r="AE475" s="31"/>
      <c r="AF475" s="31"/>
      <c r="AG475" s="31"/>
      <c r="AH475" s="31"/>
      <c r="AI475" s="31"/>
      <c r="AJ475" s="31"/>
      <c r="AK475" s="31"/>
      <c r="AL475" s="31"/>
      <c r="AM475" s="31"/>
      <c r="AN475" s="31"/>
      <c r="AO475" s="31"/>
      <c r="AP475" s="31"/>
      <c r="AQ475" s="31"/>
      <c r="AR475" s="31"/>
      <c r="AS475" s="31"/>
    </row>
    <row r="476" spans="1:45" ht="13.5" customHeight="1">
      <c r="A476" s="31"/>
      <c r="B476" s="31"/>
      <c r="C476" s="31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1"/>
      <c r="AA476" s="31"/>
      <c r="AB476" s="31"/>
      <c r="AC476" s="31"/>
      <c r="AD476" s="31"/>
      <c r="AE476" s="31"/>
      <c r="AF476" s="31"/>
      <c r="AG476" s="31"/>
      <c r="AH476" s="31"/>
      <c r="AI476" s="31"/>
      <c r="AJ476" s="31"/>
      <c r="AK476" s="31"/>
      <c r="AL476" s="31"/>
      <c r="AM476" s="31"/>
      <c r="AN476" s="31"/>
      <c r="AO476" s="31"/>
      <c r="AP476" s="31"/>
      <c r="AQ476" s="31"/>
      <c r="AR476" s="31"/>
      <c r="AS476" s="31"/>
    </row>
    <row r="477" spans="1:45" ht="13.5" customHeight="1">
      <c r="A477" s="31"/>
      <c r="B477" s="31"/>
      <c r="C477" s="31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1"/>
      <c r="AA477" s="31"/>
      <c r="AB477" s="31"/>
      <c r="AC477" s="31"/>
      <c r="AD477" s="31"/>
      <c r="AE477" s="31"/>
      <c r="AF477" s="31"/>
      <c r="AG477" s="31"/>
      <c r="AH477" s="31"/>
      <c r="AI477" s="31"/>
      <c r="AJ477" s="31"/>
      <c r="AK477" s="31"/>
      <c r="AL477" s="31"/>
      <c r="AM477" s="31"/>
      <c r="AN477" s="31"/>
      <c r="AO477" s="31"/>
      <c r="AP477" s="31"/>
      <c r="AQ477" s="31"/>
      <c r="AR477" s="31"/>
      <c r="AS477" s="31"/>
    </row>
    <row r="478" spans="1:45" ht="13.5" customHeight="1">
      <c r="A478" s="31"/>
      <c r="B478" s="31"/>
      <c r="C478" s="31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1"/>
      <c r="AA478" s="31"/>
      <c r="AB478" s="31"/>
      <c r="AC478" s="31"/>
      <c r="AD478" s="31"/>
      <c r="AE478" s="31"/>
      <c r="AF478" s="31"/>
      <c r="AG478" s="31"/>
      <c r="AH478" s="31"/>
      <c r="AI478" s="31"/>
      <c r="AJ478" s="31"/>
      <c r="AK478" s="31"/>
      <c r="AL478" s="31"/>
      <c r="AM478" s="31"/>
      <c r="AN478" s="31"/>
      <c r="AO478" s="31"/>
      <c r="AP478" s="31"/>
      <c r="AQ478" s="31"/>
      <c r="AR478" s="31"/>
      <c r="AS478" s="31"/>
    </row>
    <row r="479" spans="1:45" ht="13.5" customHeight="1">
      <c r="A479" s="31"/>
      <c r="B479" s="31"/>
      <c r="C479" s="31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1"/>
      <c r="AA479" s="31"/>
      <c r="AB479" s="31"/>
      <c r="AC479" s="31"/>
      <c r="AD479" s="31"/>
      <c r="AE479" s="31"/>
      <c r="AF479" s="31"/>
      <c r="AG479" s="31"/>
      <c r="AH479" s="31"/>
      <c r="AI479" s="31"/>
      <c r="AJ479" s="31"/>
      <c r="AK479" s="31"/>
      <c r="AL479" s="31"/>
      <c r="AM479" s="31"/>
      <c r="AN479" s="31"/>
      <c r="AO479" s="31"/>
      <c r="AP479" s="31"/>
      <c r="AQ479" s="31"/>
      <c r="AR479" s="31"/>
      <c r="AS479" s="31"/>
    </row>
    <row r="480" spans="1:45" ht="13.5" customHeight="1">
      <c r="A480" s="31"/>
      <c r="B480" s="31"/>
      <c r="C480" s="31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1"/>
      <c r="AA480" s="31"/>
      <c r="AB480" s="31"/>
      <c r="AC480" s="31"/>
      <c r="AD480" s="31"/>
      <c r="AE480" s="31"/>
      <c r="AF480" s="31"/>
      <c r="AG480" s="31"/>
      <c r="AH480" s="31"/>
      <c r="AI480" s="31"/>
      <c r="AJ480" s="31"/>
      <c r="AK480" s="31"/>
      <c r="AL480" s="31"/>
      <c r="AM480" s="31"/>
      <c r="AN480" s="31"/>
      <c r="AO480" s="31"/>
      <c r="AP480" s="31"/>
      <c r="AQ480" s="31"/>
      <c r="AR480" s="31"/>
      <c r="AS480" s="31"/>
    </row>
    <row r="481" spans="1:45" ht="13.5" customHeight="1">
      <c r="A481" s="31"/>
      <c r="B481" s="31"/>
      <c r="C481" s="31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1"/>
      <c r="AA481" s="31"/>
      <c r="AB481" s="31"/>
      <c r="AC481" s="31"/>
      <c r="AD481" s="31"/>
      <c r="AE481" s="31"/>
      <c r="AF481" s="31"/>
      <c r="AG481" s="31"/>
      <c r="AH481" s="31"/>
      <c r="AI481" s="31"/>
      <c r="AJ481" s="31"/>
      <c r="AK481" s="31"/>
      <c r="AL481" s="31"/>
      <c r="AM481" s="31"/>
      <c r="AN481" s="31"/>
      <c r="AO481" s="31"/>
      <c r="AP481" s="31"/>
      <c r="AQ481" s="31"/>
      <c r="AR481" s="31"/>
      <c r="AS481" s="31"/>
    </row>
    <row r="482" spans="1:45" ht="13.5" customHeight="1">
      <c r="A482" s="31"/>
      <c r="B482" s="31"/>
      <c r="C482" s="31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1"/>
      <c r="AA482" s="31"/>
      <c r="AB482" s="31"/>
      <c r="AC482" s="31"/>
      <c r="AD482" s="31"/>
      <c r="AE482" s="31"/>
      <c r="AF482" s="31"/>
      <c r="AG482" s="31"/>
      <c r="AH482" s="31"/>
      <c r="AI482" s="31"/>
      <c r="AJ482" s="31"/>
      <c r="AK482" s="31"/>
      <c r="AL482" s="31"/>
      <c r="AM482" s="31"/>
      <c r="AN482" s="31"/>
      <c r="AO482" s="31"/>
      <c r="AP482" s="31"/>
      <c r="AQ482" s="31"/>
      <c r="AR482" s="31"/>
      <c r="AS482" s="31"/>
    </row>
    <row r="483" spans="1:45" ht="13.5" customHeight="1">
      <c r="A483" s="31"/>
      <c r="B483" s="31"/>
      <c r="C483" s="31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1"/>
      <c r="AA483" s="31"/>
      <c r="AB483" s="31"/>
      <c r="AC483" s="31"/>
      <c r="AD483" s="31"/>
      <c r="AE483" s="31"/>
      <c r="AF483" s="31"/>
      <c r="AG483" s="31"/>
      <c r="AH483" s="31"/>
      <c r="AI483" s="31"/>
      <c r="AJ483" s="31"/>
      <c r="AK483" s="31"/>
      <c r="AL483" s="31"/>
      <c r="AM483" s="31"/>
      <c r="AN483" s="31"/>
      <c r="AO483" s="31"/>
      <c r="AP483" s="31"/>
      <c r="AQ483" s="31"/>
      <c r="AR483" s="31"/>
      <c r="AS483" s="31"/>
    </row>
    <row r="484" spans="1:45" ht="13.5" customHeight="1">
      <c r="A484" s="31"/>
      <c r="B484" s="31"/>
      <c r="C484" s="31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1"/>
      <c r="AA484" s="31"/>
      <c r="AB484" s="31"/>
      <c r="AC484" s="31"/>
      <c r="AD484" s="31"/>
      <c r="AE484" s="31"/>
      <c r="AF484" s="31"/>
      <c r="AG484" s="31"/>
      <c r="AH484" s="31"/>
      <c r="AI484" s="31"/>
      <c r="AJ484" s="31"/>
      <c r="AK484" s="31"/>
      <c r="AL484" s="31"/>
      <c r="AM484" s="31"/>
      <c r="AN484" s="31"/>
      <c r="AO484" s="31"/>
      <c r="AP484" s="31"/>
      <c r="AQ484" s="31"/>
      <c r="AR484" s="31"/>
      <c r="AS484" s="31"/>
    </row>
    <row r="485" spans="1:45" ht="13.5" customHeight="1">
      <c r="A485" s="31"/>
      <c r="B485" s="31"/>
      <c r="C485" s="31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1"/>
      <c r="AA485" s="31"/>
      <c r="AB485" s="31"/>
      <c r="AC485" s="31"/>
      <c r="AD485" s="31"/>
      <c r="AE485" s="31"/>
      <c r="AF485" s="31"/>
      <c r="AG485" s="31"/>
      <c r="AH485" s="31"/>
      <c r="AI485" s="31"/>
      <c r="AJ485" s="31"/>
      <c r="AK485" s="31"/>
      <c r="AL485" s="31"/>
      <c r="AM485" s="31"/>
      <c r="AN485" s="31"/>
      <c r="AO485" s="31"/>
      <c r="AP485" s="31"/>
      <c r="AQ485" s="31"/>
      <c r="AR485" s="31"/>
      <c r="AS485" s="31"/>
    </row>
    <row r="486" spans="1:45" ht="13.5" customHeight="1">
      <c r="A486" s="31"/>
      <c r="B486" s="31"/>
      <c r="C486" s="31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1"/>
      <c r="AA486" s="31"/>
      <c r="AB486" s="31"/>
      <c r="AC486" s="31"/>
      <c r="AD486" s="31"/>
      <c r="AE486" s="31"/>
      <c r="AF486" s="31"/>
      <c r="AG486" s="31"/>
      <c r="AH486" s="31"/>
      <c r="AI486" s="31"/>
      <c r="AJ486" s="31"/>
      <c r="AK486" s="31"/>
      <c r="AL486" s="31"/>
      <c r="AM486" s="31"/>
      <c r="AN486" s="31"/>
      <c r="AO486" s="31"/>
      <c r="AP486" s="31"/>
      <c r="AQ486" s="31"/>
      <c r="AR486" s="31"/>
      <c r="AS486" s="31"/>
    </row>
    <row r="487" spans="1:45" ht="13.5" customHeight="1">
      <c r="A487" s="31"/>
      <c r="B487" s="31"/>
      <c r="C487" s="31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1"/>
      <c r="AA487" s="31"/>
      <c r="AB487" s="31"/>
      <c r="AC487" s="31"/>
      <c r="AD487" s="31"/>
      <c r="AE487" s="31"/>
      <c r="AF487" s="31"/>
      <c r="AG487" s="31"/>
      <c r="AH487" s="31"/>
      <c r="AI487" s="31"/>
      <c r="AJ487" s="31"/>
      <c r="AK487" s="31"/>
      <c r="AL487" s="31"/>
      <c r="AM487" s="31"/>
      <c r="AN487" s="31"/>
      <c r="AO487" s="31"/>
      <c r="AP487" s="31"/>
      <c r="AQ487" s="31"/>
      <c r="AR487" s="31"/>
      <c r="AS487" s="31"/>
    </row>
    <row r="488" spans="1:45" ht="13.5" customHeight="1">
      <c r="A488" s="31"/>
      <c r="B488" s="31"/>
      <c r="C488" s="31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1"/>
      <c r="AA488" s="31"/>
      <c r="AB488" s="31"/>
      <c r="AC488" s="31"/>
      <c r="AD488" s="31"/>
      <c r="AE488" s="31"/>
      <c r="AF488" s="31"/>
      <c r="AG488" s="31"/>
      <c r="AH488" s="31"/>
      <c r="AI488" s="31"/>
      <c r="AJ488" s="31"/>
      <c r="AK488" s="31"/>
      <c r="AL488" s="31"/>
      <c r="AM488" s="31"/>
      <c r="AN488" s="31"/>
      <c r="AO488" s="31"/>
      <c r="AP488" s="31"/>
      <c r="AQ488" s="31"/>
      <c r="AR488" s="31"/>
      <c r="AS488" s="31"/>
    </row>
    <row r="489" spans="1:45" ht="13.5" customHeight="1">
      <c r="A489" s="31"/>
      <c r="B489" s="31"/>
      <c r="C489" s="31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1"/>
      <c r="AA489" s="31"/>
      <c r="AB489" s="31"/>
      <c r="AC489" s="31"/>
      <c r="AD489" s="31"/>
      <c r="AE489" s="31"/>
      <c r="AF489" s="31"/>
      <c r="AG489" s="31"/>
      <c r="AH489" s="31"/>
      <c r="AI489" s="31"/>
      <c r="AJ489" s="31"/>
      <c r="AK489" s="31"/>
      <c r="AL489" s="31"/>
      <c r="AM489" s="31"/>
      <c r="AN489" s="31"/>
      <c r="AO489" s="31"/>
      <c r="AP489" s="31"/>
      <c r="AQ489" s="31"/>
      <c r="AR489" s="31"/>
      <c r="AS489" s="31"/>
    </row>
    <row r="490" spans="1:45" ht="13.5" customHeight="1">
      <c r="A490" s="31"/>
      <c r="B490" s="31"/>
      <c r="C490" s="31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1"/>
      <c r="AA490" s="31"/>
      <c r="AB490" s="31"/>
      <c r="AC490" s="31"/>
      <c r="AD490" s="31"/>
      <c r="AE490" s="31"/>
      <c r="AF490" s="31"/>
      <c r="AG490" s="31"/>
      <c r="AH490" s="31"/>
      <c r="AI490" s="31"/>
      <c r="AJ490" s="31"/>
      <c r="AK490" s="31"/>
      <c r="AL490" s="31"/>
      <c r="AM490" s="31"/>
      <c r="AN490" s="31"/>
      <c r="AO490" s="31"/>
      <c r="AP490" s="31"/>
      <c r="AQ490" s="31"/>
      <c r="AR490" s="31"/>
      <c r="AS490" s="31"/>
    </row>
    <row r="491" spans="1:45" ht="13.5" customHeight="1">
      <c r="A491" s="31"/>
      <c r="B491" s="31"/>
      <c r="C491" s="31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1"/>
      <c r="AA491" s="31"/>
      <c r="AB491" s="31"/>
      <c r="AC491" s="31"/>
      <c r="AD491" s="31"/>
      <c r="AE491" s="31"/>
      <c r="AF491" s="31"/>
      <c r="AG491" s="31"/>
      <c r="AH491" s="31"/>
      <c r="AI491" s="31"/>
      <c r="AJ491" s="31"/>
      <c r="AK491" s="31"/>
      <c r="AL491" s="31"/>
      <c r="AM491" s="31"/>
      <c r="AN491" s="31"/>
      <c r="AO491" s="31"/>
      <c r="AP491" s="31"/>
      <c r="AQ491" s="31"/>
      <c r="AR491" s="31"/>
      <c r="AS491" s="31"/>
    </row>
    <row r="492" spans="1:45" ht="13.5" customHeight="1">
      <c r="A492" s="31"/>
      <c r="B492" s="31"/>
      <c r="C492" s="31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1"/>
      <c r="AA492" s="31"/>
      <c r="AB492" s="31"/>
      <c r="AC492" s="31"/>
      <c r="AD492" s="31"/>
      <c r="AE492" s="31"/>
      <c r="AF492" s="31"/>
      <c r="AG492" s="31"/>
      <c r="AH492" s="31"/>
      <c r="AI492" s="31"/>
      <c r="AJ492" s="31"/>
      <c r="AK492" s="31"/>
      <c r="AL492" s="31"/>
      <c r="AM492" s="31"/>
      <c r="AN492" s="31"/>
      <c r="AO492" s="31"/>
      <c r="AP492" s="31"/>
      <c r="AQ492" s="31"/>
      <c r="AR492" s="31"/>
      <c r="AS492" s="31"/>
    </row>
    <row r="493" spans="1:45" ht="13.5" customHeight="1">
      <c r="A493" s="31"/>
      <c r="B493" s="31"/>
      <c r="C493" s="31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1"/>
      <c r="AA493" s="31"/>
      <c r="AB493" s="31"/>
      <c r="AC493" s="31"/>
      <c r="AD493" s="31"/>
      <c r="AE493" s="31"/>
      <c r="AF493" s="31"/>
      <c r="AG493" s="31"/>
      <c r="AH493" s="31"/>
      <c r="AI493" s="31"/>
      <c r="AJ493" s="31"/>
      <c r="AK493" s="31"/>
      <c r="AL493" s="31"/>
      <c r="AM493" s="31"/>
      <c r="AN493" s="31"/>
      <c r="AO493" s="31"/>
      <c r="AP493" s="31"/>
      <c r="AQ493" s="31"/>
      <c r="AR493" s="31"/>
      <c r="AS493" s="31"/>
    </row>
    <row r="494" spans="1:45" ht="13.5" customHeight="1">
      <c r="A494" s="31"/>
      <c r="B494" s="31"/>
      <c r="C494" s="31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1"/>
      <c r="AA494" s="31"/>
      <c r="AB494" s="31"/>
      <c r="AC494" s="31"/>
      <c r="AD494" s="31"/>
      <c r="AE494" s="31"/>
      <c r="AF494" s="31"/>
      <c r="AG494" s="31"/>
      <c r="AH494" s="31"/>
      <c r="AI494" s="31"/>
      <c r="AJ494" s="31"/>
      <c r="AK494" s="31"/>
      <c r="AL494" s="31"/>
      <c r="AM494" s="31"/>
      <c r="AN494" s="31"/>
      <c r="AO494" s="31"/>
      <c r="AP494" s="31"/>
      <c r="AQ494" s="31"/>
      <c r="AR494" s="31"/>
      <c r="AS494" s="31"/>
    </row>
    <row r="495" spans="1:45" ht="13.5" customHeight="1">
      <c r="A495" s="31"/>
      <c r="B495" s="31"/>
      <c r="C495" s="31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1"/>
      <c r="AA495" s="31"/>
      <c r="AB495" s="31"/>
      <c r="AC495" s="31"/>
      <c r="AD495" s="31"/>
      <c r="AE495" s="31"/>
      <c r="AF495" s="31"/>
      <c r="AG495" s="31"/>
      <c r="AH495" s="31"/>
      <c r="AI495" s="31"/>
      <c r="AJ495" s="31"/>
      <c r="AK495" s="31"/>
      <c r="AL495" s="31"/>
      <c r="AM495" s="31"/>
      <c r="AN495" s="31"/>
      <c r="AO495" s="31"/>
      <c r="AP495" s="31"/>
      <c r="AQ495" s="31"/>
      <c r="AR495" s="31"/>
      <c r="AS495" s="31"/>
    </row>
    <row r="496" spans="1:45" ht="13.5" customHeight="1">
      <c r="A496" s="31"/>
      <c r="B496" s="31"/>
      <c r="C496" s="31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1"/>
      <c r="AA496" s="31"/>
      <c r="AB496" s="31"/>
      <c r="AC496" s="31"/>
      <c r="AD496" s="31"/>
      <c r="AE496" s="31"/>
      <c r="AF496" s="31"/>
      <c r="AG496" s="31"/>
      <c r="AH496" s="31"/>
      <c r="AI496" s="31"/>
      <c r="AJ496" s="31"/>
      <c r="AK496" s="31"/>
      <c r="AL496" s="31"/>
      <c r="AM496" s="31"/>
      <c r="AN496" s="31"/>
      <c r="AO496" s="31"/>
      <c r="AP496" s="31"/>
      <c r="AQ496" s="31"/>
      <c r="AR496" s="31"/>
      <c r="AS496" s="31"/>
    </row>
    <row r="497" spans="1:45" ht="13.5" customHeight="1">
      <c r="A497" s="31"/>
      <c r="B497" s="31"/>
      <c r="C497" s="31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1"/>
      <c r="AA497" s="31"/>
      <c r="AB497" s="31"/>
      <c r="AC497" s="31"/>
      <c r="AD497" s="31"/>
      <c r="AE497" s="31"/>
      <c r="AF497" s="31"/>
      <c r="AG497" s="31"/>
      <c r="AH497" s="31"/>
      <c r="AI497" s="31"/>
      <c r="AJ497" s="31"/>
      <c r="AK497" s="31"/>
      <c r="AL497" s="31"/>
      <c r="AM497" s="31"/>
      <c r="AN497" s="31"/>
      <c r="AO497" s="31"/>
      <c r="AP497" s="31"/>
      <c r="AQ497" s="31"/>
      <c r="AR497" s="31"/>
      <c r="AS497" s="31"/>
    </row>
    <row r="498" spans="1:45" ht="13.5" customHeight="1">
      <c r="A498" s="31"/>
      <c r="B498" s="31"/>
      <c r="C498" s="31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1"/>
      <c r="AA498" s="31"/>
      <c r="AB498" s="31"/>
      <c r="AC498" s="31"/>
      <c r="AD498" s="31"/>
      <c r="AE498" s="31"/>
      <c r="AF498" s="31"/>
      <c r="AG498" s="31"/>
      <c r="AH498" s="31"/>
      <c r="AI498" s="31"/>
      <c r="AJ498" s="31"/>
      <c r="AK498" s="31"/>
      <c r="AL498" s="31"/>
      <c r="AM498" s="31"/>
      <c r="AN498" s="31"/>
      <c r="AO498" s="31"/>
      <c r="AP498" s="31"/>
      <c r="AQ498" s="31"/>
      <c r="AR498" s="31"/>
      <c r="AS498" s="31"/>
    </row>
    <row r="499" spans="1:45" ht="13.5" customHeight="1">
      <c r="A499" s="31"/>
      <c r="B499" s="31"/>
      <c r="C499" s="31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1"/>
      <c r="AA499" s="31"/>
      <c r="AB499" s="31"/>
      <c r="AC499" s="31"/>
      <c r="AD499" s="31"/>
      <c r="AE499" s="31"/>
      <c r="AF499" s="31"/>
      <c r="AG499" s="31"/>
      <c r="AH499" s="31"/>
      <c r="AI499" s="31"/>
      <c r="AJ499" s="31"/>
      <c r="AK499" s="31"/>
      <c r="AL499" s="31"/>
      <c r="AM499" s="31"/>
      <c r="AN499" s="31"/>
      <c r="AO499" s="31"/>
      <c r="AP499" s="31"/>
      <c r="AQ499" s="31"/>
      <c r="AR499" s="31"/>
      <c r="AS499" s="31"/>
    </row>
    <row r="500" spans="1:45" ht="13.5" customHeight="1">
      <c r="A500" s="31"/>
      <c r="B500" s="31"/>
      <c r="C500" s="31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1"/>
      <c r="AA500" s="31"/>
      <c r="AB500" s="31"/>
      <c r="AC500" s="31"/>
      <c r="AD500" s="31"/>
      <c r="AE500" s="31"/>
      <c r="AF500" s="31"/>
      <c r="AG500" s="31"/>
      <c r="AH500" s="31"/>
      <c r="AI500" s="31"/>
      <c r="AJ500" s="31"/>
      <c r="AK500" s="31"/>
      <c r="AL500" s="31"/>
      <c r="AM500" s="31"/>
      <c r="AN500" s="31"/>
      <c r="AO500" s="31"/>
      <c r="AP500" s="31"/>
      <c r="AQ500" s="31"/>
      <c r="AR500" s="31"/>
      <c r="AS500" s="31"/>
    </row>
    <row r="501" spans="1:45" ht="13.5" customHeight="1">
      <c r="A501" s="31"/>
      <c r="B501" s="31"/>
      <c r="C501" s="31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1"/>
      <c r="AA501" s="31"/>
      <c r="AB501" s="31"/>
      <c r="AC501" s="31"/>
      <c r="AD501" s="31"/>
      <c r="AE501" s="31"/>
      <c r="AF501" s="31"/>
      <c r="AG501" s="31"/>
      <c r="AH501" s="31"/>
      <c r="AI501" s="31"/>
      <c r="AJ501" s="31"/>
      <c r="AK501" s="31"/>
      <c r="AL501" s="31"/>
      <c r="AM501" s="31"/>
      <c r="AN501" s="31"/>
      <c r="AO501" s="31"/>
      <c r="AP501" s="31"/>
      <c r="AQ501" s="31"/>
      <c r="AR501" s="31"/>
      <c r="AS501" s="31"/>
    </row>
    <row r="502" spans="1:45" ht="13.5" customHeight="1">
      <c r="A502" s="31"/>
      <c r="B502" s="31"/>
      <c r="C502" s="31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1"/>
      <c r="AA502" s="31"/>
      <c r="AB502" s="31"/>
      <c r="AC502" s="31"/>
      <c r="AD502" s="31"/>
      <c r="AE502" s="31"/>
      <c r="AF502" s="31"/>
      <c r="AG502" s="31"/>
      <c r="AH502" s="31"/>
      <c r="AI502" s="31"/>
      <c r="AJ502" s="31"/>
      <c r="AK502" s="31"/>
      <c r="AL502" s="31"/>
      <c r="AM502" s="31"/>
      <c r="AN502" s="31"/>
      <c r="AO502" s="31"/>
      <c r="AP502" s="31"/>
      <c r="AQ502" s="31"/>
      <c r="AR502" s="31"/>
      <c r="AS502" s="31"/>
    </row>
    <row r="503" spans="1:45" ht="13.5" customHeight="1">
      <c r="A503" s="31"/>
      <c r="B503" s="31"/>
      <c r="C503" s="31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1"/>
      <c r="AA503" s="31"/>
      <c r="AB503" s="31"/>
      <c r="AC503" s="31"/>
      <c r="AD503" s="31"/>
      <c r="AE503" s="31"/>
      <c r="AF503" s="31"/>
      <c r="AG503" s="31"/>
      <c r="AH503" s="31"/>
      <c r="AI503" s="31"/>
      <c r="AJ503" s="31"/>
      <c r="AK503" s="31"/>
      <c r="AL503" s="31"/>
      <c r="AM503" s="31"/>
      <c r="AN503" s="31"/>
      <c r="AO503" s="31"/>
      <c r="AP503" s="31"/>
      <c r="AQ503" s="31"/>
      <c r="AR503" s="31"/>
      <c r="AS503" s="31"/>
    </row>
    <row r="504" spans="1:45" ht="13.5" customHeight="1">
      <c r="A504" s="31"/>
      <c r="B504" s="31"/>
      <c r="C504" s="31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1"/>
      <c r="AA504" s="31"/>
      <c r="AB504" s="31"/>
      <c r="AC504" s="31"/>
      <c r="AD504" s="31"/>
      <c r="AE504" s="31"/>
      <c r="AF504" s="31"/>
      <c r="AG504" s="31"/>
      <c r="AH504" s="31"/>
      <c r="AI504" s="31"/>
      <c r="AJ504" s="31"/>
      <c r="AK504" s="31"/>
      <c r="AL504" s="31"/>
      <c r="AM504" s="31"/>
      <c r="AN504" s="31"/>
      <c r="AO504" s="31"/>
      <c r="AP504" s="31"/>
      <c r="AQ504" s="31"/>
      <c r="AR504" s="31"/>
      <c r="AS504" s="31"/>
    </row>
    <row r="505" spans="1:45" ht="13.5" customHeight="1">
      <c r="A505" s="31"/>
      <c r="B505" s="31"/>
      <c r="C505" s="31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1"/>
      <c r="AA505" s="31"/>
      <c r="AB505" s="31"/>
      <c r="AC505" s="31"/>
      <c r="AD505" s="31"/>
      <c r="AE505" s="31"/>
      <c r="AF505" s="31"/>
      <c r="AG505" s="31"/>
      <c r="AH505" s="31"/>
      <c r="AI505" s="31"/>
      <c r="AJ505" s="31"/>
      <c r="AK505" s="31"/>
      <c r="AL505" s="31"/>
      <c r="AM505" s="31"/>
      <c r="AN505" s="31"/>
      <c r="AO505" s="31"/>
      <c r="AP505" s="31"/>
      <c r="AQ505" s="31"/>
      <c r="AR505" s="31"/>
      <c r="AS505" s="31"/>
    </row>
    <row r="506" spans="1:45" ht="13.5" customHeight="1">
      <c r="A506" s="31"/>
      <c r="B506" s="31"/>
      <c r="C506" s="31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1"/>
      <c r="AA506" s="31"/>
      <c r="AB506" s="31"/>
      <c r="AC506" s="31"/>
      <c r="AD506" s="31"/>
      <c r="AE506" s="31"/>
      <c r="AF506" s="31"/>
      <c r="AG506" s="31"/>
      <c r="AH506" s="31"/>
      <c r="AI506" s="31"/>
      <c r="AJ506" s="31"/>
      <c r="AK506" s="31"/>
      <c r="AL506" s="31"/>
      <c r="AM506" s="31"/>
      <c r="AN506" s="31"/>
      <c r="AO506" s="31"/>
      <c r="AP506" s="31"/>
      <c r="AQ506" s="31"/>
      <c r="AR506" s="31"/>
      <c r="AS506" s="31"/>
    </row>
    <row r="507" spans="1:45" ht="13.5" customHeight="1">
      <c r="A507" s="31"/>
      <c r="B507" s="31"/>
      <c r="C507" s="31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1"/>
      <c r="AA507" s="31"/>
      <c r="AB507" s="31"/>
      <c r="AC507" s="31"/>
      <c r="AD507" s="31"/>
      <c r="AE507" s="31"/>
      <c r="AF507" s="31"/>
      <c r="AG507" s="31"/>
      <c r="AH507" s="31"/>
      <c r="AI507" s="31"/>
      <c r="AJ507" s="31"/>
      <c r="AK507" s="31"/>
      <c r="AL507" s="31"/>
      <c r="AM507" s="31"/>
      <c r="AN507" s="31"/>
      <c r="AO507" s="31"/>
      <c r="AP507" s="31"/>
      <c r="AQ507" s="31"/>
      <c r="AR507" s="31"/>
      <c r="AS507" s="31"/>
    </row>
    <row r="508" spans="1:45" ht="13.5" customHeight="1">
      <c r="A508" s="31"/>
      <c r="B508" s="31"/>
      <c r="C508" s="31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1"/>
      <c r="AA508" s="31"/>
      <c r="AB508" s="31"/>
      <c r="AC508" s="31"/>
      <c r="AD508" s="31"/>
      <c r="AE508" s="31"/>
      <c r="AF508" s="31"/>
      <c r="AG508" s="31"/>
      <c r="AH508" s="31"/>
      <c r="AI508" s="31"/>
      <c r="AJ508" s="31"/>
      <c r="AK508" s="31"/>
      <c r="AL508" s="31"/>
      <c r="AM508" s="31"/>
      <c r="AN508" s="31"/>
      <c r="AO508" s="31"/>
      <c r="AP508" s="31"/>
      <c r="AQ508" s="31"/>
      <c r="AR508" s="31"/>
      <c r="AS508" s="31"/>
    </row>
    <row r="509" spans="1:45" ht="13.5" customHeight="1">
      <c r="A509" s="31"/>
      <c r="B509" s="31"/>
      <c r="C509" s="31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1"/>
      <c r="AA509" s="31"/>
      <c r="AB509" s="31"/>
      <c r="AC509" s="31"/>
      <c r="AD509" s="31"/>
      <c r="AE509" s="31"/>
      <c r="AF509" s="31"/>
      <c r="AG509" s="31"/>
      <c r="AH509" s="31"/>
      <c r="AI509" s="31"/>
      <c r="AJ509" s="31"/>
      <c r="AK509" s="31"/>
      <c r="AL509" s="31"/>
      <c r="AM509" s="31"/>
      <c r="AN509" s="31"/>
      <c r="AO509" s="31"/>
      <c r="AP509" s="31"/>
      <c r="AQ509" s="31"/>
      <c r="AR509" s="31"/>
      <c r="AS509" s="31"/>
    </row>
    <row r="510" spans="1:45" ht="13.5" customHeight="1">
      <c r="A510" s="31"/>
      <c r="B510" s="31"/>
      <c r="C510" s="31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1"/>
      <c r="AA510" s="31"/>
      <c r="AB510" s="31"/>
      <c r="AC510" s="31"/>
      <c r="AD510" s="31"/>
      <c r="AE510" s="31"/>
      <c r="AF510" s="31"/>
      <c r="AG510" s="31"/>
      <c r="AH510" s="31"/>
      <c r="AI510" s="31"/>
      <c r="AJ510" s="31"/>
      <c r="AK510" s="31"/>
      <c r="AL510" s="31"/>
      <c r="AM510" s="31"/>
      <c r="AN510" s="31"/>
      <c r="AO510" s="31"/>
      <c r="AP510" s="31"/>
      <c r="AQ510" s="31"/>
      <c r="AR510" s="31"/>
      <c r="AS510" s="31"/>
    </row>
    <row r="511" spans="1:45" ht="13.5" customHeight="1">
      <c r="A511" s="31"/>
      <c r="B511" s="31"/>
      <c r="C511" s="31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1"/>
      <c r="AA511" s="31"/>
      <c r="AB511" s="31"/>
      <c r="AC511" s="31"/>
      <c r="AD511" s="31"/>
      <c r="AE511" s="31"/>
      <c r="AF511" s="31"/>
      <c r="AG511" s="31"/>
      <c r="AH511" s="31"/>
      <c r="AI511" s="31"/>
      <c r="AJ511" s="31"/>
      <c r="AK511" s="31"/>
      <c r="AL511" s="31"/>
      <c r="AM511" s="31"/>
      <c r="AN511" s="31"/>
      <c r="AO511" s="31"/>
      <c r="AP511" s="31"/>
      <c r="AQ511" s="31"/>
      <c r="AR511" s="31"/>
      <c r="AS511" s="31"/>
    </row>
    <row r="512" spans="1:45" ht="13.5" customHeight="1">
      <c r="A512" s="31"/>
      <c r="B512" s="31"/>
      <c r="C512" s="31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1"/>
      <c r="AA512" s="31"/>
      <c r="AB512" s="31"/>
      <c r="AC512" s="31"/>
      <c r="AD512" s="31"/>
      <c r="AE512" s="31"/>
      <c r="AF512" s="31"/>
      <c r="AG512" s="31"/>
      <c r="AH512" s="31"/>
      <c r="AI512" s="31"/>
      <c r="AJ512" s="31"/>
      <c r="AK512" s="31"/>
      <c r="AL512" s="31"/>
      <c r="AM512" s="31"/>
      <c r="AN512" s="31"/>
      <c r="AO512" s="31"/>
      <c r="AP512" s="31"/>
      <c r="AQ512" s="31"/>
      <c r="AR512" s="31"/>
      <c r="AS512" s="31"/>
    </row>
    <row r="513" spans="1:45" ht="13.5" customHeight="1">
      <c r="A513" s="31"/>
      <c r="B513" s="31"/>
      <c r="C513" s="31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1"/>
      <c r="AA513" s="31"/>
      <c r="AB513" s="31"/>
      <c r="AC513" s="31"/>
      <c r="AD513" s="31"/>
      <c r="AE513" s="31"/>
      <c r="AF513" s="31"/>
      <c r="AG513" s="31"/>
      <c r="AH513" s="31"/>
      <c r="AI513" s="31"/>
      <c r="AJ513" s="31"/>
      <c r="AK513" s="31"/>
      <c r="AL513" s="31"/>
      <c r="AM513" s="31"/>
      <c r="AN513" s="31"/>
      <c r="AO513" s="31"/>
      <c r="AP513" s="31"/>
      <c r="AQ513" s="31"/>
      <c r="AR513" s="31"/>
      <c r="AS513" s="31"/>
    </row>
    <row r="514" spans="1:45" ht="13.5" customHeight="1">
      <c r="A514" s="31"/>
      <c r="B514" s="31"/>
      <c r="C514" s="31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1"/>
      <c r="AA514" s="31"/>
      <c r="AB514" s="31"/>
      <c r="AC514" s="31"/>
      <c r="AD514" s="31"/>
      <c r="AE514" s="31"/>
      <c r="AF514" s="31"/>
      <c r="AG514" s="31"/>
      <c r="AH514" s="31"/>
      <c r="AI514" s="31"/>
      <c r="AJ514" s="31"/>
      <c r="AK514" s="31"/>
      <c r="AL514" s="31"/>
      <c r="AM514" s="31"/>
      <c r="AN514" s="31"/>
      <c r="AO514" s="31"/>
      <c r="AP514" s="31"/>
      <c r="AQ514" s="31"/>
      <c r="AR514" s="31"/>
      <c r="AS514" s="31"/>
    </row>
    <row r="515" spans="1:45" ht="13.5" customHeight="1">
      <c r="A515" s="31"/>
      <c r="B515" s="31"/>
      <c r="C515" s="31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1"/>
      <c r="AA515" s="31"/>
      <c r="AB515" s="31"/>
      <c r="AC515" s="31"/>
      <c r="AD515" s="31"/>
      <c r="AE515" s="31"/>
      <c r="AF515" s="31"/>
      <c r="AG515" s="31"/>
      <c r="AH515" s="31"/>
      <c r="AI515" s="31"/>
      <c r="AJ515" s="31"/>
      <c r="AK515" s="31"/>
      <c r="AL515" s="31"/>
      <c r="AM515" s="31"/>
      <c r="AN515" s="31"/>
      <c r="AO515" s="31"/>
      <c r="AP515" s="31"/>
      <c r="AQ515" s="31"/>
      <c r="AR515" s="31"/>
      <c r="AS515" s="31"/>
    </row>
    <row r="516" spans="1:45" ht="13.5" customHeight="1">
      <c r="A516" s="31"/>
      <c r="B516" s="31"/>
      <c r="C516" s="31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1"/>
      <c r="AA516" s="31"/>
      <c r="AB516" s="31"/>
      <c r="AC516" s="31"/>
      <c r="AD516" s="31"/>
      <c r="AE516" s="31"/>
      <c r="AF516" s="31"/>
      <c r="AG516" s="31"/>
      <c r="AH516" s="31"/>
      <c r="AI516" s="31"/>
      <c r="AJ516" s="31"/>
      <c r="AK516" s="31"/>
      <c r="AL516" s="31"/>
      <c r="AM516" s="31"/>
      <c r="AN516" s="31"/>
      <c r="AO516" s="31"/>
      <c r="AP516" s="31"/>
      <c r="AQ516" s="31"/>
      <c r="AR516" s="31"/>
      <c r="AS516" s="31"/>
    </row>
    <row r="517" spans="1:45" ht="13.5" customHeight="1">
      <c r="A517" s="31"/>
      <c r="B517" s="31"/>
      <c r="C517" s="31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1"/>
      <c r="AA517" s="31"/>
      <c r="AB517" s="31"/>
      <c r="AC517" s="31"/>
      <c r="AD517" s="31"/>
      <c r="AE517" s="31"/>
      <c r="AF517" s="31"/>
      <c r="AG517" s="31"/>
      <c r="AH517" s="31"/>
      <c r="AI517" s="31"/>
      <c r="AJ517" s="31"/>
      <c r="AK517" s="31"/>
      <c r="AL517" s="31"/>
      <c r="AM517" s="31"/>
      <c r="AN517" s="31"/>
      <c r="AO517" s="31"/>
      <c r="AP517" s="31"/>
      <c r="AQ517" s="31"/>
      <c r="AR517" s="31"/>
      <c r="AS517" s="31"/>
    </row>
    <row r="518" spans="1:45" ht="13.5" customHeight="1">
      <c r="A518" s="31"/>
      <c r="B518" s="31"/>
      <c r="C518" s="31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1"/>
      <c r="AA518" s="31"/>
      <c r="AB518" s="31"/>
      <c r="AC518" s="31"/>
      <c r="AD518" s="31"/>
      <c r="AE518" s="31"/>
      <c r="AF518" s="31"/>
      <c r="AG518" s="31"/>
      <c r="AH518" s="31"/>
      <c r="AI518" s="31"/>
      <c r="AJ518" s="31"/>
      <c r="AK518" s="31"/>
      <c r="AL518" s="31"/>
      <c r="AM518" s="31"/>
      <c r="AN518" s="31"/>
      <c r="AO518" s="31"/>
      <c r="AP518" s="31"/>
      <c r="AQ518" s="31"/>
      <c r="AR518" s="31"/>
      <c r="AS518" s="31"/>
    </row>
    <row r="519" spans="1:45" ht="13.5" customHeight="1">
      <c r="A519" s="31"/>
      <c r="B519" s="31"/>
      <c r="C519" s="31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1"/>
      <c r="AA519" s="31"/>
      <c r="AB519" s="31"/>
      <c r="AC519" s="31"/>
      <c r="AD519" s="31"/>
      <c r="AE519" s="31"/>
      <c r="AF519" s="31"/>
      <c r="AG519" s="31"/>
      <c r="AH519" s="31"/>
      <c r="AI519" s="31"/>
      <c r="AJ519" s="31"/>
      <c r="AK519" s="31"/>
      <c r="AL519" s="31"/>
      <c r="AM519" s="31"/>
      <c r="AN519" s="31"/>
      <c r="AO519" s="31"/>
      <c r="AP519" s="31"/>
      <c r="AQ519" s="31"/>
      <c r="AR519" s="31"/>
      <c r="AS519" s="31"/>
    </row>
    <row r="520" spans="1:45" ht="13.5" customHeight="1">
      <c r="A520" s="31"/>
      <c r="B520" s="31"/>
      <c r="C520" s="31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1"/>
      <c r="AA520" s="31"/>
      <c r="AB520" s="31"/>
      <c r="AC520" s="31"/>
      <c r="AD520" s="31"/>
      <c r="AE520" s="31"/>
      <c r="AF520" s="31"/>
      <c r="AG520" s="31"/>
      <c r="AH520" s="31"/>
      <c r="AI520" s="31"/>
      <c r="AJ520" s="31"/>
      <c r="AK520" s="31"/>
      <c r="AL520" s="31"/>
      <c r="AM520" s="31"/>
      <c r="AN520" s="31"/>
      <c r="AO520" s="31"/>
      <c r="AP520" s="31"/>
      <c r="AQ520" s="31"/>
      <c r="AR520" s="31"/>
      <c r="AS520" s="31"/>
    </row>
    <row r="521" spans="1:45" ht="13.5" customHeight="1">
      <c r="A521" s="31"/>
      <c r="B521" s="31"/>
      <c r="C521" s="31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1"/>
      <c r="AA521" s="31"/>
      <c r="AB521" s="31"/>
      <c r="AC521" s="31"/>
      <c r="AD521" s="31"/>
      <c r="AE521" s="31"/>
      <c r="AF521" s="31"/>
      <c r="AG521" s="31"/>
      <c r="AH521" s="31"/>
      <c r="AI521" s="31"/>
      <c r="AJ521" s="31"/>
      <c r="AK521" s="31"/>
      <c r="AL521" s="31"/>
      <c r="AM521" s="31"/>
      <c r="AN521" s="31"/>
      <c r="AO521" s="31"/>
      <c r="AP521" s="31"/>
      <c r="AQ521" s="31"/>
      <c r="AR521" s="31"/>
      <c r="AS521" s="31"/>
    </row>
    <row r="522" spans="1:45" ht="13.5" customHeight="1">
      <c r="A522" s="31"/>
      <c r="B522" s="31"/>
      <c r="C522" s="31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1"/>
      <c r="AA522" s="31"/>
      <c r="AB522" s="31"/>
      <c r="AC522" s="31"/>
      <c r="AD522" s="31"/>
      <c r="AE522" s="31"/>
      <c r="AF522" s="31"/>
      <c r="AG522" s="31"/>
      <c r="AH522" s="31"/>
      <c r="AI522" s="31"/>
      <c r="AJ522" s="31"/>
      <c r="AK522" s="31"/>
      <c r="AL522" s="31"/>
      <c r="AM522" s="31"/>
      <c r="AN522" s="31"/>
      <c r="AO522" s="31"/>
      <c r="AP522" s="31"/>
      <c r="AQ522" s="31"/>
      <c r="AR522" s="31"/>
      <c r="AS522" s="31"/>
    </row>
    <row r="523" spans="1:45" ht="13.5" customHeight="1">
      <c r="A523" s="31"/>
      <c r="B523" s="31"/>
      <c r="C523" s="31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1"/>
      <c r="AA523" s="31"/>
      <c r="AB523" s="31"/>
      <c r="AC523" s="31"/>
      <c r="AD523" s="31"/>
      <c r="AE523" s="31"/>
      <c r="AF523" s="31"/>
      <c r="AG523" s="31"/>
      <c r="AH523" s="31"/>
      <c r="AI523" s="31"/>
      <c r="AJ523" s="31"/>
      <c r="AK523" s="31"/>
      <c r="AL523" s="31"/>
      <c r="AM523" s="31"/>
      <c r="AN523" s="31"/>
      <c r="AO523" s="31"/>
      <c r="AP523" s="31"/>
      <c r="AQ523" s="31"/>
      <c r="AR523" s="31"/>
      <c r="AS523" s="31"/>
    </row>
    <row r="524" spans="1:45" ht="13.5" customHeight="1">
      <c r="A524" s="31"/>
      <c r="B524" s="31"/>
      <c r="C524" s="31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1"/>
      <c r="AA524" s="31"/>
      <c r="AB524" s="31"/>
      <c r="AC524" s="31"/>
      <c r="AD524" s="31"/>
      <c r="AE524" s="31"/>
      <c r="AF524" s="31"/>
      <c r="AG524" s="31"/>
      <c r="AH524" s="31"/>
      <c r="AI524" s="31"/>
      <c r="AJ524" s="31"/>
      <c r="AK524" s="31"/>
      <c r="AL524" s="31"/>
      <c r="AM524" s="31"/>
      <c r="AN524" s="31"/>
      <c r="AO524" s="31"/>
      <c r="AP524" s="31"/>
      <c r="AQ524" s="31"/>
      <c r="AR524" s="31"/>
      <c r="AS524" s="31"/>
    </row>
    <row r="525" spans="1:45" ht="13.5" customHeight="1">
      <c r="A525" s="31"/>
      <c r="B525" s="31"/>
      <c r="C525" s="31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1"/>
      <c r="AA525" s="31"/>
      <c r="AB525" s="31"/>
      <c r="AC525" s="31"/>
      <c r="AD525" s="31"/>
      <c r="AE525" s="31"/>
      <c r="AF525" s="31"/>
      <c r="AG525" s="31"/>
      <c r="AH525" s="31"/>
      <c r="AI525" s="31"/>
      <c r="AJ525" s="31"/>
      <c r="AK525" s="31"/>
      <c r="AL525" s="31"/>
      <c r="AM525" s="31"/>
      <c r="AN525" s="31"/>
      <c r="AO525" s="31"/>
      <c r="AP525" s="31"/>
      <c r="AQ525" s="31"/>
      <c r="AR525" s="31"/>
      <c r="AS525" s="31"/>
    </row>
    <row r="526" spans="1:45" ht="13.5" customHeight="1">
      <c r="A526" s="31"/>
      <c r="B526" s="31"/>
      <c r="C526" s="31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1"/>
      <c r="AA526" s="31"/>
      <c r="AB526" s="31"/>
      <c r="AC526" s="31"/>
      <c r="AD526" s="31"/>
      <c r="AE526" s="31"/>
      <c r="AF526" s="31"/>
      <c r="AG526" s="31"/>
      <c r="AH526" s="31"/>
      <c r="AI526" s="31"/>
      <c r="AJ526" s="31"/>
      <c r="AK526" s="31"/>
      <c r="AL526" s="31"/>
      <c r="AM526" s="31"/>
      <c r="AN526" s="31"/>
      <c r="AO526" s="31"/>
      <c r="AP526" s="31"/>
      <c r="AQ526" s="31"/>
      <c r="AR526" s="31"/>
      <c r="AS526" s="31"/>
    </row>
    <row r="527" spans="1:45" ht="13.5" customHeight="1">
      <c r="A527" s="31"/>
      <c r="B527" s="31"/>
      <c r="C527" s="31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1"/>
      <c r="AA527" s="31"/>
      <c r="AB527" s="31"/>
      <c r="AC527" s="31"/>
      <c r="AD527" s="31"/>
      <c r="AE527" s="31"/>
      <c r="AF527" s="31"/>
      <c r="AG527" s="31"/>
      <c r="AH527" s="31"/>
      <c r="AI527" s="31"/>
      <c r="AJ527" s="31"/>
      <c r="AK527" s="31"/>
      <c r="AL527" s="31"/>
      <c r="AM527" s="31"/>
      <c r="AN527" s="31"/>
      <c r="AO527" s="31"/>
      <c r="AP527" s="31"/>
      <c r="AQ527" s="31"/>
      <c r="AR527" s="31"/>
      <c r="AS527" s="31"/>
    </row>
    <row r="528" spans="1:45" ht="13.5" customHeight="1">
      <c r="A528" s="31"/>
      <c r="B528" s="31"/>
      <c r="C528" s="31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1"/>
      <c r="AA528" s="31"/>
      <c r="AB528" s="31"/>
      <c r="AC528" s="31"/>
      <c r="AD528" s="31"/>
      <c r="AE528" s="31"/>
      <c r="AF528" s="31"/>
      <c r="AG528" s="31"/>
      <c r="AH528" s="31"/>
      <c r="AI528" s="31"/>
      <c r="AJ528" s="31"/>
      <c r="AK528" s="31"/>
      <c r="AL528" s="31"/>
      <c r="AM528" s="31"/>
      <c r="AN528" s="31"/>
      <c r="AO528" s="31"/>
      <c r="AP528" s="31"/>
      <c r="AQ528" s="31"/>
      <c r="AR528" s="31"/>
      <c r="AS528" s="31"/>
    </row>
    <row r="529" spans="1:45" ht="13.5" customHeight="1">
      <c r="A529" s="31"/>
      <c r="B529" s="31"/>
      <c r="C529" s="31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1"/>
      <c r="AA529" s="31"/>
      <c r="AB529" s="31"/>
      <c r="AC529" s="31"/>
      <c r="AD529" s="31"/>
      <c r="AE529" s="31"/>
      <c r="AF529" s="31"/>
      <c r="AG529" s="31"/>
      <c r="AH529" s="31"/>
      <c r="AI529" s="31"/>
      <c r="AJ529" s="31"/>
      <c r="AK529" s="31"/>
      <c r="AL529" s="31"/>
      <c r="AM529" s="31"/>
      <c r="AN529" s="31"/>
      <c r="AO529" s="31"/>
      <c r="AP529" s="31"/>
      <c r="AQ529" s="31"/>
      <c r="AR529" s="31"/>
      <c r="AS529" s="31"/>
    </row>
    <row r="530" spans="1:45" ht="13.5" customHeight="1">
      <c r="A530" s="31"/>
      <c r="B530" s="31"/>
      <c r="C530" s="31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1"/>
      <c r="AA530" s="31"/>
      <c r="AB530" s="31"/>
      <c r="AC530" s="31"/>
      <c r="AD530" s="31"/>
      <c r="AE530" s="31"/>
      <c r="AF530" s="31"/>
      <c r="AG530" s="31"/>
      <c r="AH530" s="31"/>
      <c r="AI530" s="31"/>
      <c r="AJ530" s="31"/>
      <c r="AK530" s="31"/>
      <c r="AL530" s="31"/>
      <c r="AM530" s="31"/>
      <c r="AN530" s="31"/>
      <c r="AO530" s="31"/>
      <c r="AP530" s="31"/>
      <c r="AQ530" s="31"/>
      <c r="AR530" s="31"/>
      <c r="AS530" s="31"/>
    </row>
    <row r="531" spans="1:45" ht="13.5" customHeight="1">
      <c r="A531" s="31"/>
      <c r="B531" s="31"/>
      <c r="C531" s="31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1"/>
      <c r="AA531" s="31"/>
      <c r="AB531" s="31"/>
      <c r="AC531" s="31"/>
      <c r="AD531" s="31"/>
      <c r="AE531" s="31"/>
      <c r="AF531" s="31"/>
      <c r="AG531" s="31"/>
      <c r="AH531" s="31"/>
      <c r="AI531" s="31"/>
      <c r="AJ531" s="31"/>
      <c r="AK531" s="31"/>
      <c r="AL531" s="31"/>
      <c r="AM531" s="31"/>
      <c r="AN531" s="31"/>
      <c r="AO531" s="31"/>
      <c r="AP531" s="31"/>
      <c r="AQ531" s="31"/>
      <c r="AR531" s="31"/>
      <c r="AS531" s="31"/>
    </row>
    <row r="532" spans="1:45" ht="13.5" customHeight="1">
      <c r="A532" s="31"/>
      <c r="B532" s="31"/>
      <c r="C532" s="31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1"/>
      <c r="AA532" s="31"/>
      <c r="AB532" s="31"/>
      <c r="AC532" s="31"/>
      <c r="AD532" s="31"/>
      <c r="AE532" s="31"/>
      <c r="AF532" s="31"/>
      <c r="AG532" s="31"/>
      <c r="AH532" s="31"/>
      <c r="AI532" s="31"/>
      <c r="AJ532" s="31"/>
      <c r="AK532" s="31"/>
      <c r="AL532" s="31"/>
      <c r="AM532" s="31"/>
      <c r="AN532" s="31"/>
      <c r="AO532" s="31"/>
      <c r="AP532" s="31"/>
      <c r="AQ532" s="31"/>
      <c r="AR532" s="31"/>
      <c r="AS532" s="31"/>
    </row>
    <row r="533" spans="1:45" ht="13.5" customHeight="1">
      <c r="A533" s="31"/>
      <c r="B533" s="31"/>
      <c r="C533" s="31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1"/>
      <c r="AA533" s="31"/>
      <c r="AB533" s="31"/>
      <c r="AC533" s="31"/>
      <c r="AD533" s="31"/>
      <c r="AE533" s="31"/>
      <c r="AF533" s="31"/>
      <c r="AG533" s="31"/>
      <c r="AH533" s="31"/>
      <c r="AI533" s="31"/>
      <c r="AJ533" s="31"/>
      <c r="AK533" s="31"/>
      <c r="AL533" s="31"/>
      <c r="AM533" s="31"/>
      <c r="AN533" s="31"/>
      <c r="AO533" s="31"/>
      <c r="AP533" s="31"/>
      <c r="AQ533" s="31"/>
      <c r="AR533" s="31"/>
      <c r="AS533" s="31"/>
    </row>
    <row r="534" spans="1:45" ht="13.5" customHeight="1">
      <c r="A534" s="31"/>
      <c r="B534" s="31"/>
      <c r="C534" s="31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1"/>
      <c r="AA534" s="31"/>
      <c r="AB534" s="31"/>
      <c r="AC534" s="31"/>
      <c r="AD534" s="31"/>
      <c r="AE534" s="31"/>
      <c r="AF534" s="31"/>
      <c r="AG534" s="31"/>
      <c r="AH534" s="31"/>
      <c r="AI534" s="31"/>
      <c r="AJ534" s="31"/>
      <c r="AK534" s="31"/>
      <c r="AL534" s="31"/>
      <c r="AM534" s="31"/>
      <c r="AN534" s="31"/>
      <c r="AO534" s="31"/>
      <c r="AP534" s="31"/>
      <c r="AQ534" s="31"/>
      <c r="AR534" s="31"/>
      <c r="AS534" s="31"/>
    </row>
    <row r="535" spans="1:45" ht="13.5" customHeight="1">
      <c r="A535" s="31"/>
      <c r="B535" s="31"/>
      <c r="C535" s="31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1"/>
      <c r="AA535" s="31"/>
      <c r="AB535" s="31"/>
      <c r="AC535" s="31"/>
      <c r="AD535" s="31"/>
      <c r="AE535" s="31"/>
      <c r="AF535" s="31"/>
      <c r="AG535" s="31"/>
      <c r="AH535" s="31"/>
      <c r="AI535" s="31"/>
      <c r="AJ535" s="31"/>
      <c r="AK535" s="31"/>
      <c r="AL535" s="31"/>
      <c r="AM535" s="31"/>
      <c r="AN535" s="31"/>
      <c r="AO535" s="31"/>
      <c r="AP535" s="31"/>
      <c r="AQ535" s="31"/>
      <c r="AR535" s="31"/>
      <c r="AS535" s="31"/>
    </row>
    <row r="536" spans="1:45" ht="13.5" customHeight="1">
      <c r="A536" s="31"/>
      <c r="B536" s="31"/>
      <c r="C536" s="31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1"/>
      <c r="AA536" s="31"/>
      <c r="AB536" s="31"/>
      <c r="AC536" s="31"/>
      <c r="AD536" s="31"/>
      <c r="AE536" s="31"/>
      <c r="AF536" s="31"/>
      <c r="AG536" s="31"/>
      <c r="AH536" s="31"/>
      <c r="AI536" s="31"/>
      <c r="AJ536" s="31"/>
      <c r="AK536" s="31"/>
      <c r="AL536" s="31"/>
      <c r="AM536" s="31"/>
      <c r="AN536" s="31"/>
      <c r="AO536" s="31"/>
      <c r="AP536" s="31"/>
      <c r="AQ536" s="31"/>
      <c r="AR536" s="31"/>
      <c r="AS536" s="31"/>
    </row>
    <row r="537" spans="1:45" ht="13.5" customHeight="1">
      <c r="A537" s="31"/>
      <c r="B537" s="31"/>
      <c r="C537" s="31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1"/>
      <c r="AA537" s="31"/>
      <c r="AB537" s="31"/>
      <c r="AC537" s="31"/>
      <c r="AD537" s="31"/>
      <c r="AE537" s="31"/>
      <c r="AF537" s="31"/>
      <c r="AG537" s="31"/>
      <c r="AH537" s="31"/>
      <c r="AI537" s="31"/>
      <c r="AJ537" s="31"/>
      <c r="AK537" s="31"/>
      <c r="AL537" s="31"/>
      <c r="AM537" s="31"/>
      <c r="AN537" s="31"/>
      <c r="AO537" s="31"/>
      <c r="AP537" s="31"/>
      <c r="AQ537" s="31"/>
      <c r="AR537" s="31"/>
      <c r="AS537" s="31"/>
    </row>
    <row r="538" spans="1:45" ht="13.5" customHeight="1">
      <c r="A538" s="31"/>
      <c r="B538" s="31"/>
      <c r="C538" s="31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1"/>
      <c r="AA538" s="31"/>
      <c r="AB538" s="31"/>
      <c r="AC538" s="31"/>
      <c r="AD538" s="31"/>
      <c r="AE538" s="31"/>
      <c r="AF538" s="31"/>
      <c r="AG538" s="31"/>
      <c r="AH538" s="31"/>
      <c r="AI538" s="31"/>
      <c r="AJ538" s="31"/>
      <c r="AK538" s="31"/>
      <c r="AL538" s="31"/>
      <c r="AM538" s="31"/>
      <c r="AN538" s="31"/>
      <c r="AO538" s="31"/>
      <c r="AP538" s="31"/>
      <c r="AQ538" s="31"/>
      <c r="AR538" s="31"/>
      <c r="AS538" s="31"/>
    </row>
    <row r="539" spans="1:45" ht="13.5" customHeight="1">
      <c r="A539" s="31"/>
      <c r="B539" s="31"/>
      <c r="C539" s="31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1"/>
      <c r="AA539" s="31"/>
      <c r="AB539" s="31"/>
      <c r="AC539" s="31"/>
      <c r="AD539" s="31"/>
      <c r="AE539" s="31"/>
      <c r="AF539" s="31"/>
      <c r="AG539" s="31"/>
      <c r="AH539" s="31"/>
      <c r="AI539" s="31"/>
      <c r="AJ539" s="31"/>
      <c r="AK539" s="31"/>
      <c r="AL539" s="31"/>
      <c r="AM539" s="31"/>
      <c r="AN539" s="31"/>
      <c r="AO539" s="31"/>
      <c r="AP539" s="31"/>
      <c r="AQ539" s="31"/>
      <c r="AR539" s="31"/>
      <c r="AS539" s="31"/>
    </row>
    <row r="540" spans="1:45" ht="13.5" customHeight="1">
      <c r="A540" s="31"/>
      <c r="B540" s="31"/>
      <c r="C540" s="31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1"/>
      <c r="AA540" s="31"/>
      <c r="AB540" s="31"/>
      <c r="AC540" s="31"/>
      <c r="AD540" s="31"/>
      <c r="AE540" s="31"/>
      <c r="AF540" s="31"/>
      <c r="AG540" s="31"/>
      <c r="AH540" s="31"/>
      <c r="AI540" s="31"/>
      <c r="AJ540" s="31"/>
      <c r="AK540" s="31"/>
      <c r="AL540" s="31"/>
      <c r="AM540" s="31"/>
      <c r="AN540" s="31"/>
      <c r="AO540" s="31"/>
      <c r="AP540" s="31"/>
      <c r="AQ540" s="31"/>
      <c r="AR540" s="31"/>
      <c r="AS540" s="31"/>
    </row>
    <row r="541" spans="1:45" ht="13.5" customHeight="1">
      <c r="A541" s="31"/>
      <c r="B541" s="31"/>
      <c r="C541" s="31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1"/>
      <c r="AA541" s="31"/>
      <c r="AB541" s="31"/>
      <c r="AC541" s="31"/>
      <c r="AD541" s="31"/>
      <c r="AE541" s="31"/>
      <c r="AF541" s="31"/>
      <c r="AG541" s="31"/>
      <c r="AH541" s="31"/>
      <c r="AI541" s="31"/>
      <c r="AJ541" s="31"/>
      <c r="AK541" s="31"/>
      <c r="AL541" s="31"/>
      <c r="AM541" s="31"/>
      <c r="AN541" s="31"/>
      <c r="AO541" s="31"/>
      <c r="AP541" s="31"/>
      <c r="AQ541" s="31"/>
      <c r="AR541" s="31"/>
      <c r="AS541" s="31"/>
    </row>
    <row r="542" spans="1:45" ht="13.5" customHeight="1">
      <c r="A542" s="31"/>
      <c r="B542" s="31"/>
      <c r="C542" s="31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1"/>
      <c r="AA542" s="31"/>
      <c r="AB542" s="31"/>
      <c r="AC542" s="31"/>
      <c r="AD542" s="31"/>
      <c r="AE542" s="31"/>
      <c r="AF542" s="31"/>
      <c r="AG542" s="31"/>
      <c r="AH542" s="31"/>
      <c r="AI542" s="31"/>
      <c r="AJ542" s="31"/>
      <c r="AK542" s="31"/>
      <c r="AL542" s="31"/>
      <c r="AM542" s="31"/>
      <c r="AN542" s="31"/>
      <c r="AO542" s="31"/>
      <c r="AP542" s="31"/>
      <c r="AQ542" s="31"/>
      <c r="AR542" s="31"/>
      <c r="AS542" s="31"/>
    </row>
    <row r="543" spans="1:45" ht="13.5" customHeight="1">
      <c r="A543" s="31"/>
      <c r="B543" s="31"/>
      <c r="C543" s="31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1"/>
      <c r="AA543" s="31"/>
      <c r="AB543" s="31"/>
      <c r="AC543" s="31"/>
      <c r="AD543" s="31"/>
      <c r="AE543" s="31"/>
      <c r="AF543" s="31"/>
      <c r="AG543" s="31"/>
      <c r="AH543" s="31"/>
      <c r="AI543" s="31"/>
      <c r="AJ543" s="31"/>
      <c r="AK543" s="31"/>
      <c r="AL543" s="31"/>
      <c r="AM543" s="31"/>
      <c r="AN543" s="31"/>
      <c r="AO543" s="31"/>
      <c r="AP543" s="31"/>
      <c r="AQ543" s="31"/>
      <c r="AR543" s="31"/>
      <c r="AS543" s="31"/>
    </row>
    <row r="544" spans="1:45" ht="13.5" customHeight="1">
      <c r="A544" s="31"/>
      <c r="B544" s="31"/>
      <c r="C544" s="31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1"/>
      <c r="AA544" s="31"/>
      <c r="AB544" s="31"/>
      <c r="AC544" s="31"/>
      <c r="AD544" s="31"/>
      <c r="AE544" s="31"/>
      <c r="AF544" s="31"/>
      <c r="AG544" s="31"/>
      <c r="AH544" s="31"/>
      <c r="AI544" s="31"/>
      <c r="AJ544" s="31"/>
      <c r="AK544" s="31"/>
      <c r="AL544" s="31"/>
      <c r="AM544" s="31"/>
      <c r="AN544" s="31"/>
      <c r="AO544" s="31"/>
      <c r="AP544" s="31"/>
      <c r="AQ544" s="31"/>
      <c r="AR544" s="31"/>
      <c r="AS544" s="31"/>
    </row>
    <row r="545" spans="1:45" ht="13.5" customHeight="1">
      <c r="A545" s="31"/>
      <c r="B545" s="31"/>
      <c r="C545" s="31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1"/>
      <c r="AA545" s="31"/>
      <c r="AB545" s="31"/>
      <c r="AC545" s="31"/>
      <c r="AD545" s="31"/>
      <c r="AE545" s="31"/>
      <c r="AF545" s="31"/>
      <c r="AG545" s="31"/>
      <c r="AH545" s="31"/>
      <c r="AI545" s="31"/>
      <c r="AJ545" s="31"/>
      <c r="AK545" s="31"/>
      <c r="AL545" s="31"/>
      <c r="AM545" s="31"/>
      <c r="AN545" s="31"/>
      <c r="AO545" s="31"/>
      <c r="AP545" s="31"/>
      <c r="AQ545" s="31"/>
      <c r="AR545" s="31"/>
      <c r="AS545" s="31"/>
    </row>
    <row r="546" spans="1:45" ht="13.5" customHeight="1">
      <c r="A546" s="31"/>
      <c r="B546" s="31"/>
      <c r="C546" s="31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1"/>
      <c r="AA546" s="31"/>
      <c r="AB546" s="31"/>
      <c r="AC546" s="31"/>
      <c r="AD546" s="31"/>
      <c r="AE546" s="31"/>
      <c r="AF546" s="31"/>
      <c r="AG546" s="31"/>
      <c r="AH546" s="31"/>
      <c r="AI546" s="31"/>
      <c r="AJ546" s="31"/>
      <c r="AK546" s="31"/>
      <c r="AL546" s="31"/>
      <c r="AM546" s="31"/>
      <c r="AN546" s="31"/>
      <c r="AO546" s="31"/>
      <c r="AP546" s="31"/>
      <c r="AQ546" s="31"/>
      <c r="AR546" s="31"/>
      <c r="AS546" s="31"/>
    </row>
    <row r="547" spans="1:45" ht="13.5" customHeight="1">
      <c r="A547" s="31"/>
      <c r="B547" s="31"/>
      <c r="C547" s="31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1"/>
      <c r="AA547" s="31"/>
      <c r="AB547" s="31"/>
      <c r="AC547" s="31"/>
      <c r="AD547" s="31"/>
      <c r="AE547" s="31"/>
      <c r="AF547" s="31"/>
      <c r="AG547" s="31"/>
      <c r="AH547" s="31"/>
      <c r="AI547" s="31"/>
      <c r="AJ547" s="31"/>
      <c r="AK547" s="31"/>
      <c r="AL547" s="31"/>
      <c r="AM547" s="31"/>
      <c r="AN547" s="31"/>
      <c r="AO547" s="31"/>
      <c r="AP547" s="31"/>
      <c r="AQ547" s="31"/>
      <c r="AR547" s="31"/>
      <c r="AS547" s="31"/>
    </row>
    <row r="548" spans="1:45" ht="13.5" customHeight="1">
      <c r="A548" s="31"/>
      <c r="B548" s="31"/>
      <c r="C548" s="31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1"/>
      <c r="AA548" s="31"/>
      <c r="AB548" s="31"/>
      <c r="AC548" s="31"/>
      <c r="AD548" s="31"/>
      <c r="AE548" s="31"/>
      <c r="AF548" s="31"/>
      <c r="AG548" s="31"/>
      <c r="AH548" s="31"/>
      <c r="AI548" s="31"/>
      <c r="AJ548" s="31"/>
      <c r="AK548" s="31"/>
      <c r="AL548" s="31"/>
      <c r="AM548" s="31"/>
      <c r="AN548" s="31"/>
      <c r="AO548" s="31"/>
      <c r="AP548" s="31"/>
      <c r="AQ548" s="31"/>
      <c r="AR548" s="31"/>
      <c r="AS548" s="31"/>
    </row>
    <row r="549" spans="1:45" ht="13.5" customHeight="1">
      <c r="A549" s="31"/>
      <c r="B549" s="31"/>
      <c r="C549" s="31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1"/>
      <c r="AA549" s="31"/>
      <c r="AB549" s="31"/>
      <c r="AC549" s="31"/>
      <c r="AD549" s="31"/>
      <c r="AE549" s="31"/>
      <c r="AF549" s="31"/>
      <c r="AG549" s="31"/>
      <c r="AH549" s="31"/>
      <c r="AI549" s="31"/>
      <c r="AJ549" s="31"/>
      <c r="AK549" s="31"/>
      <c r="AL549" s="31"/>
      <c r="AM549" s="31"/>
      <c r="AN549" s="31"/>
      <c r="AO549" s="31"/>
      <c r="AP549" s="31"/>
      <c r="AQ549" s="31"/>
      <c r="AR549" s="31"/>
      <c r="AS549" s="31"/>
    </row>
    <row r="550" spans="1:45" ht="13.5" customHeight="1">
      <c r="A550" s="31"/>
      <c r="B550" s="31"/>
      <c r="C550" s="31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1"/>
      <c r="AA550" s="31"/>
      <c r="AB550" s="31"/>
      <c r="AC550" s="31"/>
      <c r="AD550" s="31"/>
      <c r="AE550" s="31"/>
      <c r="AF550" s="31"/>
      <c r="AG550" s="31"/>
      <c r="AH550" s="31"/>
      <c r="AI550" s="31"/>
      <c r="AJ550" s="31"/>
      <c r="AK550" s="31"/>
      <c r="AL550" s="31"/>
      <c r="AM550" s="31"/>
      <c r="AN550" s="31"/>
      <c r="AO550" s="31"/>
      <c r="AP550" s="31"/>
      <c r="AQ550" s="31"/>
      <c r="AR550" s="31"/>
      <c r="AS550" s="31"/>
    </row>
    <row r="551" spans="1:45" ht="13.5" customHeight="1">
      <c r="A551" s="31"/>
      <c r="B551" s="31"/>
      <c r="C551" s="31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1"/>
      <c r="AA551" s="31"/>
      <c r="AB551" s="31"/>
      <c r="AC551" s="31"/>
      <c r="AD551" s="31"/>
      <c r="AE551" s="31"/>
      <c r="AF551" s="31"/>
      <c r="AG551" s="31"/>
      <c r="AH551" s="31"/>
      <c r="AI551" s="31"/>
      <c r="AJ551" s="31"/>
      <c r="AK551" s="31"/>
      <c r="AL551" s="31"/>
      <c r="AM551" s="31"/>
      <c r="AN551" s="31"/>
      <c r="AO551" s="31"/>
      <c r="AP551" s="31"/>
      <c r="AQ551" s="31"/>
      <c r="AR551" s="31"/>
      <c r="AS551" s="31"/>
    </row>
    <row r="552" spans="1:45" ht="13.5" customHeight="1">
      <c r="A552" s="31"/>
      <c r="B552" s="31"/>
      <c r="C552" s="31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1"/>
      <c r="AA552" s="31"/>
      <c r="AB552" s="31"/>
      <c r="AC552" s="31"/>
      <c r="AD552" s="31"/>
      <c r="AE552" s="31"/>
      <c r="AF552" s="31"/>
      <c r="AG552" s="31"/>
      <c r="AH552" s="31"/>
      <c r="AI552" s="31"/>
      <c r="AJ552" s="31"/>
      <c r="AK552" s="31"/>
      <c r="AL552" s="31"/>
      <c r="AM552" s="31"/>
      <c r="AN552" s="31"/>
      <c r="AO552" s="31"/>
      <c r="AP552" s="31"/>
      <c r="AQ552" s="31"/>
      <c r="AR552" s="31"/>
      <c r="AS552" s="31"/>
    </row>
    <row r="553" spans="1:45" ht="13.5" customHeight="1">
      <c r="A553" s="31"/>
      <c r="B553" s="31"/>
      <c r="C553" s="31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1"/>
      <c r="AA553" s="31"/>
      <c r="AB553" s="31"/>
      <c r="AC553" s="31"/>
      <c r="AD553" s="31"/>
      <c r="AE553" s="31"/>
      <c r="AF553" s="31"/>
      <c r="AG553" s="31"/>
      <c r="AH553" s="31"/>
      <c r="AI553" s="31"/>
      <c r="AJ553" s="31"/>
      <c r="AK553" s="31"/>
      <c r="AL553" s="31"/>
      <c r="AM553" s="31"/>
      <c r="AN553" s="31"/>
      <c r="AO553" s="31"/>
      <c r="AP553" s="31"/>
      <c r="AQ553" s="31"/>
      <c r="AR553" s="31"/>
      <c r="AS553" s="31"/>
    </row>
    <row r="554" spans="1:45" ht="13.5" customHeight="1">
      <c r="A554" s="31"/>
      <c r="B554" s="31"/>
      <c r="C554" s="31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1"/>
      <c r="AA554" s="31"/>
      <c r="AB554" s="31"/>
      <c r="AC554" s="31"/>
      <c r="AD554" s="31"/>
      <c r="AE554" s="31"/>
      <c r="AF554" s="31"/>
      <c r="AG554" s="31"/>
      <c r="AH554" s="31"/>
      <c r="AI554" s="31"/>
      <c r="AJ554" s="31"/>
      <c r="AK554" s="31"/>
      <c r="AL554" s="31"/>
      <c r="AM554" s="31"/>
      <c r="AN554" s="31"/>
      <c r="AO554" s="31"/>
      <c r="AP554" s="31"/>
      <c r="AQ554" s="31"/>
      <c r="AR554" s="31"/>
      <c r="AS554" s="31"/>
    </row>
    <row r="555" spans="1:45" ht="13.5" customHeight="1">
      <c r="A555" s="31"/>
      <c r="B555" s="31"/>
      <c r="C555" s="31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1"/>
      <c r="AA555" s="31"/>
      <c r="AB555" s="31"/>
      <c r="AC555" s="31"/>
      <c r="AD555" s="31"/>
      <c r="AE555" s="31"/>
      <c r="AF555" s="31"/>
      <c r="AG555" s="31"/>
      <c r="AH555" s="31"/>
      <c r="AI555" s="31"/>
      <c r="AJ555" s="31"/>
      <c r="AK555" s="31"/>
      <c r="AL555" s="31"/>
      <c r="AM555" s="31"/>
      <c r="AN555" s="31"/>
      <c r="AO555" s="31"/>
      <c r="AP555" s="31"/>
      <c r="AQ555" s="31"/>
      <c r="AR555" s="31"/>
      <c r="AS555" s="31"/>
    </row>
    <row r="556" spans="1:45" ht="13.5" customHeight="1">
      <c r="A556" s="31"/>
      <c r="B556" s="31"/>
      <c r="C556" s="31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1"/>
      <c r="AA556" s="31"/>
      <c r="AB556" s="31"/>
      <c r="AC556" s="31"/>
      <c r="AD556" s="31"/>
      <c r="AE556" s="31"/>
      <c r="AF556" s="31"/>
      <c r="AG556" s="31"/>
      <c r="AH556" s="31"/>
      <c r="AI556" s="31"/>
      <c r="AJ556" s="31"/>
      <c r="AK556" s="31"/>
      <c r="AL556" s="31"/>
      <c r="AM556" s="31"/>
      <c r="AN556" s="31"/>
      <c r="AO556" s="31"/>
      <c r="AP556" s="31"/>
      <c r="AQ556" s="31"/>
      <c r="AR556" s="31"/>
      <c r="AS556" s="31"/>
    </row>
    <row r="557" spans="1:45" ht="13.5" customHeight="1">
      <c r="A557" s="31"/>
      <c r="B557" s="31"/>
      <c r="C557" s="31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1"/>
      <c r="AA557" s="31"/>
      <c r="AB557" s="31"/>
      <c r="AC557" s="31"/>
      <c r="AD557" s="31"/>
      <c r="AE557" s="31"/>
      <c r="AF557" s="31"/>
      <c r="AG557" s="31"/>
      <c r="AH557" s="31"/>
      <c r="AI557" s="31"/>
      <c r="AJ557" s="31"/>
      <c r="AK557" s="31"/>
      <c r="AL557" s="31"/>
      <c r="AM557" s="31"/>
      <c r="AN557" s="31"/>
      <c r="AO557" s="31"/>
      <c r="AP557" s="31"/>
      <c r="AQ557" s="31"/>
      <c r="AR557" s="31"/>
      <c r="AS557" s="31"/>
    </row>
    <row r="558" spans="1:45" ht="13.5" customHeight="1">
      <c r="A558" s="31"/>
      <c r="B558" s="31"/>
      <c r="C558" s="31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  <c r="AK558" s="31"/>
      <c r="AL558" s="31"/>
      <c r="AM558" s="31"/>
      <c r="AN558" s="31"/>
      <c r="AO558" s="31"/>
      <c r="AP558" s="31"/>
      <c r="AQ558" s="31"/>
      <c r="AR558" s="31"/>
      <c r="AS558" s="31"/>
    </row>
    <row r="559" spans="1:45" ht="13.5" customHeight="1">
      <c r="A559" s="31"/>
      <c r="B559" s="31"/>
      <c r="C559" s="31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1"/>
      <c r="AA559" s="31"/>
      <c r="AB559" s="31"/>
      <c r="AC559" s="31"/>
      <c r="AD559" s="31"/>
      <c r="AE559" s="31"/>
      <c r="AF559" s="31"/>
      <c r="AG559" s="31"/>
      <c r="AH559" s="31"/>
      <c r="AI559" s="31"/>
      <c r="AJ559" s="31"/>
      <c r="AK559" s="31"/>
      <c r="AL559" s="31"/>
      <c r="AM559" s="31"/>
      <c r="AN559" s="31"/>
      <c r="AO559" s="31"/>
      <c r="AP559" s="31"/>
      <c r="AQ559" s="31"/>
      <c r="AR559" s="31"/>
      <c r="AS559" s="31"/>
    </row>
    <row r="560" spans="1:45" ht="13.5" customHeight="1">
      <c r="A560" s="31"/>
      <c r="B560" s="31"/>
      <c r="C560" s="31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1"/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  <c r="AK560" s="31"/>
      <c r="AL560" s="31"/>
      <c r="AM560" s="31"/>
      <c r="AN560" s="31"/>
      <c r="AO560" s="31"/>
      <c r="AP560" s="31"/>
      <c r="AQ560" s="31"/>
      <c r="AR560" s="31"/>
      <c r="AS560" s="31"/>
    </row>
    <row r="561" spans="1:45" ht="13.5" customHeight="1">
      <c r="A561" s="31"/>
      <c r="B561" s="31"/>
      <c r="C561" s="31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  <c r="AL561" s="31"/>
      <c r="AM561" s="31"/>
      <c r="AN561" s="31"/>
      <c r="AO561" s="31"/>
      <c r="AP561" s="31"/>
      <c r="AQ561" s="31"/>
      <c r="AR561" s="31"/>
      <c r="AS561" s="31"/>
    </row>
    <row r="562" spans="1:45" ht="13.5" customHeight="1">
      <c r="A562" s="31"/>
      <c r="B562" s="31"/>
      <c r="C562" s="31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  <c r="AL562" s="31"/>
      <c r="AM562" s="31"/>
      <c r="AN562" s="31"/>
      <c r="AO562" s="31"/>
      <c r="AP562" s="31"/>
      <c r="AQ562" s="31"/>
      <c r="AR562" s="31"/>
      <c r="AS562" s="31"/>
    </row>
    <row r="563" spans="1:45" ht="13.5" customHeight="1">
      <c r="A563" s="31"/>
      <c r="B563" s="31"/>
      <c r="C563" s="31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1"/>
      <c r="AA563" s="31"/>
      <c r="AB563" s="31"/>
      <c r="AC563" s="31"/>
      <c r="AD563" s="31"/>
      <c r="AE563" s="31"/>
      <c r="AF563" s="31"/>
      <c r="AG563" s="31"/>
      <c r="AH563" s="31"/>
      <c r="AI563" s="31"/>
      <c r="AJ563" s="31"/>
      <c r="AK563" s="31"/>
      <c r="AL563" s="31"/>
      <c r="AM563" s="31"/>
      <c r="AN563" s="31"/>
      <c r="AO563" s="31"/>
      <c r="AP563" s="31"/>
      <c r="AQ563" s="31"/>
      <c r="AR563" s="31"/>
      <c r="AS563" s="31"/>
    </row>
    <row r="564" spans="1:45" ht="13.5" customHeight="1">
      <c r="A564" s="31"/>
      <c r="B564" s="31"/>
      <c r="C564" s="31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1"/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  <c r="AK564" s="31"/>
      <c r="AL564" s="31"/>
      <c r="AM564" s="31"/>
      <c r="AN564" s="31"/>
      <c r="AO564" s="31"/>
      <c r="AP564" s="31"/>
      <c r="AQ564" s="31"/>
      <c r="AR564" s="31"/>
      <c r="AS564" s="31"/>
    </row>
    <row r="565" spans="1:45" ht="13.5" customHeight="1">
      <c r="A565" s="31"/>
      <c r="B565" s="31"/>
      <c r="C565" s="31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  <c r="AL565" s="31"/>
      <c r="AM565" s="31"/>
      <c r="AN565" s="31"/>
      <c r="AO565" s="31"/>
      <c r="AP565" s="31"/>
      <c r="AQ565" s="31"/>
      <c r="AR565" s="31"/>
      <c r="AS565" s="31"/>
    </row>
    <row r="566" spans="1:45" ht="13.5" customHeight="1">
      <c r="A566" s="31"/>
      <c r="B566" s="31"/>
      <c r="C566" s="31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  <c r="AK566" s="31"/>
      <c r="AL566" s="31"/>
      <c r="AM566" s="31"/>
      <c r="AN566" s="31"/>
      <c r="AO566" s="31"/>
      <c r="AP566" s="31"/>
      <c r="AQ566" s="31"/>
      <c r="AR566" s="31"/>
      <c r="AS566" s="31"/>
    </row>
    <row r="567" spans="1:45" ht="13.5" customHeight="1">
      <c r="A567" s="31"/>
      <c r="B567" s="31"/>
      <c r="C567" s="31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1"/>
      <c r="AA567" s="31"/>
      <c r="AB567" s="31"/>
      <c r="AC567" s="31"/>
      <c r="AD567" s="31"/>
      <c r="AE567" s="31"/>
      <c r="AF567" s="31"/>
      <c r="AG567" s="31"/>
      <c r="AH567" s="31"/>
      <c r="AI567" s="31"/>
      <c r="AJ567" s="31"/>
      <c r="AK567" s="31"/>
      <c r="AL567" s="31"/>
      <c r="AM567" s="31"/>
      <c r="AN567" s="31"/>
      <c r="AO567" s="31"/>
      <c r="AP567" s="31"/>
      <c r="AQ567" s="31"/>
      <c r="AR567" s="31"/>
      <c r="AS567" s="31"/>
    </row>
    <row r="568" spans="1:45" ht="13.5" customHeight="1">
      <c r="A568" s="31"/>
      <c r="B568" s="31"/>
      <c r="C568" s="31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1"/>
      <c r="AA568" s="31"/>
      <c r="AB568" s="31"/>
      <c r="AC568" s="31"/>
      <c r="AD568" s="31"/>
      <c r="AE568" s="31"/>
      <c r="AF568" s="31"/>
      <c r="AG568" s="31"/>
      <c r="AH568" s="31"/>
      <c r="AI568" s="31"/>
      <c r="AJ568" s="31"/>
      <c r="AK568" s="31"/>
      <c r="AL568" s="31"/>
      <c r="AM568" s="31"/>
      <c r="AN568" s="31"/>
      <c r="AO568" s="31"/>
      <c r="AP568" s="31"/>
      <c r="AQ568" s="31"/>
      <c r="AR568" s="31"/>
      <c r="AS568" s="31"/>
    </row>
    <row r="569" spans="1:45" ht="13.5" customHeight="1">
      <c r="A569" s="31"/>
      <c r="B569" s="31"/>
      <c r="C569" s="31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  <c r="AK569" s="31"/>
      <c r="AL569" s="31"/>
      <c r="AM569" s="31"/>
      <c r="AN569" s="31"/>
      <c r="AO569" s="31"/>
      <c r="AP569" s="31"/>
      <c r="AQ569" s="31"/>
      <c r="AR569" s="31"/>
      <c r="AS569" s="31"/>
    </row>
    <row r="570" spans="1:45" ht="13.5" customHeight="1">
      <c r="A570" s="31"/>
      <c r="B570" s="31"/>
      <c r="C570" s="31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1"/>
      <c r="AA570" s="31"/>
      <c r="AB570" s="31"/>
      <c r="AC570" s="31"/>
      <c r="AD570" s="31"/>
      <c r="AE570" s="31"/>
      <c r="AF570" s="31"/>
      <c r="AG570" s="31"/>
      <c r="AH570" s="31"/>
      <c r="AI570" s="31"/>
      <c r="AJ570" s="31"/>
      <c r="AK570" s="31"/>
      <c r="AL570" s="31"/>
      <c r="AM570" s="31"/>
      <c r="AN570" s="31"/>
      <c r="AO570" s="31"/>
      <c r="AP570" s="31"/>
      <c r="AQ570" s="31"/>
      <c r="AR570" s="31"/>
      <c r="AS570" s="31"/>
    </row>
    <row r="571" spans="1:45" ht="13.5" customHeight="1">
      <c r="A571" s="31"/>
      <c r="B571" s="31"/>
      <c r="C571" s="31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1"/>
      <c r="AA571" s="31"/>
      <c r="AB571" s="31"/>
      <c r="AC571" s="31"/>
      <c r="AD571" s="31"/>
      <c r="AE571" s="31"/>
      <c r="AF571" s="31"/>
      <c r="AG571" s="31"/>
      <c r="AH571" s="31"/>
      <c r="AI571" s="31"/>
      <c r="AJ571" s="31"/>
      <c r="AK571" s="31"/>
      <c r="AL571" s="31"/>
      <c r="AM571" s="31"/>
      <c r="AN571" s="31"/>
      <c r="AO571" s="31"/>
      <c r="AP571" s="31"/>
      <c r="AQ571" s="31"/>
      <c r="AR571" s="31"/>
      <c r="AS571" s="31"/>
    </row>
    <row r="572" spans="1:45" ht="13.5" customHeight="1">
      <c r="A572" s="31"/>
      <c r="B572" s="31"/>
      <c r="C572" s="31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1"/>
      <c r="AA572" s="31"/>
      <c r="AB572" s="31"/>
      <c r="AC572" s="31"/>
      <c r="AD572" s="31"/>
      <c r="AE572" s="31"/>
      <c r="AF572" s="31"/>
      <c r="AG572" s="31"/>
      <c r="AH572" s="31"/>
      <c r="AI572" s="31"/>
      <c r="AJ572" s="31"/>
      <c r="AK572" s="31"/>
      <c r="AL572" s="31"/>
      <c r="AM572" s="31"/>
      <c r="AN572" s="31"/>
      <c r="AO572" s="31"/>
      <c r="AP572" s="31"/>
      <c r="AQ572" s="31"/>
      <c r="AR572" s="31"/>
      <c r="AS572" s="31"/>
    </row>
    <row r="573" spans="1:45" ht="13.5" customHeight="1">
      <c r="A573" s="31"/>
      <c r="B573" s="31"/>
      <c r="C573" s="31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1"/>
      <c r="AA573" s="31"/>
      <c r="AB573" s="31"/>
      <c r="AC573" s="31"/>
      <c r="AD573" s="31"/>
      <c r="AE573" s="31"/>
      <c r="AF573" s="31"/>
      <c r="AG573" s="31"/>
      <c r="AH573" s="31"/>
      <c r="AI573" s="31"/>
      <c r="AJ573" s="31"/>
      <c r="AK573" s="31"/>
      <c r="AL573" s="31"/>
      <c r="AM573" s="31"/>
      <c r="AN573" s="31"/>
      <c r="AO573" s="31"/>
      <c r="AP573" s="31"/>
      <c r="AQ573" s="31"/>
      <c r="AR573" s="31"/>
      <c r="AS573" s="31"/>
    </row>
    <row r="574" spans="1:45" ht="13.5" customHeight="1">
      <c r="A574" s="31"/>
      <c r="B574" s="31"/>
      <c r="C574" s="31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1"/>
      <c r="AA574" s="31"/>
      <c r="AB574" s="31"/>
      <c r="AC574" s="31"/>
      <c r="AD574" s="31"/>
      <c r="AE574" s="31"/>
      <c r="AF574" s="31"/>
      <c r="AG574" s="31"/>
      <c r="AH574" s="31"/>
      <c r="AI574" s="31"/>
      <c r="AJ574" s="31"/>
      <c r="AK574" s="31"/>
      <c r="AL574" s="31"/>
      <c r="AM574" s="31"/>
      <c r="AN574" s="31"/>
      <c r="AO574" s="31"/>
      <c r="AP574" s="31"/>
      <c r="AQ574" s="31"/>
      <c r="AR574" s="31"/>
      <c r="AS574" s="31"/>
    </row>
    <row r="575" spans="1:45" ht="13.5" customHeight="1">
      <c r="A575" s="31"/>
      <c r="B575" s="31"/>
      <c r="C575" s="31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1"/>
      <c r="AA575" s="31"/>
      <c r="AB575" s="31"/>
      <c r="AC575" s="31"/>
      <c r="AD575" s="31"/>
      <c r="AE575" s="31"/>
      <c r="AF575" s="31"/>
      <c r="AG575" s="31"/>
      <c r="AH575" s="31"/>
      <c r="AI575" s="31"/>
      <c r="AJ575" s="31"/>
      <c r="AK575" s="31"/>
      <c r="AL575" s="31"/>
      <c r="AM575" s="31"/>
      <c r="AN575" s="31"/>
      <c r="AO575" s="31"/>
      <c r="AP575" s="31"/>
      <c r="AQ575" s="31"/>
      <c r="AR575" s="31"/>
      <c r="AS575" s="31"/>
    </row>
    <row r="576" spans="1:45" ht="13.5" customHeight="1">
      <c r="A576" s="31"/>
      <c r="B576" s="31"/>
      <c r="C576" s="31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1"/>
      <c r="AA576" s="31"/>
      <c r="AB576" s="31"/>
      <c r="AC576" s="31"/>
      <c r="AD576" s="31"/>
      <c r="AE576" s="31"/>
      <c r="AF576" s="31"/>
      <c r="AG576" s="31"/>
      <c r="AH576" s="31"/>
      <c r="AI576" s="31"/>
      <c r="AJ576" s="31"/>
      <c r="AK576" s="31"/>
      <c r="AL576" s="31"/>
      <c r="AM576" s="31"/>
      <c r="AN576" s="31"/>
      <c r="AO576" s="31"/>
      <c r="AP576" s="31"/>
      <c r="AQ576" s="31"/>
      <c r="AR576" s="31"/>
      <c r="AS576" s="31"/>
    </row>
    <row r="577" spans="1:45" ht="13.5" customHeight="1">
      <c r="A577" s="31"/>
      <c r="B577" s="31"/>
      <c r="C577" s="31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  <c r="AK577" s="31"/>
      <c r="AL577" s="31"/>
      <c r="AM577" s="31"/>
      <c r="AN577" s="31"/>
      <c r="AO577" s="31"/>
      <c r="AP577" s="31"/>
      <c r="AQ577" s="31"/>
      <c r="AR577" s="31"/>
      <c r="AS577" s="31"/>
    </row>
    <row r="578" spans="1:45" ht="13.5" customHeight="1">
      <c r="A578" s="31"/>
      <c r="B578" s="31"/>
      <c r="C578" s="31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  <c r="AK578" s="31"/>
      <c r="AL578" s="31"/>
      <c r="AM578" s="31"/>
      <c r="AN578" s="31"/>
      <c r="AO578" s="31"/>
      <c r="AP578" s="31"/>
      <c r="AQ578" s="31"/>
      <c r="AR578" s="31"/>
      <c r="AS578" s="31"/>
    </row>
    <row r="579" spans="1:45" ht="13.5" customHeight="1">
      <c r="A579" s="31"/>
      <c r="B579" s="31"/>
      <c r="C579" s="31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1"/>
      <c r="AA579" s="31"/>
      <c r="AB579" s="31"/>
      <c r="AC579" s="31"/>
      <c r="AD579" s="31"/>
      <c r="AE579" s="31"/>
      <c r="AF579" s="31"/>
      <c r="AG579" s="31"/>
      <c r="AH579" s="31"/>
      <c r="AI579" s="31"/>
      <c r="AJ579" s="31"/>
      <c r="AK579" s="31"/>
      <c r="AL579" s="31"/>
      <c r="AM579" s="31"/>
      <c r="AN579" s="31"/>
      <c r="AO579" s="31"/>
      <c r="AP579" s="31"/>
      <c r="AQ579" s="31"/>
      <c r="AR579" s="31"/>
      <c r="AS579" s="31"/>
    </row>
    <row r="580" spans="1:45" ht="13.5" customHeight="1">
      <c r="A580" s="31"/>
      <c r="B580" s="31"/>
      <c r="C580" s="31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1"/>
      <c r="AA580" s="31"/>
      <c r="AB580" s="31"/>
      <c r="AC580" s="31"/>
      <c r="AD580" s="31"/>
      <c r="AE580" s="31"/>
      <c r="AF580" s="31"/>
      <c r="AG580" s="31"/>
      <c r="AH580" s="31"/>
      <c r="AI580" s="31"/>
      <c r="AJ580" s="31"/>
      <c r="AK580" s="31"/>
      <c r="AL580" s="31"/>
      <c r="AM580" s="31"/>
      <c r="AN580" s="31"/>
      <c r="AO580" s="31"/>
      <c r="AP580" s="31"/>
      <c r="AQ580" s="31"/>
      <c r="AR580" s="31"/>
      <c r="AS580" s="31"/>
    </row>
    <row r="581" spans="1:45" ht="13.5" customHeight="1">
      <c r="A581" s="31"/>
      <c r="B581" s="31"/>
      <c r="C581" s="31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  <c r="AK581" s="31"/>
      <c r="AL581" s="31"/>
      <c r="AM581" s="31"/>
      <c r="AN581" s="31"/>
      <c r="AO581" s="31"/>
      <c r="AP581" s="31"/>
      <c r="AQ581" s="31"/>
      <c r="AR581" s="31"/>
      <c r="AS581" s="31"/>
    </row>
    <row r="582" spans="1:45" ht="13.5" customHeight="1">
      <c r="A582" s="31"/>
      <c r="B582" s="31"/>
      <c r="C582" s="31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  <c r="AK582" s="31"/>
      <c r="AL582" s="31"/>
      <c r="AM582" s="31"/>
      <c r="AN582" s="31"/>
      <c r="AO582" s="31"/>
      <c r="AP582" s="31"/>
      <c r="AQ582" s="31"/>
      <c r="AR582" s="31"/>
      <c r="AS582" s="31"/>
    </row>
    <row r="583" spans="1:45" ht="13.5" customHeight="1">
      <c r="A583" s="31"/>
      <c r="B583" s="31"/>
      <c r="C583" s="31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1"/>
      <c r="AA583" s="31"/>
      <c r="AB583" s="31"/>
      <c r="AC583" s="31"/>
      <c r="AD583" s="31"/>
      <c r="AE583" s="31"/>
      <c r="AF583" s="31"/>
      <c r="AG583" s="31"/>
      <c r="AH583" s="31"/>
      <c r="AI583" s="31"/>
      <c r="AJ583" s="31"/>
      <c r="AK583" s="31"/>
      <c r="AL583" s="31"/>
      <c r="AM583" s="31"/>
      <c r="AN583" s="31"/>
      <c r="AO583" s="31"/>
      <c r="AP583" s="31"/>
      <c r="AQ583" s="31"/>
      <c r="AR583" s="31"/>
      <c r="AS583" s="31"/>
    </row>
    <row r="584" spans="1:45" ht="13.5" customHeight="1">
      <c r="A584" s="31"/>
      <c r="B584" s="31"/>
      <c r="C584" s="31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1"/>
      <c r="AA584" s="31"/>
      <c r="AB584" s="31"/>
      <c r="AC584" s="31"/>
      <c r="AD584" s="31"/>
      <c r="AE584" s="31"/>
      <c r="AF584" s="31"/>
      <c r="AG584" s="31"/>
      <c r="AH584" s="31"/>
      <c r="AI584" s="31"/>
      <c r="AJ584" s="31"/>
      <c r="AK584" s="31"/>
      <c r="AL584" s="31"/>
      <c r="AM584" s="31"/>
      <c r="AN584" s="31"/>
      <c r="AO584" s="31"/>
      <c r="AP584" s="31"/>
      <c r="AQ584" s="31"/>
      <c r="AR584" s="31"/>
      <c r="AS584" s="31"/>
    </row>
    <row r="585" spans="1:45" ht="13.5" customHeight="1">
      <c r="A585" s="31"/>
      <c r="B585" s="31"/>
      <c r="C585" s="31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  <c r="AK585" s="31"/>
      <c r="AL585" s="31"/>
      <c r="AM585" s="31"/>
      <c r="AN585" s="31"/>
      <c r="AO585" s="31"/>
      <c r="AP585" s="31"/>
      <c r="AQ585" s="31"/>
      <c r="AR585" s="31"/>
      <c r="AS585" s="31"/>
    </row>
    <row r="586" spans="1:45" ht="13.5" customHeight="1">
      <c r="A586" s="31"/>
      <c r="B586" s="31"/>
      <c r="C586" s="31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  <c r="AK586" s="31"/>
      <c r="AL586" s="31"/>
      <c r="AM586" s="31"/>
      <c r="AN586" s="31"/>
      <c r="AO586" s="31"/>
      <c r="AP586" s="31"/>
      <c r="AQ586" s="31"/>
      <c r="AR586" s="31"/>
      <c r="AS586" s="31"/>
    </row>
    <row r="587" spans="1:45" ht="13.5" customHeight="1">
      <c r="A587" s="31"/>
      <c r="B587" s="31"/>
      <c r="C587" s="31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1"/>
      <c r="AA587" s="31"/>
      <c r="AB587" s="31"/>
      <c r="AC587" s="31"/>
      <c r="AD587" s="31"/>
      <c r="AE587" s="31"/>
      <c r="AF587" s="31"/>
      <c r="AG587" s="31"/>
      <c r="AH587" s="31"/>
      <c r="AI587" s="31"/>
      <c r="AJ587" s="31"/>
      <c r="AK587" s="31"/>
      <c r="AL587" s="31"/>
      <c r="AM587" s="31"/>
      <c r="AN587" s="31"/>
      <c r="AO587" s="31"/>
      <c r="AP587" s="31"/>
      <c r="AQ587" s="31"/>
      <c r="AR587" s="31"/>
      <c r="AS587" s="31"/>
    </row>
    <row r="588" spans="1:45" ht="13.5" customHeight="1">
      <c r="A588" s="31"/>
      <c r="B588" s="31"/>
      <c r="C588" s="31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1"/>
      <c r="AA588" s="31"/>
      <c r="AB588" s="31"/>
      <c r="AC588" s="31"/>
      <c r="AD588" s="31"/>
      <c r="AE588" s="31"/>
      <c r="AF588" s="31"/>
      <c r="AG588" s="31"/>
      <c r="AH588" s="31"/>
      <c r="AI588" s="31"/>
      <c r="AJ588" s="31"/>
      <c r="AK588" s="31"/>
      <c r="AL588" s="31"/>
      <c r="AM588" s="31"/>
      <c r="AN588" s="31"/>
      <c r="AO588" s="31"/>
      <c r="AP588" s="31"/>
      <c r="AQ588" s="31"/>
      <c r="AR588" s="31"/>
      <c r="AS588" s="31"/>
    </row>
    <row r="589" spans="1:45" ht="13.5" customHeight="1">
      <c r="A589" s="31"/>
      <c r="B589" s="31"/>
      <c r="C589" s="31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1"/>
      <c r="AA589" s="31"/>
      <c r="AB589" s="31"/>
      <c r="AC589" s="31"/>
      <c r="AD589" s="31"/>
      <c r="AE589" s="31"/>
      <c r="AF589" s="31"/>
      <c r="AG589" s="31"/>
      <c r="AH589" s="31"/>
      <c r="AI589" s="31"/>
      <c r="AJ589" s="31"/>
      <c r="AK589" s="31"/>
      <c r="AL589" s="31"/>
      <c r="AM589" s="31"/>
      <c r="AN589" s="31"/>
      <c r="AO589" s="31"/>
      <c r="AP589" s="31"/>
      <c r="AQ589" s="31"/>
      <c r="AR589" s="31"/>
      <c r="AS589" s="31"/>
    </row>
    <row r="590" spans="1:45" ht="13.5" customHeight="1">
      <c r="A590" s="31"/>
      <c r="B590" s="31"/>
      <c r="C590" s="31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1"/>
      <c r="AA590" s="31"/>
      <c r="AB590" s="31"/>
      <c r="AC590" s="31"/>
      <c r="AD590" s="31"/>
      <c r="AE590" s="31"/>
      <c r="AF590" s="31"/>
      <c r="AG590" s="31"/>
      <c r="AH590" s="31"/>
      <c r="AI590" s="31"/>
      <c r="AJ590" s="31"/>
      <c r="AK590" s="31"/>
      <c r="AL590" s="31"/>
      <c r="AM590" s="31"/>
      <c r="AN590" s="31"/>
      <c r="AO590" s="31"/>
      <c r="AP590" s="31"/>
      <c r="AQ590" s="31"/>
      <c r="AR590" s="31"/>
      <c r="AS590" s="31"/>
    </row>
    <row r="591" spans="1:45" ht="13.5" customHeight="1">
      <c r="A591" s="31"/>
      <c r="B591" s="31"/>
      <c r="C591" s="31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1"/>
      <c r="AA591" s="31"/>
      <c r="AB591" s="31"/>
      <c r="AC591" s="31"/>
      <c r="AD591" s="31"/>
      <c r="AE591" s="31"/>
      <c r="AF591" s="31"/>
      <c r="AG591" s="31"/>
      <c r="AH591" s="31"/>
      <c r="AI591" s="31"/>
      <c r="AJ591" s="31"/>
      <c r="AK591" s="31"/>
      <c r="AL591" s="31"/>
      <c r="AM591" s="31"/>
      <c r="AN591" s="31"/>
      <c r="AO591" s="31"/>
      <c r="AP591" s="31"/>
      <c r="AQ591" s="31"/>
      <c r="AR591" s="31"/>
      <c r="AS591" s="31"/>
    </row>
    <row r="592" spans="1:45" ht="13.5" customHeight="1">
      <c r="A592" s="31"/>
      <c r="B592" s="31"/>
      <c r="C592" s="31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1"/>
      <c r="AA592" s="31"/>
      <c r="AB592" s="31"/>
      <c r="AC592" s="31"/>
      <c r="AD592" s="31"/>
      <c r="AE592" s="31"/>
      <c r="AF592" s="31"/>
      <c r="AG592" s="31"/>
      <c r="AH592" s="31"/>
      <c r="AI592" s="31"/>
      <c r="AJ592" s="31"/>
      <c r="AK592" s="31"/>
      <c r="AL592" s="31"/>
      <c r="AM592" s="31"/>
      <c r="AN592" s="31"/>
      <c r="AO592" s="31"/>
      <c r="AP592" s="31"/>
      <c r="AQ592" s="31"/>
      <c r="AR592" s="31"/>
      <c r="AS592" s="31"/>
    </row>
    <row r="593" spans="1:45" ht="13.5" customHeight="1">
      <c r="A593" s="31"/>
      <c r="B593" s="31"/>
      <c r="C593" s="31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1"/>
      <c r="AA593" s="31"/>
      <c r="AB593" s="31"/>
      <c r="AC593" s="31"/>
      <c r="AD593" s="31"/>
      <c r="AE593" s="31"/>
      <c r="AF593" s="31"/>
      <c r="AG593" s="31"/>
      <c r="AH593" s="31"/>
      <c r="AI593" s="31"/>
      <c r="AJ593" s="31"/>
      <c r="AK593" s="31"/>
      <c r="AL593" s="31"/>
      <c r="AM593" s="31"/>
      <c r="AN593" s="31"/>
      <c r="AO593" s="31"/>
      <c r="AP593" s="31"/>
      <c r="AQ593" s="31"/>
      <c r="AR593" s="31"/>
      <c r="AS593" s="31"/>
    </row>
    <row r="594" spans="1:45" ht="13.5" customHeight="1">
      <c r="A594" s="31"/>
      <c r="B594" s="31"/>
      <c r="C594" s="31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1"/>
      <c r="AA594" s="31"/>
      <c r="AB594" s="31"/>
      <c r="AC594" s="31"/>
      <c r="AD594" s="31"/>
      <c r="AE594" s="31"/>
      <c r="AF594" s="31"/>
      <c r="AG594" s="31"/>
      <c r="AH594" s="31"/>
      <c r="AI594" s="31"/>
      <c r="AJ594" s="31"/>
      <c r="AK594" s="31"/>
      <c r="AL594" s="31"/>
      <c r="AM594" s="31"/>
      <c r="AN594" s="31"/>
      <c r="AO594" s="31"/>
      <c r="AP594" s="31"/>
      <c r="AQ594" s="31"/>
      <c r="AR594" s="31"/>
      <c r="AS594" s="31"/>
    </row>
    <row r="595" spans="1:45" ht="13.5" customHeight="1">
      <c r="A595" s="31"/>
      <c r="B595" s="31"/>
      <c r="C595" s="31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1"/>
      <c r="AA595" s="31"/>
      <c r="AB595" s="31"/>
      <c r="AC595" s="31"/>
      <c r="AD595" s="31"/>
      <c r="AE595" s="31"/>
      <c r="AF595" s="31"/>
      <c r="AG595" s="31"/>
      <c r="AH595" s="31"/>
      <c r="AI595" s="31"/>
      <c r="AJ595" s="31"/>
      <c r="AK595" s="31"/>
      <c r="AL595" s="31"/>
      <c r="AM595" s="31"/>
      <c r="AN595" s="31"/>
      <c r="AO595" s="31"/>
      <c r="AP595" s="31"/>
      <c r="AQ595" s="31"/>
      <c r="AR595" s="31"/>
      <c r="AS595" s="31"/>
    </row>
    <row r="596" spans="1:45" ht="13.5" customHeight="1">
      <c r="A596" s="31"/>
      <c r="B596" s="31"/>
      <c r="C596" s="31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1"/>
      <c r="AA596" s="31"/>
      <c r="AB596" s="31"/>
      <c r="AC596" s="31"/>
      <c r="AD596" s="31"/>
      <c r="AE596" s="31"/>
      <c r="AF596" s="31"/>
      <c r="AG596" s="31"/>
      <c r="AH596" s="31"/>
      <c r="AI596" s="31"/>
      <c r="AJ596" s="31"/>
      <c r="AK596" s="31"/>
      <c r="AL596" s="31"/>
      <c r="AM596" s="31"/>
      <c r="AN596" s="31"/>
      <c r="AO596" s="31"/>
      <c r="AP596" s="31"/>
      <c r="AQ596" s="31"/>
      <c r="AR596" s="31"/>
      <c r="AS596" s="31"/>
    </row>
    <row r="597" spans="1:45" ht="13.5" customHeight="1">
      <c r="A597" s="31"/>
      <c r="B597" s="31"/>
      <c r="C597" s="31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1"/>
      <c r="AA597" s="31"/>
      <c r="AB597" s="31"/>
      <c r="AC597" s="31"/>
      <c r="AD597" s="31"/>
      <c r="AE597" s="31"/>
      <c r="AF597" s="31"/>
      <c r="AG597" s="31"/>
      <c r="AH597" s="31"/>
      <c r="AI597" s="31"/>
      <c r="AJ597" s="31"/>
      <c r="AK597" s="31"/>
      <c r="AL597" s="31"/>
      <c r="AM597" s="31"/>
      <c r="AN597" s="31"/>
      <c r="AO597" s="31"/>
      <c r="AP597" s="31"/>
      <c r="AQ597" s="31"/>
      <c r="AR597" s="31"/>
      <c r="AS597" s="31"/>
    </row>
    <row r="598" spans="1:45" ht="13.5" customHeight="1">
      <c r="A598" s="31"/>
      <c r="B598" s="31"/>
      <c r="C598" s="31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  <c r="AK598" s="31"/>
      <c r="AL598" s="31"/>
      <c r="AM598" s="31"/>
      <c r="AN598" s="31"/>
      <c r="AO598" s="31"/>
      <c r="AP598" s="31"/>
      <c r="AQ598" s="31"/>
      <c r="AR598" s="31"/>
      <c r="AS598" s="31"/>
    </row>
    <row r="599" spans="1:45" ht="13.5" customHeight="1">
      <c r="A599" s="31"/>
      <c r="B599" s="31"/>
      <c r="C599" s="31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1"/>
      <c r="AA599" s="31"/>
      <c r="AB599" s="31"/>
      <c r="AC599" s="31"/>
      <c r="AD599" s="31"/>
      <c r="AE599" s="31"/>
      <c r="AF599" s="31"/>
      <c r="AG599" s="31"/>
      <c r="AH599" s="31"/>
      <c r="AI599" s="31"/>
      <c r="AJ599" s="31"/>
      <c r="AK599" s="31"/>
      <c r="AL599" s="31"/>
      <c r="AM599" s="31"/>
      <c r="AN599" s="31"/>
      <c r="AO599" s="31"/>
      <c r="AP599" s="31"/>
      <c r="AQ599" s="31"/>
      <c r="AR599" s="31"/>
      <c r="AS599" s="31"/>
    </row>
    <row r="600" spans="1:45" ht="13.5" customHeight="1">
      <c r="A600" s="31"/>
      <c r="B600" s="31"/>
      <c r="C600" s="31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1"/>
      <c r="AA600" s="31"/>
      <c r="AB600" s="31"/>
      <c r="AC600" s="31"/>
      <c r="AD600" s="31"/>
      <c r="AE600" s="31"/>
      <c r="AF600" s="31"/>
      <c r="AG600" s="31"/>
      <c r="AH600" s="31"/>
      <c r="AI600" s="31"/>
      <c r="AJ600" s="31"/>
      <c r="AK600" s="31"/>
      <c r="AL600" s="31"/>
      <c r="AM600" s="31"/>
      <c r="AN600" s="31"/>
      <c r="AO600" s="31"/>
      <c r="AP600" s="31"/>
      <c r="AQ600" s="31"/>
      <c r="AR600" s="31"/>
      <c r="AS600" s="31"/>
    </row>
    <row r="601" spans="1:45" ht="13.5" customHeight="1">
      <c r="A601" s="31"/>
      <c r="B601" s="31"/>
      <c r="C601" s="31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1"/>
      <c r="AA601" s="31"/>
      <c r="AB601" s="31"/>
      <c r="AC601" s="31"/>
      <c r="AD601" s="31"/>
      <c r="AE601" s="31"/>
      <c r="AF601" s="31"/>
      <c r="AG601" s="31"/>
      <c r="AH601" s="31"/>
      <c r="AI601" s="31"/>
      <c r="AJ601" s="31"/>
      <c r="AK601" s="31"/>
      <c r="AL601" s="31"/>
      <c r="AM601" s="31"/>
      <c r="AN601" s="31"/>
      <c r="AO601" s="31"/>
      <c r="AP601" s="31"/>
      <c r="AQ601" s="31"/>
      <c r="AR601" s="31"/>
      <c r="AS601" s="31"/>
    </row>
    <row r="602" spans="1:45" ht="13.5" customHeight="1">
      <c r="A602" s="31"/>
      <c r="B602" s="31"/>
      <c r="C602" s="31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1"/>
      <c r="AA602" s="31"/>
      <c r="AB602" s="31"/>
      <c r="AC602" s="31"/>
      <c r="AD602" s="31"/>
      <c r="AE602" s="31"/>
      <c r="AF602" s="31"/>
      <c r="AG602" s="31"/>
      <c r="AH602" s="31"/>
      <c r="AI602" s="31"/>
      <c r="AJ602" s="31"/>
      <c r="AK602" s="31"/>
      <c r="AL602" s="31"/>
      <c r="AM602" s="31"/>
      <c r="AN602" s="31"/>
      <c r="AO602" s="31"/>
      <c r="AP602" s="31"/>
      <c r="AQ602" s="31"/>
      <c r="AR602" s="31"/>
      <c r="AS602" s="31"/>
    </row>
    <row r="603" spans="1:45" ht="13.5" customHeight="1">
      <c r="A603" s="31"/>
      <c r="B603" s="31"/>
      <c r="C603" s="31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1"/>
      <c r="AA603" s="31"/>
      <c r="AB603" s="31"/>
      <c r="AC603" s="31"/>
      <c r="AD603" s="31"/>
      <c r="AE603" s="31"/>
      <c r="AF603" s="31"/>
      <c r="AG603" s="31"/>
      <c r="AH603" s="31"/>
      <c r="AI603" s="31"/>
      <c r="AJ603" s="31"/>
      <c r="AK603" s="31"/>
      <c r="AL603" s="31"/>
      <c r="AM603" s="31"/>
      <c r="AN603" s="31"/>
      <c r="AO603" s="31"/>
      <c r="AP603" s="31"/>
      <c r="AQ603" s="31"/>
      <c r="AR603" s="31"/>
      <c r="AS603" s="31"/>
    </row>
    <row r="604" spans="1:45" ht="13.5" customHeight="1">
      <c r="A604" s="31"/>
      <c r="B604" s="31"/>
      <c r="C604" s="31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1"/>
      <c r="AA604" s="31"/>
      <c r="AB604" s="31"/>
      <c r="AC604" s="31"/>
      <c r="AD604" s="31"/>
      <c r="AE604" s="31"/>
      <c r="AF604" s="31"/>
      <c r="AG604" s="31"/>
      <c r="AH604" s="31"/>
      <c r="AI604" s="31"/>
      <c r="AJ604" s="31"/>
      <c r="AK604" s="31"/>
      <c r="AL604" s="31"/>
      <c r="AM604" s="31"/>
      <c r="AN604" s="31"/>
      <c r="AO604" s="31"/>
      <c r="AP604" s="31"/>
      <c r="AQ604" s="31"/>
      <c r="AR604" s="31"/>
      <c r="AS604" s="31"/>
    </row>
    <row r="605" spans="1:45" ht="13.5" customHeight="1">
      <c r="A605" s="31"/>
      <c r="B605" s="31"/>
      <c r="C605" s="31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1"/>
      <c r="AA605" s="31"/>
      <c r="AB605" s="31"/>
      <c r="AC605" s="31"/>
      <c r="AD605" s="31"/>
      <c r="AE605" s="31"/>
      <c r="AF605" s="31"/>
      <c r="AG605" s="31"/>
      <c r="AH605" s="31"/>
      <c r="AI605" s="31"/>
      <c r="AJ605" s="31"/>
      <c r="AK605" s="31"/>
      <c r="AL605" s="31"/>
      <c r="AM605" s="31"/>
      <c r="AN605" s="31"/>
      <c r="AO605" s="31"/>
      <c r="AP605" s="31"/>
      <c r="AQ605" s="31"/>
      <c r="AR605" s="31"/>
      <c r="AS605" s="31"/>
    </row>
    <row r="606" spans="1:45" ht="13.5" customHeight="1">
      <c r="A606" s="31"/>
      <c r="B606" s="31"/>
      <c r="C606" s="31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1"/>
      <c r="AA606" s="31"/>
      <c r="AB606" s="31"/>
      <c r="AC606" s="31"/>
      <c r="AD606" s="31"/>
      <c r="AE606" s="31"/>
      <c r="AF606" s="31"/>
      <c r="AG606" s="31"/>
      <c r="AH606" s="31"/>
      <c r="AI606" s="31"/>
      <c r="AJ606" s="31"/>
      <c r="AK606" s="31"/>
      <c r="AL606" s="31"/>
      <c r="AM606" s="31"/>
      <c r="AN606" s="31"/>
      <c r="AO606" s="31"/>
      <c r="AP606" s="31"/>
      <c r="AQ606" s="31"/>
      <c r="AR606" s="31"/>
      <c r="AS606" s="31"/>
    </row>
    <row r="607" spans="1:45" ht="13.5" customHeight="1">
      <c r="A607" s="31"/>
      <c r="B607" s="31"/>
      <c r="C607" s="31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1"/>
      <c r="AA607" s="31"/>
      <c r="AB607" s="31"/>
      <c r="AC607" s="31"/>
      <c r="AD607" s="31"/>
      <c r="AE607" s="31"/>
      <c r="AF607" s="31"/>
      <c r="AG607" s="31"/>
      <c r="AH607" s="31"/>
      <c r="AI607" s="31"/>
      <c r="AJ607" s="31"/>
      <c r="AK607" s="31"/>
      <c r="AL607" s="31"/>
      <c r="AM607" s="31"/>
      <c r="AN607" s="31"/>
      <c r="AO607" s="31"/>
      <c r="AP607" s="31"/>
      <c r="AQ607" s="31"/>
      <c r="AR607" s="31"/>
      <c r="AS607" s="31"/>
    </row>
    <row r="608" spans="1:45" ht="13.5" customHeight="1">
      <c r="A608" s="31"/>
      <c r="B608" s="31"/>
      <c r="C608" s="31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1"/>
      <c r="AA608" s="31"/>
      <c r="AB608" s="31"/>
      <c r="AC608" s="31"/>
      <c r="AD608" s="31"/>
      <c r="AE608" s="31"/>
      <c r="AF608" s="31"/>
      <c r="AG608" s="31"/>
      <c r="AH608" s="31"/>
      <c r="AI608" s="31"/>
      <c r="AJ608" s="31"/>
      <c r="AK608" s="31"/>
      <c r="AL608" s="31"/>
      <c r="AM608" s="31"/>
      <c r="AN608" s="31"/>
      <c r="AO608" s="31"/>
      <c r="AP608" s="31"/>
      <c r="AQ608" s="31"/>
      <c r="AR608" s="31"/>
      <c r="AS608" s="31"/>
    </row>
    <row r="609" spans="1:45" ht="13.5" customHeight="1">
      <c r="A609" s="31"/>
      <c r="B609" s="31"/>
      <c r="C609" s="31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1"/>
      <c r="AA609" s="31"/>
      <c r="AB609" s="31"/>
      <c r="AC609" s="31"/>
      <c r="AD609" s="31"/>
      <c r="AE609" s="31"/>
      <c r="AF609" s="31"/>
      <c r="AG609" s="31"/>
      <c r="AH609" s="31"/>
      <c r="AI609" s="31"/>
      <c r="AJ609" s="31"/>
      <c r="AK609" s="31"/>
      <c r="AL609" s="31"/>
      <c r="AM609" s="31"/>
      <c r="AN609" s="31"/>
      <c r="AO609" s="31"/>
      <c r="AP609" s="31"/>
      <c r="AQ609" s="31"/>
      <c r="AR609" s="31"/>
      <c r="AS609" s="31"/>
    </row>
    <row r="610" spans="1:45" ht="13.5" customHeight="1">
      <c r="A610" s="31"/>
      <c r="B610" s="31"/>
      <c r="C610" s="31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1"/>
      <c r="AA610" s="31"/>
      <c r="AB610" s="31"/>
      <c r="AC610" s="31"/>
      <c r="AD610" s="31"/>
      <c r="AE610" s="31"/>
      <c r="AF610" s="31"/>
      <c r="AG610" s="31"/>
      <c r="AH610" s="31"/>
      <c r="AI610" s="31"/>
      <c r="AJ610" s="31"/>
      <c r="AK610" s="31"/>
      <c r="AL610" s="31"/>
      <c r="AM610" s="31"/>
      <c r="AN610" s="31"/>
      <c r="AO610" s="31"/>
      <c r="AP610" s="31"/>
      <c r="AQ610" s="31"/>
      <c r="AR610" s="31"/>
      <c r="AS610" s="31"/>
    </row>
    <row r="611" spans="1:45" ht="13.5" customHeight="1">
      <c r="A611" s="31"/>
      <c r="B611" s="31"/>
      <c r="C611" s="31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1"/>
      <c r="AA611" s="31"/>
      <c r="AB611" s="31"/>
      <c r="AC611" s="31"/>
      <c r="AD611" s="31"/>
      <c r="AE611" s="31"/>
      <c r="AF611" s="31"/>
      <c r="AG611" s="31"/>
      <c r="AH611" s="31"/>
      <c r="AI611" s="31"/>
      <c r="AJ611" s="31"/>
      <c r="AK611" s="31"/>
      <c r="AL611" s="31"/>
      <c r="AM611" s="31"/>
      <c r="AN611" s="31"/>
      <c r="AO611" s="31"/>
      <c r="AP611" s="31"/>
      <c r="AQ611" s="31"/>
      <c r="AR611" s="31"/>
      <c r="AS611" s="31"/>
    </row>
    <row r="612" spans="1:45" ht="13.5" customHeight="1">
      <c r="A612" s="31"/>
      <c r="B612" s="31"/>
      <c r="C612" s="31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1"/>
      <c r="AA612" s="31"/>
      <c r="AB612" s="31"/>
      <c r="AC612" s="31"/>
      <c r="AD612" s="31"/>
      <c r="AE612" s="31"/>
      <c r="AF612" s="31"/>
      <c r="AG612" s="31"/>
      <c r="AH612" s="31"/>
      <c r="AI612" s="31"/>
      <c r="AJ612" s="31"/>
      <c r="AK612" s="31"/>
      <c r="AL612" s="31"/>
      <c r="AM612" s="31"/>
      <c r="AN612" s="31"/>
      <c r="AO612" s="31"/>
      <c r="AP612" s="31"/>
      <c r="AQ612" s="31"/>
      <c r="AR612" s="31"/>
      <c r="AS612" s="31"/>
    </row>
    <row r="613" spans="1:45" ht="13.5" customHeight="1">
      <c r="A613" s="31"/>
      <c r="B613" s="31"/>
      <c r="C613" s="31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1"/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  <c r="AK613" s="31"/>
      <c r="AL613" s="31"/>
      <c r="AM613" s="31"/>
      <c r="AN613" s="31"/>
      <c r="AO613" s="31"/>
      <c r="AP613" s="31"/>
      <c r="AQ613" s="31"/>
      <c r="AR613" s="31"/>
      <c r="AS613" s="31"/>
    </row>
    <row r="614" spans="1:45" ht="13.5" customHeight="1">
      <c r="A614" s="31"/>
      <c r="B614" s="31"/>
      <c r="C614" s="31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1"/>
      <c r="AA614" s="31"/>
      <c r="AB614" s="31"/>
      <c r="AC614" s="31"/>
      <c r="AD614" s="31"/>
      <c r="AE614" s="31"/>
      <c r="AF614" s="31"/>
      <c r="AG614" s="31"/>
      <c r="AH614" s="31"/>
      <c r="AI614" s="31"/>
      <c r="AJ614" s="31"/>
      <c r="AK614" s="31"/>
      <c r="AL614" s="31"/>
      <c r="AM614" s="31"/>
      <c r="AN614" s="31"/>
      <c r="AO614" s="31"/>
      <c r="AP614" s="31"/>
      <c r="AQ614" s="31"/>
      <c r="AR614" s="31"/>
      <c r="AS614" s="31"/>
    </row>
    <row r="615" spans="1:45" ht="13.5" customHeight="1">
      <c r="A615" s="31"/>
      <c r="B615" s="31"/>
      <c r="C615" s="31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1"/>
      <c r="AA615" s="31"/>
      <c r="AB615" s="31"/>
      <c r="AC615" s="31"/>
      <c r="AD615" s="31"/>
      <c r="AE615" s="31"/>
      <c r="AF615" s="31"/>
      <c r="AG615" s="31"/>
      <c r="AH615" s="31"/>
      <c r="AI615" s="31"/>
      <c r="AJ615" s="31"/>
      <c r="AK615" s="31"/>
      <c r="AL615" s="31"/>
      <c r="AM615" s="31"/>
      <c r="AN615" s="31"/>
      <c r="AO615" s="31"/>
      <c r="AP615" s="31"/>
      <c r="AQ615" s="31"/>
      <c r="AR615" s="31"/>
      <c r="AS615" s="31"/>
    </row>
    <row r="616" spans="1:45" ht="13.5" customHeight="1">
      <c r="A616" s="31"/>
      <c r="B616" s="31"/>
      <c r="C616" s="31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1"/>
      <c r="AA616" s="31"/>
      <c r="AB616" s="31"/>
      <c r="AC616" s="31"/>
      <c r="AD616" s="31"/>
      <c r="AE616" s="31"/>
      <c r="AF616" s="31"/>
      <c r="AG616" s="31"/>
      <c r="AH616" s="31"/>
      <c r="AI616" s="31"/>
      <c r="AJ616" s="31"/>
      <c r="AK616" s="31"/>
      <c r="AL616" s="31"/>
      <c r="AM616" s="31"/>
      <c r="AN616" s="31"/>
      <c r="AO616" s="31"/>
      <c r="AP616" s="31"/>
      <c r="AQ616" s="31"/>
      <c r="AR616" s="31"/>
      <c r="AS616" s="31"/>
    </row>
    <row r="617" spans="1:45" ht="13.5" customHeight="1">
      <c r="A617" s="31"/>
      <c r="B617" s="31"/>
      <c r="C617" s="31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1"/>
      <c r="AA617" s="31"/>
      <c r="AB617" s="31"/>
      <c r="AC617" s="31"/>
      <c r="AD617" s="31"/>
      <c r="AE617" s="31"/>
      <c r="AF617" s="31"/>
      <c r="AG617" s="31"/>
      <c r="AH617" s="31"/>
      <c r="AI617" s="31"/>
      <c r="AJ617" s="31"/>
      <c r="AK617" s="31"/>
      <c r="AL617" s="31"/>
      <c r="AM617" s="31"/>
      <c r="AN617" s="31"/>
      <c r="AO617" s="31"/>
      <c r="AP617" s="31"/>
      <c r="AQ617" s="31"/>
      <c r="AR617" s="31"/>
      <c r="AS617" s="31"/>
    </row>
    <row r="618" spans="1:45" ht="13.5" customHeight="1">
      <c r="A618" s="31"/>
      <c r="B618" s="31"/>
      <c r="C618" s="31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1"/>
      <c r="AA618" s="31"/>
      <c r="AB618" s="31"/>
      <c r="AC618" s="31"/>
      <c r="AD618" s="31"/>
      <c r="AE618" s="31"/>
      <c r="AF618" s="31"/>
      <c r="AG618" s="31"/>
      <c r="AH618" s="31"/>
      <c r="AI618" s="31"/>
      <c r="AJ618" s="31"/>
      <c r="AK618" s="31"/>
      <c r="AL618" s="31"/>
      <c r="AM618" s="31"/>
      <c r="AN618" s="31"/>
      <c r="AO618" s="31"/>
      <c r="AP618" s="31"/>
      <c r="AQ618" s="31"/>
      <c r="AR618" s="31"/>
      <c r="AS618" s="31"/>
    </row>
    <row r="619" spans="1:45" ht="13.5" customHeight="1">
      <c r="A619" s="31"/>
      <c r="B619" s="31"/>
      <c r="C619" s="31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1"/>
      <c r="AA619" s="31"/>
      <c r="AB619" s="31"/>
      <c r="AC619" s="31"/>
      <c r="AD619" s="31"/>
      <c r="AE619" s="31"/>
      <c r="AF619" s="31"/>
      <c r="AG619" s="31"/>
      <c r="AH619" s="31"/>
      <c r="AI619" s="31"/>
      <c r="AJ619" s="31"/>
      <c r="AK619" s="31"/>
      <c r="AL619" s="31"/>
      <c r="AM619" s="31"/>
      <c r="AN619" s="31"/>
      <c r="AO619" s="31"/>
      <c r="AP619" s="31"/>
      <c r="AQ619" s="31"/>
      <c r="AR619" s="31"/>
      <c r="AS619" s="31"/>
    </row>
    <row r="620" spans="1:45" ht="13.5" customHeight="1">
      <c r="A620" s="31"/>
      <c r="B620" s="31"/>
      <c r="C620" s="31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1"/>
      <c r="AA620" s="31"/>
      <c r="AB620" s="31"/>
      <c r="AC620" s="31"/>
      <c r="AD620" s="31"/>
      <c r="AE620" s="31"/>
      <c r="AF620" s="31"/>
      <c r="AG620" s="31"/>
      <c r="AH620" s="31"/>
      <c r="AI620" s="31"/>
      <c r="AJ620" s="31"/>
      <c r="AK620" s="31"/>
      <c r="AL620" s="31"/>
      <c r="AM620" s="31"/>
      <c r="AN620" s="31"/>
      <c r="AO620" s="31"/>
      <c r="AP620" s="31"/>
      <c r="AQ620" s="31"/>
      <c r="AR620" s="31"/>
      <c r="AS620" s="31"/>
    </row>
    <row r="621" spans="1:45" ht="13.5" customHeight="1">
      <c r="A621" s="31"/>
      <c r="B621" s="31"/>
      <c r="C621" s="31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1"/>
      <c r="AA621" s="31"/>
      <c r="AB621" s="31"/>
      <c r="AC621" s="31"/>
      <c r="AD621" s="31"/>
      <c r="AE621" s="31"/>
      <c r="AF621" s="31"/>
      <c r="AG621" s="31"/>
      <c r="AH621" s="31"/>
      <c r="AI621" s="31"/>
      <c r="AJ621" s="31"/>
      <c r="AK621" s="31"/>
      <c r="AL621" s="31"/>
      <c r="AM621" s="31"/>
      <c r="AN621" s="31"/>
      <c r="AO621" s="31"/>
      <c r="AP621" s="31"/>
      <c r="AQ621" s="31"/>
      <c r="AR621" s="31"/>
      <c r="AS621" s="31"/>
    </row>
    <row r="622" spans="1:45" ht="13.5" customHeight="1">
      <c r="A622" s="31"/>
      <c r="B622" s="31"/>
      <c r="C622" s="31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1"/>
      <c r="AA622" s="31"/>
      <c r="AB622" s="31"/>
      <c r="AC622" s="31"/>
      <c r="AD622" s="31"/>
      <c r="AE622" s="31"/>
      <c r="AF622" s="31"/>
      <c r="AG622" s="31"/>
      <c r="AH622" s="31"/>
      <c r="AI622" s="31"/>
      <c r="AJ622" s="31"/>
      <c r="AK622" s="31"/>
      <c r="AL622" s="31"/>
      <c r="AM622" s="31"/>
      <c r="AN622" s="31"/>
      <c r="AO622" s="31"/>
      <c r="AP622" s="31"/>
      <c r="AQ622" s="31"/>
      <c r="AR622" s="31"/>
      <c r="AS622" s="31"/>
    </row>
    <row r="623" spans="1:45" ht="13.5" customHeight="1">
      <c r="A623" s="31"/>
      <c r="B623" s="31"/>
      <c r="C623" s="31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1"/>
      <c r="AA623" s="31"/>
      <c r="AB623" s="31"/>
      <c r="AC623" s="31"/>
      <c r="AD623" s="31"/>
      <c r="AE623" s="31"/>
      <c r="AF623" s="31"/>
      <c r="AG623" s="31"/>
      <c r="AH623" s="31"/>
      <c r="AI623" s="31"/>
      <c r="AJ623" s="31"/>
      <c r="AK623" s="31"/>
      <c r="AL623" s="31"/>
      <c r="AM623" s="31"/>
      <c r="AN623" s="31"/>
      <c r="AO623" s="31"/>
      <c r="AP623" s="31"/>
      <c r="AQ623" s="31"/>
      <c r="AR623" s="31"/>
      <c r="AS623" s="31"/>
    </row>
    <row r="624" spans="1:45" ht="13.5" customHeight="1">
      <c r="A624" s="31"/>
      <c r="B624" s="31"/>
      <c r="C624" s="31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1"/>
      <c r="AA624" s="31"/>
      <c r="AB624" s="31"/>
      <c r="AC624" s="31"/>
      <c r="AD624" s="31"/>
      <c r="AE624" s="31"/>
      <c r="AF624" s="31"/>
      <c r="AG624" s="31"/>
      <c r="AH624" s="31"/>
      <c r="AI624" s="31"/>
      <c r="AJ624" s="31"/>
      <c r="AK624" s="31"/>
      <c r="AL624" s="31"/>
      <c r="AM624" s="31"/>
      <c r="AN624" s="31"/>
      <c r="AO624" s="31"/>
      <c r="AP624" s="31"/>
      <c r="AQ624" s="31"/>
      <c r="AR624" s="31"/>
      <c r="AS624" s="31"/>
    </row>
    <row r="625" spans="1:45" ht="13.5" customHeight="1">
      <c r="A625" s="31"/>
      <c r="B625" s="31"/>
      <c r="C625" s="31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1"/>
      <c r="AA625" s="31"/>
      <c r="AB625" s="31"/>
      <c r="AC625" s="31"/>
      <c r="AD625" s="31"/>
      <c r="AE625" s="31"/>
      <c r="AF625" s="31"/>
      <c r="AG625" s="31"/>
      <c r="AH625" s="31"/>
      <c r="AI625" s="31"/>
      <c r="AJ625" s="31"/>
      <c r="AK625" s="31"/>
      <c r="AL625" s="31"/>
      <c r="AM625" s="31"/>
      <c r="AN625" s="31"/>
      <c r="AO625" s="31"/>
      <c r="AP625" s="31"/>
      <c r="AQ625" s="31"/>
      <c r="AR625" s="31"/>
      <c r="AS625" s="31"/>
    </row>
    <row r="626" spans="1:45" ht="13.5" customHeight="1">
      <c r="A626" s="31"/>
      <c r="B626" s="31"/>
      <c r="C626" s="31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1"/>
      <c r="AA626" s="31"/>
      <c r="AB626" s="31"/>
      <c r="AC626" s="31"/>
      <c r="AD626" s="31"/>
      <c r="AE626" s="31"/>
      <c r="AF626" s="31"/>
      <c r="AG626" s="31"/>
      <c r="AH626" s="31"/>
      <c r="AI626" s="31"/>
      <c r="AJ626" s="31"/>
      <c r="AK626" s="31"/>
      <c r="AL626" s="31"/>
      <c r="AM626" s="31"/>
      <c r="AN626" s="31"/>
      <c r="AO626" s="31"/>
      <c r="AP626" s="31"/>
      <c r="AQ626" s="31"/>
      <c r="AR626" s="31"/>
      <c r="AS626" s="31"/>
    </row>
    <row r="627" spans="1:45" ht="13.5" customHeight="1">
      <c r="A627" s="31"/>
      <c r="B627" s="31"/>
      <c r="C627" s="31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1"/>
      <c r="AA627" s="31"/>
      <c r="AB627" s="31"/>
      <c r="AC627" s="31"/>
      <c r="AD627" s="31"/>
      <c r="AE627" s="31"/>
      <c r="AF627" s="31"/>
      <c r="AG627" s="31"/>
      <c r="AH627" s="31"/>
      <c r="AI627" s="31"/>
      <c r="AJ627" s="31"/>
      <c r="AK627" s="31"/>
      <c r="AL627" s="31"/>
      <c r="AM627" s="31"/>
      <c r="AN627" s="31"/>
      <c r="AO627" s="31"/>
      <c r="AP627" s="31"/>
      <c r="AQ627" s="31"/>
      <c r="AR627" s="31"/>
      <c r="AS627" s="31"/>
    </row>
    <row r="628" spans="1:45" ht="13.5" customHeight="1">
      <c r="A628" s="31"/>
      <c r="B628" s="31"/>
      <c r="C628" s="31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1"/>
      <c r="AA628" s="31"/>
      <c r="AB628" s="31"/>
      <c r="AC628" s="31"/>
      <c r="AD628" s="31"/>
      <c r="AE628" s="31"/>
      <c r="AF628" s="31"/>
      <c r="AG628" s="31"/>
      <c r="AH628" s="31"/>
      <c r="AI628" s="31"/>
      <c r="AJ628" s="31"/>
      <c r="AK628" s="31"/>
      <c r="AL628" s="31"/>
      <c r="AM628" s="31"/>
      <c r="AN628" s="31"/>
      <c r="AO628" s="31"/>
      <c r="AP628" s="31"/>
      <c r="AQ628" s="31"/>
      <c r="AR628" s="31"/>
      <c r="AS628" s="31"/>
    </row>
    <row r="629" spans="1:45" ht="13.5" customHeight="1">
      <c r="A629" s="31"/>
      <c r="B629" s="31"/>
      <c r="C629" s="31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1"/>
      <c r="AA629" s="31"/>
      <c r="AB629" s="31"/>
      <c r="AC629" s="31"/>
      <c r="AD629" s="31"/>
      <c r="AE629" s="31"/>
      <c r="AF629" s="31"/>
      <c r="AG629" s="31"/>
      <c r="AH629" s="31"/>
      <c r="AI629" s="31"/>
      <c r="AJ629" s="31"/>
      <c r="AK629" s="31"/>
      <c r="AL629" s="31"/>
      <c r="AM629" s="31"/>
      <c r="AN629" s="31"/>
      <c r="AO629" s="31"/>
      <c r="AP629" s="31"/>
      <c r="AQ629" s="31"/>
      <c r="AR629" s="31"/>
      <c r="AS629" s="31"/>
    </row>
    <row r="630" spans="1:45" ht="13.5" customHeight="1">
      <c r="A630" s="31"/>
      <c r="B630" s="31"/>
      <c r="C630" s="31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1"/>
      <c r="AA630" s="31"/>
      <c r="AB630" s="31"/>
      <c r="AC630" s="31"/>
      <c r="AD630" s="31"/>
      <c r="AE630" s="31"/>
      <c r="AF630" s="31"/>
      <c r="AG630" s="31"/>
      <c r="AH630" s="31"/>
      <c r="AI630" s="31"/>
      <c r="AJ630" s="31"/>
      <c r="AK630" s="31"/>
      <c r="AL630" s="31"/>
      <c r="AM630" s="31"/>
      <c r="AN630" s="31"/>
      <c r="AO630" s="31"/>
      <c r="AP630" s="31"/>
      <c r="AQ630" s="31"/>
      <c r="AR630" s="31"/>
      <c r="AS630" s="31"/>
    </row>
    <row r="631" spans="1:45" ht="13.5" customHeight="1">
      <c r="A631" s="31"/>
      <c r="B631" s="31"/>
      <c r="C631" s="31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1"/>
      <c r="AA631" s="31"/>
      <c r="AB631" s="31"/>
      <c r="AC631" s="31"/>
      <c r="AD631" s="31"/>
      <c r="AE631" s="31"/>
      <c r="AF631" s="31"/>
      <c r="AG631" s="31"/>
      <c r="AH631" s="31"/>
      <c r="AI631" s="31"/>
      <c r="AJ631" s="31"/>
      <c r="AK631" s="31"/>
      <c r="AL631" s="31"/>
      <c r="AM631" s="31"/>
      <c r="AN631" s="31"/>
      <c r="AO631" s="31"/>
      <c r="AP631" s="31"/>
      <c r="AQ631" s="31"/>
      <c r="AR631" s="31"/>
      <c r="AS631" s="31"/>
    </row>
    <row r="632" spans="1:45" ht="13.5" customHeight="1">
      <c r="A632" s="31"/>
      <c r="B632" s="31"/>
      <c r="C632" s="31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1"/>
      <c r="AA632" s="31"/>
      <c r="AB632" s="31"/>
      <c r="AC632" s="31"/>
      <c r="AD632" s="31"/>
      <c r="AE632" s="31"/>
      <c r="AF632" s="31"/>
      <c r="AG632" s="31"/>
      <c r="AH632" s="31"/>
      <c r="AI632" s="31"/>
      <c r="AJ632" s="31"/>
      <c r="AK632" s="31"/>
      <c r="AL632" s="31"/>
      <c r="AM632" s="31"/>
      <c r="AN632" s="31"/>
      <c r="AO632" s="31"/>
      <c r="AP632" s="31"/>
      <c r="AQ632" s="31"/>
      <c r="AR632" s="31"/>
      <c r="AS632" s="31"/>
    </row>
    <row r="633" spans="1:45" ht="13.5" customHeight="1">
      <c r="A633" s="31"/>
      <c r="B633" s="31"/>
      <c r="C633" s="31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1"/>
      <c r="AA633" s="31"/>
      <c r="AB633" s="31"/>
      <c r="AC633" s="31"/>
      <c r="AD633" s="31"/>
      <c r="AE633" s="31"/>
      <c r="AF633" s="31"/>
      <c r="AG633" s="31"/>
      <c r="AH633" s="31"/>
      <c r="AI633" s="31"/>
      <c r="AJ633" s="31"/>
      <c r="AK633" s="31"/>
      <c r="AL633" s="31"/>
      <c r="AM633" s="31"/>
      <c r="AN633" s="31"/>
      <c r="AO633" s="31"/>
      <c r="AP633" s="31"/>
      <c r="AQ633" s="31"/>
      <c r="AR633" s="31"/>
      <c r="AS633" s="31"/>
    </row>
    <row r="634" spans="1:45" ht="13.5" customHeight="1">
      <c r="A634" s="31"/>
      <c r="B634" s="31"/>
      <c r="C634" s="31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1"/>
      <c r="AA634" s="31"/>
      <c r="AB634" s="31"/>
      <c r="AC634" s="31"/>
      <c r="AD634" s="31"/>
      <c r="AE634" s="31"/>
      <c r="AF634" s="31"/>
      <c r="AG634" s="31"/>
      <c r="AH634" s="31"/>
      <c r="AI634" s="31"/>
      <c r="AJ634" s="31"/>
      <c r="AK634" s="31"/>
      <c r="AL634" s="31"/>
      <c r="AM634" s="31"/>
      <c r="AN634" s="31"/>
      <c r="AO634" s="31"/>
      <c r="AP634" s="31"/>
      <c r="AQ634" s="31"/>
      <c r="AR634" s="31"/>
      <c r="AS634" s="31"/>
    </row>
    <row r="635" spans="1:45" ht="13.5" customHeight="1">
      <c r="A635" s="31"/>
      <c r="B635" s="31"/>
      <c r="C635" s="31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1"/>
      <c r="AA635" s="31"/>
      <c r="AB635" s="31"/>
      <c r="AC635" s="31"/>
      <c r="AD635" s="31"/>
      <c r="AE635" s="31"/>
      <c r="AF635" s="31"/>
      <c r="AG635" s="31"/>
      <c r="AH635" s="31"/>
      <c r="AI635" s="31"/>
      <c r="AJ635" s="31"/>
      <c r="AK635" s="31"/>
      <c r="AL635" s="31"/>
      <c r="AM635" s="31"/>
      <c r="AN635" s="31"/>
      <c r="AO635" s="31"/>
      <c r="AP635" s="31"/>
      <c r="AQ635" s="31"/>
      <c r="AR635" s="31"/>
      <c r="AS635" s="31"/>
    </row>
    <row r="636" spans="1:45" ht="13.5" customHeight="1">
      <c r="A636" s="31"/>
      <c r="B636" s="31"/>
      <c r="C636" s="31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1"/>
      <c r="AA636" s="31"/>
      <c r="AB636" s="31"/>
      <c r="AC636" s="31"/>
      <c r="AD636" s="31"/>
      <c r="AE636" s="31"/>
      <c r="AF636" s="31"/>
      <c r="AG636" s="31"/>
      <c r="AH636" s="31"/>
      <c r="AI636" s="31"/>
      <c r="AJ636" s="31"/>
      <c r="AK636" s="31"/>
      <c r="AL636" s="31"/>
      <c r="AM636" s="31"/>
      <c r="AN636" s="31"/>
      <c r="AO636" s="31"/>
      <c r="AP636" s="31"/>
      <c r="AQ636" s="31"/>
      <c r="AR636" s="31"/>
      <c r="AS636" s="31"/>
    </row>
    <row r="637" spans="1:45" ht="13.5" customHeight="1">
      <c r="A637" s="31"/>
      <c r="B637" s="31"/>
      <c r="C637" s="31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1"/>
      <c r="AA637" s="31"/>
      <c r="AB637" s="31"/>
      <c r="AC637" s="31"/>
      <c r="AD637" s="31"/>
      <c r="AE637" s="31"/>
      <c r="AF637" s="31"/>
      <c r="AG637" s="31"/>
      <c r="AH637" s="31"/>
      <c r="AI637" s="31"/>
      <c r="AJ637" s="31"/>
      <c r="AK637" s="31"/>
      <c r="AL637" s="31"/>
      <c r="AM637" s="31"/>
      <c r="AN637" s="31"/>
      <c r="AO637" s="31"/>
      <c r="AP637" s="31"/>
      <c r="AQ637" s="31"/>
      <c r="AR637" s="31"/>
      <c r="AS637" s="31"/>
    </row>
    <row r="638" spans="1:45" ht="13.5" customHeight="1">
      <c r="A638" s="31"/>
      <c r="B638" s="31"/>
      <c r="C638" s="31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1"/>
      <c r="AA638" s="31"/>
      <c r="AB638" s="31"/>
      <c r="AC638" s="31"/>
      <c r="AD638" s="31"/>
      <c r="AE638" s="31"/>
      <c r="AF638" s="31"/>
      <c r="AG638" s="31"/>
      <c r="AH638" s="31"/>
      <c r="AI638" s="31"/>
      <c r="AJ638" s="31"/>
      <c r="AK638" s="31"/>
      <c r="AL638" s="31"/>
      <c r="AM638" s="31"/>
      <c r="AN638" s="31"/>
      <c r="AO638" s="31"/>
      <c r="AP638" s="31"/>
      <c r="AQ638" s="31"/>
      <c r="AR638" s="31"/>
      <c r="AS638" s="31"/>
    </row>
    <row r="639" spans="1:45" ht="13.5" customHeight="1">
      <c r="A639" s="31"/>
      <c r="B639" s="31"/>
      <c r="C639" s="31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1"/>
      <c r="AA639" s="31"/>
      <c r="AB639" s="31"/>
      <c r="AC639" s="31"/>
      <c r="AD639" s="31"/>
      <c r="AE639" s="31"/>
      <c r="AF639" s="31"/>
      <c r="AG639" s="31"/>
      <c r="AH639" s="31"/>
      <c r="AI639" s="31"/>
      <c r="AJ639" s="31"/>
      <c r="AK639" s="31"/>
      <c r="AL639" s="31"/>
      <c r="AM639" s="31"/>
      <c r="AN639" s="31"/>
      <c r="AO639" s="31"/>
      <c r="AP639" s="31"/>
      <c r="AQ639" s="31"/>
      <c r="AR639" s="31"/>
      <c r="AS639" s="31"/>
    </row>
    <row r="640" spans="1:45" ht="13.5" customHeight="1">
      <c r="A640" s="31"/>
      <c r="B640" s="31"/>
      <c r="C640" s="31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1"/>
      <c r="AA640" s="31"/>
      <c r="AB640" s="31"/>
      <c r="AC640" s="31"/>
      <c r="AD640" s="31"/>
      <c r="AE640" s="31"/>
      <c r="AF640" s="31"/>
      <c r="AG640" s="31"/>
      <c r="AH640" s="31"/>
      <c r="AI640" s="31"/>
      <c r="AJ640" s="31"/>
      <c r="AK640" s="31"/>
      <c r="AL640" s="31"/>
      <c r="AM640" s="31"/>
      <c r="AN640" s="31"/>
      <c r="AO640" s="31"/>
      <c r="AP640" s="31"/>
      <c r="AQ640" s="31"/>
      <c r="AR640" s="31"/>
      <c r="AS640" s="31"/>
    </row>
    <row r="641" spans="1:45" ht="13.5" customHeight="1">
      <c r="A641" s="31"/>
      <c r="B641" s="31"/>
      <c r="C641" s="31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1"/>
      <c r="AA641" s="31"/>
      <c r="AB641" s="31"/>
      <c r="AC641" s="31"/>
      <c r="AD641" s="31"/>
      <c r="AE641" s="31"/>
      <c r="AF641" s="31"/>
      <c r="AG641" s="31"/>
      <c r="AH641" s="31"/>
      <c r="AI641" s="31"/>
      <c r="AJ641" s="31"/>
      <c r="AK641" s="31"/>
      <c r="AL641" s="31"/>
      <c r="AM641" s="31"/>
      <c r="AN641" s="31"/>
      <c r="AO641" s="31"/>
      <c r="AP641" s="31"/>
      <c r="AQ641" s="31"/>
      <c r="AR641" s="31"/>
      <c r="AS641" s="31"/>
    </row>
    <row r="642" spans="1:45" ht="13.5" customHeight="1">
      <c r="A642" s="31"/>
      <c r="B642" s="31"/>
      <c r="C642" s="31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1"/>
      <c r="AA642" s="31"/>
      <c r="AB642" s="31"/>
      <c r="AC642" s="31"/>
      <c r="AD642" s="31"/>
      <c r="AE642" s="31"/>
      <c r="AF642" s="31"/>
      <c r="AG642" s="31"/>
      <c r="AH642" s="31"/>
      <c r="AI642" s="31"/>
      <c r="AJ642" s="31"/>
      <c r="AK642" s="31"/>
      <c r="AL642" s="31"/>
      <c r="AM642" s="31"/>
      <c r="AN642" s="31"/>
      <c r="AO642" s="31"/>
      <c r="AP642" s="31"/>
      <c r="AQ642" s="31"/>
      <c r="AR642" s="31"/>
      <c r="AS642" s="31"/>
    </row>
    <row r="643" spans="1:45" ht="13.5" customHeight="1">
      <c r="A643" s="31"/>
      <c r="B643" s="31"/>
      <c r="C643" s="31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1"/>
      <c r="AA643" s="31"/>
      <c r="AB643" s="31"/>
      <c r="AC643" s="31"/>
      <c r="AD643" s="31"/>
      <c r="AE643" s="31"/>
      <c r="AF643" s="31"/>
      <c r="AG643" s="31"/>
      <c r="AH643" s="31"/>
      <c r="AI643" s="31"/>
      <c r="AJ643" s="31"/>
      <c r="AK643" s="31"/>
      <c r="AL643" s="31"/>
      <c r="AM643" s="31"/>
      <c r="AN643" s="31"/>
      <c r="AO643" s="31"/>
      <c r="AP643" s="31"/>
      <c r="AQ643" s="31"/>
      <c r="AR643" s="31"/>
      <c r="AS643" s="31"/>
    </row>
    <row r="644" spans="1:45" ht="13.5" customHeight="1">
      <c r="A644" s="31"/>
      <c r="B644" s="31"/>
      <c r="C644" s="31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1"/>
      <c r="AA644" s="31"/>
      <c r="AB644" s="31"/>
      <c r="AC644" s="31"/>
      <c r="AD644" s="31"/>
      <c r="AE644" s="31"/>
      <c r="AF644" s="31"/>
      <c r="AG644" s="31"/>
      <c r="AH644" s="31"/>
      <c r="AI644" s="31"/>
      <c r="AJ644" s="31"/>
      <c r="AK644" s="31"/>
      <c r="AL644" s="31"/>
      <c r="AM644" s="31"/>
      <c r="AN644" s="31"/>
      <c r="AO644" s="31"/>
      <c r="AP644" s="31"/>
      <c r="AQ644" s="31"/>
      <c r="AR644" s="31"/>
      <c r="AS644" s="31"/>
    </row>
    <row r="645" spans="1:45" ht="13.5" customHeight="1">
      <c r="A645" s="31"/>
      <c r="B645" s="31"/>
      <c r="C645" s="31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1"/>
      <c r="AA645" s="31"/>
      <c r="AB645" s="31"/>
      <c r="AC645" s="31"/>
      <c r="AD645" s="31"/>
      <c r="AE645" s="31"/>
      <c r="AF645" s="31"/>
      <c r="AG645" s="31"/>
      <c r="AH645" s="31"/>
      <c r="AI645" s="31"/>
      <c r="AJ645" s="31"/>
      <c r="AK645" s="31"/>
      <c r="AL645" s="31"/>
      <c r="AM645" s="31"/>
      <c r="AN645" s="31"/>
      <c r="AO645" s="31"/>
      <c r="AP645" s="31"/>
      <c r="AQ645" s="31"/>
      <c r="AR645" s="31"/>
      <c r="AS645" s="31"/>
    </row>
    <row r="646" spans="1:45" ht="13.5" customHeight="1">
      <c r="A646" s="31"/>
      <c r="B646" s="31"/>
      <c r="C646" s="31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1"/>
      <c r="AA646" s="31"/>
      <c r="AB646" s="31"/>
      <c r="AC646" s="31"/>
      <c r="AD646" s="31"/>
      <c r="AE646" s="31"/>
      <c r="AF646" s="31"/>
      <c r="AG646" s="31"/>
      <c r="AH646" s="31"/>
      <c r="AI646" s="31"/>
      <c r="AJ646" s="31"/>
      <c r="AK646" s="31"/>
      <c r="AL646" s="31"/>
      <c r="AM646" s="31"/>
      <c r="AN646" s="31"/>
      <c r="AO646" s="31"/>
      <c r="AP646" s="31"/>
      <c r="AQ646" s="31"/>
      <c r="AR646" s="31"/>
      <c r="AS646" s="31"/>
    </row>
    <row r="647" spans="1:45" ht="13.5" customHeight="1">
      <c r="A647" s="31"/>
      <c r="B647" s="31"/>
      <c r="C647" s="31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1"/>
      <c r="AA647" s="31"/>
      <c r="AB647" s="31"/>
      <c r="AC647" s="31"/>
      <c r="AD647" s="31"/>
      <c r="AE647" s="31"/>
      <c r="AF647" s="31"/>
      <c r="AG647" s="31"/>
      <c r="AH647" s="31"/>
      <c r="AI647" s="31"/>
      <c r="AJ647" s="31"/>
      <c r="AK647" s="31"/>
      <c r="AL647" s="31"/>
      <c r="AM647" s="31"/>
      <c r="AN647" s="31"/>
      <c r="AO647" s="31"/>
      <c r="AP647" s="31"/>
      <c r="AQ647" s="31"/>
      <c r="AR647" s="31"/>
      <c r="AS647" s="31"/>
    </row>
    <row r="648" spans="1:45" ht="13.5" customHeight="1">
      <c r="A648" s="31"/>
      <c r="B648" s="31"/>
      <c r="C648" s="31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1"/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  <c r="AL648" s="31"/>
      <c r="AM648" s="31"/>
      <c r="AN648" s="31"/>
      <c r="AO648" s="31"/>
      <c r="AP648" s="31"/>
      <c r="AQ648" s="31"/>
      <c r="AR648" s="31"/>
      <c r="AS648" s="31"/>
    </row>
    <row r="649" spans="1:45" ht="13.5" customHeight="1">
      <c r="A649" s="31"/>
      <c r="B649" s="31"/>
      <c r="C649" s="31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1"/>
      <c r="AA649" s="31"/>
      <c r="AB649" s="31"/>
      <c r="AC649" s="31"/>
      <c r="AD649" s="31"/>
      <c r="AE649" s="31"/>
      <c r="AF649" s="31"/>
      <c r="AG649" s="31"/>
      <c r="AH649" s="31"/>
      <c r="AI649" s="31"/>
      <c r="AJ649" s="31"/>
      <c r="AK649" s="31"/>
      <c r="AL649" s="31"/>
      <c r="AM649" s="31"/>
      <c r="AN649" s="31"/>
      <c r="AO649" s="31"/>
      <c r="AP649" s="31"/>
      <c r="AQ649" s="31"/>
      <c r="AR649" s="31"/>
      <c r="AS649" s="31"/>
    </row>
    <row r="650" spans="1:45" ht="13.5" customHeight="1">
      <c r="A650" s="31"/>
      <c r="B650" s="31"/>
      <c r="C650" s="31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1"/>
      <c r="AA650" s="31"/>
      <c r="AB650" s="31"/>
      <c r="AC650" s="31"/>
      <c r="AD650" s="31"/>
      <c r="AE650" s="31"/>
      <c r="AF650" s="31"/>
      <c r="AG650" s="31"/>
      <c r="AH650" s="31"/>
      <c r="AI650" s="31"/>
      <c r="AJ650" s="31"/>
      <c r="AK650" s="31"/>
      <c r="AL650" s="31"/>
      <c r="AM650" s="31"/>
      <c r="AN650" s="31"/>
      <c r="AO650" s="31"/>
      <c r="AP650" s="31"/>
      <c r="AQ650" s="31"/>
      <c r="AR650" s="31"/>
      <c r="AS650" s="31"/>
    </row>
    <row r="651" spans="1:45" ht="13.5" customHeight="1">
      <c r="A651" s="31"/>
      <c r="B651" s="31"/>
      <c r="C651" s="31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1"/>
      <c r="AA651" s="31"/>
      <c r="AB651" s="31"/>
      <c r="AC651" s="31"/>
      <c r="AD651" s="31"/>
      <c r="AE651" s="31"/>
      <c r="AF651" s="31"/>
      <c r="AG651" s="31"/>
      <c r="AH651" s="31"/>
      <c r="AI651" s="31"/>
      <c r="AJ651" s="31"/>
      <c r="AK651" s="31"/>
      <c r="AL651" s="31"/>
      <c r="AM651" s="31"/>
      <c r="AN651" s="31"/>
      <c r="AO651" s="31"/>
      <c r="AP651" s="31"/>
      <c r="AQ651" s="31"/>
      <c r="AR651" s="31"/>
      <c r="AS651" s="31"/>
    </row>
    <row r="652" spans="1:45" ht="13.5" customHeight="1">
      <c r="A652" s="31"/>
      <c r="B652" s="31"/>
      <c r="C652" s="31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1"/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  <c r="AK652" s="31"/>
      <c r="AL652" s="31"/>
      <c r="AM652" s="31"/>
      <c r="AN652" s="31"/>
      <c r="AO652" s="31"/>
      <c r="AP652" s="31"/>
      <c r="AQ652" s="31"/>
      <c r="AR652" s="31"/>
      <c r="AS652" s="31"/>
    </row>
    <row r="653" spans="1:45" ht="13.5" customHeight="1">
      <c r="A653" s="31"/>
      <c r="B653" s="31"/>
      <c r="C653" s="31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1"/>
      <c r="AA653" s="31"/>
      <c r="AB653" s="31"/>
      <c r="AC653" s="31"/>
      <c r="AD653" s="31"/>
      <c r="AE653" s="31"/>
      <c r="AF653" s="31"/>
      <c r="AG653" s="31"/>
      <c r="AH653" s="31"/>
      <c r="AI653" s="31"/>
      <c r="AJ653" s="31"/>
      <c r="AK653" s="31"/>
      <c r="AL653" s="31"/>
      <c r="AM653" s="31"/>
      <c r="AN653" s="31"/>
      <c r="AO653" s="31"/>
      <c r="AP653" s="31"/>
      <c r="AQ653" s="31"/>
      <c r="AR653" s="31"/>
      <c r="AS653" s="31"/>
    </row>
    <row r="654" spans="1:45" ht="13.5" customHeight="1">
      <c r="A654" s="31"/>
      <c r="B654" s="31"/>
      <c r="C654" s="31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1"/>
      <c r="AP654" s="31"/>
      <c r="AQ654" s="31"/>
      <c r="AR654" s="31"/>
      <c r="AS654" s="31"/>
    </row>
    <row r="655" spans="1:45" ht="13.5" customHeight="1">
      <c r="A655" s="31"/>
      <c r="B655" s="31"/>
      <c r="C655" s="31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1"/>
      <c r="AA655" s="31"/>
      <c r="AB655" s="31"/>
      <c r="AC655" s="31"/>
      <c r="AD655" s="31"/>
      <c r="AE655" s="31"/>
      <c r="AF655" s="31"/>
      <c r="AG655" s="31"/>
      <c r="AH655" s="31"/>
      <c r="AI655" s="31"/>
      <c r="AJ655" s="31"/>
      <c r="AK655" s="31"/>
      <c r="AL655" s="31"/>
      <c r="AM655" s="31"/>
      <c r="AN655" s="31"/>
      <c r="AO655" s="31"/>
      <c r="AP655" s="31"/>
      <c r="AQ655" s="31"/>
      <c r="AR655" s="31"/>
      <c r="AS655" s="31"/>
    </row>
    <row r="656" spans="1:45" ht="13.5" customHeight="1">
      <c r="A656" s="31"/>
      <c r="B656" s="31"/>
      <c r="C656" s="31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1"/>
      <c r="AA656" s="31"/>
      <c r="AB656" s="31"/>
      <c r="AC656" s="31"/>
      <c r="AD656" s="31"/>
      <c r="AE656" s="31"/>
      <c r="AF656" s="31"/>
      <c r="AG656" s="31"/>
      <c r="AH656" s="31"/>
      <c r="AI656" s="31"/>
      <c r="AJ656" s="31"/>
      <c r="AK656" s="31"/>
      <c r="AL656" s="31"/>
      <c r="AM656" s="31"/>
      <c r="AN656" s="31"/>
      <c r="AO656" s="31"/>
      <c r="AP656" s="31"/>
      <c r="AQ656" s="31"/>
      <c r="AR656" s="31"/>
      <c r="AS656" s="31"/>
    </row>
    <row r="657" spans="1:45" ht="13.5" customHeight="1">
      <c r="A657" s="31"/>
      <c r="B657" s="31"/>
      <c r="C657" s="31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1"/>
      <c r="AA657" s="31"/>
      <c r="AB657" s="31"/>
      <c r="AC657" s="31"/>
      <c r="AD657" s="31"/>
      <c r="AE657" s="31"/>
      <c r="AF657" s="31"/>
      <c r="AG657" s="31"/>
      <c r="AH657" s="31"/>
      <c r="AI657" s="31"/>
      <c r="AJ657" s="31"/>
      <c r="AK657" s="31"/>
      <c r="AL657" s="31"/>
      <c r="AM657" s="31"/>
      <c r="AN657" s="31"/>
      <c r="AO657" s="31"/>
      <c r="AP657" s="31"/>
      <c r="AQ657" s="31"/>
      <c r="AR657" s="31"/>
      <c r="AS657" s="31"/>
    </row>
    <row r="658" spans="1:45" ht="13.5" customHeight="1">
      <c r="A658" s="31"/>
      <c r="B658" s="31"/>
      <c r="C658" s="31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1"/>
      <c r="AA658" s="31"/>
      <c r="AB658" s="31"/>
      <c r="AC658" s="31"/>
      <c r="AD658" s="31"/>
      <c r="AE658" s="31"/>
      <c r="AF658" s="31"/>
      <c r="AG658" s="31"/>
      <c r="AH658" s="31"/>
      <c r="AI658" s="31"/>
      <c r="AJ658" s="31"/>
      <c r="AK658" s="31"/>
      <c r="AL658" s="31"/>
      <c r="AM658" s="31"/>
      <c r="AN658" s="31"/>
      <c r="AO658" s="31"/>
      <c r="AP658" s="31"/>
      <c r="AQ658" s="31"/>
      <c r="AR658" s="31"/>
      <c r="AS658" s="31"/>
    </row>
    <row r="659" spans="1:45" ht="13.5" customHeight="1">
      <c r="A659" s="31"/>
      <c r="B659" s="31"/>
      <c r="C659" s="31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1"/>
      <c r="AA659" s="31"/>
      <c r="AB659" s="31"/>
      <c r="AC659" s="31"/>
      <c r="AD659" s="31"/>
      <c r="AE659" s="31"/>
      <c r="AF659" s="31"/>
      <c r="AG659" s="31"/>
      <c r="AH659" s="31"/>
      <c r="AI659" s="31"/>
      <c r="AJ659" s="31"/>
      <c r="AK659" s="31"/>
      <c r="AL659" s="31"/>
      <c r="AM659" s="31"/>
      <c r="AN659" s="31"/>
      <c r="AO659" s="31"/>
      <c r="AP659" s="31"/>
      <c r="AQ659" s="31"/>
      <c r="AR659" s="31"/>
      <c r="AS659" s="31"/>
    </row>
    <row r="660" spans="1:45" ht="13.5" customHeight="1">
      <c r="A660" s="31"/>
      <c r="B660" s="31"/>
      <c r="C660" s="31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1"/>
      <c r="AA660" s="31"/>
      <c r="AB660" s="31"/>
      <c r="AC660" s="31"/>
      <c r="AD660" s="31"/>
      <c r="AE660" s="31"/>
      <c r="AF660" s="31"/>
      <c r="AG660" s="31"/>
      <c r="AH660" s="31"/>
      <c r="AI660" s="31"/>
      <c r="AJ660" s="31"/>
      <c r="AK660" s="31"/>
      <c r="AL660" s="31"/>
      <c r="AM660" s="31"/>
      <c r="AN660" s="31"/>
      <c r="AO660" s="31"/>
      <c r="AP660" s="31"/>
      <c r="AQ660" s="31"/>
      <c r="AR660" s="31"/>
      <c r="AS660" s="31"/>
    </row>
    <row r="661" spans="1:45" ht="13.5" customHeight="1">
      <c r="A661" s="31"/>
      <c r="B661" s="31"/>
      <c r="C661" s="31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1"/>
      <c r="AA661" s="31"/>
      <c r="AB661" s="31"/>
      <c r="AC661" s="31"/>
      <c r="AD661" s="31"/>
      <c r="AE661" s="31"/>
      <c r="AF661" s="31"/>
      <c r="AG661" s="31"/>
      <c r="AH661" s="31"/>
      <c r="AI661" s="31"/>
      <c r="AJ661" s="31"/>
      <c r="AK661" s="31"/>
      <c r="AL661" s="31"/>
      <c r="AM661" s="31"/>
      <c r="AN661" s="31"/>
      <c r="AO661" s="31"/>
      <c r="AP661" s="31"/>
      <c r="AQ661" s="31"/>
      <c r="AR661" s="31"/>
      <c r="AS661" s="31"/>
    </row>
    <row r="662" spans="1:45" ht="13.5" customHeight="1">
      <c r="A662" s="31"/>
      <c r="B662" s="31"/>
      <c r="C662" s="31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1"/>
      <c r="AA662" s="31"/>
      <c r="AB662" s="31"/>
      <c r="AC662" s="31"/>
      <c r="AD662" s="31"/>
      <c r="AE662" s="31"/>
      <c r="AF662" s="31"/>
      <c r="AG662" s="31"/>
      <c r="AH662" s="31"/>
      <c r="AI662" s="31"/>
      <c r="AJ662" s="31"/>
      <c r="AK662" s="31"/>
      <c r="AL662" s="31"/>
      <c r="AM662" s="31"/>
      <c r="AN662" s="31"/>
      <c r="AO662" s="31"/>
      <c r="AP662" s="31"/>
      <c r="AQ662" s="31"/>
      <c r="AR662" s="31"/>
      <c r="AS662" s="31"/>
    </row>
    <row r="663" spans="1:45" ht="13.5" customHeight="1">
      <c r="A663" s="31"/>
      <c r="B663" s="31"/>
      <c r="C663" s="31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1"/>
      <c r="AA663" s="31"/>
      <c r="AB663" s="31"/>
      <c r="AC663" s="31"/>
      <c r="AD663" s="31"/>
      <c r="AE663" s="31"/>
      <c r="AF663" s="31"/>
      <c r="AG663" s="31"/>
      <c r="AH663" s="31"/>
      <c r="AI663" s="31"/>
      <c r="AJ663" s="31"/>
      <c r="AK663" s="31"/>
      <c r="AL663" s="31"/>
      <c r="AM663" s="31"/>
      <c r="AN663" s="31"/>
      <c r="AO663" s="31"/>
      <c r="AP663" s="31"/>
      <c r="AQ663" s="31"/>
      <c r="AR663" s="31"/>
      <c r="AS663" s="31"/>
    </row>
    <row r="664" spans="1:45" ht="13.5" customHeight="1">
      <c r="A664" s="31"/>
      <c r="B664" s="31"/>
      <c r="C664" s="31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1"/>
      <c r="AA664" s="31"/>
      <c r="AB664" s="31"/>
      <c r="AC664" s="31"/>
      <c r="AD664" s="31"/>
      <c r="AE664" s="31"/>
      <c r="AF664" s="31"/>
      <c r="AG664" s="31"/>
      <c r="AH664" s="31"/>
      <c r="AI664" s="31"/>
      <c r="AJ664" s="31"/>
      <c r="AK664" s="31"/>
      <c r="AL664" s="31"/>
      <c r="AM664" s="31"/>
      <c r="AN664" s="31"/>
      <c r="AO664" s="31"/>
      <c r="AP664" s="31"/>
      <c r="AQ664" s="31"/>
      <c r="AR664" s="31"/>
      <c r="AS664" s="31"/>
    </row>
    <row r="665" spans="1:45" ht="13.5" customHeight="1">
      <c r="A665" s="31"/>
      <c r="B665" s="31"/>
      <c r="C665" s="31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1"/>
      <c r="AA665" s="31"/>
      <c r="AB665" s="31"/>
      <c r="AC665" s="31"/>
      <c r="AD665" s="31"/>
      <c r="AE665" s="31"/>
      <c r="AF665" s="31"/>
      <c r="AG665" s="31"/>
      <c r="AH665" s="31"/>
      <c r="AI665" s="31"/>
      <c r="AJ665" s="31"/>
      <c r="AK665" s="31"/>
      <c r="AL665" s="31"/>
      <c r="AM665" s="31"/>
      <c r="AN665" s="31"/>
      <c r="AO665" s="31"/>
      <c r="AP665" s="31"/>
      <c r="AQ665" s="31"/>
      <c r="AR665" s="31"/>
      <c r="AS665" s="31"/>
    </row>
    <row r="666" spans="1:45" ht="13.5" customHeight="1">
      <c r="A666" s="31"/>
      <c r="B666" s="31"/>
      <c r="C666" s="31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1"/>
      <c r="AA666" s="31"/>
      <c r="AB666" s="31"/>
      <c r="AC666" s="31"/>
      <c r="AD666" s="31"/>
      <c r="AE666" s="31"/>
      <c r="AF666" s="31"/>
      <c r="AG666" s="31"/>
      <c r="AH666" s="31"/>
      <c r="AI666" s="31"/>
      <c r="AJ666" s="31"/>
      <c r="AK666" s="31"/>
      <c r="AL666" s="31"/>
      <c r="AM666" s="31"/>
      <c r="AN666" s="31"/>
      <c r="AO666" s="31"/>
      <c r="AP666" s="31"/>
      <c r="AQ666" s="31"/>
      <c r="AR666" s="31"/>
      <c r="AS666" s="31"/>
    </row>
    <row r="667" spans="1:45" ht="13.5" customHeight="1">
      <c r="A667" s="31"/>
      <c r="B667" s="31"/>
      <c r="C667" s="31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1"/>
      <c r="AA667" s="31"/>
      <c r="AB667" s="31"/>
      <c r="AC667" s="31"/>
      <c r="AD667" s="31"/>
      <c r="AE667" s="31"/>
      <c r="AF667" s="31"/>
      <c r="AG667" s="31"/>
      <c r="AH667" s="31"/>
      <c r="AI667" s="31"/>
      <c r="AJ667" s="31"/>
      <c r="AK667" s="31"/>
      <c r="AL667" s="31"/>
      <c r="AM667" s="31"/>
      <c r="AN667" s="31"/>
      <c r="AO667" s="31"/>
      <c r="AP667" s="31"/>
      <c r="AQ667" s="31"/>
      <c r="AR667" s="31"/>
      <c r="AS667" s="31"/>
    </row>
    <row r="668" spans="1:45" ht="13.5" customHeight="1">
      <c r="A668" s="31"/>
      <c r="B668" s="31"/>
      <c r="C668" s="31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1"/>
      <c r="AA668" s="31"/>
      <c r="AB668" s="31"/>
      <c r="AC668" s="31"/>
      <c r="AD668" s="31"/>
      <c r="AE668" s="31"/>
      <c r="AF668" s="31"/>
      <c r="AG668" s="31"/>
      <c r="AH668" s="31"/>
      <c r="AI668" s="31"/>
      <c r="AJ668" s="31"/>
      <c r="AK668" s="31"/>
      <c r="AL668" s="31"/>
      <c r="AM668" s="31"/>
      <c r="AN668" s="31"/>
      <c r="AO668" s="31"/>
      <c r="AP668" s="31"/>
      <c r="AQ668" s="31"/>
      <c r="AR668" s="31"/>
      <c r="AS668" s="31"/>
    </row>
    <row r="669" spans="1:45" ht="13.5" customHeight="1">
      <c r="A669" s="31"/>
      <c r="B669" s="31"/>
      <c r="C669" s="31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1"/>
      <c r="AA669" s="31"/>
      <c r="AB669" s="31"/>
      <c r="AC669" s="31"/>
      <c r="AD669" s="31"/>
      <c r="AE669" s="31"/>
      <c r="AF669" s="31"/>
      <c r="AG669" s="31"/>
      <c r="AH669" s="31"/>
      <c r="AI669" s="31"/>
      <c r="AJ669" s="31"/>
      <c r="AK669" s="31"/>
      <c r="AL669" s="31"/>
      <c r="AM669" s="31"/>
      <c r="AN669" s="31"/>
      <c r="AO669" s="31"/>
      <c r="AP669" s="31"/>
      <c r="AQ669" s="31"/>
      <c r="AR669" s="31"/>
      <c r="AS669" s="31"/>
    </row>
    <row r="670" spans="1:45" ht="13.5" customHeight="1">
      <c r="A670" s="31"/>
      <c r="B670" s="31"/>
      <c r="C670" s="31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1"/>
      <c r="AA670" s="31"/>
      <c r="AB670" s="31"/>
      <c r="AC670" s="31"/>
      <c r="AD670" s="31"/>
      <c r="AE670" s="31"/>
      <c r="AF670" s="31"/>
      <c r="AG670" s="31"/>
      <c r="AH670" s="31"/>
      <c r="AI670" s="31"/>
      <c r="AJ670" s="31"/>
      <c r="AK670" s="31"/>
      <c r="AL670" s="31"/>
      <c r="AM670" s="31"/>
      <c r="AN670" s="31"/>
      <c r="AO670" s="31"/>
      <c r="AP670" s="31"/>
      <c r="AQ670" s="31"/>
      <c r="AR670" s="31"/>
      <c r="AS670" s="31"/>
    </row>
    <row r="671" spans="1:45" ht="13.5" customHeight="1">
      <c r="A671" s="31"/>
      <c r="B671" s="31"/>
      <c r="C671" s="31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1"/>
      <c r="AA671" s="31"/>
      <c r="AB671" s="31"/>
      <c r="AC671" s="31"/>
      <c r="AD671" s="31"/>
      <c r="AE671" s="31"/>
      <c r="AF671" s="31"/>
      <c r="AG671" s="31"/>
      <c r="AH671" s="31"/>
      <c r="AI671" s="31"/>
      <c r="AJ671" s="31"/>
      <c r="AK671" s="31"/>
      <c r="AL671" s="31"/>
      <c r="AM671" s="31"/>
      <c r="AN671" s="31"/>
      <c r="AO671" s="31"/>
      <c r="AP671" s="31"/>
      <c r="AQ671" s="31"/>
      <c r="AR671" s="31"/>
      <c r="AS671" s="31"/>
    </row>
    <row r="672" spans="1:45" ht="13.5" customHeight="1">
      <c r="A672" s="31"/>
      <c r="B672" s="31"/>
      <c r="C672" s="31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1"/>
      <c r="AA672" s="31"/>
      <c r="AB672" s="31"/>
      <c r="AC672" s="31"/>
      <c r="AD672" s="31"/>
      <c r="AE672" s="31"/>
      <c r="AF672" s="31"/>
      <c r="AG672" s="31"/>
      <c r="AH672" s="31"/>
      <c r="AI672" s="31"/>
      <c r="AJ672" s="31"/>
      <c r="AK672" s="31"/>
      <c r="AL672" s="31"/>
      <c r="AM672" s="31"/>
      <c r="AN672" s="31"/>
      <c r="AO672" s="31"/>
      <c r="AP672" s="31"/>
      <c r="AQ672" s="31"/>
      <c r="AR672" s="31"/>
      <c r="AS672" s="31"/>
    </row>
    <row r="673" spans="1:45" ht="13.5" customHeight="1">
      <c r="A673" s="31"/>
      <c r="B673" s="31"/>
      <c r="C673" s="31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1"/>
      <c r="AA673" s="31"/>
      <c r="AB673" s="31"/>
      <c r="AC673" s="31"/>
      <c r="AD673" s="31"/>
      <c r="AE673" s="31"/>
      <c r="AF673" s="31"/>
      <c r="AG673" s="31"/>
      <c r="AH673" s="31"/>
      <c r="AI673" s="31"/>
      <c r="AJ673" s="31"/>
      <c r="AK673" s="31"/>
      <c r="AL673" s="31"/>
      <c r="AM673" s="31"/>
      <c r="AN673" s="31"/>
      <c r="AO673" s="31"/>
      <c r="AP673" s="31"/>
      <c r="AQ673" s="31"/>
      <c r="AR673" s="31"/>
      <c r="AS673" s="31"/>
    </row>
    <row r="674" spans="1:45" ht="13.5" customHeight="1">
      <c r="A674" s="31"/>
      <c r="B674" s="31"/>
      <c r="C674" s="31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1"/>
      <c r="AA674" s="31"/>
      <c r="AB674" s="31"/>
      <c r="AC674" s="31"/>
      <c r="AD674" s="31"/>
      <c r="AE674" s="31"/>
      <c r="AF674" s="31"/>
      <c r="AG674" s="31"/>
      <c r="AH674" s="31"/>
      <c r="AI674" s="31"/>
      <c r="AJ674" s="31"/>
      <c r="AK674" s="31"/>
      <c r="AL674" s="31"/>
      <c r="AM674" s="31"/>
      <c r="AN674" s="31"/>
      <c r="AO674" s="31"/>
      <c r="AP674" s="31"/>
      <c r="AQ674" s="31"/>
      <c r="AR674" s="31"/>
      <c r="AS674" s="31"/>
    </row>
    <row r="675" spans="1:45" ht="13.5" customHeight="1">
      <c r="A675" s="31"/>
      <c r="B675" s="31"/>
      <c r="C675" s="31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1"/>
      <c r="AA675" s="31"/>
      <c r="AB675" s="31"/>
      <c r="AC675" s="31"/>
      <c r="AD675" s="31"/>
      <c r="AE675" s="31"/>
      <c r="AF675" s="31"/>
      <c r="AG675" s="31"/>
      <c r="AH675" s="31"/>
      <c r="AI675" s="31"/>
      <c r="AJ675" s="31"/>
      <c r="AK675" s="31"/>
      <c r="AL675" s="31"/>
      <c r="AM675" s="31"/>
      <c r="AN675" s="31"/>
      <c r="AO675" s="31"/>
      <c r="AP675" s="31"/>
      <c r="AQ675" s="31"/>
      <c r="AR675" s="31"/>
      <c r="AS675" s="31"/>
    </row>
    <row r="676" spans="1:45" ht="13.5" customHeight="1">
      <c r="A676" s="31"/>
      <c r="B676" s="31"/>
      <c r="C676" s="31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1"/>
      <c r="AA676" s="31"/>
      <c r="AB676" s="31"/>
      <c r="AC676" s="31"/>
      <c r="AD676" s="31"/>
      <c r="AE676" s="31"/>
      <c r="AF676" s="31"/>
      <c r="AG676" s="31"/>
      <c r="AH676" s="31"/>
      <c r="AI676" s="31"/>
      <c r="AJ676" s="31"/>
      <c r="AK676" s="31"/>
      <c r="AL676" s="31"/>
      <c r="AM676" s="31"/>
      <c r="AN676" s="31"/>
      <c r="AO676" s="31"/>
      <c r="AP676" s="31"/>
      <c r="AQ676" s="31"/>
      <c r="AR676" s="31"/>
      <c r="AS676" s="31"/>
    </row>
    <row r="677" spans="1:45" ht="13.5" customHeight="1">
      <c r="A677" s="31"/>
      <c r="B677" s="31"/>
      <c r="C677" s="31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1"/>
      <c r="AA677" s="31"/>
      <c r="AB677" s="31"/>
      <c r="AC677" s="31"/>
      <c r="AD677" s="31"/>
      <c r="AE677" s="31"/>
      <c r="AF677" s="31"/>
      <c r="AG677" s="31"/>
      <c r="AH677" s="31"/>
      <c r="AI677" s="31"/>
      <c r="AJ677" s="31"/>
      <c r="AK677" s="31"/>
      <c r="AL677" s="31"/>
      <c r="AM677" s="31"/>
      <c r="AN677" s="31"/>
      <c r="AO677" s="31"/>
      <c r="AP677" s="31"/>
      <c r="AQ677" s="31"/>
      <c r="AR677" s="31"/>
      <c r="AS677" s="31"/>
    </row>
    <row r="678" spans="1:45" ht="13.5" customHeight="1">
      <c r="A678" s="31"/>
      <c r="B678" s="31"/>
      <c r="C678" s="31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1"/>
      <c r="AA678" s="31"/>
      <c r="AB678" s="31"/>
      <c r="AC678" s="31"/>
      <c r="AD678" s="31"/>
      <c r="AE678" s="31"/>
      <c r="AF678" s="31"/>
      <c r="AG678" s="31"/>
      <c r="AH678" s="31"/>
      <c r="AI678" s="31"/>
      <c r="AJ678" s="31"/>
      <c r="AK678" s="31"/>
      <c r="AL678" s="31"/>
      <c r="AM678" s="31"/>
      <c r="AN678" s="31"/>
      <c r="AO678" s="31"/>
      <c r="AP678" s="31"/>
      <c r="AQ678" s="31"/>
      <c r="AR678" s="31"/>
      <c r="AS678" s="31"/>
    </row>
    <row r="679" spans="1:45" ht="13.5" customHeight="1">
      <c r="A679" s="31"/>
      <c r="B679" s="31"/>
      <c r="C679" s="31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1"/>
      <c r="AA679" s="31"/>
      <c r="AB679" s="31"/>
      <c r="AC679" s="31"/>
      <c r="AD679" s="31"/>
      <c r="AE679" s="31"/>
      <c r="AF679" s="31"/>
      <c r="AG679" s="31"/>
      <c r="AH679" s="31"/>
      <c r="AI679" s="31"/>
      <c r="AJ679" s="31"/>
      <c r="AK679" s="31"/>
      <c r="AL679" s="31"/>
      <c r="AM679" s="31"/>
      <c r="AN679" s="31"/>
      <c r="AO679" s="31"/>
      <c r="AP679" s="31"/>
      <c r="AQ679" s="31"/>
      <c r="AR679" s="31"/>
      <c r="AS679" s="31"/>
    </row>
    <row r="680" spans="1:45" ht="13.5" customHeight="1">
      <c r="A680" s="31"/>
      <c r="B680" s="31"/>
      <c r="C680" s="31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1"/>
      <c r="AA680" s="31"/>
      <c r="AB680" s="31"/>
      <c r="AC680" s="31"/>
      <c r="AD680" s="31"/>
      <c r="AE680" s="31"/>
      <c r="AF680" s="31"/>
      <c r="AG680" s="31"/>
      <c r="AH680" s="31"/>
      <c r="AI680" s="31"/>
      <c r="AJ680" s="31"/>
      <c r="AK680" s="31"/>
      <c r="AL680" s="31"/>
      <c r="AM680" s="31"/>
      <c r="AN680" s="31"/>
      <c r="AO680" s="31"/>
      <c r="AP680" s="31"/>
      <c r="AQ680" s="31"/>
      <c r="AR680" s="31"/>
      <c r="AS680" s="31"/>
    </row>
    <row r="681" spans="1:45" ht="13.5" customHeight="1">
      <c r="A681" s="31"/>
      <c r="B681" s="31"/>
      <c r="C681" s="31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1"/>
      <c r="AA681" s="31"/>
      <c r="AB681" s="31"/>
      <c r="AC681" s="31"/>
      <c r="AD681" s="31"/>
      <c r="AE681" s="31"/>
      <c r="AF681" s="31"/>
      <c r="AG681" s="31"/>
      <c r="AH681" s="31"/>
      <c r="AI681" s="31"/>
      <c r="AJ681" s="31"/>
      <c r="AK681" s="31"/>
      <c r="AL681" s="31"/>
      <c r="AM681" s="31"/>
      <c r="AN681" s="31"/>
      <c r="AO681" s="31"/>
      <c r="AP681" s="31"/>
      <c r="AQ681" s="31"/>
      <c r="AR681" s="31"/>
      <c r="AS681" s="31"/>
    </row>
    <row r="682" spans="1:45" ht="13.5" customHeight="1">
      <c r="A682" s="31"/>
      <c r="B682" s="31"/>
      <c r="C682" s="31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1"/>
      <c r="AA682" s="31"/>
      <c r="AB682" s="31"/>
      <c r="AC682" s="31"/>
      <c r="AD682" s="31"/>
      <c r="AE682" s="31"/>
      <c r="AF682" s="31"/>
      <c r="AG682" s="31"/>
      <c r="AH682" s="31"/>
      <c r="AI682" s="31"/>
      <c r="AJ682" s="31"/>
      <c r="AK682" s="31"/>
      <c r="AL682" s="31"/>
      <c r="AM682" s="31"/>
      <c r="AN682" s="31"/>
      <c r="AO682" s="31"/>
      <c r="AP682" s="31"/>
      <c r="AQ682" s="31"/>
      <c r="AR682" s="31"/>
      <c r="AS682" s="31"/>
    </row>
    <row r="683" spans="1:45" ht="13.5" customHeight="1">
      <c r="A683" s="31"/>
      <c r="B683" s="31"/>
      <c r="C683" s="31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1"/>
      <c r="AA683" s="31"/>
      <c r="AB683" s="31"/>
      <c r="AC683" s="31"/>
      <c r="AD683" s="31"/>
      <c r="AE683" s="31"/>
      <c r="AF683" s="31"/>
      <c r="AG683" s="31"/>
      <c r="AH683" s="31"/>
      <c r="AI683" s="31"/>
      <c r="AJ683" s="31"/>
      <c r="AK683" s="31"/>
      <c r="AL683" s="31"/>
      <c r="AM683" s="31"/>
      <c r="AN683" s="31"/>
      <c r="AO683" s="31"/>
      <c r="AP683" s="31"/>
      <c r="AQ683" s="31"/>
      <c r="AR683" s="31"/>
      <c r="AS683" s="31"/>
    </row>
    <row r="684" spans="1:45" ht="13.5" customHeight="1">
      <c r="A684" s="31"/>
      <c r="B684" s="31"/>
      <c r="C684" s="31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1"/>
      <c r="AA684" s="31"/>
      <c r="AB684" s="31"/>
      <c r="AC684" s="31"/>
      <c r="AD684" s="31"/>
      <c r="AE684" s="31"/>
      <c r="AF684" s="31"/>
      <c r="AG684" s="31"/>
      <c r="AH684" s="31"/>
      <c r="AI684" s="31"/>
      <c r="AJ684" s="31"/>
      <c r="AK684" s="31"/>
      <c r="AL684" s="31"/>
      <c r="AM684" s="31"/>
      <c r="AN684" s="31"/>
      <c r="AO684" s="31"/>
      <c r="AP684" s="31"/>
      <c r="AQ684" s="31"/>
      <c r="AR684" s="31"/>
      <c r="AS684" s="31"/>
    </row>
    <row r="685" spans="1:45" ht="13.5" customHeight="1">
      <c r="A685" s="31"/>
      <c r="B685" s="31"/>
      <c r="C685" s="31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1"/>
      <c r="AA685" s="31"/>
      <c r="AB685" s="31"/>
      <c r="AC685" s="31"/>
      <c r="AD685" s="31"/>
      <c r="AE685" s="31"/>
      <c r="AF685" s="31"/>
      <c r="AG685" s="31"/>
      <c r="AH685" s="31"/>
      <c r="AI685" s="31"/>
      <c r="AJ685" s="31"/>
      <c r="AK685" s="31"/>
      <c r="AL685" s="31"/>
      <c r="AM685" s="31"/>
      <c r="AN685" s="31"/>
      <c r="AO685" s="31"/>
      <c r="AP685" s="31"/>
      <c r="AQ685" s="31"/>
      <c r="AR685" s="31"/>
      <c r="AS685" s="31"/>
    </row>
    <row r="686" spans="1:45" ht="13.5" customHeight="1">
      <c r="A686" s="31"/>
      <c r="B686" s="31"/>
      <c r="C686" s="31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1"/>
      <c r="AA686" s="31"/>
      <c r="AB686" s="31"/>
      <c r="AC686" s="31"/>
      <c r="AD686" s="31"/>
      <c r="AE686" s="31"/>
      <c r="AF686" s="31"/>
      <c r="AG686" s="31"/>
      <c r="AH686" s="31"/>
      <c r="AI686" s="31"/>
      <c r="AJ686" s="31"/>
      <c r="AK686" s="31"/>
      <c r="AL686" s="31"/>
      <c r="AM686" s="31"/>
      <c r="AN686" s="31"/>
      <c r="AO686" s="31"/>
      <c r="AP686" s="31"/>
      <c r="AQ686" s="31"/>
      <c r="AR686" s="31"/>
      <c r="AS686" s="31"/>
    </row>
    <row r="687" spans="1:45" ht="13.5" customHeight="1">
      <c r="A687" s="31"/>
      <c r="B687" s="31"/>
      <c r="C687" s="31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1"/>
      <c r="AA687" s="31"/>
      <c r="AB687" s="31"/>
      <c r="AC687" s="31"/>
      <c r="AD687" s="31"/>
      <c r="AE687" s="31"/>
      <c r="AF687" s="31"/>
      <c r="AG687" s="31"/>
      <c r="AH687" s="31"/>
      <c r="AI687" s="31"/>
      <c r="AJ687" s="31"/>
      <c r="AK687" s="31"/>
      <c r="AL687" s="31"/>
      <c r="AM687" s="31"/>
      <c r="AN687" s="31"/>
      <c r="AO687" s="31"/>
      <c r="AP687" s="31"/>
      <c r="AQ687" s="31"/>
      <c r="AR687" s="31"/>
      <c r="AS687" s="31"/>
    </row>
    <row r="688" spans="1:45" ht="13.5" customHeight="1">
      <c r="A688" s="31"/>
      <c r="B688" s="31"/>
      <c r="C688" s="31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1"/>
      <c r="AA688" s="31"/>
      <c r="AB688" s="31"/>
      <c r="AC688" s="31"/>
      <c r="AD688" s="31"/>
      <c r="AE688" s="31"/>
      <c r="AF688" s="31"/>
      <c r="AG688" s="31"/>
      <c r="AH688" s="31"/>
      <c r="AI688" s="31"/>
      <c r="AJ688" s="31"/>
      <c r="AK688" s="31"/>
      <c r="AL688" s="31"/>
      <c r="AM688" s="31"/>
      <c r="AN688" s="31"/>
      <c r="AO688" s="31"/>
      <c r="AP688" s="31"/>
      <c r="AQ688" s="31"/>
      <c r="AR688" s="31"/>
      <c r="AS688" s="31"/>
    </row>
    <row r="689" spans="1:45" ht="13.5" customHeight="1">
      <c r="A689" s="31"/>
      <c r="B689" s="31"/>
      <c r="C689" s="31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1"/>
      <c r="AA689" s="31"/>
      <c r="AB689" s="31"/>
      <c r="AC689" s="31"/>
      <c r="AD689" s="31"/>
      <c r="AE689" s="31"/>
      <c r="AF689" s="31"/>
      <c r="AG689" s="31"/>
      <c r="AH689" s="31"/>
      <c r="AI689" s="31"/>
      <c r="AJ689" s="31"/>
      <c r="AK689" s="31"/>
      <c r="AL689" s="31"/>
      <c r="AM689" s="31"/>
      <c r="AN689" s="31"/>
      <c r="AO689" s="31"/>
      <c r="AP689" s="31"/>
      <c r="AQ689" s="31"/>
      <c r="AR689" s="31"/>
      <c r="AS689" s="31"/>
    </row>
    <row r="690" spans="1:45" ht="13.5" customHeight="1">
      <c r="A690" s="31"/>
      <c r="B690" s="31"/>
      <c r="C690" s="31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1"/>
      <c r="AA690" s="31"/>
      <c r="AB690" s="31"/>
      <c r="AC690" s="31"/>
      <c r="AD690" s="31"/>
      <c r="AE690" s="31"/>
      <c r="AF690" s="31"/>
      <c r="AG690" s="31"/>
      <c r="AH690" s="31"/>
      <c r="AI690" s="31"/>
      <c r="AJ690" s="31"/>
      <c r="AK690" s="31"/>
      <c r="AL690" s="31"/>
      <c r="AM690" s="31"/>
      <c r="AN690" s="31"/>
      <c r="AO690" s="31"/>
      <c r="AP690" s="31"/>
      <c r="AQ690" s="31"/>
      <c r="AR690" s="31"/>
      <c r="AS690" s="31"/>
    </row>
    <row r="691" spans="1:45" ht="13.5" customHeight="1">
      <c r="A691" s="31"/>
      <c r="B691" s="31"/>
      <c r="C691" s="31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1"/>
      <c r="AA691" s="31"/>
      <c r="AB691" s="31"/>
      <c r="AC691" s="31"/>
      <c r="AD691" s="31"/>
      <c r="AE691" s="31"/>
      <c r="AF691" s="31"/>
      <c r="AG691" s="31"/>
      <c r="AH691" s="31"/>
      <c r="AI691" s="31"/>
      <c r="AJ691" s="31"/>
      <c r="AK691" s="31"/>
      <c r="AL691" s="31"/>
      <c r="AM691" s="31"/>
      <c r="AN691" s="31"/>
      <c r="AO691" s="31"/>
      <c r="AP691" s="31"/>
      <c r="AQ691" s="31"/>
      <c r="AR691" s="31"/>
      <c r="AS691" s="31"/>
    </row>
    <row r="692" spans="1:45" ht="13.5" customHeight="1">
      <c r="A692" s="31"/>
      <c r="B692" s="31"/>
      <c r="C692" s="31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1"/>
      <c r="AA692" s="31"/>
      <c r="AB692" s="31"/>
      <c r="AC692" s="31"/>
      <c r="AD692" s="31"/>
      <c r="AE692" s="31"/>
      <c r="AF692" s="31"/>
      <c r="AG692" s="31"/>
      <c r="AH692" s="31"/>
      <c r="AI692" s="31"/>
      <c r="AJ692" s="31"/>
      <c r="AK692" s="31"/>
      <c r="AL692" s="31"/>
      <c r="AM692" s="31"/>
      <c r="AN692" s="31"/>
      <c r="AO692" s="31"/>
      <c r="AP692" s="31"/>
      <c r="AQ692" s="31"/>
      <c r="AR692" s="31"/>
      <c r="AS692" s="31"/>
    </row>
    <row r="693" spans="1:45" ht="13.5" customHeight="1">
      <c r="A693" s="31"/>
      <c r="B693" s="31"/>
      <c r="C693" s="31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1"/>
      <c r="AA693" s="31"/>
      <c r="AB693" s="31"/>
      <c r="AC693" s="31"/>
      <c r="AD693" s="31"/>
      <c r="AE693" s="31"/>
      <c r="AF693" s="31"/>
      <c r="AG693" s="31"/>
      <c r="AH693" s="31"/>
      <c r="AI693" s="31"/>
      <c r="AJ693" s="31"/>
      <c r="AK693" s="31"/>
      <c r="AL693" s="31"/>
      <c r="AM693" s="31"/>
      <c r="AN693" s="31"/>
      <c r="AO693" s="31"/>
      <c r="AP693" s="31"/>
      <c r="AQ693" s="31"/>
      <c r="AR693" s="31"/>
      <c r="AS693" s="31"/>
    </row>
    <row r="694" spans="1:45" ht="13.5" customHeight="1">
      <c r="A694" s="31"/>
      <c r="B694" s="31"/>
      <c r="C694" s="31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1"/>
      <c r="AA694" s="31"/>
      <c r="AB694" s="31"/>
      <c r="AC694" s="31"/>
      <c r="AD694" s="31"/>
      <c r="AE694" s="31"/>
      <c r="AF694" s="31"/>
      <c r="AG694" s="31"/>
      <c r="AH694" s="31"/>
      <c r="AI694" s="31"/>
      <c r="AJ694" s="31"/>
      <c r="AK694" s="31"/>
      <c r="AL694" s="31"/>
      <c r="AM694" s="31"/>
      <c r="AN694" s="31"/>
      <c r="AO694" s="31"/>
      <c r="AP694" s="31"/>
      <c r="AQ694" s="31"/>
      <c r="AR694" s="31"/>
      <c r="AS694" s="31"/>
    </row>
    <row r="695" spans="1:45" ht="13.5" customHeight="1">
      <c r="A695" s="31"/>
      <c r="B695" s="31"/>
      <c r="C695" s="31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1"/>
      <c r="AA695" s="31"/>
      <c r="AB695" s="31"/>
      <c r="AC695" s="31"/>
      <c r="AD695" s="31"/>
      <c r="AE695" s="31"/>
      <c r="AF695" s="31"/>
      <c r="AG695" s="31"/>
      <c r="AH695" s="31"/>
      <c r="AI695" s="31"/>
      <c r="AJ695" s="31"/>
      <c r="AK695" s="31"/>
      <c r="AL695" s="31"/>
      <c r="AM695" s="31"/>
      <c r="AN695" s="31"/>
      <c r="AO695" s="31"/>
      <c r="AP695" s="31"/>
      <c r="AQ695" s="31"/>
      <c r="AR695" s="31"/>
      <c r="AS695" s="31"/>
    </row>
    <row r="696" spans="1:45" ht="13.5" customHeight="1">
      <c r="A696" s="31"/>
      <c r="B696" s="31"/>
      <c r="C696" s="31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1"/>
      <c r="AA696" s="31"/>
      <c r="AB696" s="31"/>
      <c r="AC696" s="31"/>
      <c r="AD696" s="31"/>
      <c r="AE696" s="31"/>
      <c r="AF696" s="31"/>
      <c r="AG696" s="31"/>
      <c r="AH696" s="31"/>
      <c r="AI696" s="31"/>
      <c r="AJ696" s="31"/>
      <c r="AK696" s="31"/>
      <c r="AL696" s="31"/>
      <c r="AM696" s="31"/>
      <c r="AN696" s="31"/>
      <c r="AO696" s="31"/>
      <c r="AP696" s="31"/>
      <c r="AQ696" s="31"/>
      <c r="AR696" s="31"/>
      <c r="AS696" s="31"/>
    </row>
    <row r="697" spans="1:45" ht="13.5" customHeight="1">
      <c r="A697" s="31"/>
      <c r="B697" s="31"/>
      <c r="C697" s="31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1"/>
      <c r="AA697" s="31"/>
      <c r="AB697" s="31"/>
      <c r="AC697" s="31"/>
      <c r="AD697" s="31"/>
      <c r="AE697" s="31"/>
      <c r="AF697" s="31"/>
      <c r="AG697" s="31"/>
      <c r="AH697" s="31"/>
      <c r="AI697" s="31"/>
      <c r="AJ697" s="31"/>
      <c r="AK697" s="31"/>
      <c r="AL697" s="31"/>
      <c r="AM697" s="31"/>
      <c r="AN697" s="31"/>
      <c r="AO697" s="31"/>
      <c r="AP697" s="31"/>
      <c r="AQ697" s="31"/>
      <c r="AR697" s="31"/>
      <c r="AS697" s="31"/>
    </row>
    <row r="698" spans="1:45" ht="13.5" customHeight="1">
      <c r="A698" s="31"/>
      <c r="B698" s="31"/>
      <c r="C698" s="31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1"/>
      <c r="AA698" s="31"/>
      <c r="AB698" s="31"/>
      <c r="AC698" s="31"/>
      <c r="AD698" s="31"/>
      <c r="AE698" s="31"/>
      <c r="AF698" s="31"/>
      <c r="AG698" s="31"/>
      <c r="AH698" s="31"/>
      <c r="AI698" s="31"/>
      <c r="AJ698" s="31"/>
      <c r="AK698" s="31"/>
      <c r="AL698" s="31"/>
      <c r="AM698" s="31"/>
      <c r="AN698" s="31"/>
      <c r="AO698" s="31"/>
      <c r="AP698" s="31"/>
      <c r="AQ698" s="31"/>
      <c r="AR698" s="31"/>
      <c r="AS698" s="31"/>
    </row>
    <row r="699" spans="1:45" ht="13.5" customHeight="1">
      <c r="A699" s="31"/>
      <c r="B699" s="31"/>
      <c r="C699" s="31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1"/>
      <c r="AA699" s="31"/>
      <c r="AB699" s="31"/>
      <c r="AC699" s="31"/>
      <c r="AD699" s="31"/>
      <c r="AE699" s="31"/>
      <c r="AF699" s="31"/>
      <c r="AG699" s="31"/>
      <c r="AH699" s="31"/>
      <c r="AI699" s="31"/>
      <c r="AJ699" s="31"/>
      <c r="AK699" s="31"/>
      <c r="AL699" s="31"/>
      <c r="AM699" s="31"/>
      <c r="AN699" s="31"/>
      <c r="AO699" s="31"/>
      <c r="AP699" s="31"/>
      <c r="AQ699" s="31"/>
      <c r="AR699" s="31"/>
      <c r="AS699" s="31"/>
    </row>
    <row r="700" spans="1:45" ht="13.5" customHeight="1">
      <c r="A700" s="31"/>
      <c r="B700" s="31"/>
      <c r="C700" s="31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1"/>
      <c r="AA700" s="31"/>
      <c r="AB700" s="31"/>
      <c r="AC700" s="31"/>
      <c r="AD700" s="31"/>
      <c r="AE700" s="31"/>
      <c r="AF700" s="31"/>
      <c r="AG700" s="31"/>
      <c r="AH700" s="31"/>
      <c r="AI700" s="31"/>
      <c r="AJ700" s="31"/>
      <c r="AK700" s="31"/>
      <c r="AL700" s="31"/>
      <c r="AM700" s="31"/>
      <c r="AN700" s="31"/>
      <c r="AO700" s="31"/>
      <c r="AP700" s="31"/>
      <c r="AQ700" s="31"/>
      <c r="AR700" s="31"/>
      <c r="AS700" s="31"/>
    </row>
    <row r="701" spans="1:45" ht="13.5" customHeight="1">
      <c r="A701" s="31"/>
      <c r="B701" s="31"/>
      <c r="C701" s="31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1"/>
      <c r="AA701" s="31"/>
      <c r="AB701" s="31"/>
      <c r="AC701" s="31"/>
      <c r="AD701" s="31"/>
      <c r="AE701" s="31"/>
      <c r="AF701" s="31"/>
      <c r="AG701" s="31"/>
      <c r="AH701" s="31"/>
      <c r="AI701" s="31"/>
      <c r="AJ701" s="31"/>
      <c r="AK701" s="31"/>
      <c r="AL701" s="31"/>
      <c r="AM701" s="31"/>
      <c r="AN701" s="31"/>
      <c r="AO701" s="31"/>
      <c r="AP701" s="31"/>
      <c r="AQ701" s="31"/>
      <c r="AR701" s="31"/>
      <c r="AS701" s="31"/>
    </row>
    <row r="702" spans="1:45" ht="13.5" customHeight="1">
      <c r="A702" s="31"/>
      <c r="B702" s="31"/>
      <c r="C702" s="31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1"/>
      <c r="AA702" s="31"/>
      <c r="AB702" s="31"/>
      <c r="AC702" s="31"/>
      <c r="AD702" s="31"/>
      <c r="AE702" s="31"/>
      <c r="AF702" s="31"/>
      <c r="AG702" s="31"/>
      <c r="AH702" s="31"/>
      <c r="AI702" s="31"/>
      <c r="AJ702" s="31"/>
      <c r="AK702" s="31"/>
      <c r="AL702" s="31"/>
      <c r="AM702" s="31"/>
      <c r="AN702" s="31"/>
      <c r="AO702" s="31"/>
      <c r="AP702" s="31"/>
      <c r="AQ702" s="31"/>
      <c r="AR702" s="31"/>
      <c r="AS702" s="31"/>
    </row>
    <row r="703" spans="1:45" ht="13.5" customHeight="1">
      <c r="A703" s="31"/>
      <c r="B703" s="31"/>
      <c r="C703" s="31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1"/>
      <c r="AA703" s="31"/>
      <c r="AB703" s="31"/>
      <c r="AC703" s="31"/>
      <c r="AD703" s="31"/>
      <c r="AE703" s="31"/>
      <c r="AF703" s="31"/>
      <c r="AG703" s="31"/>
      <c r="AH703" s="31"/>
      <c r="AI703" s="31"/>
      <c r="AJ703" s="31"/>
      <c r="AK703" s="31"/>
      <c r="AL703" s="31"/>
      <c r="AM703" s="31"/>
      <c r="AN703" s="31"/>
      <c r="AO703" s="31"/>
      <c r="AP703" s="31"/>
      <c r="AQ703" s="31"/>
      <c r="AR703" s="31"/>
      <c r="AS703" s="31"/>
    </row>
    <row r="704" spans="1:45" ht="13.5" customHeight="1">
      <c r="A704" s="31"/>
      <c r="B704" s="31"/>
      <c r="C704" s="31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1"/>
      <c r="AA704" s="31"/>
      <c r="AB704" s="31"/>
      <c r="AC704" s="31"/>
      <c r="AD704" s="31"/>
      <c r="AE704" s="31"/>
      <c r="AF704" s="31"/>
      <c r="AG704" s="31"/>
      <c r="AH704" s="31"/>
      <c r="AI704" s="31"/>
      <c r="AJ704" s="31"/>
      <c r="AK704" s="31"/>
      <c r="AL704" s="31"/>
      <c r="AM704" s="31"/>
      <c r="AN704" s="31"/>
      <c r="AO704" s="31"/>
      <c r="AP704" s="31"/>
      <c r="AQ704" s="31"/>
      <c r="AR704" s="31"/>
      <c r="AS704" s="31"/>
    </row>
    <row r="705" spans="1:45" ht="13.5" customHeight="1">
      <c r="A705" s="31"/>
      <c r="B705" s="31"/>
      <c r="C705" s="31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1"/>
      <c r="AA705" s="31"/>
      <c r="AB705" s="31"/>
      <c r="AC705" s="31"/>
      <c r="AD705" s="31"/>
      <c r="AE705" s="31"/>
      <c r="AF705" s="31"/>
      <c r="AG705" s="31"/>
      <c r="AH705" s="31"/>
      <c r="AI705" s="31"/>
      <c r="AJ705" s="31"/>
      <c r="AK705" s="31"/>
      <c r="AL705" s="31"/>
      <c r="AM705" s="31"/>
      <c r="AN705" s="31"/>
      <c r="AO705" s="31"/>
      <c r="AP705" s="31"/>
      <c r="AQ705" s="31"/>
      <c r="AR705" s="31"/>
      <c r="AS705" s="31"/>
    </row>
    <row r="706" spans="1:45" ht="13.5" customHeight="1">
      <c r="A706" s="31"/>
      <c r="B706" s="31"/>
      <c r="C706" s="31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1"/>
      <c r="AA706" s="31"/>
      <c r="AB706" s="31"/>
      <c r="AC706" s="31"/>
      <c r="AD706" s="31"/>
      <c r="AE706" s="31"/>
      <c r="AF706" s="31"/>
      <c r="AG706" s="31"/>
      <c r="AH706" s="31"/>
      <c r="AI706" s="31"/>
      <c r="AJ706" s="31"/>
      <c r="AK706" s="31"/>
      <c r="AL706" s="31"/>
      <c r="AM706" s="31"/>
      <c r="AN706" s="31"/>
      <c r="AO706" s="31"/>
      <c r="AP706" s="31"/>
      <c r="AQ706" s="31"/>
      <c r="AR706" s="31"/>
      <c r="AS706" s="31"/>
    </row>
    <row r="707" spans="1:45" ht="13.5" customHeight="1">
      <c r="A707" s="31"/>
      <c r="B707" s="31"/>
      <c r="C707" s="31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1"/>
      <c r="AA707" s="31"/>
      <c r="AB707" s="31"/>
      <c r="AC707" s="31"/>
      <c r="AD707" s="31"/>
      <c r="AE707" s="31"/>
      <c r="AF707" s="31"/>
      <c r="AG707" s="31"/>
      <c r="AH707" s="31"/>
      <c r="AI707" s="31"/>
      <c r="AJ707" s="31"/>
      <c r="AK707" s="31"/>
      <c r="AL707" s="31"/>
      <c r="AM707" s="31"/>
      <c r="AN707" s="31"/>
      <c r="AO707" s="31"/>
      <c r="AP707" s="31"/>
      <c r="AQ707" s="31"/>
      <c r="AR707" s="31"/>
      <c r="AS707" s="31"/>
    </row>
    <row r="708" spans="1:45" ht="13.5" customHeight="1">
      <c r="A708" s="31"/>
      <c r="B708" s="31"/>
      <c r="C708" s="31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1"/>
      <c r="AA708" s="31"/>
      <c r="AB708" s="31"/>
      <c r="AC708" s="31"/>
      <c r="AD708" s="31"/>
      <c r="AE708" s="31"/>
      <c r="AF708" s="31"/>
      <c r="AG708" s="31"/>
      <c r="AH708" s="31"/>
      <c r="AI708" s="31"/>
      <c r="AJ708" s="31"/>
      <c r="AK708" s="31"/>
      <c r="AL708" s="31"/>
      <c r="AM708" s="31"/>
      <c r="AN708" s="31"/>
      <c r="AO708" s="31"/>
      <c r="AP708" s="31"/>
      <c r="AQ708" s="31"/>
      <c r="AR708" s="31"/>
      <c r="AS708" s="31"/>
    </row>
    <row r="709" spans="1:45" ht="13.5" customHeight="1">
      <c r="A709" s="31"/>
      <c r="B709" s="31"/>
      <c r="C709" s="31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1"/>
      <c r="AA709" s="31"/>
      <c r="AB709" s="31"/>
      <c r="AC709" s="31"/>
      <c r="AD709" s="31"/>
      <c r="AE709" s="31"/>
      <c r="AF709" s="31"/>
      <c r="AG709" s="31"/>
      <c r="AH709" s="31"/>
      <c r="AI709" s="31"/>
      <c r="AJ709" s="31"/>
      <c r="AK709" s="31"/>
      <c r="AL709" s="31"/>
      <c r="AM709" s="31"/>
      <c r="AN709" s="31"/>
      <c r="AO709" s="31"/>
      <c r="AP709" s="31"/>
      <c r="AQ709" s="31"/>
      <c r="AR709" s="31"/>
      <c r="AS709" s="31"/>
    </row>
    <row r="710" spans="1:45" ht="13.5" customHeight="1">
      <c r="A710" s="31"/>
      <c r="B710" s="31"/>
      <c r="C710" s="31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1"/>
      <c r="AA710" s="31"/>
      <c r="AB710" s="31"/>
      <c r="AC710" s="31"/>
      <c r="AD710" s="31"/>
      <c r="AE710" s="31"/>
      <c r="AF710" s="31"/>
      <c r="AG710" s="31"/>
      <c r="AH710" s="31"/>
      <c r="AI710" s="31"/>
      <c r="AJ710" s="31"/>
      <c r="AK710" s="31"/>
      <c r="AL710" s="31"/>
      <c r="AM710" s="31"/>
      <c r="AN710" s="31"/>
      <c r="AO710" s="31"/>
      <c r="AP710" s="31"/>
      <c r="AQ710" s="31"/>
      <c r="AR710" s="31"/>
      <c r="AS710" s="31"/>
    </row>
    <row r="711" spans="1:45" ht="13.5" customHeight="1">
      <c r="A711" s="31"/>
      <c r="B711" s="31"/>
      <c r="C711" s="31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1"/>
      <c r="AA711" s="31"/>
      <c r="AB711" s="31"/>
      <c r="AC711" s="31"/>
      <c r="AD711" s="31"/>
      <c r="AE711" s="31"/>
      <c r="AF711" s="31"/>
      <c r="AG711" s="31"/>
      <c r="AH711" s="31"/>
      <c r="AI711" s="31"/>
      <c r="AJ711" s="31"/>
      <c r="AK711" s="31"/>
      <c r="AL711" s="31"/>
      <c r="AM711" s="31"/>
      <c r="AN711" s="31"/>
      <c r="AO711" s="31"/>
      <c r="AP711" s="31"/>
      <c r="AQ711" s="31"/>
      <c r="AR711" s="31"/>
      <c r="AS711" s="31"/>
    </row>
    <row r="712" spans="1:45" ht="13.5" customHeight="1">
      <c r="A712" s="31"/>
      <c r="B712" s="31"/>
      <c r="C712" s="31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1"/>
      <c r="AA712" s="31"/>
      <c r="AB712" s="31"/>
      <c r="AC712" s="31"/>
      <c r="AD712" s="31"/>
      <c r="AE712" s="31"/>
      <c r="AF712" s="31"/>
      <c r="AG712" s="31"/>
      <c r="AH712" s="31"/>
      <c r="AI712" s="31"/>
      <c r="AJ712" s="31"/>
      <c r="AK712" s="31"/>
      <c r="AL712" s="31"/>
      <c r="AM712" s="31"/>
      <c r="AN712" s="31"/>
      <c r="AO712" s="31"/>
      <c r="AP712" s="31"/>
      <c r="AQ712" s="31"/>
      <c r="AR712" s="31"/>
      <c r="AS712" s="31"/>
    </row>
    <row r="713" spans="1:45" ht="13.5" customHeight="1">
      <c r="A713" s="31"/>
      <c r="B713" s="31"/>
      <c r="C713" s="31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1"/>
      <c r="AA713" s="31"/>
      <c r="AB713" s="31"/>
      <c r="AC713" s="31"/>
      <c r="AD713" s="31"/>
      <c r="AE713" s="31"/>
      <c r="AF713" s="31"/>
      <c r="AG713" s="31"/>
      <c r="AH713" s="31"/>
      <c r="AI713" s="31"/>
      <c r="AJ713" s="31"/>
      <c r="AK713" s="31"/>
      <c r="AL713" s="31"/>
      <c r="AM713" s="31"/>
      <c r="AN713" s="31"/>
      <c r="AO713" s="31"/>
      <c r="AP713" s="31"/>
      <c r="AQ713" s="31"/>
      <c r="AR713" s="31"/>
      <c r="AS713" s="31"/>
    </row>
    <row r="714" spans="1:45" ht="13.5" customHeight="1">
      <c r="A714" s="31"/>
      <c r="B714" s="31"/>
      <c r="C714" s="31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1"/>
      <c r="AA714" s="31"/>
      <c r="AB714" s="31"/>
      <c r="AC714" s="31"/>
      <c r="AD714" s="31"/>
      <c r="AE714" s="31"/>
      <c r="AF714" s="31"/>
      <c r="AG714" s="31"/>
      <c r="AH714" s="31"/>
      <c r="AI714" s="31"/>
      <c r="AJ714" s="31"/>
      <c r="AK714" s="31"/>
      <c r="AL714" s="31"/>
      <c r="AM714" s="31"/>
      <c r="AN714" s="31"/>
      <c r="AO714" s="31"/>
      <c r="AP714" s="31"/>
      <c r="AQ714" s="31"/>
      <c r="AR714" s="31"/>
      <c r="AS714" s="31"/>
    </row>
    <row r="715" spans="1:45" ht="13.5" customHeight="1">
      <c r="A715" s="31"/>
      <c r="B715" s="31"/>
      <c r="C715" s="31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1"/>
      <c r="AA715" s="31"/>
      <c r="AB715" s="31"/>
      <c r="AC715" s="31"/>
      <c r="AD715" s="31"/>
      <c r="AE715" s="31"/>
      <c r="AF715" s="31"/>
      <c r="AG715" s="31"/>
      <c r="AH715" s="31"/>
      <c r="AI715" s="31"/>
      <c r="AJ715" s="31"/>
      <c r="AK715" s="31"/>
      <c r="AL715" s="31"/>
      <c r="AM715" s="31"/>
      <c r="AN715" s="31"/>
      <c r="AO715" s="31"/>
      <c r="AP715" s="31"/>
      <c r="AQ715" s="31"/>
      <c r="AR715" s="31"/>
      <c r="AS715" s="31"/>
    </row>
    <row r="716" spans="1:45" ht="13.5" customHeight="1">
      <c r="A716" s="31"/>
      <c r="B716" s="31"/>
      <c r="C716" s="31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1"/>
      <c r="AA716" s="31"/>
      <c r="AB716" s="31"/>
      <c r="AC716" s="31"/>
      <c r="AD716" s="31"/>
      <c r="AE716" s="31"/>
      <c r="AF716" s="31"/>
      <c r="AG716" s="31"/>
      <c r="AH716" s="31"/>
      <c r="AI716" s="31"/>
      <c r="AJ716" s="31"/>
      <c r="AK716" s="31"/>
      <c r="AL716" s="31"/>
      <c r="AM716" s="31"/>
      <c r="AN716" s="31"/>
      <c r="AO716" s="31"/>
      <c r="AP716" s="31"/>
      <c r="AQ716" s="31"/>
      <c r="AR716" s="31"/>
      <c r="AS716" s="31"/>
    </row>
    <row r="717" spans="1:45" ht="13.5" customHeight="1">
      <c r="A717" s="31"/>
      <c r="B717" s="31"/>
      <c r="C717" s="31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1"/>
      <c r="AA717" s="31"/>
      <c r="AB717" s="31"/>
      <c r="AC717" s="31"/>
      <c r="AD717" s="31"/>
      <c r="AE717" s="31"/>
      <c r="AF717" s="31"/>
      <c r="AG717" s="31"/>
      <c r="AH717" s="31"/>
      <c r="AI717" s="31"/>
      <c r="AJ717" s="31"/>
      <c r="AK717" s="31"/>
      <c r="AL717" s="31"/>
      <c r="AM717" s="31"/>
      <c r="AN717" s="31"/>
      <c r="AO717" s="31"/>
      <c r="AP717" s="31"/>
      <c r="AQ717" s="31"/>
      <c r="AR717" s="31"/>
      <c r="AS717" s="31"/>
    </row>
    <row r="718" spans="1:45" ht="13.5" customHeight="1">
      <c r="A718" s="31"/>
      <c r="B718" s="31"/>
      <c r="C718" s="31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1"/>
      <c r="AA718" s="31"/>
      <c r="AB718" s="31"/>
      <c r="AC718" s="31"/>
      <c r="AD718" s="31"/>
      <c r="AE718" s="31"/>
      <c r="AF718" s="31"/>
      <c r="AG718" s="31"/>
      <c r="AH718" s="31"/>
      <c r="AI718" s="31"/>
      <c r="AJ718" s="31"/>
      <c r="AK718" s="31"/>
      <c r="AL718" s="31"/>
      <c r="AM718" s="31"/>
      <c r="AN718" s="31"/>
      <c r="AO718" s="31"/>
      <c r="AP718" s="31"/>
      <c r="AQ718" s="31"/>
      <c r="AR718" s="31"/>
      <c r="AS718" s="31"/>
    </row>
    <row r="719" spans="1:45" ht="13.5" customHeight="1">
      <c r="A719" s="31"/>
      <c r="B719" s="31"/>
      <c r="C719" s="31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1"/>
      <c r="AA719" s="31"/>
      <c r="AB719" s="31"/>
      <c r="AC719" s="31"/>
      <c r="AD719" s="31"/>
      <c r="AE719" s="31"/>
      <c r="AF719" s="31"/>
      <c r="AG719" s="31"/>
      <c r="AH719" s="31"/>
      <c r="AI719" s="31"/>
      <c r="AJ719" s="31"/>
      <c r="AK719" s="31"/>
      <c r="AL719" s="31"/>
      <c r="AM719" s="31"/>
      <c r="AN719" s="31"/>
      <c r="AO719" s="31"/>
      <c r="AP719" s="31"/>
      <c r="AQ719" s="31"/>
      <c r="AR719" s="31"/>
      <c r="AS719" s="31"/>
    </row>
    <row r="720" spans="1:45" ht="13.5" customHeight="1">
      <c r="A720" s="31"/>
      <c r="B720" s="31"/>
      <c r="C720" s="31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1"/>
      <c r="AA720" s="31"/>
      <c r="AB720" s="31"/>
      <c r="AC720" s="31"/>
      <c r="AD720" s="31"/>
      <c r="AE720" s="31"/>
      <c r="AF720" s="31"/>
      <c r="AG720" s="31"/>
      <c r="AH720" s="31"/>
      <c r="AI720" s="31"/>
      <c r="AJ720" s="31"/>
      <c r="AK720" s="31"/>
      <c r="AL720" s="31"/>
      <c r="AM720" s="31"/>
      <c r="AN720" s="31"/>
      <c r="AO720" s="31"/>
      <c r="AP720" s="31"/>
      <c r="AQ720" s="31"/>
      <c r="AR720" s="31"/>
      <c r="AS720" s="31"/>
    </row>
    <row r="721" spans="1:45" ht="13.5" customHeight="1">
      <c r="A721" s="31"/>
      <c r="B721" s="31"/>
      <c r="C721" s="31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1"/>
      <c r="AA721" s="31"/>
      <c r="AB721" s="31"/>
      <c r="AC721" s="31"/>
      <c r="AD721" s="31"/>
      <c r="AE721" s="31"/>
      <c r="AF721" s="31"/>
      <c r="AG721" s="31"/>
      <c r="AH721" s="31"/>
      <c r="AI721" s="31"/>
      <c r="AJ721" s="31"/>
      <c r="AK721" s="31"/>
      <c r="AL721" s="31"/>
      <c r="AM721" s="31"/>
      <c r="AN721" s="31"/>
      <c r="AO721" s="31"/>
      <c r="AP721" s="31"/>
      <c r="AQ721" s="31"/>
      <c r="AR721" s="31"/>
      <c r="AS721" s="31"/>
    </row>
    <row r="722" spans="1:45" ht="13.5" customHeight="1">
      <c r="A722" s="31"/>
      <c r="B722" s="31"/>
      <c r="C722" s="31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1"/>
      <c r="AA722" s="31"/>
      <c r="AB722" s="31"/>
      <c r="AC722" s="31"/>
      <c r="AD722" s="31"/>
      <c r="AE722" s="31"/>
      <c r="AF722" s="31"/>
      <c r="AG722" s="31"/>
      <c r="AH722" s="31"/>
      <c r="AI722" s="31"/>
      <c r="AJ722" s="31"/>
      <c r="AK722" s="31"/>
      <c r="AL722" s="31"/>
      <c r="AM722" s="31"/>
      <c r="AN722" s="31"/>
      <c r="AO722" s="31"/>
      <c r="AP722" s="31"/>
      <c r="AQ722" s="31"/>
      <c r="AR722" s="31"/>
      <c r="AS722" s="31"/>
    </row>
    <row r="723" spans="1:45" ht="13.5" customHeight="1">
      <c r="A723" s="31"/>
      <c r="B723" s="31"/>
      <c r="C723" s="31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1"/>
      <c r="AA723" s="31"/>
      <c r="AB723" s="31"/>
      <c r="AC723" s="31"/>
      <c r="AD723" s="31"/>
      <c r="AE723" s="31"/>
      <c r="AF723" s="31"/>
      <c r="AG723" s="31"/>
      <c r="AH723" s="31"/>
      <c r="AI723" s="31"/>
      <c r="AJ723" s="31"/>
      <c r="AK723" s="31"/>
      <c r="AL723" s="31"/>
      <c r="AM723" s="31"/>
      <c r="AN723" s="31"/>
      <c r="AO723" s="31"/>
      <c r="AP723" s="31"/>
      <c r="AQ723" s="31"/>
      <c r="AR723" s="31"/>
      <c r="AS723" s="31"/>
    </row>
    <row r="724" spans="1:45" ht="13.5" customHeight="1">
      <c r="A724" s="31"/>
      <c r="B724" s="31"/>
      <c r="C724" s="31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1"/>
      <c r="AA724" s="31"/>
      <c r="AB724" s="31"/>
      <c r="AC724" s="31"/>
      <c r="AD724" s="31"/>
      <c r="AE724" s="31"/>
      <c r="AF724" s="31"/>
      <c r="AG724" s="31"/>
      <c r="AH724" s="31"/>
      <c r="AI724" s="31"/>
      <c r="AJ724" s="31"/>
      <c r="AK724" s="31"/>
      <c r="AL724" s="31"/>
      <c r="AM724" s="31"/>
      <c r="AN724" s="31"/>
      <c r="AO724" s="31"/>
      <c r="AP724" s="31"/>
      <c r="AQ724" s="31"/>
      <c r="AR724" s="31"/>
      <c r="AS724" s="31"/>
    </row>
    <row r="725" spans="1:45" ht="13.5" customHeight="1">
      <c r="A725" s="31"/>
      <c r="B725" s="31"/>
      <c r="C725" s="31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1"/>
      <c r="AA725" s="31"/>
      <c r="AB725" s="31"/>
      <c r="AC725" s="31"/>
      <c r="AD725" s="31"/>
      <c r="AE725" s="31"/>
      <c r="AF725" s="31"/>
      <c r="AG725" s="31"/>
      <c r="AH725" s="31"/>
      <c r="AI725" s="31"/>
      <c r="AJ725" s="31"/>
      <c r="AK725" s="31"/>
      <c r="AL725" s="31"/>
      <c r="AM725" s="31"/>
      <c r="AN725" s="31"/>
      <c r="AO725" s="31"/>
      <c r="AP725" s="31"/>
      <c r="AQ725" s="31"/>
      <c r="AR725" s="31"/>
      <c r="AS725" s="31"/>
    </row>
    <row r="726" spans="1:45" ht="13.5" customHeight="1">
      <c r="A726" s="31"/>
      <c r="B726" s="31"/>
      <c r="C726" s="31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1"/>
      <c r="AA726" s="31"/>
      <c r="AB726" s="31"/>
      <c r="AC726" s="31"/>
      <c r="AD726" s="31"/>
      <c r="AE726" s="31"/>
      <c r="AF726" s="31"/>
      <c r="AG726" s="31"/>
      <c r="AH726" s="31"/>
      <c r="AI726" s="31"/>
      <c r="AJ726" s="31"/>
      <c r="AK726" s="31"/>
      <c r="AL726" s="31"/>
      <c r="AM726" s="31"/>
      <c r="AN726" s="31"/>
      <c r="AO726" s="31"/>
      <c r="AP726" s="31"/>
      <c r="AQ726" s="31"/>
      <c r="AR726" s="31"/>
      <c r="AS726" s="31"/>
    </row>
    <row r="727" spans="1:45" ht="13.5" customHeight="1">
      <c r="A727" s="31"/>
      <c r="B727" s="31"/>
      <c r="C727" s="31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1"/>
      <c r="AA727" s="31"/>
      <c r="AB727" s="31"/>
      <c r="AC727" s="31"/>
      <c r="AD727" s="31"/>
      <c r="AE727" s="31"/>
      <c r="AF727" s="31"/>
      <c r="AG727" s="31"/>
      <c r="AH727" s="31"/>
      <c r="AI727" s="31"/>
      <c r="AJ727" s="31"/>
      <c r="AK727" s="31"/>
      <c r="AL727" s="31"/>
      <c r="AM727" s="31"/>
      <c r="AN727" s="31"/>
      <c r="AO727" s="31"/>
      <c r="AP727" s="31"/>
      <c r="AQ727" s="31"/>
      <c r="AR727" s="31"/>
      <c r="AS727" s="31"/>
    </row>
    <row r="728" spans="1:45" ht="13.5" customHeight="1">
      <c r="A728" s="31"/>
      <c r="B728" s="31"/>
      <c r="C728" s="31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1"/>
      <c r="AA728" s="31"/>
      <c r="AB728" s="31"/>
      <c r="AC728" s="31"/>
      <c r="AD728" s="31"/>
      <c r="AE728" s="31"/>
      <c r="AF728" s="31"/>
      <c r="AG728" s="31"/>
      <c r="AH728" s="31"/>
      <c r="AI728" s="31"/>
      <c r="AJ728" s="31"/>
      <c r="AK728" s="31"/>
      <c r="AL728" s="31"/>
      <c r="AM728" s="31"/>
      <c r="AN728" s="31"/>
      <c r="AO728" s="31"/>
      <c r="AP728" s="31"/>
      <c r="AQ728" s="31"/>
      <c r="AR728" s="31"/>
      <c r="AS728" s="31"/>
    </row>
    <row r="729" spans="1:45" ht="13.5" customHeight="1">
      <c r="A729" s="31"/>
      <c r="B729" s="31"/>
      <c r="C729" s="31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1"/>
      <c r="AA729" s="31"/>
      <c r="AB729" s="31"/>
      <c r="AC729" s="31"/>
      <c r="AD729" s="31"/>
      <c r="AE729" s="31"/>
      <c r="AF729" s="31"/>
      <c r="AG729" s="31"/>
      <c r="AH729" s="31"/>
      <c r="AI729" s="31"/>
      <c r="AJ729" s="31"/>
      <c r="AK729" s="31"/>
      <c r="AL729" s="31"/>
      <c r="AM729" s="31"/>
      <c r="AN729" s="31"/>
      <c r="AO729" s="31"/>
      <c r="AP729" s="31"/>
      <c r="AQ729" s="31"/>
      <c r="AR729" s="31"/>
      <c r="AS729" s="31"/>
    </row>
    <row r="730" spans="1:45" ht="13.5" customHeight="1">
      <c r="A730" s="31"/>
      <c r="B730" s="31"/>
      <c r="C730" s="31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1"/>
      <c r="AA730" s="31"/>
      <c r="AB730" s="31"/>
      <c r="AC730" s="31"/>
      <c r="AD730" s="31"/>
      <c r="AE730" s="31"/>
      <c r="AF730" s="31"/>
      <c r="AG730" s="31"/>
      <c r="AH730" s="31"/>
      <c r="AI730" s="31"/>
      <c r="AJ730" s="31"/>
      <c r="AK730" s="31"/>
      <c r="AL730" s="31"/>
      <c r="AM730" s="31"/>
      <c r="AN730" s="31"/>
      <c r="AO730" s="31"/>
      <c r="AP730" s="31"/>
      <c r="AQ730" s="31"/>
      <c r="AR730" s="31"/>
      <c r="AS730" s="31"/>
    </row>
    <row r="731" spans="1:45" ht="13.5" customHeight="1">
      <c r="A731" s="31"/>
      <c r="B731" s="31"/>
      <c r="C731" s="31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1"/>
      <c r="AA731" s="31"/>
      <c r="AB731" s="31"/>
      <c r="AC731" s="31"/>
      <c r="AD731" s="31"/>
      <c r="AE731" s="31"/>
      <c r="AF731" s="31"/>
      <c r="AG731" s="31"/>
      <c r="AH731" s="31"/>
      <c r="AI731" s="31"/>
      <c r="AJ731" s="31"/>
      <c r="AK731" s="31"/>
      <c r="AL731" s="31"/>
      <c r="AM731" s="31"/>
      <c r="AN731" s="31"/>
      <c r="AO731" s="31"/>
      <c r="AP731" s="31"/>
      <c r="AQ731" s="31"/>
      <c r="AR731" s="31"/>
      <c r="AS731" s="31"/>
    </row>
    <row r="732" spans="1:45" ht="13.5" customHeight="1">
      <c r="A732" s="31"/>
      <c r="B732" s="31"/>
      <c r="C732" s="31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1"/>
      <c r="AA732" s="31"/>
      <c r="AB732" s="31"/>
      <c r="AC732" s="31"/>
      <c r="AD732" s="31"/>
      <c r="AE732" s="31"/>
      <c r="AF732" s="31"/>
      <c r="AG732" s="31"/>
      <c r="AH732" s="31"/>
      <c r="AI732" s="31"/>
      <c r="AJ732" s="31"/>
      <c r="AK732" s="31"/>
      <c r="AL732" s="31"/>
      <c r="AM732" s="31"/>
      <c r="AN732" s="31"/>
      <c r="AO732" s="31"/>
      <c r="AP732" s="31"/>
      <c r="AQ732" s="31"/>
      <c r="AR732" s="31"/>
      <c r="AS732" s="31"/>
    </row>
    <row r="733" spans="1:45" ht="13.5" customHeight="1">
      <c r="A733" s="31"/>
      <c r="B733" s="31"/>
      <c r="C733" s="31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1"/>
      <c r="AA733" s="31"/>
      <c r="AB733" s="31"/>
      <c r="AC733" s="31"/>
      <c r="AD733" s="31"/>
      <c r="AE733" s="31"/>
      <c r="AF733" s="31"/>
      <c r="AG733" s="31"/>
      <c r="AH733" s="31"/>
      <c r="AI733" s="31"/>
      <c r="AJ733" s="31"/>
      <c r="AK733" s="31"/>
      <c r="AL733" s="31"/>
      <c r="AM733" s="31"/>
      <c r="AN733" s="31"/>
      <c r="AO733" s="31"/>
      <c r="AP733" s="31"/>
      <c r="AQ733" s="31"/>
      <c r="AR733" s="31"/>
      <c r="AS733" s="31"/>
    </row>
    <row r="734" spans="1:45" ht="13.5" customHeight="1">
      <c r="A734" s="31"/>
      <c r="B734" s="31"/>
      <c r="C734" s="31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1"/>
      <c r="AA734" s="31"/>
      <c r="AB734" s="31"/>
      <c r="AC734" s="31"/>
      <c r="AD734" s="31"/>
      <c r="AE734" s="31"/>
      <c r="AF734" s="31"/>
      <c r="AG734" s="31"/>
      <c r="AH734" s="31"/>
      <c r="AI734" s="31"/>
      <c r="AJ734" s="31"/>
      <c r="AK734" s="31"/>
      <c r="AL734" s="31"/>
      <c r="AM734" s="31"/>
      <c r="AN734" s="31"/>
      <c r="AO734" s="31"/>
      <c r="AP734" s="31"/>
      <c r="AQ734" s="31"/>
      <c r="AR734" s="31"/>
      <c r="AS734" s="31"/>
    </row>
    <row r="735" spans="1:45" ht="13.5" customHeight="1">
      <c r="A735" s="31"/>
      <c r="B735" s="31"/>
      <c r="C735" s="31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1"/>
      <c r="AA735" s="31"/>
      <c r="AB735" s="31"/>
      <c r="AC735" s="31"/>
      <c r="AD735" s="31"/>
      <c r="AE735" s="31"/>
      <c r="AF735" s="31"/>
      <c r="AG735" s="31"/>
      <c r="AH735" s="31"/>
      <c r="AI735" s="31"/>
      <c r="AJ735" s="31"/>
      <c r="AK735" s="31"/>
      <c r="AL735" s="31"/>
      <c r="AM735" s="31"/>
      <c r="AN735" s="31"/>
      <c r="AO735" s="31"/>
      <c r="AP735" s="31"/>
      <c r="AQ735" s="31"/>
      <c r="AR735" s="31"/>
      <c r="AS735" s="31"/>
    </row>
    <row r="736" spans="1:45" ht="13.5" customHeight="1">
      <c r="A736" s="31"/>
      <c r="B736" s="31"/>
      <c r="C736" s="31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1"/>
      <c r="AA736" s="31"/>
      <c r="AB736" s="31"/>
      <c r="AC736" s="31"/>
      <c r="AD736" s="31"/>
      <c r="AE736" s="31"/>
      <c r="AF736" s="31"/>
      <c r="AG736" s="31"/>
      <c r="AH736" s="31"/>
      <c r="AI736" s="31"/>
      <c r="AJ736" s="31"/>
      <c r="AK736" s="31"/>
      <c r="AL736" s="31"/>
      <c r="AM736" s="31"/>
      <c r="AN736" s="31"/>
      <c r="AO736" s="31"/>
      <c r="AP736" s="31"/>
      <c r="AQ736" s="31"/>
      <c r="AR736" s="31"/>
      <c r="AS736" s="31"/>
    </row>
    <row r="737" spans="1:45" ht="13.5" customHeight="1">
      <c r="A737" s="31"/>
      <c r="B737" s="31"/>
      <c r="C737" s="31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1"/>
      <c r="AA737" s="31"/>
      <c r="AB737" s="31"/>
      <c r="AC737" s="31"/>
      <c r="AD737" s="31"/>
      <c r="AE737" s="31"/>
      <c r="AF737" s="31"/>
      <c r="AG737" s="31"/>
      <c r="AH737" s="31"/>
      <c r="AI737" s="31"/>
      <c r="AJ737" s="31"/>
      <c r="AK737" s="31"/>
      <c r="AL737" s="31"/>
      <c r="AM737" s="31"/>
      <c r="AN737" s="31"/>
      <c r="AO737" s="31"/>
      <c r="AP737" s="31"/>
      <c r="AQ737" s="31"/>
      <c r="AR737" s="31"/>
      <c r="AS737" s="31"/>
    </row>
    <row r="738" spans="1:45" ht="13.5" customHeight="1">
      <c r="A738" s="31"/>
      <c r="B738" s="31"/>
      <c r="C738" s="31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1"/>
      <c r="AA738" s="31"/>
      <c r="AB738" s="31"/>
      <c r="AC738" s="31"/>
      <c r="AD738" s="31"/>
      <c r="AE738" s="31"/>
      <c r="AF738" s="31"/>
      <c r="AG738" s="31"/>
      <c r="AH738" s="31"/>
      <c r="AI738" s="31"/>
      <c r="AJ738" s="31"/>
      <c r="AK738" s="31"/>
      <c r="AL738" s="31"/>
      <c r="AM738" s="31"/>
      <c r="AN738" s="31"/>
      <c r="AO738" s="31"/>
      <c r="AP738" s="31"/>
      <c r="AQ738" s="31"/>
      <c r="AR738" s="31"/>
      <c r="AS738" s="31"/>
    </row>
    <row r="739" spans="1:45" ht="13.5" customHeight="1">
      <c r="A739" s="31"/>
      <c r="B739" s="31"/>
      <c r="C739" s="31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1"/>
      <c r="AA739" s="31"/>
      <c r="AB739" s="31"/>
      <c r="AC739" s="31"/>
      <c r="AD739" s="31"/>
      <c r="AE739" s="31"/>
      <c r="AF739" s="31"/>
      <c r="AG739" s="31"/>
      <c r="AH739" s="31"/>
      <c r="AI739" s="31"/>
      <c r="AJ739" s="31"/>
      <c r="AK739" s="31"/>
      <c r="AL739" s="31"/>
      <c r="AM739" s="31"/>
      <c r="AN739" s="31"/>
      <c r="AO739" s="31"/>
      <c r="AP739" s="31"/>
      <c r="AQ739" s="31"/>
      <c r="AR739" s="31"/>
      <c r="AS739" s="31"/>
    </row>
    <row r="740" spans="1:45" ht="13.5" customHeight="1">
      <c r="A740" s="31"/>
      <c r="B740" s="31"/>
      <c r="C740" s="31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1"/>
      <c r="AA740" s="31"/>
      <c r="AB740" s="31"/>
      <c r="AC740" s="31"/>
      <c r="AD740" s="31"/>
      <c r="AE740" s="31"/>
      <c r="AF740" s="31"/>
      <c r="AG740" s="31"/>
      <c r="AH740" s="31"/>
      <c r="AI740" s="31"/>
      <c r="AJ740" s="31"/>
      <c r="AK740" s="31"/>
      <c r="AL740" s="31"/>
      <c r="AM740" s="31"/>
      <c r="AN740" s="31"/>
      <c r="AO740" s="31"/>
      <c r="AP740" s="31"/>
      <c r="AQ740" s="31"/>
      <c r="AR740" s="31"/>
      <c r="AS740" s="31"/>
    </row>
    <row r="741" spans="1:45" ht="13.5" customHeight="1">
      <c r="A741" s="31"/>
      <c r="B741" s="31"/>
      <c r="C741" s="31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1"/>
      <c r="AA741" s="31"/>
      <c r="AB741" s="31"/>
      <c r="AC741" s="31"/>
      <c r="AD741" s="31"/>
      <c r="AE741" s="31"/>
      <c r="AF741" s="31"/>
      <c r="AG741" s="31"/>
      <c r="AH741" s="31"/>
      <c r="AI741" s="31"/>
      <c r="AJ741" s="31"/>
      <c r="AK741" s="31"/>
      <c r="AL741" s="31"/>
      <c r="AM741" s="31"/>
      <c r="AN741" s="31"/>
      <c r="AO741" s="31"/>
      <c r="AP741" s="31"/>
      <c r="AQ741" s="31"/>
      <c r="AR741" s="31"/>
      <c r="AS741" s="31"/>
    </row>
    <row r="742" spans="1:45" ht="13.5" customHeight="1">
      <c r="A742" s="31"/>
      <c r="B742" s="31"/>
      <c r="C742" s="31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1"/>
      <c r="AA742" s="31"/>
      <c r="AB742" s="31"/>
      <c r="AC742" s="31"/>
      <c r="AD742" s="31"/>
      <c r="AE742" s="31"/>
      <c r="AF742" s="31"/>
      <c r="AG742" s="31"/>
      <c r="AH742" s="31"/>
      <c r="AI742" s="31"/>
      <c r="AJ742" s="31"/>
      <c r="AK742" s="31"/>
      <c r="AL742" s="31"/>
      <c r="AM742" s="31"/>
      <c r="AN742" s="31"/>
      <c r="AO742" s="31"/>
      <c r="AP742" s="31"/>
      <c r="AQ742" s="31"/>
      <c r="AR742" s="31"/>
      <c r="AS742" s="31"/>
    </row>
    <row r="743" spans="1:45" ht="13.5" customHeight="1">
      <c r="A743" s="31"/>
      <c r="B743" s="31"/>
      <c r="C743" s="31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1"/>
      <c r="AA743" s="31"/>
      <c r="AB743" s="31"/>
      <c r="AC743" s="31"/>
      <c r="AD743" s="31"/>
      <c r="AE743" s="31"/>
      <c r="AF743" s="31"/>
      <c r="AG743" s="31"/>
      <c r="AH743" s="31"/>
      <c r="AI743" s="31"/>
      <c r="AJ743" s="31"/>
      <c r="AK743" s="31"/>
      <c r="AL743" s="31"/>
      <c r="AM743" s="31"/>
      <c r="AN743" s="31"/>
      <c r="AO743" s="31"/>
      <c r="AP743" s="31"/>
      <c r="AQ743" s="31"/>
      <c r="AR743" s="31"/>
      <c r="AS743" s="31"/>
    </row>
    <row r="744" spans="1:45" ht="13.5" customHeight="1">
      <c r="A744" s="31"/>
      <c r="B744" s="31"/>
      <c r="C744" s="31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1"/>
      <c r="AA744" s="31"/>
      <c r="AB744" s="31"/>
      <c r="AC744" s="31"/>
      <c r="AD744" s="31"/>
      <c r="AE744" s="31"/>
      <c r="AF744" s="31"/>
      <c r="AG744" s="31"/>
      <c r="AH744" s="31"/>
      <c r="AI744" s="31"/>
      <c r="AJ744" s="31"/>
      <c r="AK744" s="31"/>
      <c r="AL744" s="31"/>
      <c r="AM744" s="31"/>
      <c r="AN744" s="31"/>
      <c r="AO744" s="31"/>
      <c r="AP744" s="31"/>
      <c r="AQ744" s="31"/>
      <c r="AR744" s="31"/>
      <c r="AS744" s="31"/>
    </row>
    <row r="745" spans="1:45" ht="13.5" customHeight="1">
      <c r="A745" s="31"/>
      <c r="B745" s="31"/>
      <c r="C745" s="31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1"/>
      <c r="AA745" s="31"/>
      <c r="AB745" s="31"/>
      <c r="AC745" s="31"/>
      <c r="AD745" s="31"/>
      <c r="AE745" s="31"/>
      <c r="AF745" s="31"/>
      <c r="AG745" s="31"/>
      <c r="AH745" s="31"/>
      <c r="AI745" s="31"/>
      <c r="AJ745" s="31"/>
      <c r="AK745" s="31"/>
      <c r="AL745" s="31"/>
      <c r="AM745" s="31"/>
      <c r="AN745" s="31"/>
      <c r="AO745" s="31"/>
      <c r="AP745" s="31"/>
      <c r="AQ745" s="31"/>
      <c r="AR745" s="31"/>
      <c r="AS745" s="31"/>
    </row>
    <row r="746" spans="1:45" ht="13.5" customHeight="1">
      <c r="A746" s="31"/>
      <c r="B746" s="31"/>
      <c r="C746" s="31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1"/>
      <c r="AA746" s="31"/>
      <c r="AB746" s="31"/>
      <c r="AC746" s="31"/>
      <c r="AD746" s="31"/>
      <c r="AE746" s="31"/>
      <c r="AF746" s="31"/>
      <c r="AG746" s="31"/>
      <c r="AH746" s="31"/>
      <c r="AI746" s="31"/>
      <c r="AJ746" s="31"/>
      <c r="AK746" s="31"/>
      <c r="AL746" s="31"/>
      <c r="AM746" s="31"/>
      <c r="AN746" s="31"/>
      <c r="AO746" s="31"/>
      <c r="AP746" s="31"/>
      <c r="AQ746" s="31"/>
      <c r="AR746" s="31"/>
      <c r="AS746" s="31"/>
    </row>
    <row r="747" spans="1:45" ht="13.5" customHeight="1">
      <c r="A747" s="31"/>
      <c r="B747" s="31"/>
      <c r="C747" s="31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1"/>
      <c r="AA747" s="31"/>
      <c r="AB747" s="31"/>
      <c r="AC747" s="31"/>
      <c r="AD747" s="31"/>
      <c r="AE747" s="31"/>
      <c r="AF747" s="31"/>
      <c r="AG747" s="31"/>
      <c r="AH747" s="31"/>
      <c r="AI747" s="31"/>
      <c r="AJ747" s="31"/>
      <c r="AK747" s="31"/>
      <c r="AL747" s="31"/>
      <c r="AM747" s="31"/>
      <c r="AN747" s="31"/>
      <c r="AO747" s="31"/>
      <c r="AP747" s="31"/>
      <c r="AQ747" s="31"/>
      <c r="AR747" s="31"/>
      <c r="AS747" s="31"/>
    </row>
    <row r="748" spans="1:45" ht="13.5" customHeight="1">
      <c r="A748" s="31"/>
      <c r="B748" s="31"/>
      <c r="C748" s="31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1"/>
      <c r="AA748" s="31"/>
      <c r="AB748" s="31"/>
      <c r="AC748" s="31"/>
      <c r="AD748" s="31"/>
      <c r="AE748" s="31"/>
      <c r="AF748" s="31"/>
      <c r="AG748" s="31"/>
      <c r="AH748" s="31"/>
      <c r="AI748" s="31"/>
      <c r="AJ748" s="31"/>
      <c r="AK748" s="31"/>
      <c r="AL748" s="31"/>
      <c r="AM748" s="31"/>
      <c r="AN748" s="31"/>
      <c r="AO748" s="31"/>
      <c r="AP748" s="31"/>
      <c r="AQ748" s="31"/>
      <c r="AR748" s="31"/>
      <c r="AS748" s="31"/>
    </row>
    <row r="749" spans="1:45" ht="13.5" customHeight="1">
      <c r="A749" s="31"/>
      <c r="B749" s="31"/>
      <c r="C749" s="31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1"/>
      <c r="AA749" s="31"/>
      <c r="AB749" s="31"/>
      <c r="AC749" s="31"/>
      <c r="AD749" s="31"/>
      <c r="AE749" s="31"/>
      <c r="AF749" s="31"/>
      <c r="AG749" s="31"/>
      <c r="AH749" s="31"/>
      <c r="AI749" s="31"/>
      <c r="AJ749" s="31"/>
      <c r="AK749" s="31"/>
      <c r="AL749" s="31"/>
      <c r="AM749" s="31"/>
      <c r="AN749" s="31"/>
      <c r="AO749" s="31"/>
      <c r="AP749" s="31"/>
      <c r="AQ749" s="31"/>
      <c r="AR749" s="31"/>
      <c r="AS749" s="31"/>
    </row>
    <row r="750" spans="1:45" ht="13.5" customHeight="1">
      <c r="A750" s="31"/>
      <c r="B750" s="31"/>
      <c r="C750" s="31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1"/>
      <c r="AA750" s="31"/>
      <c r="AB750" s="31"/>
      <c r="AC750" s="31"/>
      <c r="AD750" s="31"/>
      <c r="AE750" s="31"/>
      <c r="AF750" s="31"/>
      <c r="AG750" s="31"/>
      <c r="AH750" s="31"/>
      <c r="AI750" s="31"/>
      <c r="AJ750" s="31"/>
      <c r="AK750" s="31"/>
      <c r="AL750" s="31"/>
      <c r="AM750" s="31"/>
      <c r="AN750" s="31"/>
      <c r="AO750" s="31"/>
      <c r="AP750" s="31"/>
      <c r="AQ750" s="31"/>
      <c r="AR750" s="31"/>
      <c r="AS750" s="31"/>
    </row>
    <row r="751" spans="1:45" ht="13.5" customHeight="1">
      <c r="A751" s="31"/>
      <c r="B751" s="31"/>
      <c r="C751" s="31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1"/>
      <c r="AA751" s="31"/>
      <c r="AB751" s="31"/>
      <c r="AC751" s="31"/>
      <c r="AD751" s="31"/>
      <c r="AE751" s="31"/>
      <c r="AF751" s="31"/>
      <c r="AG751" s="31"/>
      <c r="AH751" s="31"/>
      <c r="AI751" s="31"/>
      <c r="AJ751" s="31"/>
      <c r="AK751" s="31"/>
      <c r="AL751" s="31"/>
      <c r="AM751" s="31"/>
      <c r="AN751" s="31"/>
      <c r="AO751" s="31"/>
      <c r="AP751" s="31"/>
      <c r="AQ751" s="31"/>
      <c r="AR751" s="31"/>
      <c r="AS751" s="31"/>
    </row>
    <row r="752" spans="1:45" ht="13.5" customHeight="1">
      <c r="A752" s="31"/>
      <c r="B752" s="31"/>
      <c r="C752" s="31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1"/>
      <c r="AA752" s="31"/>
      <c r="AB752" s="31"/>
      <c r="AC752" s="31"/>
      <c r="AD752" s="31"/>
      <c r="AE752" s="31"/>
      <c r="AF752" s="31"/>
      <c r="AG752" s="31"/>
      <c r="AH752" s="31"/>
      <c r="AI752" s="31"/>
      <c r="AJ752" s="31"/>
      <c r="AK752" s="31"/>
      <c r="AL752" s="31"/>
      <c r="AM752" s="31"/>
      <c r="AN752" s="31"/>
      <c r="AO752" s="31"/>
      <c r="AP752" s="31"/>
      <c r="AQ752" s="31"/>
      <c r="AR752" s="31"/>
      <c r="AS752" s="31"/>
    </row>
    <row r="753" spans="1:45" ht="13.5" customHeight="1">
      <c r="A753" s="31"/>
      <c r="B753" s="31"/>
      <c r="C753" s="31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1"/>
      <c r="AA753" s="31"/>
      <c r="AB753" s="31"/>
      <c r="AC753" s="31"/>
      <c r="AD753" s="31"/>
      <c r="AE753" s="31"/>
      <c r="AF753" s="31"/>
      <c r="AG753" s="31"/>
      <c r="AH753" s="31"/>
      <c r="AI753" s="31"/>
      <c r="AJ753" s="31"/>
      <c r="AK753" s="31"/>
      <c r="AL753" s="31"/>
      <c r="AM753" s="31"/>
      <c r="AN753" s="31"/>
      <c r="AO753" s="31"/>
      <c r="AP753" s="31"/>
      <c r="AQ753" s="31"/>
      <c r="AR753" s="31"/>
      <c r="AS753" s="31"/>
    </row>
    <row r="754" spans="1:45" ht="13.5" customHeight="1">
      <c r="A754" s="31"/>
      <c r="B754" s="31"/>
      <c r="C754" s="31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1"/>
      <c r="AA754" s="31"/>
      <c r="AB754" s="31"/>
      <c r="AC754" s="31"/>
      <c r="AD754" s="31"/>
      <c r="AE754" s="31"/>
      <c r="AF754" s="31"/>
      <c r="AG754" s="31"/>
      <c r="AH754" s="31"/>
      <c r="AI754" s="31"/>
      <c r="AJ754" s="31"/>
      <c r="AK754" s="31"/>
      <c r="AL754" s="31"/>
      <c r="AM754" s="31"/>
      <c r="AN754" s="31"/>
      <c r="AO754" s="31"/>
      <c r="AP754" s="31"/>
      <c r="AQ754" s="31"/>
      <c r="AR754" s="31"/>
      <c r="AS754" s="31"/>
    </row>
    <row r="755" spans="1:45" ht="13.5" customHeight="1">
      <c r="A755" s="31"/>
      <c r="B755" s="31"/>
      <c r="C755" s="31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1"/>
      <c r="AA755" s="31"/>
      <c r="AB755" s="31"/>
      <c r="AC755" s="31"/>
      <c r="AD755" s="31"/>
      <c r="AE755" s="31"/>
      <c r="AF755" s="31"/>
      <c r="AG755" s="31"/>
      <c r="AH755" s="31"/>
      <c r="AI755" s="31"/>
      <c r="AJ755" s="31"/>
      <c r="AK755" s="31"/>
      <c r="AL755" s="31"/>
      <c r="AM755" s="31"/>
      <c r="AN755" s="31"/>
      <c r="AO755" s="31"/>
      <c r="AP755" s="31"/>
      <c r="AQ755" s="31"/>
      <c r="AR755" s="31"/>
      <c r="AS755" s="31"/>
    </row>
    <row r="756" spans="1:45" ht="13.5" customHeight="1">
      <c r="A756" s="31"/>
      <c r="B756" s="31"/>
      <c r="C756" s="31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1"/>
      <c r="AA756" s="31"/>
      <c r="AB756" s="31"/>
      <c r="AC756" s="31"/>
      <c r="AD756" s="31"/>
      <c r="AE756" s="31"/>
      <c r="AF756" s="31"/>
      <c r="AG756" s="31"/>
      <c r="AH756" s="31"/>
      <c r="AI756" s="31"/>
      <c r="AJ756" s="31"/>
      <c r="AK756" s="31"/>
      <c r="AL756" s="31"/>
      <c r="AM756" s="31"/>
      <c r="AN756" s="31"/>
      <c r="AO756" s="31"/>
      <c r="AP756" s="31"/>
      <c r="AQ756" s="31"/>
      <c r="AR756" s="31"/>
      <c r="AS756" s="31"/>
    </row>
    <row r="757" spans="1:45" ht="13.5" customHeight="1">
      <c r="A757" s="31"/>
      <c r="B757" s="31"/>
      <c r="C757" s="31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1"/>
      <c r="AA757" s="31"/>
      <c r="AB757" s="31"/>
      <c r="AC757" s="31"/>
      <c r="AD757" s="31"/>
      <c r="AE757" s="31"/>
      <c r="AF757" s="31"/>
      <c r="AG757" s="31"/>
      <c r="AH757" s="31"/>
      <c r="AI757" s="31"/>
      <c r="AJ757" s="31"/>
      <c r="AK757" s="31"/>
      <c r="AL757" s="31"/>
      <c r="AM757" s="31"/>
      <c r="AN757" s="31"/>
      <c r="AO757" s="31"/>
      <c r="AP757" s="31"/>
      <c r="AQ757" s="31"/>
      <c r="AR757" s="31"/>
      <c r="AS757" s="31"/>
    </row>
    <row r="758" spans="1:45" ht="13.5" customHeight="1">
      <c r="A758" s="31"/>
      <c r="B758" s="31"/>
      <c r="C758" s="31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1"/>
      <c r="AA758" s="31"/>
      <c r="AB758" s="31"/>
      <c r="AC758" s="31"/>
      <c r="AD758" s="31"/>
      <c r="AE758" s="31"/>
      <c r="AF758" s="31"/>
      <c r="AG758" s="31"/>
      <c r="AH758" s="31"/>
      <c r="AI758" s="31"/>
      <c r="AJ758" s="31"/>
      <c r="AK758" s="31"/>
      <c r="AL758" s="31"/>
      <c r="AM758" s="31"/>
      <c r="AN758" s="31"/>
      <c r="AO758" s="31"/>
      <c r="AP758" s="31"/>
      <c r="AQ758" s="31"/>
      <c r="AR758" s="31"/>
      <c r="AS758" s="31"/>
    </row>
    <row r="759" spans="1:45" ht="13.5" customHeight="1">
      <c r="A759" s="31"/>
      <c r="B759" s="31"/>
      <c r="C759" s="31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1"/>
      <c r="AA759" s="31"/>
      <c r="AB759" s="31"/>
      <c r="AC759" s="31"/>
      <c r="AD759" s="31"/>
      <c r="AE759" s="31"/>
      <c r="AF759" s="31"/>
      <c r="AG759" s="31"/>
      <c r="AH759" s="31"/>
      <c r="AI759" s="31"/>
      <c r="AJ759" s="31"/>
      <c r="AK759" s="31"/>
      <c r="AL759" s="31"/>
      <c r="AM759" s="31"/>
      <c r="AN759" s="31"/>
      <c r="AO759" s="31"/>
      <c r="AP759" s="31"/>
      <c r="AQ759" s="31"/>
      <c r="AR759" s="31"/>
      <c r="AS759" s="31"/>
    </row>
    <row r="760" spans="1:45" ht="13.5" customHeight="1">
      <c r="A760" s="31"/>
      <c r="B760" s="31"/>
      <c r="C760" s="31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1"/>
      <c r="AA760" s="31"/>
      <c r="AB760" s="31"/>
      <c r="AC760" s="31"/>
      <c r="AD760" s="31"/>
      <c r="AE760" s="31"/>
      <c r="AF760" s="31"/>
      <c r="AG760" s="31"/>
      <c r="AH760" s="31"/>
      <c r="AI760" s="31"/>
      <c r="AJ760" s="31"/>
      <c r="AK760" s="31"/>
      <c r="AL760" s="31"/>
      <c r="AM760" s="31"/>
      <c r="AN760" s="31"/>
      <c r="AO760" s="31"/>
      <c r="AP760" s="31"/>
      <c r="AQ760" s="31"/>
      <c r="AR760" s="31"/>
      <c r="AS760" s="31"/>
    </row>
    <row r="761" spans="1:45" ht="13.5" customHeight="1">
      <c r="A761" s="31"/>
      <c r="B761" s="31"/>
      <c r="C761" s="31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1"/>
      <c r="AA761" s="31"/>
      <c r="AB761" s="31"/>
      <c r="AC761" s="31"/>
      <c r="AD761" s="31"/>
      <c r="AE761" s="31"/>
      <c r="AF761" s="31"/>
      <c r="AG761" s="31"/>
      <c r="AH761" s="31"/>
      <c r="AI761" s="31"/>
      <c r="AJ761" s="31"/>
      <c r="AK761" s="31"/>
      <c r="AL761" s="31"/>
      <c r="AM761" s="31"/>
      <c r="AN761" s="31"/>
      <c r="AO761" s="31"/>
      <c r="AP761" s="31"/>
      <c r="AQ761" s="31"/>
      <c r="AR761" s="31"/>
      <c r="AS761" s="31"/>
    </row>
    <row r="762" spans="1:45" ht="13.5" customHeight="1">
      <c r="A762" s="31"/>
      <c r="B762" s="31"/>
      <c r="C762" s="31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1"/>
      <c r="AA762" s="31"/>
      <c r="AB762" s="31"/>
      <c r="AC762" s="31"/>
      <c r="AD762" s="31"/>
      <c r="AE762" s="31"/>
      <c r="AF762" s="31"/>
      <c r="AG762" s="31"/>
      <c r="AH762" s="31"/>
      <c r="AI762" s="31"/>
      <c r="AJ762" s="31"/>
      <c r="AK762" s="31"/>
      <c r="AL762" s="31"/>
      <c r="AM762" s="31"/>
      <c r="AN762" s="31"/>
      <c r="AO762" s="31"/>
      <c r="AP762" s="31"/>
      <c r="AQ762" s="31"/>
      <c r="AR762" s="31"/>
      <c r="AS762" s="31"/>
    </row>
    <row r="763" spans="1:45" ht="13.5" customHeight="1">
      <c r="A763" s="31"/>
      <c r="B763" s="31"/>
      <c r="C763" s="31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1"/>
      <c r="AA763" s="31"/>
      <c r="AB763" s="31"/>
      <c r="AC763" s="31"/>
      <c r="AD763" s="31"/>
      <c r="AE763" s="31"/>
      <c r="AF763" s="31"/>
      <c r="AG763" s="31"/>
      <c r="AH763" s="31"/>
      <c r="AI763" s="31"/>
      <c r="AJ763" s="31"/>
      <c r="AK763" s="31"/>
      <c r="AL763" s="31"/>
      <c r="AM763" s="31"/>
      <c r="AN763" s="31"/>
      <c r="AO763" s="31"/>
      <c r="AP763" s="31"/>
      <c r="AQ763" s="31"/>
      <c r="AR763" s="31"/>
      <c r="AS763" s="31"/>
    </row>
    <row r="764" spans="1:45" ht="13.5" customHeight="1">
      <c r="A764" s="31"/>
      <c r="B764" s="31"/>
      <c r="C764" s="31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1"/>
      <c r="AA764" s="31"/>
      <c r="AB764" s="31"/>
      <c r="AC764" s="31"/>
      <c r="AD764" s="31"/>
      <c r="AE764" s="31"/>
      <c r="AF764" s="31"/>
      <c r="AG764" s="31"/>
      <c r="AH764" s="31"/>
      <c r="AI764" s="31"/>
      <c r="AJ764" s="31"/>
      <c r="AK764" s="31"/>
      <c r="AL764" s="31"/>
      <c r="AM764" s="31"/>
      <c r="AN764" s="31"/>
      <c r="AO764" s="31"/>
      <c r="AP764" s="31"/>
      <c r="AQ764" s="31"/>
      <c r="AR764" s="31"/>
      <c r="AS764" s="31"/>
    </row>
    <row r="765" spans="1:45" ht="13.5" customHeight="1">
      <c r="A765" s="31"/>
      <c r="B765" s="31"/>
      <c r="C765" s="31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1"/>
      <c r="AA765" s="31"/>
      <c r="AB765" s="31"/>
      <c r="AC765" s="31"/>
      <c r="AD765" s="31"/>
      <c r="AE765" s="31"/>
      <c r="AF765" s="31"/>
      <c r="AG765" s="31"/>
      <c r="AH765" s="31"/>
      <c r="AI765" s="31"/>
      <c r="AJ765" s="31"/>
      <c r="AK765" s="31"/>
      <c r="AL765" s="31"/>
      <c r="AM765" s="31"/>
      <c r="AN765" s="31"/>
      <c r="AO765" s="31"/>
      <c r="AP765" s="31"/>
      <c r="AQ765" s="31"/>
      <c r="AR765" s="31"/>
      <c r="AS765" s="31"/>
    </row>
    <row r="766" spans="1:45" ht="13.5" customHeight="1">
      <c r="A766" s="31"/>
      <c r="B766" s="31"/>
      <c r="C766" s="31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1"/>
      <c r="AA766" s="31"/>
      <c r="AB766" s="31"/>
      <c r="AC766" s="31"/>
      <c r="AD766" s="31"/>
      <c r="AE766" s="31"/>
      <c r="AF766" s="31"/>
      <c r="AG766" s="31"/>
      <c r="AH766" s="31"/>
      <c r="AI766" s="31"/>
      <c r="AJ766" s="31"/>
      <c r="AK766" s="31"/>
      <c r="AL766" s="31"/>
      <c r="AM766" s="31"/>
      <c r="AN766" s="31"/>
      <c r="AO766" s="31"/>
      <c r="AP766" s="31"/>
      <c r="AQ766" s="31"/>
      <c r="AR766" s="31"/>
      <c r="AS766" s="31"/>
    </row>
    <row r="767" spans="1:45" ht="13.5" customHeight="1">
      <c r="A767" s="31"/>
      <c r="B767" s="31"/>
      <c r="C767" s="31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1"/>
      <c r="AA767" s="31"/>
      <c r="AB767" s="31"/>
      <c r="AC767" s="31"/>
      <c r="AD767" s="31"/>
      <c r="AE767" s="31"/>
      <c r="AF767" s="31"/>
      <c r="AG767" s="31"/>
      <c r="AH767" s="31"/>
      <c r="AI767" s="31"/>
      <c r="AJ767" s="31"/>
      <c r="AK767" s="31"/>
      <c r="AL767" s="31"/>
      <c r="AM767" s="31"/>
      <c r="AN767" s="31"/>
      <c r="AO767" s="31"/>
      <c r="AP767" s="31"/>
      <c r="AQ767" s="31"/>
      <c r="AR767" s="31"/>
      <c r="AS767" s="31"/>
    </row>
    <row r="768" spans="1:45" ht="13.5" customHeight="1">
      <c r="A768" s="31"/>
      <c r="B768" s="31"/>
      <c r="C768" s="31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1"/>
      <c r="AA768" s="31"/>
      <c r="AB768" s="31"/>
      <c r="AC768" s="31"/>
      <c r="AD768" s="31"/>
      <c r="AE768" s="31"/>
      <c r="AF768" s="31"/>
      <c r="AG768" s="31"/>
      <c r="AH768" s="31"/>
      <c r="AI768" s="31"/>
      <c r="AJ768" s="31"/>
      <c r="AK768" s="31"/>
      <c r="AL768" s="31"/>
      <c r="AM768" s="31"/>
      <c r="AN768" s="31"/>
      <c r="AO768" s="31"/>
      <c r="AP768" s="31"/>
      <c r="AQ768" s="31"/>
      <c r="AR768" s="31"/>
      <c r="AS768" s="31"/>
    </row>
    <row r="769" spans="1:45" ht="13.5" customHeight="1">
      <c r="A769" s="31"/>
      <c r="B769" s="31"/>
      <c r="C769" s="31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1"/>
      <c r="AA769" s="31"/>
      <c r="AB769" s="31"/>
      <c r="AC769" s="31"/>
      <c r="AD769" s="31"/>
      <c r="AE769" s="31"/>
      <c r="AF769" s="31"/>
      <c r="AG769" s="31"/>
      <c r="AH769" s="31"/>
      <c r="AI769" s="31"/>
      <c r="AJ769" s="31"/>
      <c r="AK769" s="31"/>
      <c r="AL769" s="31"/>
      <c r="AM769" s="31"/>
      <c r="AN769" s="31"/>
      <c r="AO769" s="31"/>
      <c r="AP769" s="31"/>
      <c r="AQ769" s="31"/>
      <c r="AR769" s="31"/>
      <c r="AS769" s="31"/>
    </row>
    <row r="770" spans="1:45" ht="13.5" customHeight="1">
      <c r="A770" s="31"/>
      <c r="B770" s="31"/>
      <c r="C770" s="31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1"/>
      <c r="AA770" s="31"/>
      <c r="AB770" s="31"/>
      <c r="AC770" s="31"/>
      <c r="AD770" s="31"/>
      <c r="AE770" s="31"/>
      <c r="AF770" s="31"/>
      <c r="AG770" s="31"/>
      <c r="AH770" s="31"/>
      <c r="AI770" s="31"/>
      <c r="AJ770" s="31"/>
      <c r="AK770" s="31"/>
      <c r="AL770" s="31"/>
      <c r="AM770" s="31"/>
      <c r="AN770" s="31"/>
      <c r="AO770" s="31"/>
      <c r="AP770" s="31"/>
      <c r="AQ770" s="31"/>
      <c r="AR770" s="31"/>
      <c r="AS770" s="31"/>
    </row>
    <row r="771" spans="1:45" ht="13.5" customHeight="1">
      <c r="A771" s="31"/>
      <c r="B771" s="31"/>
      <c r="C771" s="31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1"/>
      <c r="AA771" s="31"/>
      <c r="AB771" s="31"/>
      <c r="AC771" s="31"/>
      <c r="AD771" s="31"/>
      <c r="AE771" s="31"/>
      <c r="AF771" s="31"/>
      <c r="AG771" s="31"/>
      <c r="AH771" s="31"/>
      <c r="AI771" s="31"/>
      <c r="AJ771" s="31"/>
      <c r="AK771" s="31"/>
      <c r="AL771" s="31"/>
      <c r="AM771" s="31"/>
      <c r="AN771" s="31"/>
      <c r="AO771" s="31"/>
      <c r="AP771" s="31"/>
      <c r="AQ771" s="31"/>
      <c r="AR771" s="31"/>
      <c r="AS771" s="31"/>
    </row>
    <row r="772" spans="1:45" ht="13.5" customHeight="1">
      <c r="A772" s="31"/>
      <c r="B772" s="31"/>
      <c r="C772" s="31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1"/>
      <c r="AA772" s="31"/>
      <c r="AB772" s="31"/>
      <c r="AC772" s="31"/>
      <c r="AD772" s="31"/>
      <c r="AE772" s="31"/>
      <c r="AF772" s="31"/>
      <c r="AG772" s="31"/>
      <c r="AH772" s="31"/>
      <c r="AI772" s="31"/>
      <c r="AJ772" s="31"/>
      <c r="AK772" s="31"/>
      <c r="AL772" s="31"/>
      <c r="AM772" s="31"/>
      <c r="AN772" s="31"/>
      <c r="AO772" s="31"/>
      <c r="AP772" s="31"/>
      <c r="AQ772" s="31"/>
      <c r="AR772" s="31"/>
      <c r="AS772" s="31"/>
    </row>
    <row r="773" spans="1:45" ht="13.5" customHeight="1">
      <c r="A773" s="31"/>
      <c r="B773" s="31"/>
      <c r="C773" s="31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1"/>
      <c r="AA773" s="31"/>
      <c r="AB773" s="31"/>
      <c r="AC773" s="31"/>
      <c r="AD773" s="31"/>
      <c r="AE773" s="31"/>
      <c r="AF773" s="31"/>
      <c r="AG773" s="31"/>
      <c r="AH773" s="31"/>
      <c r="AI773" s="31"/>
      <c r="AJ773" s="31"/>
      <c r="AK773" s="31"/>
      <c r="AL773" s="31"/>
      <c r="AM773" s="31"/>
      <c r="AN773" s="31"/>
      <c r="AO773" s="31"/>
      <c r="AP773" s="31"/>
      <c r="AQ773" s="31"/>
      <c r="AR773" s="31"/>
      <c r="AS773" s="31"/>
    </row>
    <row r="774" spans="1:45" ht="13.5" customHeight="1">
      <c r="A774" s="31"/>
      <c r="B774" s="31"/>
      <c r="C774" s="31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1"/>
      <c r="AA774" s="31"/>
      <c r="AB774" s="31"/>
      <c r="AC774" s="31"/>
      <c r="AD774" s="31"/>
      <c r="AE774" s="31"/>
      <c r="AF774" s="31"/>
      <c r="AG774" s="31"/>
      <c r="AH774" s="31"/>
      <c r="AI774" s="31"/>
      <c r="AJ774" s="31"/>
      <c r="AK774" s="31"/>
      <c r="AL774" s="31"/>
      <c r="AM774" s="31"/>
      <c r="AN774" s="31"/>
      <c r="AO774" s="31"/>
      <c r="AP774" s="31"/>
      <c r="AQ774" s="31"/>
      <c r="AR774" s="31"/>
      <c r="AS774" s="31"/>
    </row>
    <row r="775" spans="1:45" ht="13.5" customHeight="1">
      <c r="A775" s="31"/>
      <c r="B775" s="31"/>
      <c r="C775" s="31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1"/>
      <c r="AA775" s="31"/>
      <c r="AB775" s="31"/>
      <c r="AC775" s="31"/>
      <c r="AD775" s="31"/>
      <c r="AE775" s="31"/>
      <c r="AF775" s="31"/>
      <c r="AG775" s="31"/>
      <c r="AH775" s="31"/>
      <c r="AI775" s="31"/>
      <c r="AJ775" s="31"/>
      <c r="AK775" s="31"/>
      <c r="AL775" s="31"/>
      <c r="AM775" s="31"/>
      <c r="AN775" s="31"/>
      <c r="AO775" s="31"/>
      <c r="AP775" s="31"/>
      <c r="AQ775" s="31"/>
      <c r="AR775" s="31"/>
      <c r="AS775" s="31"/>
    </row>
    <row r="776" spans="1:45" ht="13.5" customHeight="1">
      <c r="A776" s="31"/>
      <c r="B776" s="31"/>
      <c r="C776" s="31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1"/>
      <c r="AA776" s="31"/>
      <c r="AB776" s="31"/>
      <c r="AC776" s="31"/>
      <c r="AD776" s="31"/>
      <c r="AE776" s="31"/>
      <c r="AF776" s="31"/>
      <c r="AG776" s="31"/>
      <c r="AH776" s="31"/>
      <c r="AI776" s="31"/>
      <c r="AJ776" s="31"/>
      <c r="AK776" s="31"/>
      <c r="AL776" s="31"/>
      <c r="AM776" s="31"/>
      <c r="AN776" s="31"/>
      <c r="AO776" s="31"/>
      <c r="AP776" s="31"/>
      <c r="AQ776" s="31"/>
      <c r="AR776" s="31"/>
      <c r="AS776" s="31"/>
    </row>
    <row r="777" spans="1:45" ht="13.5" customHeight="1">
      <c r="A777" s="31"/>
      <c r="B777" s="31"/>
      <c r="C777" s="31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1"/>
      <c r="AA777" s="31"/>
      <c r="AB777" s="31"/>
      <c r="AC777" s="31"/>
      <c r="AD777" s="31"/>
      <c r="AE777" s="31"/>
      <c r="AF777" s="31"/>
      <c r="AG777" s="31"/>
      <c r="AH777" s="31"/>
      <c r="AI777" s="31"/>
      <c r="AJ777" s="31"/>
      <c r="AK777" s="31"/>
      <c r="AL777" s="31"/>
      <c r="AM777" s="31"/>
      <c r="AN777" s="31"/>
      <c r="AO777" s="31"/>
      <c r="AP777" s="31"/>
      <c r="AQ777" s="31"/>
      <c r="AR777" s="31"/>
      <c r="AS777" s="31"/>
    </row>
    <row r="778" spans="1:45" ht="13.5" customHeight="1">
      <c r="A778" s="31"/>
      <c r="B778" s="31"/>
      <c r="C778" s="31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1"/>
      <c r="AA778" s="31"/>
      <c r="AB778" s="31"/>
      <c r="AC778" s="31"/>
      <c r="AD778" s="31"/>
      <c r="AE778" s="31"/>
      <c r="AF778" s="31"/>
      <c r="AG778" s="31"/>
      <c r="AH778" s="31"/>
      <c r="AI778" s="31"/>
      <c r="AJ778" s="31"/>
      <c r="AK778" s="31"/>
      <c r="AL778" s="31"/>
      <c r="AM778" s="31"/>
      <c r="AN778" s="31"/>
      <c r="AO778" s="31"/>
      <c r="AP778" s="31"/>
      <c r="AQ778" s="31"/>
      <c r="AR778" s="31"/>
      <c r="AS778" s="31"/>
    </row>
    <row r="779" spans="1:45" ht="13.5" customHeight="1">
      <c r="A779" s="31"/>
      <c r="B779" s="31"/>
      <c r="C779" s="31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1"/>
      <c r="AA779" s="31"/>
      <c r="AB779" s="31"/>
      <c r="AC779" s="31"/>
      <c r="AD779" s="31"/>
      <c r="AE779" s="31"/>
      <c r="AF779" s="31"/>
      <c r="AG779" s="31"/>
      <c r="AH779" s="31"/>
      <c r="AI779" s="31"/>
      <c r="AJ779" s="31"/>
      <c r="AK779" s="31"/>
      <c r="AL779" s="31"/>
      <c r="AM779" s="31"/>
      <c r="AN779" s="31"/>
      <c r="AO779" s="31"/>
      <c r="AP779" s="31"/>
      <c r="AQ779" s="31"/>
      <c r="AR779" s="31"/>
      <c r="AS779" s="31"/>
    </row>
    <row r="780" spans="1:45" ht="13.5" customHeight="1">
      <c r="A780" s="31"/>
      <c r="B780" s="31"/>
      <c r="C780" s="31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1"/>
      <c r="AA780" s="31"/>
      <c r="AB780" s="31"/>
      <c r="AC780" s="31"/>
      <c r="AD780" s="31"/>
      <c r="AE780" s="31"/>
      <c r="AF780" s="31"/>
      <c r="AG780" s="31"/>
      <c r="AH780" s="31"/>
      <c r="AI780" s="31"/>
      <c r="AJ780" s="31"/>
      <c r="AK780" s="31"/>
      <c r="AL780" s="31"/>
      <c r="AM780" s="31"/>
      <c r="AN780" s="31"/>
      <c r="AO780" s="31"/>
      <c r="AP780" s="31"/>
      <c r="AQ780" s="31"/>
      <c r="AR780" s="31"/>
      <c r="AS780" s="31"/>
    </row>
    <row r="781" spans="1:45" ht="13.5" customHeight="1">
      <c r="A781" s="31"/>
      <c r="B781" s="31"/>
      <c r="C781" s="31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1"/>
      <c r="AA781" s="31"/>
      <c r="AB781" s="31"/>
      <c r="AC781" s="31"/>
      <c r="AD781" s="31"/>
      <c r="AE781" s="31"/>
      <c r="AF781" s="31"/>
      <c r="AG781" s="31"/>
      <c r="AH781" s="31"/>
      <c r="AI781" s="31"/>
      <c r="AJ781" s="31"/>
      <c r="AK781" s="31"/>
      <c r="AL781" s="31"/>
      <c r="AM781" s="31"/>
      <c r="AN781" s="31"/>
      <c r="AO781" s="31"/>
      <c r="AP781" s="31"/>
      <c r="AQ781" s="31"/>
      <c r="AR781" s="31"/>
      <c r="AS781" s="31"/>
    </row>
    <row r="782" spans="1:45" ht="13.5" customHeight="1">
      <c r="A782" s="31"/>
      <c r="B782" s="31"/>
      <c r="C782" s="31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1"/>
      <c r="AA782" s="31"/>
      <c r="AB782" s="31"/>
      <c r="AC782" s="31"/>
      <c r="AD782" s="31"/>
      <c r="AE782" s="31"/>
      <c r="AF782" s="31"/>
      <c r="AG782" s="31"/>
      <c r="AH782" s="31"/>
      <c r="AI782" s="31"/>
      <c r="AJ782" s="31"/>
      <c r="AK782" s="31"/>
      <c r="AL782" s="31"/>
      <c r="AM782" s="31"/>
      <c r="AN782" s="31"/>
      <c r="AO782" s="31"/>
      <c r="AP782" s="31"/>
      <c r="AQ782" s="31"/>
      <c r="AR782" s="31"/>
      <c r="AS782" s="31"/>
    </row>
    <row r="783" spans="1:45" ht="13.5" customHeight="1">
      <c r="A783" s="31"/>
      <c r="B783" s="31"/>
      <c r="C783" s="31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1"/>
      <c r="AA783" s="31"/>
      <c r="AB783" s="31"/>
      <c r="AC783" s="31"/>
      <c r="AD783" s="31"/>
      <c r="AE783" s="31"/>
      <c r="AF783" s="31"/>
      <c r="AG783" s="31"/>
      <c r="AH783" s="31"/>
      <c r="AI783" s="31"/>
      <c r="AJ783" s="31"/>
      <c r="AK783" s="31"/>
      <c r="AL783" s="31"/>
      <c r="AM783" s="31"/>
      <c r="AN783" s="31"/>
      <c r="AO783" s="31"/>
      <c r="AP783" s="31"/>
      <c r="AQ783" s="31"/>
      <c r="AR783" s="31"/>
      <c r="AS783" s="31"/>
    </row>
    <row r="784" spans="1:45" ht="13.5" customHeight="1">
      <c r="A784" s="31"/>
      <c r="B784" s="31"/>
      <c r="C784" s="31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1"/>
      <c r="AA784" s="31"/>
      <c r="AB784" s="31"/>
      <c r="AC784" s="31"/>
      <c r="AD784" s="31"/>
      <c r="AE784" s="31"/>
      <c r="AF784" s="31"/>
      <c r="AG784" s="31"/>
      <c r="AH784" s="31"/>
      <c r="AI784" s="31"/>
      <c r="AJ784" s="31"/>
      <c r="AK784" s="31"/>
      <c r="AL784" s="31"/>
      <c r="AM784" s="31"/>
      <c r="AN784" s="31"/>
      <c r="AO784" s="31"/>
      <c r="AP784" s="31"/>
      <c r="AQ784" s="31"/>
      <c r="AR784" s="31"/>
      <c r="AS784" s="31"/>
    </row>
    <row r="785" spans="1:45" ht="13.5" customHeight="1">
      <c r="A785" s="31"/>
      <c r="B785" s="31"/>
      <c r="C785" s="31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1"/>
      <c r="AA785" s="31"/>
      <c r="AB785" s="31"/>
      <c r="AC785" s="31"/>
      <c r="AD785" s="31"/>
      <c r="AE785" s="31"/>
      <c r="AF785" s="31"/>
      <c r="AG785" s="31"/>
      <c r="AH785" s="31"/>
      <c r="AI785" s="31"/>
      <c r="AJ785" s="31"/>
      <c r="AK785" s="31"/>
      <c r="AL785" s="31"/>
      <c r="AM785" s="31"/>
      <c r="AN785" s="31"/>
      <c r="AO785" s="31"/>
      <c r="AP785" s="31"/>
      <c r="AQ785" s="31"/>
      <c r="AR785" s="31"/>
      <c r="AS785" s="31"/>
    </row>
    <row r="786" spans="1:45" ht="13.5" customHeight="1">
      <c r="A786" s="31"/>
      <c r="B786" s="31"/>
      <c r="C786" s="31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1"/>
      <c r="AA786" s="31"/>
      <c r="AB786" s="31"/>
      <c r="AC786" s="31"/>
      <c r="AD786" s="31"/>
      <c r="AE786" s="31"/>
      <c r="AF786" s="31"/>
      <c r="AG786" s="31"/>
      <c r="AH786" s="31"/>
      <c r="AI786" s="31"/>
      <c r="AJ786" s="31"/>
      <c r="AK786" s="31"/>
      <c r="AL786" s="31"/>
      <c r="AM786" s="31"/>
      <c r="AN786" s="31"/>
      <c r="AO786" s="31"/>
      <c r="AP786" s="31"/>
      <c r="AQ786" s="31"/>
      <c r="AR786" s="31"/>
      <c r="AS786" s="31"/>
    </row>
    <row r="787" spans="1:45" ht="13.5" customHeight="1">
      <c r="A787" s="31"/>
      <c r="B787" s="31"/>
      <c r="C787" s="31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1"/>
      <c r="AA787" s="31"/>
      <c r="AB787" s="31"/>
      <c r="AC787" s="31"/>
      <c r="AD787" s="31"/>
      <c r="AE787" s="31"/>
      <c r="AF787" s="31"/>
      <c r="AG787" s="31"/>
      <c r="AH787" s="31"/>
      <c r="AI787" s="31"/>
      <c r="AJ787" s="31"/>
      <c r="AK787" s="31"/>
      <c r="AL787" s="31"/>
      <c r="AM787" s="31"/>
      <c r="AN787" s="31"/>
      <c r="AO787" s="31"/>
      <c r="AP787" s="31"/>
      <c r="AQ787" s="31"/>
      <c r="AR787" s="31"/>
      <c r="AS787" s="31"/>
    </row>
    <row r="788" spans="1:45" ht="13.5" customHeight="1">
      <c r="A788" s="31"/>
      <c r="B788" s="31"/>
      <c r="C788" s="31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1"/>
      <c r="AA788" s="31"/>
      <c r="AB788" s="31"/>
      <c r="AC788" s="31"/>
      <c r="AD788" s="31"/>
      <c r="AE788" s="31"/>
      <c r="AF788" s="31"/>
      <c r="AG788" s="31"/>
      <c r="AH788" s="31"/>
      <c r="AI788" s="31"/>
      <c r="AJ788" s="31"/>
      <c r="AK788" s="31"/>
      <c r="AL788" s="31"/>
      <c r="AM788" s="31"/>
      <c r="AN788" s="31"/>
      <c r="AO788" s="31"/>
      <c r="AP788" s="31"/>
      <c r="AQ788" s="31"/>
      <c r="AR788" s="31"/>
      <c r="AS788" s="31"/>
    </row>
    <row r="789" spans="1:45" ht="13.5" customHeight="1">
      <c r="A789" s="31"/>
      <c r="B789" s="31"/>
      <c r="C789" s="31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1"/>
      <c r="AA789" s="31"/>
      <c r="AB789" s="31"/>
      <c r="AC789" s="31"/>
      <c r="AD789" s="31"/>
      <c r="AE789" s="31"/>
      <c r="AF789" s="31"/>
      <c r="AG789" s="31"/>
      <c r="AH789" s="31"/>
      <c r="AI789" s="31"/>
      <c r="AJ789" s="31"/>
      <c r="AK789" s="31"/>
      <c r="AL789" s="31"/>
      <c r="AM789" s="31"/>
      <c r="AN789" s="31"/>
      <c r="AO789" s="31"/>
      <c r="AP789" s="31"/>
      <c r="AQ789" s="31"/>
      <c r="AR789" s="31"/>
      <c r="AS789" s="31"/>
    </row>
    <row r="790" spans="1:45" ht="13.5" customHeight="1">
      <c r="A790" s="31"/>
      <c r="B790" s="31"/>
      <c r="C790" s="31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1"/>
      <c r="AA790" s="31"/>
      <c r="AB790" s="31"/>
      <c r="AC790" s="31"/>
      <c r="AD790" s="31"/>
      <c r="AE790" s="31"/>
      <c r="AF790" s="31"/>
      <c r="AG790" s="31"/>
      <c r="AH790" s="31"/>
      <c r="AI790" s="31"/>
      <c r="AJ790" s="31"/>
      <c r="AK790" s="31"/>
      <c r="AL790" s="31"/>
      <c r="AM790" s="31"/>
      <c r="AN790" s="31"/>
      <c r="AO790" s="31"/>
      <c r="AP790" s="31"/>
      <c r="AQ790" s="31"/>
      <c r="AR790" s="31"/>
      <c r="AS790" s="31"/>
    </row>
    <row r="791" spans="1:45" ht="13.5" customHeight="1">
      <c r="A791" s="31"/>
      <c r="B791" s="31"/>
      <c r="C791" s="31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1"/>
      <c r="AA791" s="31"/>
      <c r="AB791" s="31"/>
      <c r="AC791" s="31"/>
      <c r="AD791" s="31"/>
      <c r="AE791" s="31"/>
      <c r="AF791" s="31"/>
      <c r="AG791" s="31"/>
      <c r="AH791" s="31"/>
      <c r="AI791" s="31"/>
      <c r="AJ791" s="31"/>
      <c r="AK791" s="31"/>
      <c r="AL791" s="31"/>
      <c r="AM791" s="31"/>
      <c r="AN791" s="31"/>
      <c r="AO791" s="31"/>
      <c r="AP791" s="31"/>
      <c r="AQ791" s="31"/>
      <c r="AR791" s="31"/>
      <c r="AS791" s="31"/>
    </row>
    <row r="792" spans="1:45" ht="13.5" customHeight="1">
      <c r="A792" s="31"/>
      <c r="B792" s="31"/>
      <c r="C792" s="31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1"/>
      <c r="AA792" s="31"/>
      <c r="AB792" s="31"/>
      <c r="AC792" s="31"/>
      <c r="AD792" s="31"/>
      <c r="AE792" s="31"/>
      <c r="AF792" s="31"/>
      <c r="AG792" s="31"/>
      <c r="AH792" s="31"/>
      <c r="AI792" s="31"/>
      <c r="AJ792" s="31"/>
      <c r="AK792" s="31"/>
      <c r="AL792" s="31"/>
      <c r="AM792" s="31"/>
      <c r="AN792" s="31"/>
      <c r="AO792" s="31"/>
      <c r="AP792" s="31"/>
      <c r="AQ792" s="31"/>
      <c r="AR792" s="31"/>
      <c r="AS792" s="31"/>
    </row>
    <row r="793" spans="1:45" ht="13.5" customHeight="1">
      <c r="A793" s="31"/>
      <c r="B793" s="31"/>
      <c r="C793" s="31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1"/>
      <c r="AA793" s="31"/>
      <c r="AB793" s="31"/>
      <c r="AC793" s="31"/>
      <c r="AD793" s="31"/>
      <c r="AE793" s="31"/>
      <c r="AF793" s="31"/>
      <c r="AG793" s="31"/>
      <c r="AH793" s="31"/>
      <c r="AI793" s="31"/>
      <c r="AJ793" s="31"/>
      <c r="AK793" s="31"/>
      <c r="AL793" s="31"/>
      <c r="AM793" s="31"/>
      <c r="AN793" s="31"/>
      <c r="AO793" s="31"/>
      <c r="AP793" s="31"/>
      <c r="AQ793" s="31"/>
      <c r="AR793" s="31"/>
      <c r="AS793" s="31"/>
    </row>
    <row r="794" spans="1:45" ht="13.5" customHeight="1">
      <c r="A794" s="31"/>
      <c r="B794" s="31"/>
      <c r="C794" s="31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1"/>
      <c r="AA794" s="31"/>
      <c r="AB794" s="31"/>
      <c r="AC794" s="31"/>
      <c r="AD794" s="31"/>
      <c r="AE794" s="31"/>
      <c r="AF794" s="31"/>
      <c r="AG794" s="31"/>
      <c r="AH794" s="31"/>
      <c r="AI794" s="31"/>
      <c r="AJ794" s="31"/>
      <c r="AK794" s="31"/>
      <c r="AL794" s="31"/>
      <c r="AM794" s="31"/>
      <c r="AN794" s="31"/>
      <c r="AO794" s="31"/>
      <c r="AP794" s="31"/>
      <c r="AQ794" s="31"/>
      <c r="AR794" s="31"/>
      <c r="AS794" s="31"/>
    </row>
    <row r="795" spans="1:45" ht="13.5" customHeight="1">
      <c r="A795" s="31"/>
      <c r="B795" s="31"/>
      <c r="C795" s="31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1"/>
      <c r="AA795" s="31"/>
      <c r="AB795" s="31"/>
      <c r="AC795" s="31"/>
      <c r="AD795" s="31"/>
      <c r="AE795" s="31"/>
      <c r="AF795" s="31"/>
      <c r="AG795" s="31"/>
      <c r="AH795" s="31"/>
      <c r="AI795" s="31"/>
      <c r="AJ795" s="31"/>
      <c r="AK795" s="31"/>
      <c r="AL795" s="31"/>
      <c r="AM795" s="31"/>
      <c r="AN795" s="31"/>
      <c r="AO795" s="31"/>
      <c r="AP795" s="31"/>
      <c r="AQ795" s="31"/>
      <c r="AR795" s="31"/>
      <c r="AS795" s="31"/>
    </row>
    <row r="796" spans="1:45" ht="13.5" customHeight="1">
      <c r="A796" s="31"/>
      <c r="B796" s="31"/>
      <c r="C796" s="31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1"/>
      <c r="AA796" s="31"/>
      <c r="AB796" s="31"/>
      <c r="AC796" s="31"/>
      <c r="AD796" s="31"/>
      <c r="AE796" s="31"/>
      <c r="AF796" s="31"/>
      <c r="AG796" s="31"/>
      <c r="AH796" s="31"/>
      <c r="AI796" s="31"/>
      <c r="AJ796" s="31"/>
      <c r="AK796" s="31"/>
      <c r="AL796" s="31"/>
      <c r="AM796" s="31"/>
      <c r="AN796" s="31"/>
      <c r="AO796" s="31"/>
      <c r="AP796" s="31"/>
      <c r="AQ796" s="31"/>
      <c r="AR796" s="31"/>
      <c r="AS796" s="31"/>
    </row>
    <row r="797" spans="1:45" ht="13.5" customHeight="1">
      <c r="A797" s="31"/>
      <c r="B797" s="31"/>
      <c r="C797" s="31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1"/>
      <c r="AA797" s="31"/>
      <c r="AB797" s="31"/>
      <c r="AC797" s="31"/>
      <c r="AD797" s="31"/>
      <c r="AE797" s="31"/>
      <c r="AF797" s="31"/>
      <c r="AG797" s="31"/>
      <c r="AH797" s="31"/>
      <c r="AI797" s="31"/>
      <c r="AJ797" s="31"/>
      <c r="AK797" s="31"/>
      <c r="AL797" s="31"/>
      <c r="AM797" s="31"/>
      <c r="AN797" s="31"/>
      <c r="AO797" s="31"/>
      <c r="AP797" s="31"/>
      <c r="AQ797" s="31"/>
      <c r="AR797" s="31"/>
      <c r="AS797" s="31"/>
    </row>
    <row r="798" spans="1:45" ht="13.5" customHeight="1">
      <c r="A798" s="31"/>
      <c r="B798" s="31"/>
      <c r="C798" s="31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1"/>
      <c r="AA798" s="31"/>
      <c r="AB798" s="31"/>
      <c r="AC798" s="31"/>
      <c r="AD798" s="31"/>
      <c r="AE798" s="31"/>
      <c r="AF798" s="31"/>
      <c r="AG798" s="31"/>
      <c r="AH798" s="31"/>
      <c r="AI798" s="31"/>
      <c r="AJ798" s="31"/>
      <c r="AK798" s="31"/>
      <c r="AL798" s="31"/>
      <c r="AM798" s="31"/>
      <c r="AN798" s="31"/>
      <c r="AO798" s="31"/>
      <c r="AP798" s="31"/>
      <c r="AQ798" s="31"/>
      <c r="AR798" s="31"/>
      <c r="AS798" s="31"/>
    </row>
    <row r="799" spans="1:45" ht="13.5" customHeight="1">
      <c r="A799" s="31"/>
      <c r="B799" s="31"/>
      <c r="C799" s="31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1"/>
      <c r="AA799" s="31"/>
      <c r="AB799" s="31"/>
      <c r="AC799" s="31"/>
      <c r="AD799" s="31"/>
      <c r="AE799" s="31"/>
      <c r="AF799" s="31"/>
      <c r="AG799" s="31"/>
      <c r="AH799" s="31"/>
      <c r="AI799" s="31"/>
      <c r="AJ799" s="31"/>
      <c r="AK799" s="31"/>
      <c r="AL799" s="31"/>
      <c r="AM799" s="31"/>
      <c r="AN799" s="31"/>
      <c r="AO799" s="31"/>
      <c r="AP799" s="31"/>
      <c r="AQ799" s="31"/>
      <c r="AR799" s="31"/>
      <c r="AS799" s="31"/>
    </row>
    <row r="800" spans="1:45" ht="13.5" customHeight="1">
      <c r="A800" s="31"/>
      <c r="B800" s="31"/>
      <c r="C800" s="31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1"/>
      <c r="AA800" s="31"/>
      <c r="AB800" s="31"/>
      <c r="AC800" s="31"/>
      <c r="AD800" s="31"/>
      <c r="AE800" s="31"/>
      <c r="AF800" s="31"/>
      <c r="AG800" s="31"/>
      <c r="AH800" s="31"/>
      <c r="AI800" s="31"/>
      <c r="AJ800" s="31"/>
      <c r="AK800" s="31"/>
      <c r="AL800" s="31"/>
      <c r="AM800" s="31"/>
      <c r="AN800" s="31"/>
      <c r="AO800" s="31"/>
      <c r="AP800" s="31"/>
      <c r="AQ800" s="31"/>
      <c r="AR800" s="31"/>
      <c r="AS800" s="31"/>
    </row>
    <row r="801" spans="1:45" ht="13.5" customHeight="1">
      <c r="A801" s="31"/>
      <c r="B801" s="31"/>
      <c r="C801" s="31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1"/>
      <c r="AA801" s="31"/>
      <c r="AB801" s="31"/>
      <c r="AC801" s="31"/>
      <c r="AD801" s="31"/>
      <c r="AE801" s="31"/>
      <c r="AF801" s="31"/>
      <c r="AG801" s="31"/>
      <c r="AH801" s="31"/>
      <c r="AI801" s="31"/>
      <c r="AJ801" s="31"/>
      <c r="AK801" s="31"/>
      <c r="AL801" s="31"/>
      <c r="AM801" s="31"/>
      <c r="AN801" s="31"/>
      <c r="AO801" s="31"/>
      <c r="AP801" s="31"/>
      <c r="AQ801" s="31"/>
      <c r="AR801" s="31"/>
      <c r="AS801" s="31"/>
    </row>
    <row r="802" spans="1:45" ht="13.5" customHeight="1">
      <c r="A802" s="31"/>
      <c r="B802" s="31"/>
      <c r="C802" s="31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1"/>
      <c r="AA802" s="31"/>
      <c r="AB802" s="31"/>
      <c r="AC802" s="31"/>
      <c r="AD802" s="31"/>
      <c r="AE802" s="31"/>
      <c r="AF802" s="31"/>
      <c r="AG802" s="31"/>
      <c r="AH802" s="31"/>
      <c r="AI802" s="31"/>
      <c r="AJ802" s="31"/>
      <c r="AK802" s="31"/>
      <c r="AL802" s="31"/>
      <c r="AM802" s="31"/>
      <c r="AN802" s="31"/>
      <c r="AO802" s="31"/>
      <c r="AP802" s="31"/>
      <c r="AQ802" s="31"/>
      <c r="AR802" s="31"/>
      <c r="AS802" s="31"/>
    </row>
    <row r="803" spans="1:45" ht="13.5" customHeight="1">
      <c r="A803" s="31"/>
      <c r="B803" s="31"/>
      <c r="C803" s="31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1"/>
      <c r="AA803" s="31"/>
      <c r="AB803" s="31"/>
      <c r="AC803" s="31"/>
      <c r="AD803" s="31"/>
      <c r="AE803" s="31"/>
      <c r="AF803" s="31"/>
      <c r="AG803" s="31"/>
      <c r="AH803" s="31"/>
      <c r="AI803" s="31"/>
      <c r="AJ803" s="31"/>
      <c r="AK803" s="31"/>
      <c r="AL803" s="31"/>
      <c r="AM803" s="31"/>
      <c r="AN803" s="31"/>
      <c r="AO803" s="31"/>
      <c r="AP803" s="31"/>
      <c r="AQ803" s="31"/>
      <c r="AR803" s="31"/>
      <c r="AS803" s="31"/>
    </row>
    <row r="804" spans="1:45" ht="13.5" customHeight="1">
      <c r="A804" s="31"/>
      <c r="B804" s="31"/>
      <c r="C804" s="31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1"/>
      <c r="AA804" s="31"/>
      <c r="AB804" s="31"/>
      <c r="AC804" s="31"/>
      <c r="AD804" s="31"/>
      <c r="AE804" s="31"/>
      <c r="AF804" s="31"/>
      <c r="AG804" s="31"/>
      <c r="AH804" s="31"/>
      <c r="AI804" s="31"/>
      <c r="AJ804" s="31"/>
      <c r="AK804" s="31"/>
      <c r="AL804" s="31"/>
      <c r="AM804" s="31"/>
      <c r="AN804" s="31"/>
      <c r="AO804" s="31"/>
      <c r="AP804" s="31"/>
      <c r="AQ804" s="31"/>
      <c r="AR804" s="31"/>
      <c r="AS804" s="31"/>
    </row>
    <row r="805" spans="1:45" ht="13.5" customHeight="1">
      <c r="A805" s="31"/>
      <c r="B805" s="31"/>
      <c r="C805" s="31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1"/>
      <c r="AA805" s="31"/>
      <c r="AB805" s="31"/>
      <c r="AC805" s="31"/>
      <c r="AD805" s="31"/>
      <c r="AE805" s="31"/>
      <c r="AF805" s="31"/>
      <c r="AG805" s="31"/>
      <c r="AH805" s="31"/>
      <c r="AI805" s="31"/>
      <c r="AJ805" s="31"/>
      <c r="AK805" s="31"/>
      <c r="AL805" s="31"/>
      <c r="AM805" s="31"/>
      <c r="AN805" s="31"/>
      <c r="AO805" s="31"/>
      <c r="AP805" s="31"/>
      <c r="AQ805" s="31"/>
      <c r="AR805" s="31"/>
      <c r="AS805" s="31"/>
    </row>
    <row r="806" spans="1:45" ht="13.5" customHeight="1">
      <c r="A806" s="31"/>
      <c r="B806" s="31"/>
      <c r="C806" s="31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1"/>
      <c r="AA806" s="31"/>
      <c r="AB806" s="31"/>
      <c r="AC806" s="31"/>
      <c r="AD806" s="31"/>
      <c r="AE806" s="31"/>
      <c r="AF806" s="31"/>
      <c r="AG806" s="31"/>
      <c r="AH806" s="31"/>
      <c r="AI806" s="31"/>
      <c r="AJ806" s="31"/>
      <c r="AK806" s="31"/>
      <c r="AL806" s="31"/>
      <c r="AM806" s="31"/>
      <c r="AN806" s="31"/>
      <c r="AO806" s="31"/>
      <c r="AP806" s="31"/>
      <c r="AQ806" s="31"/>
      <c r="AR806" s="31"/>
      <c r="AS806" s="31"/>
    </row>
    <row r="807" spans="1:45" ht="13.5" customHeight="1">
      <c r="A807" s="31"/>
      <c r="B807" s="31"/>
      <c r="C807" s="31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1"/>
      <c r="AA807" s="31"/>
      <c r="AB807" s="31"/>
      <c r="AC807" s="31"/>
      <c r="AD807" s="31"/>
      <c r="AE807" s="31"/>
      <c r="AF807" s="31"/>
      <c r="AG807" s="31"/>
      <c r="AH807" s="31"/>
      <c r="AI807" s="31"/>
      <c r="AJ807" s="31"/>
      <c r="AK807" s="31"/>
      <c r="AL807" s="31"/>
      <c r="AM807" s="31"/>
      <c r="AN807" s="31"/>
      <c r="AO807" s="31"/>
      <c r="AP807" s="31"/>
      <c r="AQ807" s="31"/>
      <c r="AR807" s="31"/>
      <c r="AS807" s="31"/>
    </row>
    <row r="808" spans="1:45" ht="13.5" customHeight="1">
      <c r="A808" s="31"/>
      <c r="B808" s="31"/>
      <c r="C808" s="31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1"/>
      <c r="AA808" s="31"/>
      <c r="AB808" s="31"/>
      <c r="AC808" s="31"/>
      <c r="AD808" s="31"/>
      <c r="AE808" s="31"/>
      <c r="AF808" s="31"/>
      <c r="AG808" s="31"/>
      <c r="AH808" s="31"/>
      <c r="AI808" s="31"/>
      <c r="AJ808" s="31"/>
      <c r="AK808" s="31"/>
      <c r="AL808" s="31"/>
      <c r="AM808" s="31"/>
      <c r="AN808" s="31"/>
      <c r="AO808" s="31"/>
      <c r="AP808" s="31"/>
      <c r="AQ808" s="31"/>
      <c r="AR808" s="31"/>
      <c r="AS808" s="31"/>
    </row>
    <row r="809" spans="1:45" ht="13.5" customHeight="1">
      <c r="A809" s="31"/>
      <c r="B809" s="31"/>
      <c r="C809" s="31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1"/>
      <c r="AA809" s="31"/>
      <c r="AB809" s="31"/>
      <c r="AC809" s="31"/>
      <c r="AD809" s="31"/>
      <c r="AE809" s="31"/>
      <c r="AF809" s="31"/>
      <c r="AG809" s="31"/>
      <c r="AH809" s="31"/>
      <c r="AI809" s="31"/>
      <c r="AJ809" s="31"/>
      <c r="AK809" s="31"/>
      <c r="AL809" s="31"/>
      <c r="AM809" s="31"/>
      <c r="AN809" s="31"/>
      <c r="AO809" s="31"/>
      <c r="AP809" s="31"/>
      <c r="AQ809" s="31"/>
      <c r="AR809" s="31"/>
      <c r="AS809" s="31"/>
    </row>
    <row r="810" spans="1:45" ht="13.5" customHeight="1">
      <c r="A810" s="31"/>
      <c r="B810" s="31"/>
      <c r="C810" s="31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1"/>
      <c r="AA810" s="31"/>
      <c r="AB810" s="31"/>
      <c r="AC810" s="31"/>
      <c r="AD810" s="31"/>
      <c r="AE810" s="31"/>
      <c r="AF810" s="31"/>
      <c r="AG810" s="31"/>
      <c r="AH810" s="31"/>
      <c r="AI810" s="31"/>
      <c r="AJ810" s="31"/>
      <c r="AK810" s="31"/>
      <c r="AL810" s="31"/>
      <c r="AM810" s="31"/>
      <c r="AN810" s="31"/>
      <c r="AO810" s="31"/>
      <c r="AP810" s="31"/>
      <c r="AQ810" s="31"/>
      <c r="AR810" s="31"/>
      <c r="AS810" s="31"/>
    </row>
    <row r="811" spans="1:45" ht="13.5" customHeight="1">
      <c r="A811" s="31"/>
      <c r="B811" s="31"/>
      <c r="C811" s="31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1"/>
      <c r="AA811" s="31"/>
      <c r="AB811" s="31"/>
      <c r="AC811" s="31"/>
      <c r="AD811" s="31"/>
      <c r="AE811" s="31"/>
      <c r="AF811" s="31"/>
      <c r="AG811" s="31"/>
      <c r="AH811" s="31"/>
      <c r="AI811" s="31"/>
      <c r="AJ811" s="31"/>
      <c r="AK811" s="31"/>
      <c r="AL811" s="31"/>
      <c r="AM811" s="31"/>
      <c r="AN811" s="31"/>
      <c r="AO811" s="31"/>
      <c r="AP811" s="31"/>
      <c r="AQ811" s="31"/>
      <c r="AR811" s="31"/>
      <c r="AS811" s="31"/>
    </row>
    <row r="812" spans="1:45" ht="13.5" customHeight="1">
      <c r="A812" s="31"/>
      <c r="B812" s="31"/>
      <c r="C812" s="31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1"/>
      <c r="AA812" s="31"/>
      <c r="AB812" s="31"/>
      <c r="AC812" s="31"/>
      <c r="AD812" s="31"/>
      <c r="AE812" s="31"/>
      <c r="AF812" s="31"/>
      <c r="AG812" s="31"/>
      <c r="AH812" s="31"/>
      <c r="AI812" s="31"/>
      <c r="AJ812" s="31"/>
      <c r="AK812" s="31"/>
      <c r="AL812" s="31"/>
      <c r="AM812" s="31"/>
      <c r="AN812" s="31"/>
      <c r="AO812" s="31"/>
      <c r="AP812" s="31"/>
      <c r="AQ812" s="31"/>
      <c r="AR812" s="31"/>
      <c r="AS812" s="31"/>
    </row>
    <row r="813" spans="1:45" ht="13.5" customHeight="1">
      <c r="A813" s="31"/>
      <c r="B813" s="31"/>
      <c r="C813" s="31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1"/>
      <c r="AA813" s="31"/>
      <c r="AB813" s="31"/>
      <c r="AC813" s="31"/>
      <c r="AD813" s="31"/>
      <c r="AE813" s="31"/>
      <c r="AF813" s="31"/>
      <c r="AG813" s="31"/>
      <c r="AH813" s="31"/>
      <c r="AI813" s="31"/>
      <c r="AJ813" s="31"/>
      <c r="AK813" s="31"/>
      <c r="AL813" s="31"/>
      <c r="AM813" s="31"/>
      <c r="AN813" s="31"/>
      <c r="AO813" s="31"/>
      <c r="AP813" s="31"/>
      <c r="AQ813" s="31"/>
      <c r="AR813" s="31"/>
      <c r="AS813" s="31"/>
    </row>
    <row r="814" spans="1:45" ht="13.5" customHeight="1">
      <c r="A814" s="31"/>
      <c r="B814" s="31"/>
      <c r="C814" s="31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1"/>
      <c r="AA814" s="31"/>
      <c r="AB814" s="31"/>
      <c r="AC814" s="31"/>
      <c r="AD814" s="31"/>
      <c r="AE814" s="31"/>
      <c r="AF814" s="31"/>
      <c r="AG814" s="31"/>
      <c r="AH814" s="31"/>
      <c r="AI814" s="31"/>
      <c r="AJ814" s="31"/>
      <c r="AK814" s="31"/>
      <c r="AL814" s="31"/>
      <c r="AM814" s="31"/>
      <c r="AN814" s="31"/>
      <c r="AO814" s="31"/>
      <c r="AP814" s="31"/>
      <c r="AQ814" s="31"/>
      <c r="AR814" s="31"/>
      <c r="AS814" s="31"/>
    </row>
    <row r="815" spans="1:45" ht="13.5" customHeight="1">
      <c r="A815" s="31"/>
      <c r="B815" s="31"/>
      <c r="C815" s="31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1"/>
      <c r="AA815" s="31"/>
      <c r="AB815" s="31"/>
      <c r="AC815" s="31"/>
      <c r="AD815" s="31"/>
      <c r="AE815" s="31"/>
      <c r="AF815" s="31"/>
      <c r="AG815" s="31"/>
      <c r="AH815" s="31"/>
      <c r="AI815" s="31"/>
      <c r="AJ815" s="31"/>
      <c r="AK815" s="31"/>
      <c r="AL815" s="31"/>
      <c r="AM815" s="31"/>
      <c r="AN815" s="31"/>
      <c r="AO815" s="31"/>
      <c r="AP815" s="31"/>
      <c r="AQ815" s="31"/>
      <c r="AR815" s="31"/>
      <c r="AS815" s="31"/>
    </row>
    <row r="816" spans="1:45" ht="13.5" customHeight="1">
      <c r="A816" s="31"/>
      <c r="B816" s="31"/>
      <c r="C816" s="31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1"/>
      <c r="AA816" s="31"/>
      <c r="AB816" s="31"/>
      <c r="AC816" s="31"/>
      <c r="AD816" s="31"/>
      <c r="AE816" s="31"/>
      <c r="AF816" s="31"/>
      <c r="AG816" s="31"/>
      <c r="AH816" s="31"/>
      <c r="AI816" s="31"/>
      <c r="AJ816" s="31"/>
      <c r="AK816" s="31"/>
      <c r="AL816" s="31"/>
      <c r="AM816" s="31"/>
      <c r="AN816" s="31"/>
      <c r="AO816" s="31"/>
      <c r="AP816" s="31"/>
      <c r="AQ816" s="31"/>
      <c r="AR816" s="31"/>
      <c r="AS816" s="31"/>
    </row>
    <row r="817" spans="1:45" ht="13.5" customHeight="1">
      <c r="A817" s="31"/>
      <c r="B817" s="31"/>
      <c r="C817" s="31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1"/>
      <c r="AA817" s="31"/>
      <c r="AB817" s="31"/>
      <c r="AC817" s="31"/>
      <c r="AD817" s="31"/>
      <c r="AE817" s="31"/>
      <c r="AF817" s="31"/>
      <c r="AG817" s="31"/>
      <c r="AH817" s="31"/>
      <c r="AI817" s="31"/>
      <c r="AJ817" s="31"/>
      <c r="AK817" s="31"/>
      <c r="AL817" s="31"/>
      <c r="AM817" s="31"/>
      <c r="AN817" s="31"/>
      <c r="AO817" s="31"/>
      <c r="AP817" s="31"/>
      <c r="AQ817" s="31"/>
      <c r="AR817" s="31"/>
      <c r="AS817" s="31"/>
    </row>
    <row r="818" spans="1:45" ht="13.5" customHeight="1">
      <c r="A818" s="31"/>
      <c r="B818" s="31"/>
      <c r="C818" s="31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1"/>
      <c r="AA818" s="31"/>
      <c r="AB818" s="31"/>
      <c r="AC818" s="31"/>
      <c r="AD818" s="31"/>
      <c r="AE818" s="31"/>
      <c r="AF818" s="31"/>
      <c r="AG818" s="31"/>
      <c r="AH818" s="31"/>
      <c r="AI818" s="31"/>
      <c r="AJ818" s="31"/>
      <c r="AK818" s="31"/>
      <c r="AL818" s="31"/>
      <c r="AM818" s="31"/>
      <c r="AN818" s="31"/>
      <c r="AO818" s="31"/>
      <c r="AP818" s="31"/>
      <c r="AQ818" s="31"/>
      <c r="AR818" s="31"/>
      <c r="AS818" s="31"/>
    </row>
    <row r="819" spans="1:45" ht="13.5" customHeight="1">
      <c r="A819" s="31"/>
      <c r="B819" s="31"/>
      <c r="C819" s="31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1"/>
      <c r="AA819" s="31"/>
      <c r="AB819" s="31"/>
      <c r="AC819" s="31"/>
      <c r="AD819" s="31"/>
      <c r="AE819" s="31"/>
      <c r="AF819" s="31"/>
      <c r="AG819" s="31"/>
      <c r="AH819" s="31"/>
      <c r="AI819" s="31"/>
      <c r="AJ819" s="31"/>
      <c r="AK819" s="31"/>
      <c r="AL819" s="31"/>
      <c r="AM819" s="31"/>
      <c r="AN819" s="31"/>
      <c r="AO819" s="31"/>
      <c r="AP819" s="31"/>
      <c r="AQ819" s="31"/>
      <c r="AR819" s="31"/>
      <c r="AS819" s="31"/>
    </row>
    <row r="820" spans="1:45" ht="13.5" customHeight="1">
      <c r="A820" s="31"/>
      <c r="B820" s="31"/>
      <c r="C820" s="31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1"/>
      <c r="AA820" s="31"/>
      <c r="AB820" s="31"/>
      <c r="AC820" s="31"/>
      <c r="AD820" s="31"/>
      <c r="AE820" s="31"/>
      <c r="AF820" s="31"/>
      <c r="AG820" s="31"/>
      <c r="AH820" s="31"/>
      <c r="AI820" s="31"/>
      <c r="AJ820" s="31"/>
      <c r="AK820" s="31"/>
      <c r="AL820" s="31"/>
      <c r="AM820" s="31"/>
      <c r="AN820" s="31"/>
      <c r="AO820" s="31"/>
      <c r="AP820" s="31"/>
      <c r="AQ820" s="31"/>
      <c r="AR820" s="31"/>
      <c r="AS820" s="31"/>
    </row>
    <row r="821" spans="1:45" ht="13.5" customHeight="1">
      <c r="A821" s="31"/>
      <c r="B821" s="31"/>
      <c r="C821" s="31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1"/>
      <c r="AA821" s="31"/>
      <c r="AB821" s="31"/>
      <c r="AC821" s="31"/>
      <c r="AD821" s="31"/>
      <c r="AE821" s="31"/>
      <c r="AF821" s="31"/>
      <c r="AG821" s="31"/>
      <c r="AH821" s="31"/>
      <c r="AI821" s="31"/>
      <c r="AJ821" s="31"/>
      <c r="AK821" s="31"/>
      <c r="AL821" s="31"/>
      <c r="AM821" s="31"/>
      <c r="AN821" s="31"/>
      <c r="AO821" s="31"/>
      <c r="AP821" s="31"/>
      <c r="AQ821" s="31"/>
      <c r="AR821" s="31"/>
      <c r="AS821" s="31"/>
    </row>
    <row r="822" spans="1:45" ht="13.5" customHeight="1">
      <c r="A822" s="31"/>
      <c r="B822" s="31"/>
      <c r="C822" s="31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1"/>
      <c r="AA822" s="31"/>
      <c r="AB822" s="31"/>
      <c r="AC822" s="31"/>
      <c r="AD822" s="31"/>
      <c r="AE822" s="31"/>
      <c r="AF822" s="31"/>
      <c r="AG822" s="31"/>
      <c r="AH822" s="31"/>
      <c r="AI822" s="31"/>
      <c r="AJ822" s="31"/>
      <c r="AK822" s="31"/>
      <c r="AL822" s="31"/>
      <c r="AM822" s="31"/>
      <c r="AN822" s="31"/>
      <c r="AO822" s="31"/>
      <c r="AP822" s="31"/>
      <c r="AQ822" s="31"/>
      <c r="AR822" s="31"/>
      <c r="AS822" s="31"/>
    </row>
    <row r="823" spans="1:45" ht="13.5" customHeight="1">
      <c r="A823" s="31"/>
      <c r="B823" s="31"/>
      <c r="C823" s="31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1"/>
      <c r="AA823" s="31"/>
      <c r="AB823" s="31"/>
      <c r="AC823" s="31"/>
      <c r="AD823" s="31"/>
      <c r="AE823" s="31"/>
      <c r="AF823" s="31"/>
      <c r="AG823" s="31"/>
      <c r="AH823" s="31"/>
      <c r="AI823" s="31"/>
      <c r="AJ823" s="31"/>
      <c r="AK823" s="31"/>
      <c r="AL823" s="31"/>
      <c r="AM823" s="31"/>
      <c r="AN823" s="31"/>
      <c r="AO823" s="31"/>
      <c r="AP823" s="31"/>
      <c r="AQ823" s="31"/>
      <c r="AR823" s="31"/>
      <c r="AS823" s="31"/>
    </row>
    <row r="824" spans="1:45" ht="13.5" customHeight="1">
      <c r="A824" s="31"/>
      <c r="B824" s="31"/>
      <c r="C824" s="31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1"/>
      <c r="AA824" s="31"/>
      <c r="AB824" s="31"/>
      <c r="AC824" s="31"/>
      <c r="AD824" s="31"/>
      <c r="AE824" s="31"/>
      <c r="AF824" s="31"/>
      <c r="AG824" s="31"/>
      <c r="AH824" s="31"/>
      <c r="AI824" s="31"/>
      <c r="AJ824" s="31"/>
      <c r="AK824" s="31"/>
      <c r="AL824" s="31"/>
      <c r="AM824" s="31"/>
      <c r="AN824" s="31"/>
      <c r="AO824" s="31"/>
      <c r="AP824" s="31"/>
      <c r="AQ824" s="31"/>
      <c r="AR824" s="31"/>
      <c r="AS824" s="31"/>
    </row>
    <row r="825" spans="1:45" ht="13.5" customHeight="1">
      <c r="A825" s="31"/>
      <c r="B825" s="31"/>
      <c r="C825" s="31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1"/>
      <c r="AA825" s="31"/>
      <c r="AB825" s="31"/>
      <c r="AC825" s="31"/>
      <c r="AD825" s="31"/>
      <c r="AE825" s="31"/>
      <c r="AF825" s="31"/>
      <c r="AG825" s="31"/>
      <c r="AH825" s="31"/>
      <c r="AI825" s="31"/>
      <c r="AJ825" s="31"/>
      <c r="AK825" s="31"/>
      <c r="AL825" s="31"/>
      <c r="AM825" s="31"/>
      <c r="AN825" s="31"/>
      <c r="AO825" s="31"/>
      <c r="AP825" s="31"/>
      <c r="AQ825" s="31"/>
      <c r="AR825" s="31"/>
      <c r="AS825" s="31"/>
    </row>
    <row r="826" spans="1:45" ht="13.5" customHeight="1">
      <c r="A826" s="31"/>
      <c r="B826" s="31"/>
      <c r="C826" s="31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1"/>
      <c r="AA826" s="31"/>
      <c r="AB826" s="31"/>
      <c r="AC826" s="31"/>
      <c r="AD826" s="31"/>
      <c r="AE826" s="31"/>
      <c r="AF826" s="31"/>
      <c r="AG826" s="31"/>
      <c r="AH826" s="31"/>
      <c r="AI826" s="31"/>
      <c r="AJ826" s="31"/>
      <c r="AK826" s="31"/>
      <c r="AL826" s="31"/>
      <c r="AM826" s="31"/>
      <c r="AN826" s="31"/>
      <c r="AO826" s="31"/>
      <c r="AP826" s="31"/>
      <c r="AQ826" s="31"/>
      <c r="AR826" s="31"/>
      <c r="AS826" s="31"/>
    </row>
    <row r="827" spans="1:45" ht="13.5" customHeight="1">
      <c r="A827" s="31"/>
      <c r="B827" s="31"/>
      <c r="C827" s="31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1"/>
      <c r="AA827" s="31"/>
      <c r="AB827" s="31"/>
      <c r="AC827" s="31"/>
      <c r="AD827" s="31"/>
      <c r="AE827" s="31"/>
      <c r="AF827" s="31"/>
      <c r="AG827" s="31"/>
      <c r="AH827" s="31"/>
      <c r="AI827" s="31"/>
      <c r="AJ827" s="31"/>
      <c r="AK827" s="31"/>
      <c r="AL827" s="31"/>
      <c r="AM827" s="31"/>
      <c r="AN827" s="31"/>
      <c r="AO827" s="31"/>
      <c r="AP827" s="31"/>
      <c r="AQ827" s="31"/>
      <c r="AR827" s="31"/>
      <c r="AS827" s="31"/>
    </row>
    <row r="828" spans="1:45" ht="13.5" customHeight="1">
      <c r="A828" s="31"/>
      <c r="B828" s="31"/>
      <c r="C828" s="31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1"/>
      <c r="AA828" s="31"/>
      <c r="AB828" s="31"/>
      <c r="AC828" s="31"/>
      <c r="AD828" s="31"/>
      <c r="AE828" s="31"/>
      <c r="AF828" s="31"/>
      <c r="AG828" s="31"/>
      <c r="AH828" s="31"/>
      <c r="AI828" s="31"/>
      <c r="AJ828" s="31"/>
      <c r="AK828" s="31"/>
      <c r="AL828" s="31"/>
      <c r="AM828" s="31"/>
      <c r="AN828" s="31"/>
      <c r="AO828" s="31"/>
      <c r="AP828" s="31"/>
      <c r="AQ828" s="31"/>
      <c r="AR828" s="31"/>
      <c r="AS828" s="31"/>
    </row>
    <row r="829" spans="1:45" ht="13.5" customHeight="1">
      <c r="A829" s="31"/>
      <c r="B829" s="31"/>
      <c r="C829" s="31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1"/>
      <c r="AA829" s="31"/>
      <c r="AB829" s="31"/>
      <c r="AC829" s="31"/>
      <c r="AD829" s="31"/>
      <c r="AE829" s="31"/>
      <c r="AF829" s="31"/>
      <c r="AG829" s="31"/>
      <c r="AH829" s="31"/>
      <c r="AI829" s="31"/>
      <c r="AJ829" s="31"/>
      <c r="AK829" s="31"/>
      <c r="AL829" s="31"/>
      <c r="AM829" s="31"/>
      <c r="AN829" s="31"/>
      <c r="AO829" s="31"/>
      <c r="AP829" s="31"/>
      <c r="AQ829" s="31"/>
      <c r="AR829" s="31"/>
      <c r="AS829" s="31"/>
    </row>
    <row r="830" spans="1:45" ht="13.5" customHeight="1">
      <c r="A830" s="31"/>
      <c r="B830" s="31"/>
      <c r="C830" s="31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1"/>
      <c r="AA830" s="31"/>
      <c r="AB830" s="31"/>
      <c r="AC830" s="31"/>
      <c r="AD830" s="31"/>
      <c r="AE830" s="31"/>
      <c r="AF830" s="31"/>
      <c r="AG830" s="31"/>
      <c r="AH830" s="31"/>
      <c r="AI830" s="31"/>
      <c r="AJ830" s="31"/>
      <c r="AK830" s="31"/>
      <c r="AL830" s="31"/>
      <c r="AM830" s="31"/>
      <c r="AN830" s="31"/>
      <c r="AO830" s="31"/>
      <c r="AP830" s="31"/>
      <c r="AQ830" s="31"/>
      <c r="AR830" s="31"/>
      <c r="AS830" s="31"/>
    </row>
    <row r="831" spans="1:45" ht="13.5" customHeight="1">
      <c r="A831" s="31"/>
      <c r="B831" s="31"/>
      <c r="C831" s="31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1"/>
      <c r="AA831" s="31"/>
      <c r="AB831" s="31"/>
      <c r="AC831" s="31"/>
      <c r="AD831" s="31"/>
      <c r="AE831" s="31"/>
      <c r="AF831" s="31"/>
      <c r="AG831" s="31"/>
      <c r="AH831" s="31"/>
      <c r="AI831" s="31"/>
      <c r="AJ831" s="31"/>
      <c r="AK831" s="31"/>
      <c r="AL831" s="31"/>
      <c r="AM831" s="31"/>
      <c r="AN831" s="31"/>
      <c r="AO831" s="31"/>
      <c r="AP831" s="31"/>
      <c r="AQ831" s="31"/>
      <c r="AR831" s="31"/>
      <c r="AS831" s="31"/>
    </row>
    <row r="832" spans="1:45" ht="13.5" customHeight="1">
      <c r="A832" s="31"/>
      <c r="B832" s="31"/>
      <c r="C832" s="31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1"/>
      <c r="AA832" s="31"/>
      <c r="AB832" s="31"/>
      <c r="AC832" s="31"/>
      <c r="AD832" s="31"/>
      <c r="AE832" s="31"/>
      <c r="AF832" s="31"/>
      <c r="AG832" s="31"/>
      <c r="AH832" s="31"/>
      <c r="AI832" s="31"/>
      <c r="AJ832" s="31"/>
      <c r="AK832" s="31"/>
      <c r="AL832" s="31"/>
      <c r="AM832" s="31"/>
      <c r="AN832" s="31"/>
      <c r="AO832" s="31"/>
      <c r="AP832" s="31"/>
      <c r="AQ832" s="31"/>
      <c r="AR832" s="31"/>
      <c r="AS832" s="31"/>
    </row>
    <row r="833" spans="1:45" ht="13.5" customHeight="1">
      <c r="A833" s="31"/>
      <c r="B833" s="31"/>
      <c r="C833" s="31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1"/>
      <c r="AA833" s="31"/>
      <c r="AB833" s="31"/>
      <c r="AC833" s="31"/>
      <c r="AD833" s="31"/>
      <c r="AE833" s="31"/>
      <c r="AF833" s="31"/>
      <c r="AG833" s="31"/>
      <c r="AH833" s="31"/>
      <c r="AI833" s="31"/>
      <c r="AJ833" s="31"/>
      <c r="AK833" s="31"/>
      <c r="AL833" s="31"/>
      <c r="AM833" s="31"/>
      <c r="AN833" s="31"/>
      <c r="AO833" s="31"/>
      <c r="AP833" s="31"/>
      <c r="AQ833" s="31"/>
      <c r="AR833" s="31"/>
      <c r="AS833" s="31"/>
    </row>
    <row r="834" spans="1:45" ht="13.5" customHeight="1">
      <c r="A834" s="31"/>
      <c r="B834" s="31"/>
      <c r="C834" s="31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1"/>
      <c r="AA834" s="31"/>
      <c r="AB834" s="31"/>
      <c r="AC834" s="31"/>
      <c r="AD834" s="31"/>
      <c r="AE834" s="31"/>
      <c r="AF834" s="31"/>
      <c r="AG834" s="31"/>
      <c r="AH834" s="31"/>
      <c r="AI834" s="31"/>
      <c r="AJ834" s="31"/>
      <c r="AK834" s="31"/>
      <c r="AL834" s="31"/>
      <c r="AM834" s="31"/>
      <c r="AN834" s="31"/>
      <c r="AO834" s="31"/>
      <c r="AP834" s="31"/>
      <c r="AQ834" s="31"/>
      <c r="AR834" s="31"/>
      <c r="AS834" s="31"/>
    </row>
    <row r="835" spans="1:45" ht="13.5" customHeight="1">
      <c r="A835" s="31"/>
      <c r="B835" s="31"/>
      <c r="C835" s="31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1"/>
      <c r="AA835" s="31"/>
      <c r="AB835" s="31"/>
      <c r="AC835" s="31"/>
      <c r="AD835" s="31"/>
      <c r="AE835" s="31"/>
      <c r="AF835" s="31"/>
      <c r="AG835" s="31"/>
      <c r="AH835" s="31"/>
      <c r="AI835" s="31"/>
      <c r="AJ835" s="31"/>
      <c r="AK835" s="31"/>
      <c r="AL835" s="31"/>
      <c r="AM835" s="31"/>
      <c r="AN835" s="31"/>
      <c r="AO835" s="31"/>
      <c r="AP835" s="31"/>
      <c r="AQ835" s="31"/>
      <c r="AR835" s="31"/>
      <c r="AS835" s="31"/>
    </row>
    <row r="836" spans="1:45" ht="13.5" customHeight="1">
      <c r="A836" s="31"/>
      <c r="B836" s="31"/>
      <c r="C836" s="31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1"/>
      <c r="AA836" s="31"/>
      <c r="AB836" s="31"/>
      <c r="AC836" s="31"/>
      <c r="AD836" s="31"/>
      <c r="AE836" s="31"/>
      <c r="AF836" s="31"/>
      <c r="AG836" s="31"/>
      <c r="AH836" s="31"/>
      <c r="AI836" s="31"/>
      <c r="AJ836" s="31"/>
      <c r="AK836" s="31"/>
      <c r="AL836" s="31"/>
      <c r="AM836" s="31"/>
      <c r="AN836" s="31"/>
      <c r="AO836" s="31"/>
      <c r="AP836" s="31"/>
      <c r="AQ836" s="31"/>
      <c r="AR836" s="31"/>
      <c r="AS836" s="31"/>
    </row>
    <row r="837" spans="1:45" ht="13.5" customHeight="1">
      <c r="A837" s="31"/>
      <c r="B837" s="31"/>
      <c r="C837" s="31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1"/>
      <c r="AA837" s="31"/>
      <c r="AB837" s="31"/>
      <c r="AC837" s="31"/>
      <c r="AD837" s="31"/>
      <c r="AE837" s="31"/>
      <c r="AF837" s="31"/>
      <c r="AG837" s="31"/>
      <c r="AH837" s="31"/>
      <c r="AI837" s="31"/>
      <c r="AJ837" s="31"/>
      <c r="AK837" s="31"/>
      <c r="AL837" s="31"/>
      <c r="AM837" s="31"/>
      <c r="AN837" s="31"/>
      <c r="AO837" s="31"/>
      <c r="AP837" s="31"/>
      <c r="AQ837" s="31"/>
      <c r="AR837" s="31"/>
      <c r="AS837" s="31"/>
    </row>
    <row r="838" spans="1:45" ht="13.5" customHeight="1">
      <c r="A838" s="31"/>
      <c r="B838" s="31"/>
      <c r="C838" s="31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1"/>
      <c r="AA838" s="31"/>
      <c r="AB838" s="31"/>
      <c r="AC838" s="31"/>
      <c r="AD838" s="31"/>
      <c r="AE838" s="31"/>
      <c r="AF838" s="31"/>
      <c r="AG838" s="31"/>
      <c r="AH838" s="31"/>
      <c r="AI838" s="31"/>
      <c r="AJ838" s="31"/>
      <c r="AK838" s="31"/>
      <c r="AL838" s="31"/>
      <c r="AM838" s="31"/>
      <c r="AN838" s="31"/>
      <c r="AO838" s="31"/>
      <c r="AP838" s="31"/>
      <c r="AQ838" s="31"/>
      <c r="AR838" s="31"/>
      <c r="AS838" s="31"/>
    </row>
    <row r="839" spans="1:45" ht="13.5" customHeight="1">
      <c r="A839" s="31"/>
      <c r="B839" s="31"/>
      <c r="C839" s="31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1"/>
      <c r="AA839" s="31"/>
      <c r="AB839" s="31"/>
      <c r="AC839" s="31"/>
      <c r="AD839" s="31"/>
      <c r="AE839" s="31"/>
      <c r="AF839" s="31"/>
      <c r="AG839" s="31"/>
      <c r="AH839" s="31"/>
      <c r="AI839" s="31"/>
      <c r="AJ839" s="31"/>
      <c r="AK839" s="31"/>
      <c r="AL839" s="31"/>
      <c r="AM839" s="31"/>
      <c r="AN839" s="31"/>
      <c r="AO839" s="31"/>
      <c r="AP839" s="31"/>
      <c r="AQ839" s="31"/>
      <c r="AR839" s="31"/>
      <c r="AS839" s="31"/>
    </row>
    <row r="840" spans="1:45" ht="13.5" customHeight="1">
      <c r="A840" s="31"/>
      <c r="B840" s="31"/>
      <c r="C840" s="31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1"/>
      <c r="AA840" s="31"/>
      <c r="AB840" s="31"/>
      <c r="AC840" s="31"/>
      <c r="AD840" s="31"/>
      <c r="AE840" s="31"/>
      <c r="AF840" s="31"/>
      <c r="AG840" s="31"/>
      <c r="AH840" s="31"/>
      <c r="AI840" s="31"/>
      <c r="AJ840" s="31"/>
      <c r="AK840" s="31"/>
      <c r="AL840" s="31"/>
      <c r="AM840" s="31"/>
      <c r="AN840" s="31"/>
      <c r="AO840" s="31"/>
      <c r="AP840" s="31"/>
      <c r="AQ840" s="31"/>
      <c r="AR840" s="31"/>
      <c r="AS840" s="31"/>
    </row>
    <row r="841" spans="1:45" ht="13.5" customHeight="1">
      <c r="A841" s="31"/>
      <c r="B841" s="31"/>
      <c r="C841" s="31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1"/>
      <c r="AA841" s="31"/>
      <c r="AB841" s="31"/>
      <c r="AC841" s="31"/>
      <c r="AD841" s="31"/>
      <c r="AE841" s="31"/>
      <c r="AF841" s="31"/>
      <c r="AG841" s="31"/>
      <c r="AH841" s="31"/>
      <c r="AI841" s="31"/>
      <c r="AJ841" s="31"/>
      <c r="AK841" s="31"/>
      <c r="AL841" s="31"/>
      <c r="AM841" s="31"/>
      <c r="AN841" s="31"/>
      <c r="AO841" s="31"/>
      <c r="AP841" s="31"/>
      <c r="AQ841" s="31"/>
      <c r="AR841" s="31"/>
      <c r="AS841" s="31"/>
    </row>
    <row r="842" spans="1:45" ht="13.5" customHeight="1">
      <c r="A842" s="31"/>
      <c r="B842" s="31"/>
      <c r="C842" s="31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1"/>
      <c r="AA842" s="31"/>
      <c r="AB842" s="31"/>
      <c r="AC842" s="31"/>
      <c r="AD842" s="31"/>
      <c r="AE842" s="31"/>
      <c r="AF842" s="31"/>
      <c r="AG842" s="31"/>
      <c r="AH842" s="31"/>
      <c r="AI842" s="31"/>
      <c r="AJ842" s="31"/>
      <c r="AK842" s="31"/>
      <c r="AL842" s="31"/>
      <c r="AM842" s="31"/>
      <c r="AN842" s="31"/>
      <c r="AO842" s="31"/>
      <c r="AP842" s="31"/>
      <c r="AQ842" s="31"/>
      <c r="AR842" s="31"/>
      <c r="AS842" s="31"/>
    </row>
    <row r="843" spans="1:45" ht="13.5" customHeight="1">
      <c r="A843" s="31"/>
      <c r="B843" s="31"/>
      <c r="C843" s="31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1"/>
      <c r="AA843" s="31"/>
      <c r="AB843" s="31"/>
      <c r="AC843" s="31"/>
      <c r="AD843" s="31"/>
      <c r="AE843" s="31"/>
      <c r="AF843" s="31"/>
      <c r="AG843" s="31"/>
      <c r="AH843" s="31"/>
      <c r="AI843" s="31"/>
      <c r="AJ843" s="31"/>
      <c r="AK843" s="31"/>
      <c r="AL843" s="31"/>
      <c r="AM843" s="31"/>
      <c r="AN843" s="31"/>
      <c r="AO843" s="31"/>
      <c r="AP843" s="31"/>
      <c r="AQ843" s="31"/>
      <c r="AR843" s="31"/>
      <c r="AS843" s="31"/>
    </row>
    <row r="844" spans="1:45" ht="13.5" customHeight="1">
      <c r="A844" s="31"/>
      <c r="B844" s="31"/>
      <c r="C844" s="31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1"/>
      <c r="AA844" s="31"/>
      <c r="AB844" s="31"/>
      <c r="AC844" s="31"/>
      <c r="AD844" s="31"/>
      <c r="AE844" s="31"/>
      <c r="AF844" s="31"/>
      <c r="AG844" s="31"/>
      <c r="AH844" s="31"/>
      <c r="AI844" s="31"/>
      <c r="AJ844" s="31"/>
      <c r="AK844" s="31"/>
      <c r="AL844" s="31"/>
      <c r="AM844" s="31"/>
      <c r="AN844" s="31"/>
      <c r="AO844" s="31"/>
      <c r="AP844" s="31"/>
      <c r="AQ844" s="31"/>
      <c r="AR844" s="31"/>
      <c r="AS844" s="31"/>
    </row>
    <row r="845" spans="1:45" ht="13.5" customHeight="1">
      <c r="A845" s="31"/>
      <c r="B845" s="31"/>
      <c r="C845" s="31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1"/>
      <c r="AA845" s="31"/>
      <c r="AB845" s="31"/>
      <c r="AC845" s="31"/>
      <c r="AD845" s="31"/>
      <c r="AE845" s="31"/>
      <c r="AF845" s="31"/>
      <c r="AG845" s="31"/>
      <c r="AH845" s="31"/>
      <c r="AI845" s="31"/>
      <c r="AJ845" s="31"/>
      <c r="AK845" s="31"/>
      <c r="AL845" s="31"/>
      <c r="AM845" s="31"/>
      <c r="AN845" s="31"/>
      <c r="AO845" s="31"/>
      <c r="AP845" s="31"/>
      <c r="AQ845" s="31"/>
      <c r="AR845" s="31"/>
      <c r="AS845" s="31"/>
    </row>
    <row r="846" spans="1:45" ht="13.5" customHeight="1">
      <c r="A846" s="31"/>
      <c r="B846" s="31"/>
      <c r="C846" s="31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1"/>
      <c r="AA846" s="31"/>
      <c r="AB846" s="31"/>
      <c r="AC846" s="31"/>
      <c r="AD846" s="31"/>
      <c r="AE846" s="31"/>
      <c r="AF846" s="31"/>
      <c r="AG846" s="31"/>
      <c r="AH846" s="31"/>
      <c r="AI846" s="31"/>
      <c r="AJ846" s="31"/>
      <c r="AK846" s="31"/>
      <c r="AL846" s="31"/>
      <c r="AM846" s="31"/>
      <c r="AN846" s="31"/>
      <c r="AO846" s="31"/>
      <c r="AP846" s="31"/>
      <c r="AQ846" s="31"/>
      <c r="AR846" s="31"/>
      <c r="AS846" s="31"/>
    </row>
    <row r="847" spans="1:45" ht="13.5" customHeight="1">
      <c r="A847" s="31"/>
      <c r="B847" s="31"/>
      <c r="C847" s="31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1"/>
      <c r="AA847" s="31"/>
      <c r="AB847" s="31"/>
      <c r="AC847" s="31"/>
      <c r="AD847" s="31"/>
      <c r="AE847" s="31"/>
      <c r="AF847" s="31"/>
      <c r="AG847" s="31"/>
      <c r="AH847" s="31"/>
      <c r="AI847" s="31"/>
      <c r="AJ847" s="31"/>
      <c r="AK847" s="31"/>
      <c r="AL847" s="31"/>
      <c r="AM847" s="31"/>
      <c r="AN847" s="31"/>
      <c r="AO847" s="31"/>
      <c r="AP847" s="31"/>
      <c r="AQ847" s="31"/>
      <c r="AR847" s="31"/>
      <c r="AS847" s="31"/>
    </row>
    <row r="848" spans="1:45" ht="13.5" customHeight="1">
      <c r="A848" s="31"/>
      <c r="B848" s="31"/>
      <c r="C848" s="31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1"/>
      <c r="AA848" s="31"/>
      <c r="AB848" s="31"/>
      <c r="AC848" s="31"/>
      <c r="AD848" s="31"/>
      <c r="AE848" s="31"/>
      <c r="AF848" s="31"/>
      <c r="AG848" s="31"/>
      <c r="AH848" s="31"/>
      <c r="AI848" s="31"/>
      <c r="AJ848" s="31"/>
      <c r="AK848" s="31"/>
      <c r="AL848" s="31"/>
      <c r="AM848" s="31"/>
      <c r="AN848" s="31"/>
      <c r="AO848" s="31"/>
      <c r="AP848" s="31"/>
      <c r="AQ848" s="31"/>
      <c r="AR848" s="31"/>
      <c r="AS848" s="31"/>
    </row>
    <row r="849" spans="1:45" ht="13.5" customHeight="1">
      <c r="A849" s="31"/>
      <c r="B849" s="31"/>
      <c r="C849" s="31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1"/>
      <c r="AA849" s="31"/>
      <c r="AB849" s="31"/>
      <c r="AC849" s="31"/>
      <c r="AD849" s="31"/>
      <c r="AE849" s="31"/>
      <c r="AF849" s="31"/>
      <c r="AG849" s="31"/>
      <c r="AH849" s="31"/>
      <c r="AI849" s="31"/>
      <c r="AJ849" s="31"/>
      <c r="AK849" s="31"/>
      <c r="AL849" s="31"/>
      <c r="AM849" s="31"/>
      <c r="AN849" s="31"/>
      <c r="AO849" s="31"/>
      <c r="AP849" s="31"/>
      <c r="AQ849" s="31"/>
      <c r="AR849" s="31"/>
      <c r="AS849" s="31"/>
    </row>
    <row r="850" spans="1:45" ht="13.5" customHeight="1">
      <c r="A850" s="31"/>
      <c r="B850" s="31"/>
      <c r="C850" s="31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1"/>
      <c r="AA850" s="31"/>
      <c r="AB850" s="31"/>
      <c r="AC850" s="31"/>
      <c r="AD850" s="31"/>
      <c r="AE850" s="31"/>
      <c r="AF850" s="31"/>
      <c r="AG850" s="31"/>
      <c r="AH850" s="31"/>
      <c r="AI850" s="31"/>
      <c r="AJ850" s="31"/>
      <c r="AK850" s="31"/>
      <c r="AL850" s="31"/>
      <c r="AM850" s="31"/>
      <c r="AN850" s="31"/>
      <c r="AO850" s="31"/>
      <c r="AP850" s="31"/>
      <c r="AQ850" s="31"/>
      <c r="AR850" s="31"/>
      <c r="AS850" s="31"/>
    </row>
    <row r="851" spans="1:45" ht="13.5" customHeight="1">
      <c r="A851" s="31"/>
      <c r="B851" s="31"/>
      <c r="C851" s="31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1"/>
      <c r="AA851" s="31"/>
      <c r="AB851" s="31"/>
      <c r="AC851" s="31"/>
      <c r="AD851" s="31"/>
      <c r="AE851" s="31"/>
      <c r="AF851" s="31"/>
      <c r="AG851" s="31"/>
      <c r="AH851" s="31"/>
      <c r="AI851" s="31"/>
      <c r="AJ851" s="31"/>
      <c r="AK851" s="31"/>
      <c r="AL851" s="31"/>
      <c r="AM851" s="31"/>
      <c r="AN851" s="31"/>
      <c r="AO851" s="31"/>
      <c r="AP851" s="31"/>
      <c r="AQ851" s="31"/>
      <c r="AR851" s="31"/>
      <c r="AS851" s="31"/>
    </row>
    <row r="852" spans="1:45" ht="13.5" customHeight="1">
      <c r="A852" s="31"/>
      <c r="B852" s="31"/>
      <c r="C852" s="31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1"/>
      <c r="AA852" s="31"/>
      <c r="AB852" s="31"/>
      <c r="AC852" s="31"/>
      <c r="AD852" s="31"/>
      <c r="AE852" s="31"/>
      <c r="AF852" s="31"/>
      <c r="AG852" s="31"/>
      <c r="AH852" s="31"/>
      <c r="AI852" s="31"/>
      <c r="AJ852" s="31"/>
      <c r="AK852" s="31"/>
      <c r="AL852" s="31"/>
      <c r="AM852" s="31"/>
      <c r="AN852" s="31"/>
      <c r="AO852" s="31"/>
      <c r="AP852" s="31"/>
      <c r="AQ852" s="31"/>
      <c r="AR852" s="31"/>
      <c r="AS852" s="31"/>
    </row>
    <row r="853" spans="1:45" ht="13.5" customHeight="1">
      <c r="A853" s="31"/>
      <c r="B853" s="31"/>
      <c r="C853" s="31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1"/>
      <c r="AA853" s="31"/>
      <c r="AB853" s="31"/>
      <c r="AC853" s="31"/>
      <c r="AD853" s="31"/>
      <c r="AE853" s="31"/>
      <c r="AF853" s="31"/>
      <c r="AG853" s="31"/>
      <c r="AH853" s="31"/>
      <c r="AI853" s="31"/>
      <c r="AJ853" s="31"/>
      <c r="AK853" s="31"/>
      <c r="AL853" s="31"/>
      <c r="AM853" s="31"/>
      <c r="AN853" s="31"/>
      <c r="AO853" s="31"/>
      <c r="AP853" s="31"/>
      <c r="AQ853" s="31"/>
      <c r="AR853" s="31"/>
      <c r="AS853" s="31"/>
    </row>
    <row r="854" spans="1:45" ht="13.5" customHeight="1">
      <c r="A854" s="31"/>
      <c r="B854" s="31"/>
      <c r="C854" s="31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1"/>
      <c r="AA854" s="31"/>
      <c r="AB854" s="31"/>
      <c r="AC854" s="31"/>
      <c r="AD854" s="31"/>
      <c r="AE854" s="31"/>
      <c r="AF854" s="31"/>
      <c r="AG854" s="31"/>
      <c r="AH854" s="31"/>
      <c r="AI854" s="31"/>
      <c r="AJ854" s="31"/>
      <c r="AK854" s="31"/>
      <c r="AL854" s="31"/>
      <c r="AM854" s="31"/>
      <c r="AN854" s="31"/>
      <c r="AO854" s="31"/>
      <c r="AP854" s="31"/>
      <c r="AQ854" s="31"/>
      <c r="AR854" s="31"/>
      <c r="AS854" s="31"/>
    </row>
    <row r="855" spans="1:45" ht="13.5" customHeight="1">
      <c r="A855" s="31"/>
      <c r="B855" s="31"/>
      <c r="C855" s="31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1"/>
      <c r="AA855" s="31"/>
      <c r="AB855" s="31"/>
      <c r="AC855" s="31"/>
      <c r="AD855" s="31"/>
      <c r="AE855" s="31"/>
      <c r="AF855" s="31"/>
      <c r="AG855" s="31"/>
      <c r="AH855" s="31"/>
      <c r="AI855" s="31"/>
      <c r="AJ855" s="31"/>
      <c r="AK855" s="31"/>
      <c r="AL855" s="31"/>
      <c r="AM855" s="31"/>
      <c r="AN855" s="31"/>
      <c r="AO855" s="31"/>
      <c r="AP855" s="31"/>
      <c r="AQ855" s="31"/>
      <c r="AR855" s="31"/>
      <c r="AS855" s="31"/>
    </row>
    <row r="856" spans="1:45" ht="13.5" customHeight="1">
      <c r="A856" s="31"/>
      <c r="B856" s="31"/>
      <c r="C856" s="31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1"/>
      <c r="AA856" s="31"/>
      <c r="AB856" s="31"/>
      <c r="AC856" s="31"/>
      <c r="AD856" s="31"/>
      <c r="AE856" s="31"/>
      <c r="AF856" s="31"/>
      <c r="AG856" s="31"/>
      <c r="AH856" s="31"/>
      <c r="AI856" s="31"/>
      <c r="AJ856" s="31"/>
      <c r="AK856" s="31"/>
      <c r="AL856" s="31"/>
      <c r="AM856" s="31"/>
      <c r="AN856" s="31"/>
      <c r="AO856" s="31"/>
      <c r="AP856" s="31"/>
      <c r="AQ856" s="31"/>
      <c r="AR856" s="31"/>
      <c r="AS856" s="31"/>
    </row>
    <row r="857" spans="1:45" ht="13.5" customHeight="1">
      <c r="A857" s="31"/>
      <c r="B857" s="31"/>
      <c r="C857" s="31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1"/>
      <c r="AA857" s="31"/>
      <c r="AB857" s="31"/>
      <c r="AC857" s="31"/>
      <c r="AD857" s="31"/>
      <c r="AE857" s="31"/>
      <c r="AF857" s="31"/>
      <c r="AG857" s="31"/>
      <c r="AH857" s="31"/>
      <c r="AI857" s="31"/>
      <c r="AJ857" s="31"/>
      <c r="AK857" s="31"/>
      <c r="AL857" s="31"/>
      <c r="AM857" s="31"/>
      <c r="AN857" s="31"/>
      <c r="AO857" s="31"/>
      <c r="AP857" s="31"/>
      <c r="AQ857" s="31"/>
      <c r="AR857" s="31"/>
      <c r="AS857" s="31"/>
    </row>
    <row r="858" spans="1:45" ht="13.5" customHeight="1">
      <c r="A858" s="31"/>
      <c r="B858" s="31"/>
      <c r="C858" s="31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1"/>
      <c r="AA858" s="31"/>
      <c r="AB858" s="31"/>
      <c r="AC858" s="31"/>
      <c r="AD858" s="31"/>
      <c r="AE858" s="31"/>
      <c r="AF858" s="31"/>
      <c r="AG858" s="31"/>
      <c r="AH858" s="31"/>
      <c r="AI858" s="31"/>
      <c r="AJ858" s="31"/>
      <c r="AK858" s="31"/>
      <c r="AL858" s="31"/>
      <c r="AM858" s="31"/>
      <c r="AN858" s="31"/>
      <c r="AO858" s="31"/>
      <c r="AP858" s="31"/>
      <c r="AQ858" s="31"/>
      <c r="AR858" s="31"/>
      <c r="AS858" s="31"/>
    </row>
    <row r="859" spans="1:45" ht="13.5" customHeight="1">
      <c r="A859" s="31"/>
      <c r="B859" s="31"/>
      <c r="C859" s="31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1"/>
      <c r="AA859" s="31"/>
      <c r="AB859" s="31"/>
      <c r="AC859" s="31"/>
      <c r="AD859" s="31"/>
      <c r="AE859" s="31"/>
      <c r="AF859" s="31"/>
      <c r="AG859" s="31"/>
      <c r="AH859" s="31"/>
      <c r="AI859" s="31"/>
      <c r="AJ859" s="31"/>
      <c r="AK859" s="31"/>
      <c r="AL859" s="31"/>
      <c r="AM859" s="31"/>
      <c r="AN859" s="31"/>
      <c r="AO859" s="31"/>
      <c r="AP859" s="31"/>
      <c r="AQ859" s="31"/>
      <c r="AR859" s="31"/>
      <c r="AS859" s="31"/>
    </row>
    <row r="860" spans="1:45" ht="13.5" customHeight="1">
      <c r="A860" s="31"/>
      <c r="B860" s="31"/>
      <c r="C860" s="31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1"/>
      <c r="AA860" s="31"/>
      <c r="AB860" s="31"/>
      <c r="AC860" s="31"/>
      <c r="AD860" s="31"/>
      <c r="AE860" s="31"/>
      <c r="AF860" s="31"/>
      <c r="AG860" s="31"/>
      <c r="AH860" s="31"/>
      <c r="AI860" s="31"/>
      <c r="AJ860" s="31"/>
      <c r="AK860" s="31"/>
      <c r="AL860" s="31"/>
      <c r="AM860" s="31"/>
      <c r="AN860" s="31"/>
      <c r="AO860" s="31"/>
      <c r="AP860" s="31"/>
      <c r="AQ860" s="31"/>
      <c r="AR860" s="31"/>
      <c r="AS860" s="31"/>
    </row>
    <row r="861" spans="1:45" ht="13.5" customHeight="1">
      <c r="A861" s="31"/>
      <c r="B861" s="31"/>
      <c r="C861" s="31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1"/>
      <c r="AA861" s="31"/>
      <c r="AB861" s="31"/>
      <c r="AC861" s="31"/>
      <c r="AD861" s="31"/>
      <c r="AE861" s="31"/>
      <c r="AF861" s="31"/>
      <c r="AG861" s="31"/>
      <c r="AH861" s="31"/>
      <c r="AI861" s="31"/>
      <c r="AJ861" s="31"/>
      <c r="AK861" s="31"/>
      <c r="AL861" s="31"/>
      <c r="AM861" s="31"/>
      <c r="AN861" s="31"/>
      <c r="AO861" s="31"/>
      <c r="AP861" s="31"/>
      <c r="AQ861" s="31"/>
      <c r="AR861" s="31"/>
      <c r="AS861" s="31"/>
    </row>
    <row r="862" spans="1:45" ht="13.5" customHeight="1">
      <c r="A862" s="31"/>
      <c r="B862" s="31"/>
      <c r="C862" s="31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1"/>
      <c r="AA862" s="31"/>
      <c r="AB862" s="31"/>
      <c r="AC862" s="31"/>
      <c r="AD862" s="31"/>
      <c r="AE862" s="31"/>
      <c r="AF862" s="31"/>
      <c r="AG862" s="31"/>
      <c r="AH862" s="31"/>
      <c r="AI862" s="31"/>
      <c r="AJ862" s="31"/>
      <c r="AK862" s="31"/>
      <c r="AL862" s="31"/>
      <c r="AM862" s="31"/>
      <c r="AN862" s="31"/>
      <c r="AO862" s="31"/>
      <c r="AP862" s="31"/>
      <c r="AQ862" s="31"/>
      <c r="AR862" s="31"/>
      <c r="AS862" s="31"/>
    </row>
    <row r="863" spans="1:45" ht="13.5" customHeight="1">
      <c r="A863" s="31"/>
      <c r="B863" s="31"/>
      <c r="C863" s="31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1"/>
      <c r="AA863" s="31"/>
      <c r="AB863" s="31"/>
      <c r="AC863" s="31"/>
      <c r="AD863" s="31"/>
      <c r="AE863" s="31"/>
      <c r="AF863" s="31"/>
      <c r="AG863" s="31"/>
      <c r="AH863" s="31"/>
      <c r="AI863" s="31"/>
      <c r="AJ863" s="31"/>
      <c r="AK863" s="31"/>
      <c r="AL863" s="31"/>
      <c r="AM863" s="31"/>
      <c r="AN863" s="31"/>
      <c r="AO863" s="31"/>
      <c r="AP863" s="31"/>
      <c r="AQ863" s="31"/>
      <c r="AR863" s="31"/>
      <c r="AS863" s="31"/>
    </row>
    <row r="864" spans="1:45" ht="13.5" customHeight="1">
      <c r="A864" s="31"/>
      <c r="B864" s="31"/>
      <c r="C864" s="31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1"/>
      <c r="AA864" s="31"/>
      <c r="AB864" s="31"/>
      <c r="AC864" s="31"/>
      <c r="AD864" s="31"/>
      <c r="AE864" s="31"/>
      <c r="AF864" s="31"/>
      <c r="AG864" s="31"/>
      <c r="AH864" s="31"/>
      <c r="AI864" s="31"/>
      <c r="AJ864" s="31"/>
      <c r="AK864" s="31"/>
      <c r="AL864" s="31"/>
      <c r="AM864" s="31"/>
      <c r="AN864" s="31"/>
      <c r="AO864" s="31"/>
      <c r="AP864" s="31"/>
      <c r="AQ864" s="31"/>
      <c r="AR864" s="31"/>
      <c r="AS864" s="31"/>
    </row>
    <row r="865" spans="1:45" ht="13.5" customHeight="1">
      <c r="A865" s="31"/>
      <c r="B865" s="31"/>
      <c r="C865" s="31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1"/>
      <c r="AA865" s="31"/>
      <c r="AB865" s="31"/>
      <c r="AC865" s="31"/>
      <c r="AD865" s="31"/>
      <c r="AE865" s="31"/>
      <c r="AF865" s="31"/>
      <c r="AG865" s="31"/>
      <c r="AH865" s="31"/>
      <c r="AI865" s="31"/>
      <c r="AJ865" s="31"/>
      <c r="AK865" s="31"/>
      <c r="AL865" s="31"/>
      <c r="AM865" s="31"/>
      <c r="AN865" s="31"/>
      <c r="AO865" s="31"/>
      <c r="AP865" s="31"/>
      <c r="AQ865" s="31"/>
      <c r="AR865" s="31"/>
      <c r="AS865" s="31"/>
    </row>
    <row r="866" spans="1:45" ht="13.5" customHeight="1">
      <c r="A866" s="31"/>
      <c r="B866" s="31"/>
      <c r="C866" s="31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1"/>
      <c r="AA866" s="31"/>
      <c r="AB866" s="31"/>
      <c r="AC866" s="31"/>
      <c r="AD866" s="31"/>
      <c r="AE866" s="31"/>
      <c r="AF866" s="31"/>
      <c r="AG866" s="31"/>
      <c r="AH866" s="31"/>
      <c r="AI866" s="31"/>
      <c r="AJ866" s="31"/>
      <c r="AK866" s="31"/>
      <c r="AL866" s="31"/>
      <c r="AM866" s="31"/>
      <c r="AN866" s="31"/>
      <c r="AO866" s="31"/>
      <c r="AP866" s="31"/>
      <c r="AQ866" s="31"/>
      <c r="AR866" s="31"/>
      <c r="AS866" s="31"/>
    </row>
    <row r="867" spans="1:45" ht="13.5" customHeight="1">
      <c r="A867" s="31"/>
      <c r="B867" s="31"/>
      <c r="C867" s="31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1"/>
      <c r="AA867" s="31"/>
      <c r="AB867" s="31"/>
      <c r="AC867" s="31"/>
      <c r="AD867" s="31"/>
      <c r="AE867" s="31"/>
      <c r="AF867" s="31"/>
      <c r="AG867" s="31"/>
      <c r="AH867" s="31"/>
      <c r="AI867" s="31"/>
      <c r="AJ867" s="31"/>
      <c r="AK867" s="31"/>
      <c r="AL867" s="31"/>
      <c r="AM867" s="31"/>
      <c r="AN867" s="31"/>
      <c r="AO867" s="31"/>
      <c r="AP867" s="31"/>
      <c r="AQ867" s="31"/>
      <c r="AR867" s="31"/>
      <c r="AS867" s="31"/>
    </row>
    <row r="868" spans="1:45" ht="13.5" customHeight="1">
      <c r="A868" s="31"/>
      <c r="B868" s="31"/>
      <c r="C868" s="31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1"/>
      <c r="AA868" s="31"/>
      <c r="AB868" s="31"/>
      <c r="AC868" s="31"/>
      <c r="AD868" s="31"/>
      <c r="AE868" s="31"/>
      <c r="AF868" s="31"/>
      <c r="AG868" s="31"/>
      <c r="AH868" s="31"/>
      <c r="AI868" s="31"/>
      <c r="AJ868" s="31"/>
      <c r="AK868" s="31"/>
      <c r="AL868" s="31"/>
      <c r="AM868" s="31"/>
      <c r="AN868" s="31"/>
      <c r="AO868" s="31"/>
      <c r="AP868" s="31"/>
      <c r="AQ868" s="31"/>
      <c r="AR868" s="31"/>
      <c r="AS868" s="31"/>
    </row>
    <row r="869" spans="1:45" ht="13.5" customHeight="1">
      <c r="A869" s="31"/>
      <c r="B869" s="31"/>
      <c r="C869" s="31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1"/>
      <c r="AA869" s="31"/>
      <c r="AB869" s="31"/>
      <c r="AC869" s="31"/>
      <c r="AD869" s="31"/>
      <c r="AE869" s="31"/>
      <c r="AF869" s="31"/>
      <c r="AG869" s="31"/>
      <c r="AH869" s="31"/>
      <c r="AI869" s="31"/>
      <c r="AJ869" s="31"/>
      <c r="AK869" s="31"/>
      <c r="AL869" s="31"/>
      <c r="AM869" s="31"/>
      <c r="AN869" s="31"/>
      <c r="AO869" s="31"/>
      <c r="AP869" s="31"/>
      <c r="AQ869" s="31"/>
      <c r="AR869" s="31"/>
      <c r="AS869" s="31"/>
    </row>
    <row r="870" spans="1:45" ht="13.5" customHeight="1">
      <c r="A870" s="31"/>
      <c r="B870" s="31"/>
      <c r="C870" s="31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1"/>
      <c r="AA870" s="31"/>
      <c r="AB870" s="31"/>
      <c r="AC870" s="31"/>
      <c r="AD870" s="31"/>
      <c r="AE870" s="31"/>
      <c r="AF870" s="31"/>
      <c r="AG870" s="31"/>
      <c r="AH870" s="31"/>
      <c r="AI870" s="31"/>
      <c r="AJ870" s="31"/>
      <c r="AK870" s="31"/>
      <c r="AL870" s="31"/>
      <c r="AM870" s="31"/>
      <c r="AN870" s="31"/>
      <c r="AO870" s="31"/>
      <c r="AP870" s="31"/>
      <c r="AQ870" s="31"/>
      <c r="AR870" s="31"/>
      <c r="AS870" s="31"/>
    </row>
    <row r="871" spans="1:45" ht="13.5" customHeight="1">
      <c r="A871" s="31"/>
      <c r="B871" s="31"/>
      <c r="C871" s="31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1"/>
      <c r="AA871" s="31"/>
      <c r="AB871" s="31"/>
      <c r="AC871" s="31"/>
      <c r="AD871" s="31"/>
      <c r="AE871" s="31"/>
      <c r="AF871" s="31"/>
      <c r="AG871" s="31"/>
      <c r="AH871" s="31"/>
      <c r="AI871" s="31"/>
      <c r="AJ871" s="31"/>
      <c r="AK871" s="31"/>
      <c r="AL871" s="31"/>
      <c r="AM871" s="31"/>
      <c r="AN871" s="31"/>
      <c r="AO871" s="31"/>
      <c r="AP871" s="31"/>
      <c r="AQ871" s="31"/>
      <c r="AR871" s="31"/>
      <c r="AS871" s="31"/>
    </row>
    <row r="872" spans="1:45" ht="13.5" customHeight="1">
      <c r="A872" s="31"/>
      <c r="B872" s="31"/>
      <c r="C872" s="31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1"/>
      <c r="AA872" s="31"/>
      <c r="AB872" s="31"/>
      <c r="AC872" s="31"/>
      <c r="AD872" s="31"/>
      <c r="AE872" s="31"/>
      <c r="AF872" s="31"/>
      <c r="AG872" s="31"/>
      <c r="AH872" s="31"/>
      <c r="AI872" s="31"/>
      <c r="AJ872" s="31"/>
      <c r="AK872" s="31"/>
      <c r="AL872" s="31"/>
      <c r="AM872" s="31"/>
      <c r="AN872" s="31"/>
      <c r="AO872" s="31"/>
      <c r="AP872" s="31"/>
      <c r="AQ872" s="31"/>
      <c r="AR872" s="31"/>
      <c r="AS872" s="31"/>
    </row>
    <row r="873" spans="1:45" ht="13.5" customHeight="1">
      <c r="A873" s="31"/>
      <c r="B873" s="31"/>
      <c r="C873" s="31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1"/>
      <c r="AA873" s="31"/>
      <c r="AB873" s="31"/>
      <c r="AC873" s="31"/>
      <c r="AD873" s="31"/>
      <c r="AE873" s="31"/>
      <c r="AF873" s="31"/>
      <c r="AG873" s="31"/>
      <c r="AH873" s="31"/>
      <c r="AI873" s="31"/>
      <c r="AJ873" s="31"/>
      <c r="AK873" s="31"/>
      <c r="AL873" s="31"/>
      <c r="AM873" s="31"/>
      <c r="AN873" s="31"/>
      <c r="AO873" s="31"/>
      <c r="AP873" s="31"/>
      <c r="AQ873" s="31"/>
      <c r="AR873" s="31"/>
      <c r="AS873" s="31"/>
    </row>
    <row r="874" spans="1:45" ht="13.5" customHeight="1">
      <c r="A874" s="31"/>
      <c r="B874" s="31"/>
      <c r="C874" s="31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1"/>
      <c r="AA874" s="31"/>
      <c r="AB874" s="31"/>
      <c r="AC874" s="31"/>
      <c r="AD874" s="31"/>
      <c r="AE874" s="31"/>
      <c r="AF874" s="31"/>
      <c r="AG874" s="31"/>
      <c r="AH874" s="31"/>
      <c r="AI874" s="31"/>
      <c r="AJ874" s="31"/>
      <c r="AK874" s="31"/>
      <c r="AL874" s="31"/>
      <c r="AM874" s="31"/>
      <c r="AN874" s="31"/>
      <c r="AO874" s="31"/>
      <c r="AP874" s="31"/>
      <c r="AQ874" s="31"/>
      <c r="AR874" s="31"/>
      <c r="AS874" s="31"/>
    </row>
    <row r="875" spans="1:45" ht="13.5" customHeight="1">
      <c r="A875" s="31"/>
      <c r="B875" s="31"/>
      <c r="C875" s="31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1"/>
      <c r="AA875" s="31"/>
      <c r="AB875" s="31"/>
      <c r="AC875" s="31"/>
      <c r="AD875" s="31"/>
      <c r="AE875" s="31"/>
      <c r="AF875" s="31"/>
      <c r="AG875" s="31"/>
      <c r="AH875" s="31"/>
      <c r="AI875" s="31"/>
      <c r="AJ875" s="31"/>
      <c r="AK875" s="31"/>
      <c r="AL875" s="31"/>
      <c r="AM875" s="31"/>
      <c r="AN875" s="31"/>
      <c r="AO875" s="31"/>
      <c r="AP875" s="31"/>
      <c r="AQ875" s="31"/>
      <c r="AR875" s="31"/>
      <c r="AS875" s="31"/>
    </row>
    <row r="876" spans="1:45" ht="13.5" customHeight="1">
      <c r="A876" s="31"/>
      <c r="B876" s="31"/>
      <c r="C876" s="31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1"/>
      <c r="AA876" s="31"/>
      <c r="AB876" s="31"/>
      <c r="AC876" s="31"/>
      <c r="AD876" s="31"/>
      <c r="AE876" s="31"/>
      <c r="AF876" s="31"/>
      <c r="AG876" s="31"/>
      <c r="AH876" s="31"/>
      <c r="AI876" s="31"/>
      <c r="AJ876" s="31"/>
      <c r="AK876" s="31"/>
      <c r="AL876" s="31"/>
      <c r="AM876" s="31"/>
      <c r="AN876" s="31"/>
      <c r="AO876" s="31"/>
      <c r="AP876" s="31"/>
      <c r="AQ876" s="31"/>
      <c r="AR876" s="31"/>
      <c r="AS876" s="31"/>
    </row>
    <row r="877" spans="1:45" ht="13.5" customHeight="1">
      <c r="A877" s="31"/>
      <c r="B877" s="31"/>
      <c r="C877" s="31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1"/>
      <c r="AA877" s="31"/>
      <c r="AB877" s="31"/>
      <c r="AC877" s="31"/>
      <c r="AD877" s="31"/>
      <c r="AE877" s="31"/>
      <c r="AF877" s="31"/>
      <c r="AG877" s="31"/>
      <c r="AH877" s="31"/>
      <c r="AI877" s="31"/>
      <c r="AJ877" s="31"/>
      <c r="AK877" s="31"/>
      <c r="AL877" s="31"/>
      <c r="AM877" s="31"/>
      <c r="AN877" s="31"/>
      <c r="AO877" s="31"/>
      <c r="AP877" s="31"/>
      <c r="AQ877" s="31"/>
      <c r="AR877" s="31"/>
      <c r="AS877" s="31"/>
    </row>
    <row r="878" spans="1:45" ht="13.5" customHeight="1">
      <c r="A878" s="31"/>
      <c r="B878" s="31"/>
      <c r="C878" s="31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1"/>
      <c r="AA878" s="31"/>
      <c r="AB878" s="31"/>
      <c r="AC878" s="31"/>
      <c r="AD878" s="31"/>
      <c r="AE878" s="31"/>
      <c r="AF878" s="31"/>
      <c r="AG878" s="31"/>
      <c r="AH878" s="31"/>
      <c r="AI878" s="31"/>
      <c r="AJ878" s="31"/>
      <c r="AK878" s="31"/>
      <c r="AL878" s="31"/>
      <c r="AM878" s="31"/>
      <c r="AN878" s="31"/>
      <c r="AO878" s="31"/>
      <c r="AP878" s="31"/>
      <c r="AQ878" s="31"/>
      <c r="AR878" s="31"/>
      <c r="AS878" s="31"/>
    </row>
    <row r="879" spans="1:45" ht="13.5" customHeight="1">
      <c r="A879" s="31"/>
      <c r="B879" s="31"/>
      <c r="C879" s="31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1"/>
      <c r="AA879" s="31"/>
      <c r="AB879" s="31"/>
      <c r="AC879" s="31"/>
      <c r="AD879" s="31"/>
      <c r="AE879" s="31"/>
      <c r="AF879" s="31"/>
      <c r="AG879" s="31"/>
      <c r="AH879" s="31"/>
      <c r="AI879" s="31"/>
      <c r="AJ879" s="31"/>
      <c r="AK879" s="31"/>
      <c r="AL879" s="31"/>
      <c r="AM879" s="31"/>
      <c r="AN879" s="31"/>
      <c r="AO879" s="31"/>
      <c r="AP879" s="31"/>
      <c r="AQ879" s="31"/>
      <c r="AR879" s="31"/>
      <c r="AS879" s="31"/>
    </row>
    <row r="880" spans="1:45" ht="13.5" customHeight="1">
      <c r="A880" s="31"/>
      <c r="B880" s="31"/>
      <c r="C880" s="31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1"/>
      <c r="AA880" s="31"/>
      <c r="AB880" s="31"/>
      <c r="AC880" s="31"/>
      <c r="AD880" s="31"/>
      <c r="AE880" s="31"/>
      <c r="AF880" s="31"/>
      <c r="AG880" s="31"/>
      <c r="AH880" s="31"/>
      <c r="AI880" s="31"/>
      <c r="AJ880" s="31"/>
      <c r="AK880" s="31"/>
      <c r="AL880" s="31"/>
      <c r="AM880" s="31"/>
      <c r="AN880" s="31"/>
      <c r="AO880" s="31"/>
      <c r="AP880" s="31"/>
      <c r="AQ880" s="31"/>
      <c r="AR880" s="31"/>
      <c r="AS880" s="31"/>
    </row>
    <row r="881" spans="1:45" ht="13.5" customHeight="1">
      <c r="A881" s="31"/>
      <c r="B881" s="31"/>
      <c r="C881" s="31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1"/>
      <c r="AA881" s="31"/>
      <c r="AB881" s="31"/>
      <c r="AC881" s="31"/>
      <c r="AD881" s="31"/>
      <c r="AE881" s="31"/>
      <c r="AF881" s="31"/>
      <c r="AG881" s="31"/>
      <c r="AH881" s="31"/>
      <c r="AI881" s="31"/>
      <c r="AJ881" s="31"/>
      <c r="AK881" s="31"/>
      <c r="AL881" s="31"/>
      <c r="AM881" s="31"/>
      <c r="AN881" s="31"/>
      <c r="AO881" s="31"/>
      <c r="AP881" s="31"/>
      <c r="AQ881" s="31"/>
      <c r="AR881" s="31"/>
      <c r="AS881" s="31"/>
    </row>
    <row r="882" spans="1:45" ht="13.5" customHeight="1">
      <c r="A882" s="31"/>
      <c r="B882" s="31"/>
      <c r="C882" s="31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1"/>
      <c r="AA882" s="31"/>
      <c r="AB882" s="31"/>
      <c r="AC882" s="31"/>
      <c r="AD882" s="31"/>
      <c r="AE882" s="31"/>
      <c r="AF882" s="31"/>
      <c r="AG882" s="31"/>
      <c r="AH882" s="31"/>
      <c r="AI882" s="31"/>
      <c r="AJ882" s="31"/>
      <c r="AK882" s="31"/>
      <c r="AL882" s="31"/>
      <c r="AM882" s="31"/>
      <c r="AN882" s="31"/>
      <c r="AO882" s="31"/>
      <c r="AP882" s="31"/>
      <c r="AQ882" s="31"/>
      <c r="AR882" s="31"/>
      <c r="AS882" s="31"/>
    </row>
    <row r="883" spans="1:45" ht="13.5" customHeight="1">
      <c r="A883" s="31"/>
      <c r="B883" s="31"/>
      <c r="C883" s="31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1"/>
      <c r="AA883" s="31"/>
      <c r="AB883" s="31"/>
      <c r="AC883" s="31"/>
      <c r="AD883" s="31"/>
      <c r="AE883" s="31"/>
      <c r="AF883" s="31"/>
      <c r="AG883" s="31"/>
      <c r="AH883" s="31"/>
      <c r="AI883" s="31"/>
      <c r="AJ883" s="31"/>
      <c r="AK883" s="31"/>
      <c r="AL883" s="31"/>
      <c r="AM883" s="31"/>
      <c r="AN883" s="31"/>
      <c r="AO883" s="31"/>
      <c r="AP883" s="31"/>
      <c r="AQ883" s="31"/>
      <c r="AR883" s="31"/>
      <c r="AS883" s="31"/>
    </row>
    <row r="884" spans="1:45" ht="13.5" customHeight="1">
      <c r="A884" s="31"/>
      <c r="B884" s="31"/>
      <c r="C884" s="31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1"/>
      <c r="AA884" s="31"/>
      <c r="AB884" s="31"/>
      <c r="AC884" s="31"/>
      <c r="AD884" s="31"/>
      <c r="AE884" s="31"/>
      <c r="AF884" s="31"/>
      <c r="AG884" s="31"/>
      <c r="AH884" s="31"/>
      <c r="AI884" s="31"/>
      <c r="AJ884" s="31"/>
      <c r="AK884" s="31"/>
      <c r="AL884" s="31"/>
      <c r="AM884" s="31"/>
      <c r="AN884" s="31"/>
      <c r="AO884" s="31"/>
      <c r="AP884" s="31"/>
      <c r="AQ884" s="31"/>
      <c r="AR884" s="31"/>
      <c r="AS884" s="31"/>
    </row>
    <row r="885" spans="1:45" ht="13.5" customHeight="1">
      <c r="A885" s="31"/>
      <c r="B885" s="31"/>
      <c r="C885" s="31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1"/>
      <c r="AA885" s="31"/>
      <c r="AB885" s="31"/>
      <c r="AC885" s="31"/>
      <c r="AD885" s="31"/>
      <c r="AE885" s="31"/>
      <c r="AF885" s="31"/>
      <c r="AG885" s="31"/>
      <c r="AH885" s="31"/>
      <c r="AI885" s="31"/>
      <c r="AJ885" s="31"/>
      <c r="AK885" s="31"/>
      <c r="AL885" s="31"/>
      <c r="AM885" s="31"/>
      <c r="AN885" s="31"/>
      <c r="AO885" s="31"/>
      <c r="AP885" s="31"/>
      <c r="AQ885" s="31"/>
      <c r="AR885" s="31"/>
      <c r="AS885" s="31"/>
    </row>
    <row r="886" spans="1:45" ht="13.5" customHeight="1">
      <c r="A886" s="31"/>
      <c r="B886" s="31"/>
      <c r="C886" s="31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1"/>
      <c r="AA886" s="31"/>
      <c r="AB886" s="31"/>
      <c r="AC886" s="31"/>
      <c r="AD886" s="31"/>
      <c r="AE886" s="31"/>
      <c r="AF886" s="31"/>
      <c r="AG886" s="31"/>
      <c r="AH886" s="31"/>
      <c r="AI886" s="31"/>
      <c r="AJ886" s="31"/>
      <c r="AK886" s="31"/>
      <c r="AL886" s="31"/>
      <c r="AM886" s="31"/>
      <c r="AN886" s="31"/>
      <c r="AO886" s="31"/>
      <c r="AP886" s="31"/>
      <c r="AQ886" s="31"/>
      <c r="AR886" s="31"/>
      <c r="AS886" s="31"/>
    </row>
    <row r="887" spans="1:45" ht="13.5" customHeight="1">
      <c r="A887" s="31"/>
      <c r="B887" s="31"/>
      <c r="C887" s="31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1"/>
      <c r="AA887" s="31"/>
      <c r="AB887" s="31"/>
      <c r="AC887" s="31"/>
      <c r="AD887" s="31"/>
      <c r="AE887" s="31"/>
      <c r="AF887" s="31"/>
      <c r="AG887" s="31"/>
      <c r="AH887" s="31"/>
      <c r="AI887" s="31"/>
      <c r="AJ887" s="31"/>
      <c r="AK887" s="31"/>
      <c r="AL887" s="31"/>
      <c r="AM887" s="31"/>
      <c r="AN887" s="31"/>
      <c r="AO887" s="31"/>
      <c r="AP887" s="31"/>
      <c r="AQ887" s="31"/>
      <c r="AR887" s="31"/>
      <c r="AS887" s="31"/>
    </row>
    <row r="888" spans="1:45" ht="13.5" customHeight="1">
      <c r="A888" s="31"/>
      <c r="B888" s="31"/>
      <c r="C888" s="31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1"/>
      <c r="AA888" s="31"/>
      <c r="AB888" s="31"/>
      <c r="AC888" s="31"/>
      <c r="AD888" s="31"/>
      <c r="AE888" s="31"/>
      <c r="AF888" s="31"/>
      <c r="AG888" s="31"/>
      <c r="AH888" s="31"/>
      <c r="AI888" s="31"/>
      <c r="AJ888" s="31"/>
      <c r="AK888" s="31"/>
      <c r="AL888" s="31"/>
      <c r="AM888" s="31"/>
      <c r="AN888" s="31"/>
      <c r="AO888" s="31"/>
      <c r="AP888" s="31"/>
      <c r="AQ888" s="31"/>
      <c r="AR888" s="31"/>
      <c r="AS888" s="31"/>
    </row>
    <row r="889" spans="1:45" ht="13.5" customHeight="1">
      <c r="A889" s="31"/>
      <c r="B889" s="31"/>
      <c r="C889" s="31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1"/>
      <c r="AA889" s="31"/>
      <c r="AB889" s="31"/>
      <c r="AC889" s="31"/>
      <c r="AD889" s="31"/>
      <c r="AE889" s="31"/>
      <c r="AF889" s="31"/>
      <c r="AG889" s="31"/>
      <c r="AH889" s="31"/>
      <c r="AI889" s="31"/>
      <c r="AJ889" s="31"/>
      <c r="AK889" s="31"/>
      <c r="AL889" s="31"/>
      <c r="AM889" s="31"/>
      <c r="AN889" s="31"/>
      <c r="AO889" s="31"/>
      <c r="AP889" s="31"/>
      <c r="AQ889" s="31"/>
      <c r="AR889" s="31"/>
      <c r="AS889" s="31"/>
    </row>
    <row r="890" spans="1:45" ht="13.5" customHeight="1">
      <c r="A890" s="31"/>
      <c r="B890" s="31"/>
      <c r="C890" s="31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1"/>
      <c r="AA890" s="31"/>
      <c r="AB890" s="31"/>
      <c r="AC890" s="31"/>
      <c r="AD890" s="31"/>
      <c r="AE890" s="31"/>
      <c r="AF890" s="31"/>
      <c r="AG890" s="31"/>
      <c r="AH890" s="31"/>
      <c r="AI890" s="31"/>
      <c r="AJ890" s="31"/>
      <c r="AK890" s="31"/>
      <c r="AL890" s="31"/>
      <c r="AM890" s="31"/>
      <c r="AN890" s="31"/>
      <c r="AO890" s="31"/>
      <c r="AP890" s="31"/>
      <c r="AQ890" s="31"/>
      <c r="AR890" s="31"/>
      <c r="AS890" s="31"/>
    </row>
    <row r="891" spans="1:45" ht="13.5" customHeight="1">
      <c r="A891" s="31"/>
      <c r="B891" s="31"/>
      <c r="C891" s="31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1"/>
      <c r="AA891" s="31"/>
      <c r="AB891" s="31"/>
      <c r="AC891" s="31"/>
      <c r="AD891" s="31"/>
      <c r="AE891" s="31"/>
      <c r="AF891" s="31"/>
      <c r="AG891" s="31"/>
      <c r="AH891" s="31"/>
      <c r="AI891" s="31"/>
      <c r="AJ891" s="31"/>
      <c r="AK891" s="31"/>
      <c r="AL891" s="31"/>
      <c r="AM891" s="31"/>
      <c r="AN891" s="31"/>
      <c r="AO891" s="31"/>
      <c r="AP891" s="31"/>
      <c r="AQ891" s="31"/>
      <c r="AR891" s="31"/>
      <c r="AS891" s="31"/>
    </row>
    <row r="892" spans="1:45" ht="13.5" customHeight="1">
      <c r="A892" s="31"/>
      <c r="B892" s="31"/>
      <c r="C892" s="31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1"/>
      <c r="AA892" s="31"/>
      <c r="AB892" s="31"/>
      <c r="AC892" s="31"/>
      <c r="AD892" s="31"/>
      <c r="AE892" s="31"/>
      <c r="AF892" s="31"/>
      <c r="AG892" s="31"/>
      <c r="AH892" s="31"/>
      <c r="AI892" s="31"/>
      <c r="AJ892" s="31"/>
      <c r="AK892" s="31"/>
      <c r="AL892" s="31"/>
      <c r="AM892" s="31"/>
      <c r="AN892" s="31"/>
      <c r="AO892" s="31"/>
      <c r="AP892" s="31"/>
      <c r="AQ892" s="31"/>
      <c r="AR892" s="31"/>
      <c r="AS892" s="31"/>
    </row>
    <row r="893" spans="1:45" ht="13.5" customHeight="1">
      <c r="A893" s="31"/>
      <c r="B893" s="31"/>
      <c r="C893" s="31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1"/>
      <c r="AA893" s="31"/>
      <c r="AB893" s="31"/>
      <c r="AC893" s="31"/>
      <c r="AD893" s="31"/>
      <c r="AE893" s="31"/>
      <c r="AF893" s="31"/>
      <c r="AG893" s="31"/>
      <c r="AH893" s="31"/>
      <c r="AI893" s="31"/>
      <c r="AJ893" s="31"/>
      <c r="AK893" s="31"/>
      <c r="AL893" s="31"/>
      <c r="AM893" s="31"/>
      <c r="AN893" s="31"/>
      <c r="AO893" s="31"/>
      <c r="AP893" s="31"/>
      <c r="AQ893" s="31"/>
      <c r="AR893" s="31"/>
      <c r="AS893" s="31"/>
    </row>
    <row r="894" spans="1:45" ht="13.5" customHeight="1">
      <c r="A894" s="31"/>
      <c r="B894" s="31"/>
      <c r="C894" s="31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1"/>
      <c r="AA894" s="31"/>
      <c r="AB894" s="31"/>
      <c r="AC894" s="31"/>
      <c r="AD894" s="31"/>
      <c r="AE894" s="31"/>
      <c r="AF894" s="31"/>
      <c r="AG894" s="31"/>
      <c r="AH894" s="31"/>
      <c r="AI894" s="31"/>
      <c r="AJ894" s="31"/>
      <c r="AK894" s="31"/>
      <c r="AL894" s="31"/>
      <c r="AM894" s="31"/>
      <c r="AN894" s="31"/>
      <c r="AO894" s="31"/>
      <c r="AP894" s="31"/>
      <c r="AQ894" s="31"/>
      <c r="AR894" s="31"/>
      <c r="AS894" s="31"/>
    </row>
    <row r="895" spans="1:45" ht="13.5" customHeight="1">
      <c r="A895" s="31"/>
      <c r="B895" s="31"/>
      <c r="C895" s="31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1"/>
      <c r="AA895" s="31"/>
      <c r="AB895" s="31"/>
      <c r="AC895" s="31"/>
      <c r="AD895" s="31"/>
      <c r="AE895" s="31"/>
      <c r="AF895" s="31"/>
      <c r="AG895" s="31"/>
      <c r="AH895" s="31"/>
      <c r="AI895" s="31"/>
      <c r="AJ895" s="31"/>
      <c r="AK895" s="31"/>
      <c r="AL895" s="31"/>
      <c r="AM895" s="31"/>
      <c r="AN895" s="31"/>
      <c r="AO895" s="31"/>
      <c r="AP895" s="31"/>
      <c r="AQ895" s="31"/>
      <c r="AR895" s="31"/>
      <c r="AS895" s="31"/>
    </row>
    <row r="896" spans="1:45" ht="13.5" customHeight="1">
      <c r="A896" s="31"/>
      <c r="B896" s="31"/>
      <c r="C896" s="31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1"/>
      <c r="AA896" s="31"/>
      <c r="AB896" s="31"/>
      <c r="AC896" s="31"/>
      <c r="AD896" s="31"/>
      <c r="AE896" s="31"/>
      <c r="AF896" s="31"/>
      <c r="AG896" s="31"/>
      <c r="AH896" s="31"/>
      <c r="AI896" s="31"/>
      <c r="AJ896" s="31"/>
      <c r="AK896" s="31"/>
      <c r="AL896" s="31"/>
      <c r="AM896" s="31"/>
      <c r="AN896" s="31"/>
      <c r="AO896" s="31"/>
      <c r="AP896" s="31"/>
      <c r="AQ896" s="31"/>
      <c r="AR896" s="31"/>
      <c r="AS896" s="31"/>
    </row>
    <row r="897" spans="1:45" ht="13.5" customHeight="1">
      <c r="A897" s="31"/>
      <c r="B897" s="31"/>
      <c r="C897" s="31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1"/>
      <c r="AA897" s="31"/>
      <c r="AB897" s="31"/>
      <c r="AC897" s="31"/>
      <c r="AD897" s="31"/>
      <c r="AE897" s="31"/>
      <c r="AF897" s="31"/>
      <c r="AG897" s="31"/>
      <c r="AH897" s="31"/>
      <c r="AI897" s="31"/>
      <c r="AJ897" s="31"/>
      <c r="AK897" s="31"/>
      <c r="AL897" s="31"/>
      <c r="AM897" s="31"/>
      <c r="AN897" s="31"/>
      <c r="AO897" s="31"/>
      <c r="AP897" s="31"/>
      <c r="AQ897" s="31"/>
      <c r="AR897" s="31"/>
      <c r="AS897" s="31"/>
    </row>
    <row r="898" spans="1:45" ht="13.5" customHeight="1">
      <c r="A898" s="31"/>
      <c r="B898" s="31"/>
      <c r="C898" s="31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1"/>
      <c r="AA898" s="31"/>
      <c r="AB898" s="31"/>
      <c r="AC898" s="31"/>
      <c r="AD898" s="31"/>
      <c r="AE898" s="31"/>
      <c r="AF898" s="31"/>
      <c r="AG898" s="31"/>
      <c r="AH898" s="31"/>
      <c r="AI898" s="31"/>
      <c r="AJ898" s="31"/>
      <c r="AK898" s="31"/>
      <c r="AL898" s="31"/>
      <c r="AM898" s="31"/>
      <c r="AN898" s="31"/>
      <c r="AO898" s="31"/>
      <c r="AP898" s="31"/>
      <c r="AQ898" s="31"/>
      <c r="AR898" s="31"/>
      <c r="AS898" s="31"/>
    </row>
    <row r="899" spans="1:45" ht="13.5" customHeight="1">
      <c r="A899" s="31"/>
      <c r="B899" s="31"/>
      <c r="C899" s="31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1"/>
      <c r="AA899" s="31"/>
      <c r="AB899" s="31"/>
      <c r="AC899" s="31"/>
      <c r="AD899" s="31"/>
      <c r="AE899" s="31"/>
      <c r="AF899" s="31"/>
      <c r="AG899" s="31"/>
      <c r="AH899" s="31"/>
      <c r="AI899" s="31"/>
      <c r="AJ899" s="31"/>
      <c r="AK899" s="31"/>
      <c r="AL899" s="31"/>
      <c r="AM899" s="31"/>
      <c r="AN899" s="31"/>
      <c r="AO899" s="31"/>
      <c r="AP899" s="31"/>
      <c r="AQ899" s="31"/>
      <c r="AR899" s="31"/>
      <c r="AS899" s="31"/>
    </row>
    <row r="900" spans="1:45" ht="13.5" customHeight="1">
      <c r="A900" s="31"/>
      <c r="B900" s="31"/>
      <c r="C900" s="31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1"/>
      <c r="AA900" s="31"/>
      <c r="AB900" s="31"/>
      <c r="AC900" s="31"/>
      <c r="AD900" s="31"/>
      <c r="AE900" s="31"/>
      <c r="AF900" s="31"/>
      <c r="AG900" s="31"/>
      <c r="AH900" s="31"/>
      <c r="AI900" s="31"/>
      <c r="AJ900" s="31"/>
      <c r="AK900" s="31"/>
      <c r="AL900" s="31"/>
      <c r="AM900" s="31"/>
      <c r="AN900" s="31"/>
      <c r="AO900" s="31"/>
      <c r="AP900" s="31"/>
      <c r="AQ900" s="31"/>
      <c r="AR900" s="31"/>
      <c r="AS900" s="31"/>
    </row>
    <row r="901" spans="1:45" ht="13.5" customHeight="1">
      <c r="A901" s="31"/>
      <c r="B901" s="31"/>
      <c r="C901" s="31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1"/>
      <c r="AA901" s="31"/>
      <c r="AB901" s="31"/>
      <c r="AC901" s="31"/>
      <c r="AD901" s="31"/>
      <c r="AE901" s="31"/>
      <c r="AF901" s="31"/>
      <c r="AG901" s="31"/>
      <c r="AH901" s="31"/>
      <c r="AI901" s="31"/>
      <c r="AJ901" s="31"/>
      <c r="AK901" s="31"/>
      <c r="AL901" s="31"/>
      <c r="AM901" s="31"/>
      <c r="AN901" s="31"/>
      <c r="AO901" s="31"/>
      <c r="AP901" s="31"/>
      <c r="AQ901" s="31"/>
      <c r="AR901" s="31"/>
      <c r="AS901" s="31"/>
    </row>
    <row r="902" spans="1:45" ht="13.5" customHeight="1">
      <c r="A902" s="31"/>
      <c r="B902" s="31"/>
      <c r="C902" s="31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1"/>
      <c r="AA902" s="31"/>
      <c r="AB902" s="31"/>
      <c r="AC902" s="31"/>
      <c r="AD902" s="31"/>
      <c r="AE902" s="31"/>
      <c r="AF902" s="31"/>
      <c r="AG902" s="31"/>
      <c r="AH902" s="31"/>
      <c r="AI902" s="31"/>
      <c r="AJ902" s="31"/>
      <c r="AK902" s="31"/>
      <c r="AL902" s="31"/>
      <c r="AM902" s="31"/>
      <c r="AN902" s="31"/>
      <c r="AO902" s="31"/>
      <c r="AP902" s="31"/>
      <c r="AQ902" s="31"/>
      <c r="AR902" s="31"/>
      <c r="AS902" s="31"/>
    </row>
    <row r="903" spans="1:45" ht="13.5" customHeight="1">
      <c r="A903" s="31"/>
      <c r="B903" s="31"/>
      <c r="C903" s="31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1"/>
      <c r="AA903" s="31"/>
      <c r="AB903" s="31"/>
      <c r="AC903" s="31"/>
      <c r="AD903" s="31"/>
      <c r="AE903" s="31"/>
      <c r="AF903" s="31"/>
      <c r="AG903" s="31"/>
      <c r="AH903" s="31"/>
      <c r="AI903" s="31"/>
      <c r="AJ903" s="31"/>
      <c r="AK903" s="31"/>
      <c r="AL903" s="31"/>
      <c r="AM903" s="31"/>
      <c r="AN903" s="31"/>
      <c r="AO903" s="31"/>
      <c r="AP903" s="31"/>
      <c r="AQ903" s="31"/>
      <c r="AR903" s="31"/>
      <c r="AS903" s="31"/>
    </row>
    <row r="904" spans="1:45" ht="13.5" customHeight="1">
      <c r="A904" s="31"/>
      <c r="B904" s="31"/>
      <c r="C904" s="31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1"/>
      <c r="AA904" s="31"/>
      <c r="AB904" s="31"/>
      <c r="AC904" s="31"/>
      <c r="AD904" s="31"/>
      <c r="AE904" s="31"/>
      <c r="AF904" s="31"/>
      <c r="AG904" s="31"/>
      <c r="AH904" s="31"/>
      <c r="AI904" s="31"/>
      <c r="AJ904" s="31"/>
      <c r="AK904" s="31"/>
      <c r="AL904" s="31"/>
      <c r="AM904" s="31"/>
      <c r="AN904" s="31"/>
      <c r="AO904" s="31"/>
      <c r="AP904" s="31"/>
      <c r="AQ904" s="31"/>
      <c r="AR904" s="31"/>
      <c r="AS904" s="31"/>
    </row>
    <row r="905" spans="1:45" ht="13.5" customHeight="1">
      <c r="A905" s="31"/>
      <c r="B905" s="31"/>
      <c r="C905" s="31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1"/>
      <c r="AA905" s="31"/>
      <c r="AB905" s="31"/>
      <c r="AC905" s="31"/>
      <c r="AD905" s="31"/>
      <c r="AE905" s="31"/>
      <c r="AF905" s="31"/>
      <c r="AG905" s="31"/>
      <c r="AH905" s="31"/>
      <c r="AI905" s="31"/>
      <c r="AJ905" s="31"/>
      <c r="AK905" s="31"/>
      <c r="AL905" s="31"/>
      <c r="AM905" s="31"/>
      <c r="AN905" s="31"/>
      <c r="AO905" s="31"/>
      <c r="AP905" s="31"/>
      <c r="AQ905" s="31"/>
      <c r="AR905" s="31"/>
      <c r="AS905" s="31"/>
    </row>
    <row r="906" spans="1:45" ht="13.5" customHeight="1">
      <c r="A906" s="31"/>
      <c r="B906" s="31"/>
      <c r="C906" s="31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1"/>
      <c r="AA906" s="31"/>
      <c r="AB906" s="31"/>
      <c r="AC906" s="31"/>
      <c r="AD906" s="31"/>
      <c r="AE906" s="31"/>
      <c r="AF906" s="31"/>
      <c r="AG906" s="31"/>
      <c r="AH906" s="31"/>
      <c r="AI906" s="31"/>
      <c r="AJ906" s="31"/>
      <c r="AK906" s="31"/>
      <c r="AL906" s="31"/>
      <c r="AM906" s="31"/>
      <c r="AN906" s="31"/>
      <c r="AO906" s="31"/>
      <c r="AP906" s="31"/>
      <c r="AQ906" s="31"/>
      <c r="AR906" s="31"/>
      <c r="AS906" s="31"/>
    </row>
    <row r="907" spans="1:45" ht="13.5" customHeight="1">
      <c r="A907" s="31"/>
      <c r="B907" s="31"/>
      <c r="C907" s="31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1"/>
      <c r="AA907" s="31"/>
      <c r="AB907" s="31"/>
      <c r="AC907" s="31"/>
      <c r="AD907" s="31"/>
      <c r="AE907" s="31"/>
      <c r="AF907" s="31"/>
      <c r="AG907" s="31"/>
      <c r="AH907" s="31"/>
      <c r="AI907" s="31"/>
      <c r="AJ907" s="31"/>
      <c r="AK907" s="31"/>
      <c r="AL907" s="31"/>
      <c r="AM907" s="31"/>
      <c r="AN907" s="31"/>
      <c r="AO907" s="31"/>
      <c r="AP907" s="31"/>
      <c r="AQ907" s="31"/>
      <c r="AR907" s="31"/>
      <c r="AS907" s="31"/>
    </row>
    <row r="908" spans="1:45" ht="13.5" customHeight="1">
      <c r="A908" s="31"/>
      <c r="B908" s="31"/>
      <c r="C908" s="31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1"/>
      <c r="AA908" s="31"/>
      <c r="AB908" s="31"/>
      <c r="AC908" s="31"/>
      <c r="AD908" s="31"/>
      <c r="AE908" s="31"/>
      <c r="AF908" s="31"/>
      <c r="AG908" s="31"/>
      <c r="AH908" s="31"/>
      <c r="AI908" s="31"/>
      <c r="AJ908" s="31"/>
      <c r="AK908" s="31"/>
      <c r="AL908" s="31"/>
      <c r="AM908" s="31"/>
      <c r="AN908" s="31"/>
      <c r="AO908" s="31"/>
      <c r="AP908" s="31"/>
      <c r="AQ908" s="31"/>
      <c r="AR908" s="31"/>
      <c r="AS908" s="31"/>
    </row>
    <row r="909" spans="1:45" ht="13.5" customHeight="1">
      <c r="A909" s="31"/>
      <c r="B909" s="31"/>
      <c r="C909" s="31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1"/>
      <c r="AA909" s="31"/>
      <c r="AB909" s="31"/>
      <c r="AC909" s="31"/>
      <c r="AD909" s="31"/>
      <c r="AE909" s="31"/>
      <c r="AF909" s="31"/>
      <c r="AG909" s="31"/>
      <c r="AH909" s="31"/>
      <c r="AI909" s="31"/>
      <c r="AJ909" s="31"/>
      <c r="AK909" s="31"/>
      <c r="AL909" s="31"/>
      <c r="AM909" s="31"/>
      <c r="AN909" s="31"/>
      <c r="AO909" s="31"/>
      <c r="AP909" s="31"/>
      <c r="AQ909" s="31"/>
      <c r="AR909" s="31"/>
      <c r="AS909" s="31"/>
    </row>
    <row r="910" spans="1:45" ht="13.5" customHeight="1">
      <c r="A910" s="31"/>
      <c r="B910" s="31"/>
      <c r="C910" s="31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1"/>
      <c r="AA910" s="31"/>
      <c r="AB910" s="31"/>
      <c r="AC910" s="31"/>
      <c r="AD910" s="31"/>
      <c r="AE910" s="31"/>
      <c r="AF910" s="31"/>
      <c r="AG910" s="31"/>
      <c r="AH910" s="31"/>
      <c r="AI910" s="31"/>
      <c r="AJ910" s="31"/>
      <c r="AK910" s="31"/>
      <c r="AL910" s="31"/>
      <c r="AM910" s="31"/>
      <c r="AN910" s="31"/>
      <c r="AO910" s="31"/>
      <c r="AP910" s="31"/>
      <c r="AQ910" s="31"/>
      <c r="AR910" s="31"/>
      <c r="AS910" s="31"/>
    </row>
    <row r="911" spans="1:45" ht="13.5" customHeight="1">
      <c r="A911" s="31"/>
      <c r="B911" s="31"/>
      <c r="C911" s="31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1"/>
      <c r="AA911" s="31"/>
      <c r="AB911" s="31"/>
      <c r="AC911" s="31"/>
      <c r="AD911" s="31"/>
      <c r="AE911" s="31"/>
      <c r="AF911" s="31"/>
      <c r="AG911" s="31"/>
      <c r="AH911" s="31"/>
      <c r="AI911" s="31"/>
      <c r="AJ911" s="31"/>
      <c r="AK911" s="31"/>
      <c r="AL911" s="31"/>
      <c r="AM911" s="31"/>
      <c r="AN911" s="31"/>
      <c r="AO911" s="31"/>
      <c r="AP911" s="31"/>
      <c r="AQ911" s="31"/>
      <c r="AR911" s="31"/>
      <c r="AS911" s="31"/>
    </row>
    <row r="912" spans="1:45" ht="13.5" customHeight="1">
      <c r="A912" s="31"/>
      <c r="B912" s="31"/>
      <c r="C912" s="31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1"/>
      <c r="AA912" s="31"/>
      <c r="AB912" s="31"/>
      <c r="AC912" s="31"/>
      <c r="AD912" s="31"/>
      <c r="AE912" s="31"/>
      <c r="AF912" s="31"/>
      <c r="AG912" s="31"/>
      <c r="AH912" s="31"/>
      <c r="AI912" s="31"/>
      <c r="AJ912" s="31"/>
      <c r="AK912" s="31"/>
      <c r="AL912" s="31"/>
      <c r="AM912" s="31"/>
      <c r="AN912" s="31"/>
      <c r="AO912" s="31"/>
      <c r="AP912" s="31"/>
      <c r="AQ912" s="31"/>
      <c r="AR912" s="31"/>
      <c r="AS912" s="31"/>
    </row>
    <row r="913" spans="1:45" ht="13.5" customHeight="1">
      <c r="A913" s="31"/>
      <c r="B913" s="31"/>
      <c r="C913" s="31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1"/>
      <c r="AA913" s="31"/>
      <c r="AB913" s="31"/>
      <c r="AC913" s="31"/>
      <c r="AD913" s="31"/>
      <c r="AE913" s="31"/>
      <c r="AF913" s="31"/>
      <c r="AG913" s="31"/>
      <c r="AH913" s="31"/>
      <c r="AI913" s="31"/>
      <c r="AJ913" s="31"/>
      <c r="AK913" s="31"/>
      <c r="AL913" s="31"/>
      <c r="AM913" s="31"/>
      <c r="AN913" s="31"/>
      <c r="AO913" s="31"/>
      <c r="AP913" s="31"/>
      <c r="AQ913" s="31"/>
      <c r="AR913" s="31"/>
      <c r="AS913" s="31"/>
    </row>
    <row r="914" spans="1:45" ht="13.5" customHeight="1">
      <c r="A914" s="31"/>
      <c r="B914" s="31"/>
      <c r="C914" s="31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1"/>
      <c r="AA914" s="31"/>
      <c r="AB914" s="31"/>
      <c r="AC914" s="31"/>
      <c r="AD914" s="31"/>
      <c r="AE914" s="31"/>
      <c r="AF914" s="31"/>
      <c r="AG914" s="31"/>
      <c r="AH914" s="31"/>
      <c r="AI914" s="31"/>
      <c r="AJ914" s="31"/>
      <c r="AK914" s="31"/>
      <c r="AL914" s="31"/>
      <c r="AM914" s="31"/>
      <c r="AN914" s="31"/>
      <c r="AO914" s="31"/>
      <c r="AP914" s="31"/>
      <c r="AQ914" s="31"/>
      <c r="AR914" s="31"/>
      <c r="AS914" s="31"/>
    </row>
    <row r="915" spans="1:45" ht="13.5" customHeight="1">
      <c r="A915" s="31"/>
      <c r="B915" s="31"/>
      <c r="C915" s="31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1"/>
      <c r="AA915" s="31"/>
      <c r="AB915" s="31"/>
      <c r="AC915" s="31"/>
      <c r="AD915" s="31"/>
      <c r="AE915" s="31"/>
      <c r="AF915" s="31"/>
      <c r="AG915" s="31"/>
      <c r="AH915" s="31"/>
      <c r="AI915" s="31"/>
      <c r="AJ915" s="31"/>
      <c r="AK915" s="31"/>
      <c r="AL915" s="31"/>
      <c r="AM915" s="31"/>
      <c r="AN915" s="31"/>
      <c r="AO915" s="31"/>
      <c r="AP915" s="31"/>
      <c r="AQ915" s="31"/>
      <c r="AR915" s="31"/>
      <c r="AS915" s="31"/>
    </row>
    <row r="916" spans="1:45" ht="13.5" customHeight="1">
      <c r="A916" s="31"/>
      <c r="B916" s="31"/>
      <c r="C916" s="31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1"/>
      <c r="AA916" s="31"/>
      <c r="AB916" s="31"/>
      <c r="AC916" s="31"/>
      <c r="AD916" s="31"/>
      <c r="AE916" s="31"/>
      <c r="AF916" s="31"/>
      <c r="AG916" s="31"/>
      <c r="AH916" s="31"/>
      <c r="AI916" s="31"/>
      <c r="AJ916" s="31"/>
      <c r="AK916" s="31"/>
      <c r="AL916" s="31"/>
      <c r="AM916" s="31"/>
      <c r="AN916" s="31"/>
      <c r="AO916" s="31"/>
      <c r="AP916" s="31"/>
      <c r="AQ916" s="31"/>
      <c r="AR916" s="31"/>
      <c r="AS916" s="31"/>
    </row>
    <row r="917" spans="1:45" ht="13.5" customHeight="1">
      <c r="A917" s="31"/>
      <c r="B917" s="31"/>
      <c r="C917" s="31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1"/>
      <c r="AA917" s="31"/>
      <c r="AB917" s="31"/>
      <c r="AC917" s="31"/>
      <c r="AD917" s="31"/>
      <c r="AE917" s="31"/>
      <c r="AF917" s="31"/>
      <c r="AG917" s="31"/>
      <c r="AH917" s="31"/>
      <c r="AI917" s="31"/>
      <c r="AJ917" s="31"/>
      <c r="AK917" s="31"/>
      <c r="AL917" s="31"/>
      <c r="AM917" s="31"/>
      <c r="AN917" s="31"/>
      <c r="AO917" s="31"/>
      <c r="AP917" s="31"/>
      <c r="AQ917" s="31"/>
      <c r="AR917" s="31"/>
      <c r="AS917" s="31"/>
    </row>
    <row r="918" spans="1:45" ht="13.5" customHeight="1">
      <c r="A918" s="31"/>
      <c r="B918" s="31"/>
      <c r="C918" s="31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1"/>
      <c r="AA918" s="31"/>
      <c r="AB918" s="31"/>
      <c r="AC918" s="31"/>
      <c r="AD918" s="31"/>
      <c r="AE918" s="31"/>
      <c r="AF918" s="31"/>
      <c r="AG918" s="31"/>
      <c r="AH918" s="31"/>
      <c r="AI918" s="31"/>
      <c r="AJ918" s="31"/>
      <c r="AK918" s="31"/>
      <c r="AL918" s="31"/>
      <c r="AM918" s="31"/>
      <c r="AN918" s="31"/>
      <c r="AO918" s="31"/>
      <c r="AP918" s="31"/>
      <c r="AQ918" s="31"/>
      <c r="AR918" s="31"/>
      <c r="AS918" s="31"/>
    </row>
    <row r="919" spans="1:45" ht="13.5" customHeight="1">
      <c r="A919" s="31"/>
      <c r="B919" s="31"/>
      <c r="C919" s="31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1"/>
      <c r="AA919" s="31"/>
      <c r="AB919" s="31"/>
      <c r="AC919" s="31"/>
      <c r="AD919" s="31"/>
      <c r="AE919" s="31"/>
      <c r="AF919" s="31"/>
      <c r="AG919" s="31"/>
      <c r="AH919" s="31"/>
      <c r="AI919" s="31"/>
      <c r="AJ919" s="31"/>
      <c r="AK919" s="31"/>
      <c r="AL919" s="31"/>
      <c r="AM919" s="31"/>
      <c r="AN919" s="31"/>
      <c r="AO919" s="31"/>
      <c r="AP919" s="31"/>
      <c r="AQ919" s="31"/>
      <c r="AR919" s="31"/>
      <c r="AS919" s="31"/>
    </row>
    <row r="920" spans="1:45" ht="13.5" customHeight="1">
      <c r="A920" s="31"/>
      <c r="B920" s="31"/>
      <c r="C920" s="31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1"/>
      <c r="AA920" s="31"/>
      <c r="AB920" s="31"/>
      <c r="AC920" s="31"/>
      <c r="AD920" s="31"/>
      <c r="AE920" s="31"/>
      <c r="AF920" s="31"/>
      <c r="AG920" s="31"/>
      <c r="AH920" s="31"/>
      <c r="AI920" s="31"/>
      <c r="AJ920" s="31"/>
      <c r="AK920" s="31"/>
      <c r="AL920" s="31"/>
      <c r="AM920" s="31"/>
      <c r="AN920" s="31"/>
      <c r="AO920" s="31"/>
      <c r="AP920" s="31"/>
      <c r="AQ920" s="31"/>
      <c r="AR920" s="31"/>
      <c r="AS920" s="31"/>
    </row>
    <row r="921" spans="1:45" ht="13.5" customHeight="1">
      <c r="A921" s="31"/>
      <c r="B921" s="31"/>
      <c r="C921" s="31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1"/>
      <c r="AA921" s="31"/>
      <c r="AB921" s="31"/>
      <c r="AC921" s="31"/>
      <c r="AD921" s="31"/>
      <c r="AE921" s="31"/>
      <c r="AF921" s="31"/>
      <c r="AG921" s="31"/>
      <c r="AH921" s="31"/>
      <c r="AI921" s="31"/>
      <c r="AJ921" s="31"/>
      <c r="AK921" s="31"/>
      <c r="AL921" s="31"/>
      <c r="AM921" s="31"/>
      <c r="AN921" s="31"/>
      <c r="AO921" s="31"/>
      <c r="AP921" s="31"/>
      <c r="AQ921" s="31"/>
      <c r="AR921" s="31"/>
      <c r="AS921" s="31"/>
    </row>
    <row r="922" spans="1:45" ht="13.5" customHeight="1">
      <c r="A922" s="31"/>
      <c r="B922" s="31"/>
      <c r="C922" s="31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1"/>
      <c r="AA922" s="31"/>
      <c r="AB922" s="31"/>
      <c r="AC922" s="31"/>
      <c r="AD922" s="31"/>
      <c r="AE922" s="31"/>
      <c r="AF922" s="31"/>
      <c r="AG922" s="31"/>
      <c r="AH922" s="31"/>
      <c r="AI922" s="31"/>
      <c r="AJ922" s="31"/>
      <c r="AK922" s="31"/>
      <c r="AL922" s="31"/>
      <c r="AM922" s="31"/>
      <c r="AN922" s="31"/>
      <c r="AO922" s="31"/>
      <c r="AP922" s="31"/>
      <c r="AQ922" s="31"/>
      <c r="AR922" s="31"/>
      <c r="AS922" s="31"/>
    </row>
    <row r="923" spans="1:45" ht="13.5" customHeight="1">
      <c r="A923" s="31"/>
      <c r="B923" s="31"/>
      <c r="C923" s="31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1"/>
      <c r="AA923" s="31"/>
      <c r="AB923" s="31"/>
      <c r="AC923" s="31"/>
      <c r="AD923" s="31"/>
      <c r="AE923" s="31"/>
      <c r="AF923" s="31"/>
      <c r="AG923" s="31"/>
      <c r="AH923" s="31"/>
      <c r="AI923" s="31"/>
      <c r="AJ923" s="31"/>
      <c r="AK923" s="31"/>
      <c r="AL923" s="31"/>
      <c r="AM923" s="31"/>
      <c r="AN923" s="31"/>
      <c r="AO923" s="31"/>
      <c r="AP923" s="31"/>
      <c r="AQ923" s="31"/>
      <c r="AR923" s="31"/>
      <c r="AS923" s="31"/>
    </row>
    <row r="924" spans="1:45" ht="13.5" customHeight="1">
      <c r="A924" s="31"/>
      <c r="B924" s="31"/>
      <c r="C924" s="31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1"/>
      <c r="AA924" s="31"/>
      <c r="AB924" s="31"/>
      <c r="AC924" s="31"/>
      <c r="AD924" s="31"/>
      <c r="AE924" s="31"/>
      <c r="AF924" s="31"/>
      <c r="AG924" s="31"/>
      <c r="AH924" s="31"/>
      <c r="AI924" s="31"/>
      <c r="AJ924" s="31"/>
      <c r="AK924" s="31"/>
      <c r="AL924" s="31"/>
      <c r="AM924" s="31"/>
      <c r="AN924" s="31"/>
      <c r="AO924" s="31"/>
      <c r="AP924" s="31"/>
      <c r="AQ924" s="31"/>
      <c r="AR924" s="31"/>
      <c r="AS924" s="31"/>
    </row>
    <row r="925" spans="1:45" ht="13.5" customHeight="1">
      <c r="A925" s="31"/>
      <c r="B925" s="31"/>
      <c r="C925" s="31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1"/>
      <c r="AA925" s="31"/>
      <c r="AB925" s="31"/>
      <c r="AC925" s="31"/>
      <c r="AD925" s="31"/>
      <c r="AE925" s="31"/>
      <c r="AF925" s="31"/>
      <c r="AG925" s="31"/>
      <c r="AH925" s="31"/>
      <c r="AI925" s="31"/>
      <c r="AJ925" s="31"/>
      <c r="AK925" s="31"/>
      <c r="AL925" s="31"/>
      <c r="AM925" s="31"/>
      <c r="AN925" s="31"/>
      <c r="AO925" s="31"/>
      <c r="AP925" s="31"/>
      <c r="AQ925" s="31"/>
      <c r="AR925" s="31"/>
      <c r="AS925" s="31"/>
    </row>
    <row r="926" spans="1:45" ht="13.5" customHeight="1">
      <c r="A926" s="31"/>
      <c r="B926" s="31"/>
      <c r="C926" s="31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1"/>
      <c r="AA926" s="31"/>
      <c r="AB926" s="31"/>
      <c r="AC926" s="31"/>
      <c r="AD926" s="31"/>
      <c r="AE926" s="31"/>
      <c r="AF926" s="31"/>
      <c r="AG926" s="31"/>
      <c r="AH926" s="31"/>
      <c r="AI926" s="31"/>
      <c r="AJ926" s="31"/>
      <c r="AK926" s="31"/>
      <c r="AL926" s="31"/>
      <c r="AM926" s="31"/>
      <c r="AN926" s="31"/>
      <c r="AO926" s="31"/>
      <c r="AP926" s="31"/>
      <c r="AQ926" s="31"/>
      <c r="AR926" s="31"/>
      <c r="AS926" s="31"/>
    </row>
    <row r="927" spans="1:45" ht="13.5" customHeight="1">
      <c r="A927" s="31"/>
      <c r="B927" s="31"/>
      <c r="C927" s="31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1"/>
      <c r="AA927" s="31"/>
      <c r="AB927" s="31"/>
      <c r="AC927" s="31"/>
      <c r="AD927" s="31"/>
      <c r="AE927" s="31"/>
      <c r="AF927" s="31"/>
      <c r="AG927" s="31"/>
      <c r="AH927" s="31"/>
      <c r="AI927" s="31"/>
      <c r="AJ927" s="31"/>
      <c r="AK927" s="31"/>
      <c r="AL927" s="31"/>
      <c r="AM927" s="31"/>
      <c r="AN927" s="31"/>
      <c r="AO927" s="31"/>
      <c r="AP927" s="31"/>
      <c r="AQ927" s="31"/>
      <c r="AR927" s="31"/>
      <c r="AS927" s="31"/>
    </row>
    <row r="928" spans="1:45" ht="13.5" customHeight="1">
      <c r="A928" s="31"/>
      <c r="B928" s="31"/>
      <c r="C928" s="31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1"/>
      <c r="AA928" s="31"/>
      <c r="AB928" s="31"/>
      <c r="AC928" s="31"/>
      <c r="AD928" s="31"/>
      <c r="AE928" s="31"/>
      <c r="AF928" s="31"/>
      <c r="AG928" s="31"/>
      <c r="AH928" s="31"/>
      <c r="AI928" s="31"/>
      <c r="AJ928" s="31"/>
      <c r="AK928" s="31"/>
      <c r="AL928" s="31"/>
      <c r="AM928" s="31"/>
      <c r="AN928" s="31"/>
      <c r="AO928" s="31"/>
      <c r="AP928" s="31"/>
      <c r="AQ928" s="31"/>
      <c r="AR928" s="31"/>
      <c r="AS928" s="31"/>
    </row>
    <row r="929" spans="1:45" ht="13.5" customHeight="1">
      <c r="A929" s="31"/>
      <c r="B929" s="31"/>
      <c r="C929" s="31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1"/>
      <c r="AA929" s="31"/>
      <c r="AB929" s="31"/>
      <c r="AC929" s="31"/>
      <c r="AD929" s="31"/>
      <c r="AE929" s="31"/>
      <c r="AF929" s="31"/>
      <c r="AG929" s="31"/>
      <c r="AH929" s="31"/>
      <c r="AI929" s="31"/>
      <c r="AJ929" s="31"/>
      <c r="AK929" s="31"/>
      <c r="AL929" s="31"/>
      <c r="AM929" s="31"/>
      <c r="AN929" s="31"/>
      <c r="AO929" s="31"/>
      <c r="AP929" s="31"/>
      <c r="AQ929" s="31"/>
      <c r="AR929" s="31"/>
      <c r="AS929" s="31"/>
    </row>
    <row r="930" spans="1:45" ht="13.5" customHeight="1">
      <c r="A930" s="31"/>
      <c r="B930" s="31"/>
      <c r="C930" s="31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1"/>
      <c r="AA930" s="31"/>
      <c r="AB930" s="31"/>
      <c r="AC930" s="31"/>
      <c r="AD930" s="31"/>
      <c r="AE930" s="31"/>
      <c r="AF930" s="31"/>
      <c r="AG930" s="31"/>
      <c r="AH930" s="31"/>
      <c r="AI930" s="31"/>
      <c r="AJ930" s="31"/>
      <c r="AK930" s="31"/>
      <c r="AL930" s="31"/>
      <c r="AM930" s="31"/>
      <c r="AN930" s="31"/>
      <c r="AO930" s="31"/>
      <c r="AP930" s="31"/>
      <c r="AQ930" s="31"/>
      <c r="AR930" s="31"/>
      <c r="AS930" s="31"/>
    </row>
    <row r="931" spans="1:45" ht="13.5" customHeight="1">
      <c r="A931" s="31"/>
      <c r="B931" s="31"/>
      <c r="C931" s="31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1"/>
      <c r="AA931" s="31"/>
      <c r="AB931" s="31"/>
      <c r="AC931" s="31"/>
      <c r="AD931" s="31"/>
      <c r="AE931" s="31"/>
      <c r="AF931" s="31"/>
      <c r="AG931" s="31"/>
      <c r="AH931" s="31"/>
      <c r="AI931" s="31"/>
      <c r="AJ931" s="31"/>
      <c r="AK931" s="31"/>
      <c r="AL931" s="31"/>
      <c r="AM931" s="31"/>
      <c r="AN931" s="31"/>
      <c r="AO931" s="31"/>
      <c r="AP931" s="31"/>
      <c r="AQ931" s="31"/>
      <c r="AR931" s="31"/>
      <c r="AS931" s="31"/>
    </row>
    <row r="932" spans="1:45" ht="13.5" customHeight="1">
      <c r="A932" s="31"/>
      <c r="B932" s="31"/>
      <c r="C932" s="31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1"/>
      <c r="AA932" s="31"/>
      <c r="AB932" s="31"/>
      <c r="AC932" s="31"/>
      <c r="AD932" s="31"/>
      <c r="AE932" s="31"/>
      <c r="AF932" s="31"/>
      <c r="AG932" s="31"/>
      <c r="AH932" s="31"/>
      <c r="AI932" s="31"/>
      <c r="AJ932" s="31"/>
      <c r="AK932" s="31"/>
      <c r="AL932" s="31"/>
      <c r="AM932" s="31"/>
      <c r="AN932" s="31"/>
      <c r="AO932" s="31"/>
      <c r="AP932" s="31"/>
      <c r="AQ932" s="31"/>
      <c r="AR932" s="31"/>
      <c r="AS932" s="31"/>
    </row>
    <row r="933" spans="1:45" ht="13.5" customHeight="1">
      <c r="A933" s="31"/>
      <c r="B933" s="31"/>
      <c r="C933" s="31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1"/>
      <c r="AA933" s="31"/>
      <c r="AB933" s="31"/>
      <c r="AC933" s="31"/>
      <c r="AD933" s="31"/>
      <c r="AE933" s="31"/>
      <c r="AF933" s="31"/>
      <c r="AG933" s="31"/>
      <c r="AH933" s="31"/>
      <c r="AI933" s="31"/>
      <c r="AJ933" s="31"/>
      <c r="AK933" s="31"/>
      <c r="AL933" s="31"/>
      <c r="AM933" s="31"/>
      <c r="AN933" s="31"/>
      <c r="AO933" s="31"/>
      <c r="AP933" s="31"/>
      <c r="AQ933" s="31"/>
      <c r="AR933" s="31"/>
      <c r="AS933" s="31"/>
    </row>
    <row r="934" spans="1:45" ht="13.5" customHeight="1">
      <c r="A934" s="31"/>
      <c r="B934" s="31"/>
      <c r="C934" s="31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1"/>
      <c r="AA934" s="31"/>
      <c r="AB934" s="31"/>
      <c r="AC934" s="31"/>
      <c r="AD934" s="31"/>
      <c r="AE934" s="31"/>
      <c r="AF934" s="31"/>
      <c r="AG934" s="31"/>
      <c r="AH934" s="31"/>
      <c r="AI934" s="31"/>
      <c r="AJ934" s="31"/>
      <c r="AK934" s="31"/>
      <c r="AL934" s="31"/>
      <c r="AM934" s="31"/>
      <c r="AN934" s="31"/>
      <c r="AO934" s="31"/>
      <c r="AP934" s="31"/>
      <c r="AQ934" s="31"/>
      <c r="AR934" s="31"/>
      <c r="AS934" s="31"/>
    </row>
    <row r="935" spans="1:45" ht="13.5" customHeight="1">
      <c r="A935" s="31"/>
      <c r="B935" s="31"/>
      <c r="C935" s="31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1"/>
      <c r="AA935" s="31"/>
      <c r="AB935" s="31"/>
      <c r="AC935" s="31"/>
      <c r="AD935" s="31"/>
      <c r="AE935" s="31"/>
      <c r="AF935" s="31"/>
      <c r="AG935" s="31"/>
      <c r="AH935" s="31"/>
      <c r="AI935" s="31"/>
      <c r="AJ935" s="31"/>
      <c r="AK935" s="31"/>
      <c r="AL935" s="31"/>
      <c r="AM935" s="31"/>
      <c r="AN935" s="31"/>
      <c r="AO935" s="31"/>
      <c r="AP935" s="31"/>
      <c r="AQ935" s="31"/>
      <c r="AR935" s="31"/>
      <c r="AS935" s="31"/>
    </row>
    <row r="936" spans="1:45" ht="13.5" customHeight="1">
      <c r="A936" s="31"/>
      <c r="B936" s="31"/>
      <c r="C936" s="31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1"/>
      <c r="AA936" s="31"/>
      <c r="AB936" s="31"/>
      <c r="AC936" s="31"/>
      <c r="AD936" s="31"/>
      <c r="AE936" s="31"/>
      <c r="AF936" s="31"/>
      <c r="AG936" s="31"/>
      <c r="AH936" s="31"/>
      <c r="AI936" s="31"/>
      <c r="AJ936" s="31"/>
      <c r="AK936" s="31"/>
      <c r="AL936" s="31"/>
      <c r="AM936" s="31"/>
      <c r="AN936" s="31"/>
      <c r="AO936" s="31"/>
      <c r="AP936" s="31"/>
      <c r="AQ936" s="31"/>
      <c r="AR936" s="31"/>
      <c r="AS936" s="31"/>
    </row>
    <row r="937" spans="1:45" ht="13.5" customHeight="1">
      <c r="A937" s="31"/>
      <c r="B937" s="31"/>
      <c r="C937" s="31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1"/>
      <c r="AA937" s="31"/>
      <c r="AB937" s="31"/>
      <c r="AC937" s="31"/>
      <c r="AD937" s="31"/>
      <c r="AE937" s="31"/>
      <c r="AF937" s="31"/>
      <c r="AG937" s="31"/>
      <c r="AH937" s="31"/>
      <c r="AI937" s="31"/>
      <c r="AJ937" s="31"/>
      <c r="AK937" s="31"/>
      <c r="AL937" s="31"/>
      <c r="AM937" s="31"/>
      <c r="AN937" s="31"/>
      <c r="AO937" s="31"/>
      <c r="AP937" s="31"/>
      <c r="AQ937" s="31"/>
      <c r="AR937" s="31"/>
      <c r="AS937" s="31"/>
    </row>
    <row r="938" spans="1:45" ht="13.5" customHeight="1">
      <c r="A938" s="31"/>
      <c r="B938" s="31"/>
      <c r="C938" s="31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1"/>
      <c r="AA938" s="31"/>
      <c r="AB938" s="31"/>
      <c r="AC938" s="31"/>
      <c r="AD938" s="31"/>
      <c r="AE938" s="31"/>
      <c r="AF938" s="31"/>
      <c r="AG938" s="31"/>
      <c r="AH938" s="31"/>
      <c r="AI938" s="31"/>
      <c r="AJ938" s="31"/>
      <c r="AK938" s="31"/>
      <c r="AL938" s="31"/>
      <c r="AM938" s="31"/>
      <c r="AN938" s="31"/>
      <c r="AO938" s="31"/>
      <c r="AP938" s="31"/>
      <c r="AQ938" s="31"/>
      <c r="AR938" s="31"/>
      <c r="AS938" s="31"/>
    </row>
    <row r="939" spans="1:45" ht="13.5" customHeight="1">
      <c r="A939" s="31"/>
      <c r="B939" s="31"/>
      <c r="C939" s="31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1"/>
      <c r="AA939" s="31"/>
      <c r="AB939" s="31"/>
      <c r="AC939" s="31"/>
      <c r="AD939" s="31"/>
      <c r="AE939" s="31"/>
      <c r="AF939" s="31"/>
      <c r="AG939" s="31"/>
      <c r="AH939" s="31"/>
      <c r="AI939" s="31"/>
      <c r="AJ939" s="31"/>
      <c r="AK939" s="31"/>
      <c r="AL939" s="31"/>
      <c r="AM939" s="31"/>
      <c r="AN939" s="31"/>
      <c r="AO939" s="31"/>
      <c r="AP939" s="31"/>
      <c r="AQ939" s="31"/>
      <c r="AR939" s="31"/>
      <c r="AS939" s="31"/>
    </row>
    <row r="940" spans="1:45" ht="13.5" customHeight="1">
      <c r="A940" s="31"/>
      <c r="B940" s="31"/>
      <c r="C940" s="31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1"/>
      <c r="AA940" s="31"/>
      <c r="AB940" s="31"/>
      <c r="AC940" s="31"/>
      <c r="AD940" s="31"/>
      <c r="AE940" s="31"/>
      <c r="AF940" s="31"/>
      <c r="AG940" s="31"/>
      <c r="AH940" s="31"/>
      <c r="AI940" s="31"/>
      <c r="AJ940" s="31"/>
      <c r="AK940" s="31"/>
      <c r="AL940" s="31"/>
      <c r="AM940" s="31"/>
      <c r="AN940" s="31"/>
      <c r="AO940" s="31"/>
      <c r="AP940" s="31"/>
      <c r="AQ940" s="31"/>
      <c r="AR940" s="31"/>
      <c r="AS940" s="31"/>
    </row>
    <row r="941" spans="1:45" ht="13.5" customHeight="1">
      <c r="A941" s="31"/>
      <c r="B941" s="31"/>
      <c r="C941" s="31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1"/>
      <c r="AA941" s="31"/>
      <c r="AB941" s="31"/>
      <c r="AC941" s="31"/>
      <c r="AD941" s="31"/>
      <c r="AE941" s="31"/>
      <c r="AF941" s="31"/>
      <c r="AG941" s="31"/>
      <c r="AH941" s="31"/>
      <c r="AI941" s="31"/>
      <c r="AJ941" s="31"/>
      <c r="AK941" s="31"/>
      <c r="AL941" s="31"/>
      <c r="AM941" s="31"/>
      <c r="AN941" s="31"/>
      <c r="AO941" s="31"/>
      <c r="AP941" s="31"/>
      <c r="AQ941" s="31"/>
      <c r="AR941" s="31"/>
      <c r="AS941" s="31"/>
    </row>
    <row r="942" spans="1:45" ht="13.5" customHeight="1">
      <c r="A942" s="31"/>
      <c r="B942" s="31"/>
      <c r="C942" s="31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1"/>
      <c r="AA942" s="31"/>
      <c r="AB942" s="31"/>
      <c r="AC942" s="31"/>
      <c r="AD942" s="31"/>
      <c r="AE942" s="31"/>
      <c r="AF942" s="31"/>
      <c r="AG942" s="31"/>
      <c r="AH942" s="31"/>
      <c r="AI942" s="31"/>
      <c r="AJ942" s="31"/>
      <c r="AK942" s="31"/>
      <c r="AL942" s="31"/>
      <c r="AM942" s="31"/>
      <c r="AN942" s="31"/>
      <c r="AO942" s="31"/>
      <c r="AP942" s="31"/>
      <c r="AQ942" s="31"/>
      <c r="AR942" s="31"/>
      <c r="AS942" s="31"/>
    </row>
    <row r="943" spans="1:45" ht="13.5" customHeight="1">
      <c r="A943" s="31"/>
      <c r="B943" s="31"/>
      <c r="C943" s="31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1"/>
      <c r="AA943" s="31"/>
      <c r="AB943" s="31"/>
      <c r="AC943" s="31"/>
      <c r="AD943" s="31"/>
      <c r="AE943" s="31"/>
      <c r="AF943" s="31"/>
      <c r="AG943" s="31"/>
      <c r="AH943" s="31"/>
      <c r="AI943" s="31"/>
      <c r="AJ943" s="31"/>
      <c r="AK943" s="31"/>
      <c r="AL943" s="31"/>
      <c r="AM943" s="31"/>
      <c r="AN943" s="31"/>
      <c r="AO943" s="31"/>
      <c r="AP943" s="31"/>
      <c r="AQ943" s="31"/>
      <c r="AR943" s="31"/>
      <c r="AS943" s="31"/>
    </row>
    <row r="944" spans="1:45" ht="13.5" customHeight="1">
      <c r="A944" s="31"/>
      <c r="B944" s="31"/>
      <c r="C944" s="31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1"/>
      <c r="AA944" s="31"/>
      <c r="AB944" s="31"/>
      <c r="AC944" s="31"/>
      <c r="AD944" s="31"/>
      <c r="AE944" s="31"/>
      <c r="AF944" s="31"/>
      <c r="AG944" s="31"/>
      <c r="AH944" s="31"/>
      <c r="AI944" s="31"/>
      <c r="AJ944" s="31"/>
      <c r="AK944" s="31"/>
      <c r="AL944" s="31"/>
      <c r="AM944" s="31"/>
      <c r="AN944" s="31"/>
      <c r="AO944" s="31"/>
      <c r="AP944" s="31"/>
      <c r="AQ944" s="31"/>
      <c r="AR944" s="31"/>
      <c r="AS944" s="31"/>
    </row>
    <row r="945" spans="1:45" ht="13.5" customHeight="1">
      <c r="A945" s="31"/>
      <c r="B945" s="31"/>
      <c r="C945" s="31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1"/>
      <c r="AA945" s="31"/>
      <c r="AB945" s="31"/>
      <c r="AC945" s="31"/>
      <c r="AD945" s="31"/>
      <c r="AE945" s="31"/>
      <c r="AF945" s="31"/>
      <c r="AG945" s="31"/>
      <c r="AH945" s="31"/>
      <c r="AI945" s="31"/>
      <c r="AJ945" s="31"/>
      <c r="AK945" s="31"/>
      <c r="AL945" s="31"/>
      <c r="AM945" s="31"/>
      <c r="AN945" s="31"/>
      <c r="AO945" s="31"/>
      <c r="AP945" s="31"/>
      <c r="AQ945" s="31"/>
      <c r="AR945" s="31"/>
      <c r="AS945" s="31"/>
    </row>
    <row r="946" spans="1:45" ht="13.5" customHeight="1">
      <c r="A946" s="31"/>
      <c r="B946" s="31"/>
      <c r="C946" s="31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1"/>
      <c r="AA946" s="31"/>
      <c r="AB946" s="31"/>
      <c r="AC946" s="31"/>
      <c r="AD946" s="31"/>
      <c r="AE946" s="31"/>
      <c r="AF946" s="31"/>
      <c r="AG946" s="31"/>
      <c r="AH946" s="31"/>
      <c r="AI946" s="31"/>
      <c r="AJ946" s="31"/>
      <c r="AK946" s="31"/>
      <c r="AL946" s="31"/>
      <c r="AM946" s="31"/>
      <c r="AN946" s="31"/>
      <c r="AO946" s="31"/>
      <c r="AP946" s="31"/>
      <c r="AQ946" s="31"/>
      <c r="AR946" s="31"/>
      <c r="AS946" s="31"/>
    </row>
    <row r="947" spans="1:45" ht="13.5" customHeight="1">
      <c r="A947" s="31"/>
      <c r="B947" s="31"/>
      <c r="C947" s="31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1"/>
      <c r="AA947" s="31"/>
      <c r="AB947" s="31"/>
      <c r="AC947" s="31"/>
      <c r="AD947" s="31"/>
      <c r="AE947" s="31"/>
      <c r="AF947" s="31"/>
      <c r="AG947" s="31"/>
      <c r="AH947" s="31"/>
      <c r="AI947" s="31"/>
      <c r="AJ947" s="31"/>
      <c r="AK947" s="31"/>
      <c r="AL947" s="31"/>
      <c r="AM947" s="31"/>
      <c r="AN947" s="31"/>
      <c r="AO947" s="31"/>
      <c r="AP947" s="31"/>
      <c r="AQ947" s="31"/>
      <c r="AR947" s="31"/>
      <c r="AS947" s="31"/>
    </row>
    <row r="948" spans="1:45" ht="13.5" customHeight="1">
      <c r="A948" s="31"/>
      <c r="B948" s="31"/>
      <c r="C948" s="31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1"/>
      <c r="AA948" s="31"/>
      <c r="AB948" s="31"/>
      <c r="AC948" s="31"/>
      <c r="AD948" s="31"/>
      <c r="AE948" s="31"/>
      <c r="AF948" s="31"/>
      <c r="AG948" s="31"/>
      <c r="AH948" s="31"/>
      <c r="AI948" s="31"/>
      <c r="AJ948" s="31"/>
      <c r="AK948" s="31"/>
      <c r="AL948" s="31"/>
      <c r="AM948" s="31"/>
      <c r="AN948" s="31"/>
      <c r="AO948" s="31"/>
      <c r="AP948" s="31"/>
      <c r="AQ948" s="31"/>
      <c r="AR948" s="31"/>
      <c r="AS948" s="31"/>
    </row>
    <row r="949" spans="1:45" ht="13.5" customHeight="1">
      <c r="A949" s="31"/>
      <c r="B949" s="31"/>
      <c r="C949" s="31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1"/>
      <c r="AA949" s="31"/>
      <c r="AB949" s="31"/>
      <c r="AC949" s="31"/>
      <c r="AD949" s="31"/>
      <c r="AE949" s="31"/>
      <c r="AF949" s="31"/>
      <c r="AG949" s="31"/>
      <c r="AH949" s="31"/>
      <c r="AI949" s="31"/>
      <c r="AJ949" s="31"/>
      <c r="AK949" s="31"/>
      <c r="AL949" s="31"/>
      <c r="AM949" s="31"/>
      <c r="AN949" s="31"/>
      <c r="AO949" s="31"/>
      <c r="AP949" s="31"/>
      <c r="AQ949" s="31"/>
      <c r="AR949" s="31"/>
      <c r="AS949" s="31"/>
    </row>
    <row r="950" spans="1:45" ht="13.5" customHeight="1">
      <c r="A950" s="31"/>
      <c r="B950" s="31"/>
      <c r="C950" s="31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1"/>
      <c r="AA950" s="31"/>
      <c r="AB950" s="31"/>
      <c r="AC950" s="31"/>
      <c r="AD950" s="31"/>
      <c r="AE950" s="31"/>
      <c r="AF950" s="31"/>
      <c r="AG950" s="31"/>
      <c r="AH950" s="31"/>
      <c r="AI950" s="31"/>
      <c r="AJ950" s="31"/>
      <c r="AK950" s="31"/>
      <c r="AL950" s="31"/>
      <c r="AM950" s="31"/>
      <c r="AN950" s="31"/>
      <c r="AO950" s="31"/>
      <c r="AP950" s="31"/>
      <c r="AQ950" s="31"/>
      <c r="AR950" s="31"/>
      <c r="AS950" s="31"/>
    </row>
    <row r="951" spans="1:45" ht="13.5" customHeight="1">
      <c r="A951" s="31"/>
      <c r="B951" s="31"/>
      <c r="C951" s="31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1"/>
      <c r="AA951" s="31"/>
      <c r="AB951" s="31"/>
      <c r="AC951" s="31"/>
      <c r="AD951" s="31"/>
      <c r="AE951" s="31"/>
      <c r="AF951" s="31"/>
      <c r="AG951" s="31"/>
      <c r="AH951" s="31"/>
      <c r="AI951" s="31"/>
      <c r="AJ951" s="31"/>
      <c r="AK951" s="31"/>
      <c r="AL951" s="31"/>
      <c r="AM951" s="31"/>
      <c r="AN951" s="31"/>
      <c r="AO951" s="31"/>
      <c r="AP951" s="31"/>
      <c r="AQ951" s="31"/>
      <c r="AR951" s="31"/>
      <c r="AS951" s="31"/>
    </row>
    <row r="952" spans="1:45" ht="13.5" customHeight="1">
      <c r="A952" s="31"/>
      <c r="B952" s="31"/>
      <c r="C952" s="31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1"/>
      <c r="AA952" s="31"/>
      <c r="AB952" s="31"/>
      <c r="AC952" s="31"/>
      <c r="AD952" s="31"/>
      <c r="AE952" s="31"/>
      <c r="AF952" s="31"/>
      <c r="AG952" s="31"/>
      <c r="AH952" s="31"/>
      <c r="AI952" s="31"/>
      <c r="AJ952" s="31"/>
      <c r="AK952" s="31"/>
      <c r="AL952" s="31"/>
      <c r="AM952" s="31"/>
      <c r="AN952" s="31"/>
      <c r="AO952" s="31"/>
      <c r="AP952" s="31"/>
      <c r="AQ952" s="31"/>
      <c r="AR952" s="31"/>
      <c r="AS952" s="31"/>
    </row>
    <row r="953" spans="1:45" ht="13.5" customHeight="1">
      <c r="A953" s="31"/>
      <c r="B953" s="31"/>
      <c r="C953" s="31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1"/>
      <c r="AA953" s="31"/>
      <c r="AB953" s="31"/>
      <c r="AC953" s="31"/>
      <c r="AD953" s="31"/>
      <c r="AE953" s="31"/>
      <c r="AF953" s="31"/>
      <c r="AG953" s="31"/>
      <c r="AH953" s="31"/>
      <c r="AI953" s="31"/>
      <c r="AJ953" s="31"/>
      <c r="AK953" s="31"/>
      <c r="AL953" s="31"/>
      <c r="AM953" s="31"/>
      <c r="AN953" s="31"/>
      <c r="AO953" s="31"/>
      <c r="AP953" s="31"/>
      <c r="AQ953" s="31"/>
      <c r="AR953" s="31"/>
      <c r="AS953" s="31"/>
    </row>
    <row r="954" spans="1:45" ht="13.5" customHeight="1">
      <c r="A954" s="31"/>
      <c r="B954" s="31"/>
      <c r="C954" s="31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1"/>
      <c r="AA954" s="31"/>
      <c r="AB954" s="31"/>
      <c r="AC954" s="31"/>
      <c r="AD954" s="31"/>
      <c r="AE954" s="31"/>
      <c r="AF954" s="31"/>
      <c r="AG954" s="31"/>
      <c r="AH954" s="31"/>
      <c r="AI954" s="31"/>
      <c r="AJ954" s="31"/>
      <c r="AK954" s="31"/>
      <c r="AL954" s="31"/>
      <c r="AM954" s="31"/>
      <c r="AN954" s="31"/>
      <c r="AO954" s="31"/>
      <c r="AP954" s="31"/>
      <c r="AQ954" s="31"/>
      <c r="AR954" s="31"/>
      <c r="AS954" s="31"/>
    </row>
    <row r="955" spans="1:45" ht="13.5" customHeight="1">
      <c r="A955" s="31"/>
      <c r="B955" s="31"/>
      <c r="C955" s="31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1"/>
      <c r="AA955" s="31"/>
      <c r="AB955" s="31"/>
      <c r="AC955" s="31"/>
      <c r="AD955" s="31"/>
      <c r="AE955" s="31"/>
      <c r="AF955" s="31"/>
      <c r="AG955" s="31"/>
      <c r="AH955" s="31"/>
      <c r="AI955" s="31"/>
      <c r="AJ955" s="31"/>
      <c r="AK955" s="31"/>
      <c r="AL955" s="31"/>
      <c r="AM955" s="31"/>
      <c r="AN955" s="31"/>
      <c r="AO955" s="31"/>
      <c r="AP955" s="31"/>
      <c r="AQ955" s="31"/>
      <c r="AR955" s="31"/>
      <c r="AS955" s="31"/>
    </row>
    <row r="956" spans="1:45" ht="13.5" customHeight="1">
      <c r="A956" s="31"/>
      <c r="B956" s="31"/>
      <c r="C956" s="31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1"/>
      <c r="AA956" s="31"/>
      <c r="AB956" s="31"/>
      <c r="AC956" s="31"/>
      <c r="AD956" s="31"/>
      <c r="AE956" s="31"/>
      <c r="AF956" s="31"/>
      <c r="AG956" s="31"/>
      <c r="AH956" s="31"/>
      <c r="AI956" s="31"/>
      <c r="AJ956" s="31"/>
      <c r="AK956" s="31"/>
      <c r="AL956" s="31"/>
      <c r="AM956" s="31"/>
      <c r="AN956" s="31"/>
      <c r="AO956" s="31"/>
      <c r="AP956" s="31"/>
      <c r="AQ956" s="31"/>
      <c r="AR956" s="31"/>
      <c r="AS956" s="31"/>
    </row>
    <row r="957" spans="1:45" ht="13.5" customHeight="1">
      <c r="A957" s="31"/>
      <c r="B957" s="31"/>
      <c r="C957" s="31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1"/>
      <c r="AA957" s="31"/>
      <c r="AB957" s="31"/>
      <c r="AC957" s="31"/>
      <c r="AD957" s="31"/>
      <c r="AE957" s="31"/>
      <c r="AF957" s="31"/>
      <c r="AG957" s="31"/>
      <c r="AH957" s="31"/>
      <c r="AI957" s="31"/>
      <c r="AJ957" s="31"/>
      <c r="AK957" s="31"/>
      <c r="AL957" s="31"/>
      <c r="AM957" s="31"/>
      <c r="AN957" s="31"/>
      <c r="AO957" s="31"/>
      <c r="AP957" s="31"/>
      <c r="AQ957" s="31"/>
      <c r="AR957" s="31"/>
      <c r="AS957" s="31"/>
    </row>
    <row r="958" spans="1:45" ht="13.5" customHeight="1">
      <c r="A958" s="31"/>
      <c r="B958" s="31"/>
      <c r="C958" s="31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1"/>
      <c r="AA958" s="31"/>
      <c r="AB958" s="31"/>
      <c r="AC958" s="31"/>
      <c r="AD958" s="31"/>
      <c r="AE958" s="31"/>
      <c r="AF958" s="31"/>
      <c r="AG958" s="31"/>
      <c r="AH958" s="31"/>
      <c r="AI958" s="31"/>
      <c r="AJ958" s="31"/>
      <c r="AK958" s="31"/>
      <c r="AL958" s="31"/>
      <c r="AM958" s="31"/>
      <c r="AN958" s="31"/>
      <c r="AO958" s="31"/>
      <c r="AP958" s="31"/>
      <c r="AQ958" s="31"/>
      <c r="AR958" s="31"/>
      <c r="AS958" s="31"/>
    </row>
    <row r="959" spans="1:45" ht="13.5" customHeight="1">
      <c r="A959" s="31"/>
      <c r="B959" s="31"/>
      <c r="C959" s="31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1"/>
      <c r="AA959" s="31"/>
      <c r="AB959" s="31"/>
      <c r="AC959" s="31"/>
      <c r="AD959" s="31"/>
      <c r="AE959" s="31"/>
      <c r="AF959" s="31"/>
      <c r="AG959" s="31"/>
      <c r="AH959" s="31"/>
      <c r="AI959" s="31"/>
      <c r="AJ959" s="31"/>
      <c r="AK959" s="31"/>
      <c r="AL959" s="31"/>
      <c r="AM959" s="31"/>
      <c r="AN959" s="31"/>
      <c r="AO959" s="31"/>
      <c r="AP959" s="31"/>
      <c r="AQ959" s="31"/>
      <c r="AR959" s="31"/>
      <c r="AS959" s="31"/>
    </row>
    <row r="960" spans="1:45" ht="13.5" customHeight="1">
      <c r="A960" s="31"/>
      <c r="B960" s="31"/>
      <c r="C960" s="31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1"/>
      <c r="AA960" s="31"/>
      <c r="AB960" s="31"/>
      <c r="AC960" s="31"/>
      <c r="AD960" s="31"/>
      <c r="AE960" s="31"/>
      <c r="AF960" s="31"/>
      <c r="AG960" s="31"/>
      <c r="AH960" s="31"/>
      <c r="AI960" s="31"/>
      <c r="AJ960" s="31"/>
      <c r="AK960" s="31"/>
      <c r="AL960" s="31"/>
      <c r="AM960" s="31"/>
      <c r="AN960" s="31"/>
      <c r="AO960" s="31"/>
      <c r="AP960" s="31"/>
      <c r="AQ960" s="31"/>
      <c r="AR960" s="31"/>
      <c r="AS960" s="31"/>
    </row>
    <row r="961" spans="1:45" ht="13.5" customHeight="1">
      <c r="A961" s="31"/>
      <c r="B961" s="31"/>
      <c r="C961" s="31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1"/>
      <c r="AA961" s="31"/>
      <c r="AB961" s="31"/>
      <c r="AC961" s="31"/>
      <c r="AD961" s="31"/>
      <c r="AE961" s="31"/>
      <c r="AF961" s="31"/>
      <c r="AG961" s="31"/>
      <c r="AH961" s="31"/>
      <c r="AI961" s="31"/>
      <c r="AJ961" s="31"/>
      <c r="AK961" s="31"/>
      <c r="AL961" s="31"/>
      <c r="AM961" s="31"/>
      <c r="AN961" s="31"/>
      <c r="AO961" s="31"/>
      <c r="AP961" s="31"/>
      <c r="AQ961" s="31"/>
      <c r="AR961" s="31"/>
      <c r="AS961" s="31"/>
    </row>
    <row r="962" spans="1:45" ht="13.5" customHeight="1">
      <c r="A962" s="31"/>
      <c r="B962" s="31"/>
      <c r="C962" s="31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1"/>
      <c r="AA962" s="31"/>
      <c r="AB962" s="31"/>
      <c r="AC962" s="31"/>
      <c r="AD962" s="31"/>
      <c r="AE962" s="31"/>
      <c r="AF962" s="31"/>
      <c r="AG962" s="31"/>
      <c r="AH962" s="31"/>
      <c r="AI962" s="31"/>
      <c r="AJ962" s="31"/>
      <c r="AK962" s="31"/>
      <c r="AL962" s="31"/>
      <c r="AM962" s="31"/>
      <c r="AN962" s="31"/>
      <c r="AO962" s="31"/>
      <c r="AP962" s="31"/>
      <c r="AQ962" s="31"/>
      <c r="AR962" s="31"/>
      <c r="AS962" s="31"/>
    </row>
    <row r="963" spans="1:45" ht="13.5" customHeight="1">
      <c r="A963" s="31"/>
      <c r="B963" s="31"/>
      <c r="C963" s="31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1"/>
      <c r="AA963" s="31"/>
      <c r="AB963" s="31"/>
      <c r="AC963" s="31"/>
      <c r="AD963" s="31"/>
      <c r="AE963" s="31"/>
      <c r="AF963" s="31"/>
      <c r="AG963" s="31"/>
      <c r="AH963" s="31"/>
      <c r="AI963" s="31"/>
      <c r="AJ963" s="31"/>
      <c r="AK963" s="31"/>
      <c r="AL963" s="31"/>
      <c r="AM963" s="31"/>
      <c r="AN963" s="31"/>
      <c r="AO963" s="31"/>
      <c r="AP963" s="31"/>
      <c r="AQ963" s="31"/>
      <c r="AR963" s="31"/>
      <c r="AS963" s="31"/>
    </row>
    <row r="964" spans="1:45" ht="13.5" customHeight="1">
      <c r="A964" s="31"/>
      <c r="B964" s="31"/>
      <c r="C964" s="31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1"/>
      <c r="AA964" s="31"/>
      <c r="AB964" s="31"/>
      <c r="AC964" s="31"/>
      <c r="AD964" s="31"/>
      <c r="AE964" s="31"/>
      <c r="AF964" s="31"/>
      <c r="AG964" s="31"/>
      <c r="AH964" s="31"/>
      <c r="AI964" s="31"/>
      <c r="AJ964" s="31"/>
      <c r="AK964" s="31"/>
      <c r="AL964" s="31"/>
      <c r="AM964" s="31"/>
      <c r="AN964" s="31"/>
      <c r="AO964" s="31"/>
      <c r="AP964" s="31"/>
      <c r="AQ964" s="31"/>
      <c r="AR964" s="31"/>
      <c r="AS964" s="31"/>
    </row>
    <row r="965" spans="1:45" ht="13.5" customHeight="1">
      <c r="A965" s="31"/>
      <c r="B965" s="31"/>
      <c r="C965" s="31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1"/>
      <c r="AA965" s="31"/>
      <c r="AB965" s="31"/>
      <c r="AC965" s="31"/>
      <c r="AD965" s="31"/>
      <c r="AE965" s="31"/>
      <c r="AF965" s="31"/>
      <c r="AG965" s="31"/>
      <c r="AH965" s="31"/>
      <c r="AI965" s="31"/>
      <c r="AJ965" s="31"/>
      <c r="AK965" s="31"/>
      <c r="AL965" s="31"/>
      <c r="AM965" s="31"/>
      <c r="AN965" s="31"/>
      <c r="AO965" s="31"/>
      <c r="AP965" s="31"/>
      <c r="AQ965" s="31"/>
      <c r="AR965" s="31"/>
      <c r="AS965" s="31"/>
    </row>
    <row r="966" spans="1:45" ht="13.5" customHeight="1">
      <c r="A966" s="31"/>
      <c r="B966" s="31"/>
      <c r="C966" s="31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1"/>
      <c r="AA966" s="31"/>
      <c r="AB966" s="31"/>
      <c r="AC966" s="31"/>
      <c r="AD966" s="31"/>
      <c r="AE966" s="31"/>
      <c r="AF966" s="31"/>
      <c r="AG966" s="31"/>
      <c r="AH966" s="31"/>
      <c r="AI966" s="31"/>
      <c r="AJ966" s="31"/>
      <c r="AK966" s="31"/>
      <c r="AL966" s="31"/>
      <c r="AM966" s="31"/>
      <c r="AN966" s="31"/>
      <c r="AO966" s="31"/>
      <c r="AP966" s="31"/>
      <c r="AQ966" s="31"/>
      <c r="AR966" s="31"/>
      <c r="AS966" s="31"/>
    </row>
    <row r="967" spans="1:45" ht="13.5" customHeight="1">
      <c r="A967" s="31"/>
      <c r="B967" s="31"/>
      <c r="C967" s="31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1"/>
      <c r="AA967" s="31"/>
      <c r="AB967" s="31"/>
      <c r="AC967" s="31"/>
      <c r="AD967" s="31"/>
      <c r="AE967" s="31"/>
      <c r="AF967" s="31"/>
      <c r="AG967" s="31"/>
      <c r="AH967" s="31"/>
      <c r="AI967" s="31"/>
      <c r="AJ967" s="31"/>
      <c r="AK967" s="31"/>
      <c r="AL967" s="31"/>
      <c r="AM967" s="31"/>
      <c r="AN967" s="31"/>
      <c r="AO967" s="31"/>
      <c r="AP967" s="31"/>
      <c r="AQ967" s="31"/>
      <c r="AR967" s="31"/>
      <c r="AS967" s="31"/>
    </row>
    <row r="968" spans="1:45" ht="13.5" customHeight="1">
      <c r="A968" s="31"/>
      <c r="B968" s="31"/>
      <c r="C968" s="31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1"/>
      <c r="AA968" s="31"/>
      <c r="AB968" s="31"/>
      <c r="AC968" s="31"/>
      <c r="AD968" s="31"/>
      <c r="AE968" s="31"/>
      <c r="AF968" s="31"/>
      <c r="AG968" s="31"/>
      <c r="AH968" s="31"/>
      <c r="AI968" s="31"/>
      <c r="AJ968" s="31"/>
      <c r="AK968" s="31"/>
      <c r="AL968" s="31"/>
      <c r="AM968" s="31"/>
      <c r="AN968" s="31"/>
      <c r="AO968" s="31"/>
      <c r="AP968" s="31"/>
      <c r="AQ968" s="31"/>
      <c r="AR968" s="31"/>
      <c r="AS968" s="31"/>
    </row>
    <row r="969" spans="1:45" ht="13.5" customHeight="1">
      <c r="A969" s="31"/>
      <c r="B969" s="31"/>
      <c r="C969" s="31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1"/>
      <c r="AA969" s="31"/>
      <c r="AB969" s="31"/>
      <c r="AC969" s="31"/>
      <c r="AD969" s="31"/>
      <c r="AE969" s="31"/>
      <c r="AF969" s="31"/>
      <c r="AG969" s="31"/>
      <c r="AH969" s="31"/>
      <c r="AI969" s="31"/>
      <c r="AJ969" s="31"/>
      <c r="AK969" s="31"/>
      <c r="AL969" s="31"/>
      <c r="AM969" s="31"/>
      <c r="AN969" s="31"/>
      <c r="AO969" s="31"/>
      <c r="AP969" s="31"/>
      <c r="AQ969" s="31"/>
      <c r="AR969" s="31"/>
      <c r="AS969" s="31"/>
    </row>
    <row r="970" spans="1:45" ht="13.5" customHeight="1">
      <c r="A970" s="31"/>
      <c r="B970" s="31"/>
      <c r="C970" s="31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1"/>
      <c r="AA970" s="31"/>
      <c r="AB970" s="31"/>
      <c r="AC970" s="31"/>
      <c r="AD970" s="31"/>
      <c r="AE970" s="31"/>
      <c r="AF970" s="31"/>
      <c r="AG970" s="31"/>
      <c r="AH970" s="31"/>
      <c r="AI970" s="31"/>
      <c r="AJ970" s="31"/>
      <c r="AK970" s="31"/>
      <c r="AL970" s="31"/>
      <c r="AM970" s="31"/>
      <c r="AN970" s="31"/>
      <c r="AO970" s="31"/>
      <c r="AP970" s="31"/>
      <c r="AQ970" s="31"/>
      <c r="AR970" s="31"/>
      <c r="AS970" s="31"/>
    </row>
    <row r="971" spans="1:45" ht="13.5" customHeight="1">
      <c r="A971" s="31"/>
      <c r="B971" s="31"/>
      <c r="C971" s="31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1"/>
      <c r="AA971" s="31"/>
      <c r="AB971" s="31"/>
      <c r="AC971" s="31"/>
      <c r="AD971" s="31"/>
      <c r="AE971" s="31"/>
      <c r="AF971" s="31"/>
      <c r="AG971" s="31"/>
      <c r="AH971" s="31"/>
      <c r="AI971" s="31"/>
      <c r="AJ971" s="31"/>
      <c r="AK971" s="31"/>
      <c r="AL971" s="31"/>
      <c r="AM971" s="31"/>
      <c r="AN971" s="31"/>
      <c r="AO971" s="31"/>
      <c r="AP971" s="31"/>
      <c r="AQ971" s="31"/>
      <c r="AR971" s="31"/>
      <c r="AS971" s="31"/>
    </row>
    <row r="972" spans="1:45" ht="13.5" customHeight="1">
      <c r="A972" s="31"/>
      <c r="B972" s="31"/>
      <c r="C972" s="31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1"/>
      <c r="AA972" s="31"/>
      <c r="AB972" s="31"/>
      <c r="AC972" s="31"/>
      <c r="AD972" s="31"/>
      <c r="AE972" s="31"/>
      <c r="AF972" s="31"/>
      <c r="AG972" s="31"/>
      <c r="AH972" s="31"/>
      <c r="AI972" s="31"/>
      <c r="AJ972" s="31"/>
      <c r="AK972" s="31"/>
      <c r="AL972" s="31"/>
      <c r="AM972" s="31"/>
      <c r="AN972" s="31"/>
      <c r="AO972" s="31"/>
      <c r="AP972" s="31"/>
      <c r="AQ972" s="31"/>
      <c r="AR972" s="31"/>
      <c r="AS972" s="31"/>
    </row>
    <row r="973" spans="1:45" ht="13.5" customHeight="1">
      <c r="A973" s="31"/>
      <c r="B973" s="31"/>
      <c r="C973" s="31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1"/>
      <c r="AA973" s="31"/>
      <c r="AB973" s="31"/>
      <c r="AC973" s="31"/>
      <c r="AD973" s="31"/>
      <c r="AE973" s="31"/>
      <c r="AF973" s="31"/>
      <c r="AG973" s="31"/>
      <c r="AH973" s="31"/>
      <c r="AI973" s="31"/>
      <c r="AJ973" s="31"/>
      <c r="AK973" s="31"/>
      <c r="AL973" s="31"/>
      <c r="AM973" s="31"/>
      <c r="AN973" s="31"/>
      <c r="AO973" s="31"/>
      <c r="AP973" s="31"/>
      <c r="AQ973" s="31"/>
      <c r="AR973" s="31"/>
      <c r="AS973" s="31"/>
    </row>
    <row r="974" spans="1:45" ht="13.5" customHeight="1">
      <c r="A974" s="31"/>
      <c r="B974" s="31"/>
      <c r="C974" s="31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1"/>
      <c r="AA974" s="31"/>
      <c r="AB974" s="31"/>
      <c r="AC974" s="31"/>
      <c r="AD974" s="31"/>
      <c r="AE974" s="31"/>
      <c r="AF974" s="31"/>
      <c r="AG974" s="31"/>
      <c r="AH974" s="31"/>
      <c r="AI974" s="31"/>
      <c r="AJ974" s="31"/>
      <c r="AK974" s="31"/>
      <c r="AL974" s="31"/>
      <c r="AM974" s="31"/>
      <c r="AN974" s="31"/>
      <c r="AO974" s="31"/>
      <c r="AP974" s="31"/>
      <c r="AQ974" s="31"/>
      <c r="AR974" s="31"/>
      <c r="AS974" s="31"/>
    </row>
    <row r="975" spans="1:45" ht="13.5" customHeight="1">
      <c r="A975" s="31"/>
      <c r="B975" s="31"/>
      <c r="C975" s="31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1"/>
      <c r="AA975" s="31"/>
      <c r="AB975" s="31"/>
      <c r="AC975" s="31"/>
      <c r="AD975" s="31"/>
      <c r="AE975" s="31"/>
      <c r="AF975" s="31"/>
      <c r="AG975" s="31"/>
      <c r="AH975" s="31"/>
      <c r="AI975" s="31"/>
      <c r="AJ975" s="31"/>
      <c r="AK975" s="31"/>
      <c r="AL975" s="31"/>
      <c r="AM975" s="31"/>
      <c r="AN975" s="31"/>
      <c r="AO975" s="31"/>
      <c r="AP975" s="31"/>
      <c r="AQ975" s="31"/>
      <c r="AR975" s="31"/>
      <c r="AS975" s="31"/>
    </row>
    <row r="976" spans="1:45" ht="13.5" customHeight="1">
      <c r="A976" s="31"/>
      <c r="B976" s="31"/>
      <c r="C976" s="31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1"/>
      <c r="AA976" s="31"/>
      <c r="AB976" s="31"/>
      <c r="AC976" s="31"/>
      <c r="AD976" s="31"/>
      <c r="AE976" s="31"/>
      <c r="AF976" s="31"/>
      <c r="AG976" s="31"/>
      <c r="AH976" s="31"/>
      <c r="AI976" s="31"/>
      <c r="AJ976" s="31"/>
      <c r="AK976" s="31"/>
      <c r="AL976" s="31"/>
      <c r="AM976" s="31"/>
      <c r="AN976" s="31"/>
      <c r="AO976" s="31"/>
      <c r="AP976" s="31"/>
      <c r="AQ976" s="31"/>
      <c r="AR976" s="31"/>
      <c r="AS976" s="31"/>
    </row>
    <row r="977" spans="1:45" ht="13.5" customHeight="1">
      <c r="A977" s="31"/>
      <c r="B977" s="31"/>
      <c r="C977" s="31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1"/>
      <c r="AA977" s="31"/>
      <c r="AB977" s="31"/>
      <c r="AC977" s="31"/>
      <c r="AD977" s="31"/>
      <c r="AE977" s="31"/>
      <c r="AF977" s="31"/>
      <c r="AG977" s="31"/>
      <c r="AH977" s="31"/>
      <c r="AI977" s="31"/>
      <c r="AJ977" s="31"/>
      <c r="AK977" s="31"/>
      <c r="AL977" s="31"/>
      <c r="AM977" s="31"/>
      <c r="AN977" s="31"/>
      <c r="AO977" s="31"/>
      <c r="AP977" s="31"/>
      <c r="AQ977" s="31"/>
      <c r="AR977" s="31"/>
      <c r="AS977" s="31"/>
    </row>
    <row r="978" spans="1:45" ht="13.5" customHeight="1">
      <c r="A978" s="31"/>
      <c r="B978" s="31"/>
      <c r="C978" s="31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1"/>
      <c r="AA978" s="31"/>
      <c r="AB978" s="31"/>
      <c r="AC978" s="31"/>
      <c r="AD978" s="31"/>
      <c r="AE978" s="31"/>
      <c r="AF978" s="31"/>
      <c r="AG978" s="31"/>
      <c r="AH978" s="31"/>
      <c r="AI978" s="31"/>
      <c r="AJ978" s="31"/>
      <c r="AK978" s="31"/>
      <c r="AL978" s="31"/>
      <c r="AM978" s="31"/>
      <c r="AN978" s="31"/>
      <c r="AO978" s="31"/>
      <c r="AP978" s="31"/>
      <c r="AQ978" s="31"/>
      <c r="AR978" s="31"/>
      <c r="AS978" s="31"/>
    </row>
    <row r="979" spans="1:45" ht="13.5" customHeight="1">
      <c r="A979" s="31"/>
      <c r="B979" s="31"/>
      <c r="C979" s="31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1"/>
      <c r="AA979" s="31"/>
      <c r="AB979" s="31"/>
      <c r="AC979" s="31"/>
      <c r="AD979" s="31"/>
      <c r="AE979" s="31"/>
      <c r="AF979" s="31"/>
      <c r="AG979" s="31"/>
      <c r="AH979" s="31"/>
      <c r="AI979" s="31"/>
      <c r="AJ979" s="31"/>
      <c r="AK979" s="31"/>
      <c r="AL979" s="31"/>
      <c r="AM979" s="31"/>
      <c r="AN979" s="31"/>
      <c r="AO979" s="31"/>
      <c r="AP979" s="31"/>
      <c r="AQ979" s="31"/>
      <c r="AR979" s="31"/>
      <c r="AS979" s="31"/>
    </row>
    <row r="980" spans="1:45" ht="13.5" customHeight="1">
      <c r="A980" s="31"/>
      <c r="B980" s="31"/>
      <c r="C980" s="31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1"/>
      <c r="AA980" s="31"/>
      <c r="AB980" s="31"/>
      <c r="AC980" s="31"/>
      <c r="AD980" s="31"/>
      <c r="AE980" s="31"/>
      <c r="AF980" s="31"/>
      <c r="AG980" s="31"/>
      <c r="AH980" s="31"/>
      <c r="AI980" s="31"/>
      <c r="AJ980" s="31"/>
      <c r="AK980" s="31"/>
      <c r="AL980" s="31"/>
      <c r="AM980" s="31"/>
      <c r="AN980" s="31"/>
      <c r="AO980" s="31"/>
      <c r="AP980" s="31"/>
      <c r="AQ980" s="31"/>
      <c r="AR980" s="31"/>
      <c r="AS980" s="31"/>
    </row>
    <row r="981" spans="1:45" ht="13.5" customHeight="1">
      <c r="A981" s="31"/>
      <c r="B981" s="31"/>
      <c r="C981" s="31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1"/>
      <c r="AA981" s="31"/>
      <c r="AB981" s="31"/>
      <c r="AC981" s="31"/>
      <c r="AD981" s="31"/>
      <c r="AE981" s="31"/>
      <c r="AF981" s="31"/>
      <c r="AG981" s="31"/>
      <c r="AH981" s="31"/>
      <c r="AI981" s="31"/>
      <c r="AJ981" s="31"/>
      <c r="AK981" s="31"/>
      <c r="AL981" s="31"/>
      <c r="AM981" s="31"/>
      <c r="AN981" s="31"/>
      <c r="AO981" s="31"/>
      <c r="AP981" s="31"/>
      <c r="AQ981" s="31"/>
      <c r="AR981" s="31"/>
      <c r="AS981" s="31"/>
    </row>
    <row r="982" spans="1:45" ht="13.5" customHeight="1">
      <c r="A982" s="31"/>
      <c r="B982" s="31"/>
      <c r="C982" s="31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1"/>
      <c r="AA982" s="31"/>
      <c r="AB982" s="31"/>
      <c r="AC982" s="31"/>
      <c r="AD982" s="31"/>
      <c r="AE982" s="31"/>
      <c r="AF982" s="31"/>
      <c r="AG982" s="31"/>
      <c r="AH982" s="31"/>
      <c r="AI982" s="31"/>
      <c r="AJ982" s="31"/>
      <c r="AK982" s="31"/>
      <c r="AL982" s="31"/>
      <c r="AM982" s="31"/>
      <c r="AN982" s="31"/>
      <c r="AO982" s="31"/>
      <c r="AP982" s="31"/>
      <c r="AQ982" s="31"/>
      <c r="AR982" s="31"/>
      <c r="AS982" s="31"/>
    </row>
    <row r="983" spans="1:45" ht="13.5" customHeight="1">
      <c r="A983" s="31"/>
      <c r="B983" s="31"/>
      <c r="C983" s="31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1"/>
      <c r="AA983" s="31"/>
      <c r="AB983" s="31"/>
      <c r="AC983" s="31"/>
      <c r="AD983" s="31"/>
      <c r="AE983" s="31"/>
      <c r="AF983" s="31"/>
      <c r="AG983" s="31"/>
      <c r="AH983" s="31"/>
      <c r="AI983" s="31"/>
      <c r="AJ983" s="31"/>
      <c r="AK983" s="31"/>
      <c r="AL983" s="31"/>
      <c r="AM983" s="31"/>
      <c r="AN983" s="31"/>
      <c r="AO983" s="31"/>
      <c r="AP983" s="31"/>
      <c r="AQ983" s="31"/>
      <c r="AR983" s="31"/>
      <c r="AS983" s="31"/>
    </row>
    <row r="984" spans="1:45" ht="13.5" customHeight="1">
      <c r="A984" s="31"/>
      <c r="B984" s="31"/>
      <c r="C984" s="31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1"/>
      <c r="AA984" s="31"/>
      <c r="AB984" s="31"/>
      <c r="AC984" s="31"/>
      <c r="AD984" s="31"/>
      <c r="AE984" s="31"/>
      <c r="AF984" s="31"/>
      <c r="AG984" s="31"/>
      <c r="AH984" s="31"/>
      <c r="AI984" s="31"/>
      <c r="AJ984" s="31"/>
      <c r="AK984" s="31"/>
      <c r="AL984" s="31"/>
      <c r="AM984" s="31"/>
      <c r="AN984" s="31"/>
      <c r="AO984" s="31"/>
      <c r="AP984" s="31"/>
      <c r="AQ984" s="31"/>
      <c r="AR984" s="31"/>
      <c r="AS984" s="31"/>
    </row>
    <row r="985" spans="1:45" ht="13.5" customHeight="1">
      <c r="A985" s="31"/>
      <c r="B985" s="31"/>
      <c r="C985" s="31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1"/>
      <c r="AA985" s="31"/>
      <c r="AB985" s="31"/>
      <c r="AC985" s="31"/>
      <c r="AD985" s="31"/>
      <c r="AE985" s="31"/>
      <c r="AF985" s="31"/>
      <c r="AG985" s="31"/>
      <c r="AH985" s="31"/>
      <c r="AI985" s="31"/>
      <c r="AJ985" s="31"/>
      <c r="AK985" s="31"/>
      <c r="AL985" s="31"/>
      <c r="AM985" s="31"/>
      <c r="AN985" s="31"/>
      <c r="AO985" s="31"/>
      <c r="AP985" s="31"/>
      <c r="AQ985" s="31"/>
      <c r="AR985" s="31"/>
      <c r="AS985" s="31"/>
    </row>
    <row r="986" spans="1:45" ht="13.5" customHeight="1">
      <c r="A986" s="31"/>
      <c r="B986" s="31"/>
      <c r="C986" s="31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1"/>
      <c r="AA986" s="31"/>
      <c r="AB986" s="31"/>
      <c r="AC986" s="31"/>
      <c r="AD986" s="31"/>
      <c r="AE986" s="31"/>
      <c r="AF986" s="31"/>
      <c r="AG986" s="31"/>
      <c r="AH986" s="31"/>
      <c r="AI986" s="31"/>
      <c r="AJ986" s="31"/>
      <c r="AK986" s="31"/>
      <c r="AL986" s="31"/>
      <c r="AM986" s="31"/>
      <c r="AN986" s="31"/>
      <c r="AO986" s="31"/>
      <c r="AP986" s="31"/>
      <c r="AQ986" s="31"/>
      <c r="AR986" s="31"/>
      <c r="AS986" s="31"/>
    </row>
    <row r="987" spans="1:45" ht="13.5" customHeight="1">
      <c r="A987" s="31"/>
      <c r="B987" s="31"/>
      <c r="C987" s="31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1"/>
      <c r="AA987" s="31"/>
      <c r="AB987" s="31"/>
      <c r="AC987" s="31"/>
      <c r="AD987" s="31"/>
      <c r="AE987" s="31"/>
      <c r="AF987" s="31"/>
      <c r="AG987" s="31"/>
      <c r="AH987" s="31"/>
      <c r="AI987" s="31"/>
      <c r="AJ987" s="31"/>
      <c r="AK987" s="31"/>
      <c r="AL987" s="31"/>
      <c r="AM987" s="31"/>
      <c r="AN987" s="31"/>
      <c r="AO987" s="31"/>
      <c r="AP987" s="31"/>
      <c r="AQ987" s="31"/>
      <c r="AR987" s="31"/>
      <c r="AS987" s="31"/>
    </row>
    <row r="988" spans="1:45" ht="13.5" customHeight="1">
      <c r="A988" s="31"/>
      <c r="B988" s="31"/>
      <c r="C988" s="31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1"/>
      <c r="AA988" s="31"/>
      <c r="AB988" s="31"/>
      <c r="AC988" s="31"/>
      <c r="AD988" s="31"/>
      <c r="AE988" s="31"/>
      <c r="AF988" s="31"/>
      <c r="AG988" s="31"/>
      <c r="AH988" s="31"/>
      <c r="AI988" s="31"/>
      <c r="AJ988" s="31"/>
      <c r="AK988" s="31"/>
      <c r="AL988" s="31"/>
      <c r="AM988" s="31"/>
      <c r="AN988" s="31"/>
      <c r="AO988" s="31"/>
      <c r="AP988" s="31"/>
      <c r="AQ988" s="31"/>
      <c r="AR988" s="31"/>
      <c r="AS988" s="31"/>
    </row>
    <row r="989" spans="1:45" ht="13.5" customHeight="1">
      <c r="A989" s="31"/>
      <c r="B989" s="31"/>
      <c r="C989" s="31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1"/>
      <c r="AA989" s="31"/>
      <c r="AB989" s="31"/>
      <c r="AC989" s="31"/>
      <c r="AD989" s="31"/>
      <c r="AE989" s="31"/>
      <c r="AF989" s="31"/>
      <c r="AG989" s="31"/>
      <c r="AH989" s="31"/>
      <c r="AI989" s="31"/>
      <c r="AJ989" s="31"/>
      <c r="AK989" s="31"/>
      <c r="AL989" s="31"/>
      <c r="AM989" s="31"/>
      <c r="AN989" s="31"/>
      <c r="AO989" s="31"/>
      <c r="AP989" s="31"/>
      <c r="AQ989" s="31"/>
      <c r="AR989" s="31"/>
      <c r="AS989" s="31"/>
    </row>
    <row r="990" spans="1:45" ht="13.5" customHeight="1">
      <c r="A990" s="31"/>
      <c r="B990" s="31"/>
      <c r="C990" s="31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1"/>
      <c r="AA990" s="31"/>
      <c r="AB990" s="31"/>
      <c r="AC990" s="31"/>
      <c r="AD990" s="31"/>
      <c r="AE990" s="31"/>
      <c r="AF990" s="31"/>
      <c r="AG990" s="31"/>
      <c r="AH990" s="31"/>
      <c r="AI990" s="31"/>
      <c r="AJ990" s="31"/>
      <c r="AK990" s="31"/>
      <c r="AL990" s="31"/>
      <c r="AM990" s="31"/>
      <c r="AN990" s="31"/>
      <c r="AO990" s="31"/>
      <c r="AP990" s="31"/>
      <c r="AQ990" s="31"/>
      <c r="AR990" s="31"/>
      <c r="AS990" s="31"/>
    </row>
    <row r="991" spans="1:45" ht="13.5" customHeight="1">
      <c r="A991" s="31"/>
      <c r="B991" s="31"/>
      <c r="C991" s="31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1"/>
      <c r="AA991" s="31"/>
      <c r="AB991" s="31"/>
      <c r="AC991" s="31"/>
      <c r="AD991" s="31"/>
      <c r="AE991" s="31"/>
      <c r="AF991" s="31"/>
      <c r="AG991" s="31"/>
      <c r="AH991" s="31"/>
      <c r="AI991" s="31"/>
      <c r="AJ991" s="31"/>
      <c r="AK991" s="31"/>
      <c r="AL991" s="31"/>
      <c r="AM991" s="31"/>
      <c r="AN991" s="31"/>
      <c r="AO991" s="31"/>
      <c r="AP991" s="31"/>
      <c r="AQ991" s="31"/>
      <c r="AR991" s="31"/>
      <c r="AS991" s="31"/>
    </row>
    <row r="992" spans="1:45" ht="13.5" customHeight="1">
      <c r="A992" s="31"/>
      <c r="B992" s="31"/>
      <c r="C992" s="31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1"/>
      <c r="AA992" s="31"/>
      <c r="AB992" s="31"/>
      <c r="AC992" s="31"/>
      <c r="AD992" s="31"/>
      <c r="AE992" s="31"/>
      <c r="AF992" s="31"/>
      <c r="AG992" s="31"/>
      <c r="AH992" s="31"/>
      <c r="AI992" s="31"/>
      <c r="AJ992" s="31"/>
      <c r="AK992" s="31"/>
      <c r="AL992" s="31"/>
      <c r="AM992" s="31"/>
      <c r="AN992" s="31"/>
      <c r="AO992" s="31"/>
      <c r="AP992" s="31"/>
      <c r="AQ992" s="31"/>
      <c r="AR992" s="31"/>
      <c r="AS992" s="31"/>
    </row>
    <row r="993" spans="1:45" ht="13.5" customHeight="1">
      <c r="A993" s="31"/>
      <c r="B993" s="31"/>
      <c r="C993" s="31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1"/>
      <c r="AA993" s="31"/>
      <c r="AB993" s="31"/>
      <c r="AC993" s="31"/>
      <c r="AD993" s="31"/>
      <c r="AE993" s="31"/>
      <c r="AF993" s="31"/>
      <c r="AG993" s="31"/>
      <c r="AH993" s="31"/>
      <c r="AI993" s="31"/>
      <c r="AJ993" s="31"/>
      <c r="AK993" s="31"/>
      <c r="AL993" s="31"/>
      <c r="AM993" s="31"/>
      <c r="AN993" s="31"/>
      <c r="AO993" s="31"/>
      <c r="AP993" s="31"/>
      <c r="AQ993" s="31"/>
      <c r="AR993" s="31"/>
      <c r="AS993" s="31"/>
    </row>
    <row r="994" spans="1:45" ht="13.5" customHeight="1">
      <c r="A994" s="31"/>
      <c r="B994" s="31"/>
      <c r="C994" s="31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1"/>
      <c r="AA994" s="31"/>
      <c r="AB994" s="31"/>
      <c r="AC994" s="31"/>
      <c r="AD994" s="31"/>
      <c r="AE994" s="31"/>
      <c r="AF994" s="31"/>
      <c r="AG994" s="31"/>
      <c r="AH994" s="31"/>
      <c r="AI994" s="31"/>
      <c r="AJ994" s="31"/>
      <c r="AK994" s="31"/>
      <c r="AL994" s="31"/>
      <c r="AM994" s="31"/>
      <c r="AN994" s="31"/>
      <c r="AO994" s="31"/>
      <c r="AP994" s="31"/>
      <c r="AQ994" s="31"/>
      <c r="AR994" s="31"/>
      <c r="AS994" s="31"/>
    </row>
    <row r="995" spans="1:45" ht="13.5" customHeight="1">
      <c r="A995" s="31"/>
      <c r="B995" s="31"/>
      <c r="C995" s="31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1"/>
      <c r="AA995" s="31"/>
      <c r="AB995" s="31"/>
      <c r="AC995" s="31"/>
      <c r="AD995" s="31"/>
      <c r="AE995" s="31"/>
      <c r="AF995" s="31"/>
      <c r="AG995" s="31"/>
      <c r="AH995" s="31"/>
      <c r="AI995" s="31"/>
      <c r="AJ995" s="31"/>
      <c r="AK995" s="31"/>
      <c r="AL995" s="31"/>
      <c r="AM995" s="31"/>
      <c r="AN995" s="31"/>
      <c r="AO995" s="31"/>
      <c r="AP995" s="31"/>
      <c r="AQ995" s="31"/>
      <c r="AR995" s="31"/>
      <c r="AS995" s="31"/>
    </row>
    <row r="996" spans="1:45" ht="13.5" customHeight="1">
      <c r="A996" s="31"/>
      <c r="B996" s="31"/>
      <c r="C996" s="31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1"/>
      <c r="AA996" s="31"/>
      <c r="AB996" s="31"/>
      <c r="AC996" s="31"/>
      <c r="AD996" s="31"/>
      <c r="AE996" s="31"/>
      <c r="AF996" s="31"/>
      <c r="AG996" s="31"/>
      <c r="AH996" s="31"/>
      <c r="AI996" s="31"/>
      <c r="AJ996" s="31"/>
      <c r="AK996" s="31"/>
      <c r="AL996" s="31"/>
      <c r="AM996" s="31"/>
      <c r="AN996" s="31"/>
      <c r="AO996" s="31"/>
      <c r="AP996" s="31"/>
      <c r="AQ996" s="31"/>
      <c r="AR996" s="31"/>
      <c r="AS996" s="31"/>
    </row>
    <row r="997" spans="1:45" ht="13.5" customHeight="1">
      <c r="A997" s="31"/>
      <c r="B997" s="31"/>
      <c r="C997" s="31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1"/>
      <c r="AA997" s="31"/>
      <c r="AB997" s="31"/>
      <c r="AC997" s="31"/>
      <c r="AD997" s="31"/>
      <c r="AE997" s="31"/>
      <c r="AF997" s="31"/>
      <c r="AG997" s="31"/>
      <c r="AH997" s="31"/>
      <c r="AI997" s="31"/>
      <c r="AJ997" s="31"/>
      <c r="AK997" s="31"/>
      <c r="AL997" s="31"/>
      <c r="AM997" s="31"/>
      <c r="AN997" s="31"/>
      <c r="AO997" s="31"/>
      <c r="AP997" s="31"/>
      <c r="AQ997" s="31"/>
      <c r="AR997" s="31"/>
      <c r="AS997" s="31"/>
    </row>
    <row r="998" spans="1:45" ht="13.5" customHeight="1">
      <c r="A998" s="31"/>
      <c r="B998" s="31"/>
      <c r="C998" s="31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1"/>
      <c r="AA998" s="31"/>
      <c r="AB998" s="31"/>
      <c r="AC998" s="31"/>
      <c r="AD998" s="31"/>
      <c r="AE998" s="31"/>
      <c r="AF998" s="31"/>
      <c r="AG998" s="31"/>
      <c r="AH998" s="31"/>
      <c r="AI998" s="31"/>
      <c r="AJ998" s="31"/>
      <c r="AK998" s="31"/>
      <c r="AL998" s="31"/>
      <c r="AM998" s="31"/>
      <c r="AN998" s="31"/>
      <c r="AO998" s="31"/>
      <c r="AP998" s="31"/>
      <c r="AQ998" s="31"/>
      <c r="AR998" s="31"/>
      <c r="AS998" s="31"/>
    </row>
    <row r="999" spans="1:45" ht="13.5" customHeight="1">
      <c r="A999" s="31"/>
      <c r="B999" s="31"/>
      <c r="C999" s="31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1"/>
      <c r="AA999" s="31"/>
      <c r="AB999" s="31"/>
      <c r="AC999" s="31"/>
      <c r="AD999" s="31"/>
      <c r="AE999" s="31"/>
      <c r="AF999" s="31"/>
      <c r="AG999" s="31"/>
      <c r="AH999" s="31"/>
      <c r="AI999" s="31"/>
      <c r="AJ999" s="31"/>
      <c r="AK999" s="31"/>
      <c r="AL999" s="31"/>
      <c r="AM999" s="31"/>
      <c r="AN999" s="31"/>
      <c r="AO999" s="31"/>
      <c r="AP999" s="31"/>
      <c r="AQ999" s="31"/>
      <c r="AR999" s="31"/>
      <c r="AS999" s="31"/>
    </row>
    <row r="1000" spans="1:45" ht="13.5" customHeight="1">
      <c r="A1000" s="31"/>
      <c r="B1000" s="31"/>
      <c r="C1000" s="31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1"/>
      <c r="AA1000" s="31"/>
      <c r="AB1000" s="31"/>
      <c r="AC1000" s="31"/>
      <c r="AD1000" s="31"/>
      <c r="AE1000" s="31"/>
      <c r="AF1000" s="31"/>
      <c r="AG1000" s="31"/>
      <c r="AH1000" s="31"/>
      <c r="AI1000" s="31"/>
      <c r="AJ1000" s="31"/>
      <c r="AK1000" s="31"/>
      <c r="AL1000" s="31"/>
      <c r="AM1000" s="31"/>
      <c r="AN1000" s="31"/>
      <c r="AO1000" s="31"/>
      <c r="AP1000" s="31"/>
      <c r="AQ1000" s="31"/>
      <c r="AR1000" s="31"/>
      <c r="AS1000" s="31"/>
    </row>
  </sheetData>
  <mergeCells count="5">
    <mergeCell ref="C1:D1"/>
    <mergeCell ref="B2:D2"/>
    <mergeCell ref="AQ33:AS33"/>
    <mergeCell ref="W35:Y35"/>
    <mergeCell ref="AR35:AS35"/>
  </mergeCells>
  <phoneticPr fontId="28" type="noConversion"/>
  <conditionalFormatting sqref="A2:O2">
    <cfRule type="cellIs" dxfId="61" priority="2" operator="equal">
      <formula>"N/A"</formula>
    </cfRule>
  </conditionalFormatting>
  <conditionalFormatting sqref="B4:D5">
    <cfRule type="cellIs" dxfId="60" priority="1" operator="equal">
      <formula>"N/A"</formula>
    </cfRule>
  </conditionalFormatting>
  <conditionalFormatting sqref="AA12:AK12 AS17:AS31 AR51:AR54">
    <cfRule type="cellIs" dxfId="59" priority="13" operator="equal">
      <formula>"""N/A"""</formula>
    </cfRule>
    <cfRule type="cellIs" dxfId="58" priority="14" operator="equal">
      <formula>"N/A"</formula>
    </cfRule>
    <cfRule type="cellIs" dxfId="57" priority="15" operator="equal">
      <formula>"N/A"</formula>
    </cfRule>
  </conditionalFormatting>
  <printOptions horizontalCentered="1"/>
  <pageMargins left="0.25" right="0.25" top="0.75" bottom="0.75" header="0" footer="0"/>
  <pageSetup paperSize="9" orientation="landscape" scale="77"/>
  <headerFooter>
    <oddFooter>&amp;C&amp;P / &amp;N</oddFooter>
  </headerFooter>
  <rowBreaks count="2" manualBreakCount="2">
    <brk id="31" max="16383" man="1"/>
    <brk id="64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993"/>
  <sheetViews>
    <sheetView zoomScale="70" zoomScaleNormal="70"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14.88671875" customWidth="1"/>
    <col min="3" max="3" width="6.44140625" customWidth="1"/>
    <col min="4" max="4" width="66.33203125" customWidth="1"/>
    <col min="5" max="5" width="3.6640625" customWidth="1"/>
    <col min="6" max="6" width="22" customWidth="1"/>
    <col min="7" max="7" width="5.33" customWidth="1"/>
    <col min="8" max="8" width="13.6640625" customWidth="1"/>
    <col min="9" max="10" width="14.6640625" customWidth="1"/>
    <col min="11" max="11" width="13.6640625" customWidth="1"/>
    <col min="12" max="12" width="8.6640625" customWidth="1"/>
    <col min="13" max="13" width="11" customWidth="1"/>
    <col min="14" max="26" width="8.88671875" customWidth="1"/>
  </cols>
  <sheetData>
    <row r="1" spans="1:26" ht="13.5" customHeight="1">
      <c r="A1" s="1"/>
      <c r="B1" s="1"/>
      <c r="C1" s="1"/>
      <c r="D1" s="1"/>
      <c r="E1" s="3"/>
      <c r="F1" s="3"/>
      <c r="G1" s="3"/>
      <c r="H1" s="3"/>
      <c r="I1" s="3"/>
      <c r="J1" s="3"/>
      <c r="K1" s="3"/>
      <c r="L1" s="5"/>
      <c r="M1" s="9"/>
      <c r="N1" s="9"/>
      <c r="O1" s="9"/>
      <c r="P1" s="9"/>
      <c r="Q1" s="9"/>
      <c r="R1" s="5"/>
      <c r="S1" s="5"/>
      <c r="T1" s="5"/>
      <c r="U1" s="5"/>
      <c r="V1" s="5"/>
      <c r="W1" s="5"/>
      <c r="X1" s="5"/>
      <c r="Y1" s="5"/>
      <c r="Z1" s="5"/>
    </row>
    <row r="2" spans="1:26" ht="42" customHeight="1" thickBot="1">
      <c r="A2" s="10"/>
      <c r="B2" s="172" t="inlineStr">
        <is>
          <t xml:space="preserve">NCP 취약점 진단 요약결과(31항목)</t>
        </is>
      </c>
      <c r="C2" s="173"/>
      <c r="D2" s="173"/>
      <c r="E2" s="173"/>
      <c r="F2" s="173"/>
      <c r="G2" s="12"/>
      <c r="H2" s="12"/>
      <c r="I2" s="12"/>
      <c r="J2" s="12"/>
      <c r="K2" s="12"/>
      <c r="L2" s="5"/>
      <c r="M2" s="9"/>
      <c r="N2" s="9"/>
      <c r="O2" s="9"/>
      <c r="P2" s="9"/>
      <c r="Q2" s="9"/>
      <c r="R2" s="5"/>
      <c r="S2" s="5"/>
      <c r="T2" s="5"/>
      <c r="U2" s="5"/>
      <c r="V2" s="5"/>
      <c r="W2" s="5"/>
      <c r="X2" s="5"/>
      <c r="Y2" s="5"/>
      <c r="Z2" s="5"/>
    </row>
    <row r="3" spans="1:26" ht="16.5" customHeight="1">
      <c r="A3" s="15"/>
      <c r="B3" s="174" t="s">
        <v>19</v>
      </c>
      <c r="C3" s="175" t="s">
        <v>20</v>
      </c>
      <c r="D3" s="175" t="s">
        <v>21</v>
      </c>
      <c r="E3" s="175" t="s">
        <v>22</v>
      </c>
      <c r="F3" s="93">
        <v>1</v>
      </c>
      <c r="G3" s="5"/>
      <c r="H3" s="9"/>
      <c r="I3" s="9"/>
      <c r="J3" s="9"/>
      <c r="K3" s="9"/>
      <c r="L3" s="9"/>
      <c r="M3" s="5"/>
      <c r="N3" s="5"/>
      <c r="O3" s="5"/>
      <c r="P3" s="5"/>
      <c r="Q3" s="5"/>
      <c r="R3" s="5"/>
      <c r="S3" s="5"/>
      <c r="T3" s="5"/>
      <c r="U3" s="5"/>
    </row>
    <row r="4" spans="1:26" ht="16.5" customHeight="1" thickBot="1">
      <c r="A4" s="15"/>
      <c r="B4" s="174"/>
      <c r="C4" s="175"/>
      <c r="D4" s="175"/>
      <c r="E4" s="175"/>
      <c r="F4" s="291">
        <f>IFERROR(VLOOKUP(F$3,'1. 진단 대상'!$B$5:$F$5,2,FALSE),"")</f>
      </c>
      <c r="G4" s="5"/>
      <c r="H4" s="9"/>
      <c r="I4" s="9"/>
      <c r="J4" s="9"/>
      <c r="K4" s="9"/>
      <c r="L4" s="9"/>
      <c r="M4" s="5"/>
      <c r="N4" s="5"/>
      <c r="O4" s="5"/>
      <c r="P4" s="5"/>
      <c r="Q4" s="5"/>
      <c r="R4" s="5"/>
      <c r="S4" s="5"/>
      <c r="T4" s="5"/>
      <c r="U4" s="5"/>
    </row>
    <row r="5" spans="1:26" ht="14.25" customHeight="1" thickBot="1">
      <c r="A5" s="15"/>
      <c r="B5" s="164"/>
      <c r="C5" s="176"/>
      <c r="D5" s="177"/>
      <c r="E5" s="177"/>
      <c r="F5" s="292">
        <f>IFERROR(VLOOKUP(F$3,'1. 진단 대상'!$B$5:$F$5,3,FALSE),"")</f>
      </c>
      <c r="G5" s="5" t="s">
        <v>23</v>
      </c>
      <c r="H5" s="22" t="s">
        <v>24</v>
      </c>
      <c r="I5" s="23" t="s">
        <v>16</v>
      </c>
      <c r="J5" s="24" t="s">
        <v>25</v>
      </c>
      <c r="K5" s="24" t="s">
        <v>26</v>
      </c>
      <c r="L5" s="25" t="s">
        <v>27</v>
      </c>
      <c r="M5" s="5"/>
      <c r="N5" s="5"/>
      <c r="O5" s="5"/>
      <c r="P5" s="5"/>
      <c r="Q5" s="5"/>
      <c r="R5" s="5"/>
      <c r="S5" s="5"/>
      <c r="T5" s="5"/>
      <c r="U5" s="5"/>
    </row>
    <row r="6" spans="1:26" ht="31.65" customHeight="1">
      <c r="A6" s="31"/>
      <c r="B6" s="237" t="inlineStr">
        <is>
          <t xml:space="preserve">1. 계정관리</t>
        </is>
      </c>
      <c r="C6" s="259" t="inlineStr">
        <is>
          <t xml:space="preserve">AC-01</t>
        </is>
      </c>
      <c r="D6" s="260" t="inlineStr">
        <is>
          <t xml:space="preserve">패스워드 복잡성 설정</t>
        </is>
      </c>
      <c r="E6" s="261" t="inlineStr">
        <is>
          <t xml:space="preserve">중</t>
        </is>
      </c>
      <c r="F6" s="262">
        <f>IFERROR(T(INDEX('3-1. 진단 결과(NCP)'!$F$6:$G$36,MATCH($C6,'3-1. 진단 결과(NCP)'!$C$6:$C$36,0),MATCH(F$3,'3-1. 진단 결과(NCP)'!$F$3:$G$3,0))),"")</f>
      </c>
      <c r="G6" s="5"/>
      <c r="H6" s="263">
        <f>IF(COUNTIF(I6:I15,"N/A")=COUNTA(I6:I15),"N/A",AVERAGE(I6:I15))</f>
      </c>
      <c r="I6" s="264">
        <f>IF($J6+$K6=0,"N/A",$J6/($J6+$K6))</f>
      </c>
      <c r="J6" s="265">
        <f>COUNTIF($F6:$F6,"양호")</f>
      </c>
      <c r="K6" s="266">
        <f>COUNTIF($F6:$F6,"취약")</f>
      </c>
      <c r="L6" s="267">
        <f>COUNTIF($F6:$F6,"N/A")</f>
      </c>
    </row>
    <row r="7" spans="1:26" ht="31.65" customHeight="1">
      <c r="A7" s="31"/>
      <c r="B7" s="163"/>
      <c r="C7" s="91" t="inlineStr">
        <is>
          <t xml:space="preserve">AC-02</t>
        </is>
      </c>
      <c r="D7" s="227" t="inlineStr">
        <is>
          <t xml:space="preserve">패스워드 최소 길이 설정</t>
        </is>
      </c>
      <c r="E7" s="8" t="inlineStr">
        <is>
          <t xml:space="preserve">중</t>
        </is>
      </c>
      <c r="F7" s="33">
        <f>IFERROR(T(INDEX('3-1. 진단 결과(NCP)'!$F$6:$G$36,MATCH($C7,'3-1. 진단 결과(NCP)'!$C$6:$C$36,0),MATCH(F$3,'3-1. 진단 결과(NCP)'!$F$3:$G$3,0))),"")</f>
      </c>
      <c r="G7" s="5"/>
      <c r="H7" s="159"/>
      <c r="I7" s="34">
        <f>IF($J7+$K7=0,"N/A",$J7/($J7+$K7))</f>
      </c>
      <c r="J7" s="120">
        <f>COUNTIF($F7:$F7,"양호")</f>
      </c>
      <c r="K7" s="121">
        <f>COUNTIF($F7:$F7,"취약")</f>
      </c>
      <c r="L7" s="30">
        <f>COUNTIF($F7:$F7,"N/A")</f>
      </c>
    </row>
    <row r="8" spans="1:26" ht="31.65" customHeight="1">
      <c r="A8" s="31"/>
      <c r="B8" s="163"/>
      <c r="C8" s="91" t="inlineStr">
        <is>
          <t xml:space="preserve">AC-03</t>
        </is>
      </c>
      <c r="D8" s="227" t="inlineStr">
        <is>
          <t xml:space="preserve">강화된 인증방식 적용</t>
        </is>
      </c>
      <c r="E8" s="8" t="inlineStr">
        <is>
          <t xml:space="preserve">중</t>
        </is>
      </c>
      <c r="F8" s="33">
        <f>IFERROR(T(INDEX('3-1. 진단 결과(NCP)'!$F$6:$G$36,MATCH($C8,'3-1. 진단 결과(NCP)'!$C$6:$C$36,0),MATCH(F$3,'3-1. 진단 결과(NCP)'!$F$3:$G$3,0))),"")</f>
      </c>
      <c r="G8" s="5"/>
      <c r="H8" s="159"/>
      <c r="I8" s="34">
        <f>IF($J8+$K8=0,"N/A",$J8/($J8+$K8))</f>
      </c>
      <c r="J8" s="120">
        <f>COUNTIF($F8:$F8,"양호")</f>
      </c>
      <c r="K8" s="121">
        <f>COUNTIF($F8:$F8,"취약")</f>
      </c>
      <c r="L8" s="30">
        <f>COUNTIF($F8:$F8,"N/A")</f>
      </c>
    </row>
    <row r="9" spans="1:26" ht="31.65" customHeight="1">
      <c r="A9" s="31"/>
      <c r="B9" s="163"/>
      <c r="C9" s="91" t="inlineStr">
        <is>
          <t xml:space="preserve">AC-04</t>
        </is>
      </c>
      <c r="D9" s="227" t="inlineStr">
        <is>
          <t xml:space="preserve">API 인증키 관리</t>
        </is>
      </c>
      <c r="E9" s="8" t="inlineStr">
        <is>
          <t xml:space="preserve">상</t>
        </is>
      </c>
      <c r="F9" s="33">
        <f>IFERROR(T(INDEX('3-1. 진단 결과(NCP)'!$F$6:$G$36,MATCH($C9,'3-1. 진단 결과(NCP)'!$C$6:$C$36,0),MATCH(F$3,'3-1. 진단 결과(NCP)'!$F$3:$G$3,0))),"")</f>
      </c>
      <c r="G9" s="5"/>
      <c r="H9" s="159"/>
      <c r="I9" s="34">
        <f>IF($J9+$K9=0,"N/A",$J9/($J9+$K9))</f>
      </c>
      <c r="J9" s="120">
        <f>COUNTIF($F9:$F9,"양호")</f>
      </c>
      <c r="K9" s="121">
        <f>COUNTIF($F9:$F9,"취약")</f>
      </c>
      <c r="L9" s="30">
        <f>COUNTIF($F9:$F9,"N/A")</f>
      </c>
    </row>
    <row r="10" spans="1:26" ht="31.65" customHeight="1">
      <c r="A10" s="31"/>
      <c r="B10" s="163"/>
      <c r="C10" s="91" t="inlineStr">
        <is>
          <t xml:space="preserve">AC-05</t>
        </is>
      </c>
      <c r="D10" s="227" t="inlineStr">
        <is>
          <t xml:space="preserve">계정 권한 부여 방식</t>
        </is>
      </c>
      <c r="E10" s="8" t="inlineStr">
        <is>
          <t xml:space="preserve">중</t>
        </is>
      </c>
      <c r="F10" s="33">
        <f>IFERROR(T(INDEX('3-1. 진단 결과(NCP)'!$F$6:$G$36,MATCH($C10,'3-1. 진단 결과(NCP)'!$C$6:$C$36,0),MATCH(F$3,'3-1. 진단 결과(NCP)'!$F$3:$G$3,0))),"")</f>
      </c>
      <c r="G10" s="5"/>
      <c r="H10" s="159"/>
      <c r="I10" s="34">
        <f>IF($J10+$K10=0,"N/A",$J10/($J10+$K10))</f>
      </c>
      <c r="J10" s="120">
        <f>COUNTIF($F10:$F10,"양호")</f>
      </c>
      <c r="K10" s="121">
        <f>COUNTIF($F10:$F10,"취약")</f>
      </c>
      <c r="L10" s="30">
        <f>COUNTIF($F10:$F10,"N/A")</f>
      </c>
    </row>
    <row r="11" spans="1:26" ht="31.65" customHeight="1">
      <c r="A11" s="31"/>
      <c r="B11" s="163"/>
      <c r="C11" s="91" t="inlineStr">
        <is>
          <t xml:space="preserve">AC-06</t>
        </is>
      </c>
      <c r="D11" s="227" t="inlineStr">
        <is>
          <t xml:space="preserve">메인 계정 사용 금지</t>
        </is>
      </c>
      <c r="E11" s="8" t="inlineStr">
        <is>
          <t xml:space="preserve">상</t>
        </is>
      </c>
      <c r="F11" s="33">
        <f>IFERROR(T(INDEX('3-1. 진단 결과(NCP)'!$F$6:$G$36,MATCH($C11,'3-1. 진단 결과(NCP)'!$C$6:$C$36,0),MATCH(F$3,'3-1. 진단 결과(NCP)'!$F$3:$G$3,0))),"")</f>
      </c>
      <c r="G11" s="5"/>
      <c r="H11" s="159"/>
      <c r="I11" s="34">
        <f>IF($J11+$K11=0,"N/A",$J11/($J11+$K11))</f>
      </c>
      <c r="J11" s="120">
        <f>COUNTIF($F11:$F11,"양호")</f>
      </c>
      <c r="K11" s="121">
        <f>COUNTIF($F11:$F11,"취약")</f>
      </c>
      <c r="L11" s="30">
        <f>COUNTIF($F11:$F11,"N/A")</f>
      </c>
    </row>
    <row r="12" spans="1:26" ht="31.65" customHeight="1">
      <c r="A12" s="31"/>
      <c r="B12" s="163"/>
      <c r="C12" s="91" t="inlineStr">
        <is>
          <t xml:space="preserve">AC-07</t>
        </is>
      </c>
      <c r="D12" s="227" t="inlineStr">
        <is>
          <t xml:space="preserve">불필요한 계정 제거</t>
        </is>
      </c>
      <c r="E12" s="8" t="inlineStr">
        <is>
          <t xml:space="preserve">중</t>
        </is>
      </c>
      <c r="F12" s="33">
        <f>IFERROR(T(INDEX('3-1. 진단 결과(NCP)'!$F$6:$G$36,MATCH($C12,'3-1. 진단 결과(NCP)'!$C$6:$C$36,0),MATCH(F$3,'3-1. 진단 결과(NCP)'!$F$3:$G$3,0))),"")</f>
      </c>
      <c r="G12" s="5"/>
      <c r="H12" s="159"/>
      <c r="I12" s="34">
        <f>IF($J12+$K12=0,"N/A",$J12/($J12+$K12))</f>
      </c>
      <c r="J12" s="120">
        <f>COUNTIF($F12:$F12,"양호")</f>
      </c>
      <c r="K12" s="121">
        <f>COUNTIF($F12:$F12,"취약")</f>
      </c>
      <c r="L12" s="30">
        <f>COUNTIF($F12:$F12,"N/A")</f>
      </c>
    </row>
    <row r="13" spans="1:26" ht="31.65" customHeight="1">
      <c r="A13" s="31"/>
      <c r="B13" s="163"/>
      <c r="C13" s="91" t="inlineStr">
        <is>
          <t xml:space="preserve">AC-08</t>
        </is>
      </c>
      <c r="D13" s="227" t="inlineStr">
        <is>
          <t xml:space="preserve">계정 속성 만료 활성화</t>
        </is>
      </c>
      <c r="E13" s="8" t="inlineStr">
        <is>
          <t xml:space="preserve">상</t>
        </is>
      </c>
      <c r="F13" s="33">
        <f>IFERROR(T(INDEX('3-1. 진단 결과(NCP)'!$F$6:$G$36,MATCH($C13,'3-1. 진단 결과(NCP)'!$C$6:$C$36,0),MATCH(F$3,'3-1. 진단 결과(NCP)'!$F$3:$G$3,0))),"")</f>
      </c>
      <c r="G13" s="5"/>
      <c r="H13" s="159"/>
      <c r="I13" s="34">
        <f>IF($J13+$K13=0,"N/A",$J13/($J13+$K13))</f>
      </c>
      <c r="J13" s="120">
        <f>COUNTIF($F13:$F13,"양호")</f>
      </c>
      <c r="K13" s="121">
        <f>COUNTIF($F13:$F13,"취약")</f>
      </c>
      <c r="L13" s="30">
        <f>COUNTIF($F13:$F13,"N/A")</f>
      </c>
    </row>
    <row r="14" spans="1:26" ht="31.65" customHeight="1">
      <c r="A14" s="31"/>
      <c r="B14" s="163"/>
      <c r="C14" s="91" t="inlineStr">
        <is>
          <t xml:space="preserve">AC-09</t>
        </is>
      </c>
      <c r="D14" s="227" t="inlineStr">
        <is>
          <t xml:space="preserve">정확한 정책 및 역할 할당</t>
        </is>
      </c>
      <c r="E14" s="8" t="inlineStr">
        <is>
          <t xml:space="preserve">상</t>
        </is>
      </c>
      <c r="F14" s="33">
        <f>IFERROR(T(INDEX('3-1. 진단 결과(NCP)'!$F$6:$G$36,MATCH($C14,'3-1. 진단 결과(NCP)'!$C$6:$C$36,0),MATCH(F$3,'3-1. 진단 결과(NCP)'!$F$3:$G$3,0))),"")</f>
      </c>
      <c r="G14" s="5"/>
      <c r="H14" s="159"/>
      <c r="I14" s="34">
        <f>IF($J14+$K14=0,"N/A",$J14/($J14+$K14))</f>
      </c>
      <c r="J14" s="120">
        <f>COUNTIF($F14:$F14,"양호")</f>
      </c>
      <c r="K14" s="121">
        <f>COUNTIF($F14:$F14,"취약")</f>
      </c>
      <c r="L14" s="30">
        <f>COUNTIF($F14:$F14,"N/A")</f>
      </c>
    </row>
    <row r="15" spans="1:26" ht="31.65" customHeight="1">
      <c r="A15" s="31"/>
      <c r="B15" s="245"/>
      <c r="C15" s="268" t="inlineStr">
        <is>
          <t xml:space="preserve">AC-10</t>
        </is>
      </c>
      <c r="D15" s="269" t="inlineStr">
        <is>
          <t xml:space="preserve">통합 계정 관리</t>
        </is>
      </c>
      <c r="E15" s="270" t="inlineStr">
        <is>
          <t xml:space="preserve">하</t>
        </is>
      </c>
      <c r="F15" s="271">
        <f>IFERROR(T(INDEX('3-1. 진단 결과(NCP)'!$F$6:$G$36,MATCH($C15,'3-1. 진단 결과(NCP)'!$C$6:$C$36,0),MATCH(F$3,'3-1. 진단 결과(NCP)'!$F$3:$G$3,0))),"")</f>
      </c>
      <c r="G15" s="5"/>
      <c r="H15" s="272"/>
      <c r="I15" s="273">
        <f>IF($J15+$K15=0,"N/A",$J15/($J15+$K15))</f>
      </c>
      <c r="J15" s="274">
        <f>COUNTIF($F15:$F15,"양호")</f>
      </c>
      <c r="K15" s="275">
        <f>COUNTIF($F15:$F15,"취약")</f>
      </c>
      <c r="L15" s="276">
        <f>COUNTIF($F15:$F15,"N/A")</f>
      </c>
    </row>
    <row r="16" spans="1:26" ht="31.65" customHeight="1">
      <c r="A16" s="31"/>
      <c r="B16" s="237" t="inlineStr">
        <is>
          <t xml:space="preserve">2. 네트워크 보안</t>
        </is>
      </c>
      <c r="C16" s="259" t="inlineStr">
        <is>
          <t xml:space="preserve">VP-01</t>
        </is>
      </c>
      <c r="D16" s="260" t="inlineStr">
        <is>
          <t xml:space="preserve">VPC Naming 설정</t>
        </is>
      </c>
      <c r="E16" s="261" t="inlineStr">
        <is>
          <t xml:space="preserve">하</t>
        </is>
      </c>
      <c r="F16" s="262">
        <f>IFERROR(T(INDEX('3-1. 진단 결과(NCP)'!$F$6:$G$36,MATCH($C16,'3-1. 진단 결과(NCP)'!$C$6:$C$36,0),MATCH(F$3,'3-1. 진단 결과(NCP)'!$F$3:$G$3,0))),"")</f>
      </c>
      <c r="G16" s="5"/>
      <c r="H16" s="263">
        <f>IF(COUNTIF(I16:I20,"N/A")=COUNTA(I16:I20),"N/A",AVERAGE(I16:I20))</f>
      </c>
      <c r="I16" s="264">
        <f>IF($J16+$K16=0,"N/A",$J16/($J16+$K16))</f>
      </c>
      <c r="J16" s="265">
        <f>COUNTIF($F16:$F16,"양호")</f>
      </c>
      <c r="K16" s="266">
        <f>COUNTIF($F16:$F16,"취약")</f>
      </c>
      <c r="L16" s="267">
        <f>COUNTIF($F16:$F16,"N/A")</f>
      </c>
    </row>
    <row r="17" spans="1:26" ht="31.65" customHeight="1">
      <c r="A17" s="31"/>
      <c r="B17" s="163"/>
      <c r="C17" s="91" t="inlineStr">
        <is>
          <t xml:space="preserve">VP-02</t>
        </is>
      </c>
      <c r="D17" s="227" t="inlineStr">
        <is>
          <t xml:space="preserve">서비스 목적에 따른 네트워크 분리</t>
        </is>
      </c>
      <c r="E17" s="8" t="inlineStr">
        <is>
          <t xml:space="preserve">중</t>
        </is>
      </c>
      <c r="F17" s="33">
        <f>IFERROR(T(INDEX('3-1. 진단 결과(NCP)'!$F$6:$G$36,MATCH($C17,'3-1. 진단 결과(NCP)'!$C$6:$C$36,0),MATCH(F$3,'3-1. 진단 결과(NCP)'!$F$3:$G$3,0))),"")</f>
      </c>
      <c r="G17" s="5"/>
      <c r="H17" s="159"/>
      <c r="I17" s="34">
        <f>IF($J17+$K17=0,"N/A",$J17/($J17+$K17))</f>
      </c>
      <c r="J17" s="120">
        <f>COUNTIF($F17:$F17,"양호")</f>
      </c>
      <c r="K17" s="121">
        <f>COUNTIF($F17:$F17,"취약")</f>
      </c>
      <c r="L17" s="30">
        <f>COUNTIF($F17:$F17,"N/A")</f>
      </c>
    </row>
    <row r="18" spans="1:26" ht="31.65" customHeight="1">
      <c r="A18" s="31"/>
      <c r="B18" s="163"/>
      <c r="C18" s="91" t="inlineStr">
        <is>
          <t xml:space="preserve">VP-03</t>
        </is>
      </c>
      <c r="D18" s="227" t="inlineStr">
        <is>
          <t xml:space="preserve">NACL 관리</t>
        </is>
      </c>
      <c r="E18" s="8" t="inlineStr">
        <is>
          <t xml:space="preserve">중</t>
        </is>
      </c>
      <c r="F18" s="33">
        <f>IFERROR(T(INDEX('3-1. 진단 결과(NCP)'!$F$6:$G$36,MATCH($C18,'3-1. 진단 결과(NCP)'!$C$6:$C$36,0),MATCH(F$3,'3-1. 진단 결과(NCP)'!$F$3:$G$3,0))),"")</f>
      </c>
      <c r="G18" s="5"/>
      <c r="H18" s="159"/>
      <c r="I18" s="34">
        <f>IF($J18+$K18=0,"N/A",$J18/($J18+$K18))</f>
      </c>
      <c r="J18" s="120">
        <f>COUNTIF($F18:$F18,"양호")</f>
      </c>
      <c r="K18" s="121">
        <f>COUNTIF($F18:$F18,"취약")</f>
      </c>
      <c r="L18" s="30">
        <f>COUNTIF($F18:$F18,"N/A")</f>
      </c>
    </row>
    <row r="19" spans="1:26" ht="31.65" customHeight="1">
      <c r="A19" s="31"/>
      <c r="B19" s="163"/>
      <c r="C19" s="91" t="inlineStr">
        <is>
          <t xml:space="preserve">VP-04</t>
        </is>
      </c>
      <c r="D19" s="227" t="inlineStr">
        <is>
          <t xml:space="preserve">NAT Gateway 관리</t>
        </is>
      </c>
      <c r="E19" s="8" t="inlineStr">
        <is>
          <t xml:space="preserve">중</t>
        </is>
      </c>
      <c r="F19" s="33">
        <f>IFERROR(T(INDEX('3-1. 진단 결과(NCP)'!$F$6:$G$36,MATCH($C19,'3-1. 진단 결과(NCP)'!$C$6:$C$36,0),MATCH(F$3,'3-1. 진단 결과(NCP)'!$F$3:$G$3,0))),"")</f>
      </c>
      <c r="G19" s="5"/>
      <c r="H19" s="159"/>
      <c r="I19" s="34">
        <f>IF($J19+$K19=0,"N/A",$J19/($J19+$K19))</f>
      </c>
      <c r="J19" s="120">
        <f>COUNTIF($F19:$F19,"양호")</f>
      </c>
      <c r="K19" s="121">
        <f>COUNTIF($F19:$F19,"취약")</f>
      </c>
      <c r="L19" s="30">
        <f>COUNTIF($F19:$F19,"N/A")</f>
      </c>
    </row>
    <row r="20" spans="1:26" ht="31.65" customHeight="1">
      <c r="A20" s="31"/>
      <c r="B20" s="245"/>
      <c r="C20" s="268" t="inlineStr">
        <is>
          <t xml:space="preserve">VP-05</t>
        </is>
      </c>
      <c r="D20" s="269" t="inlineStr">
        <is>
          <t xml:space="preserve">안전한 접속 수단 설정</t>
        </is>
      </c>
      <c r="E20" s="270" t="inlineStr">
        <is>
          <t xml:space="preserve">중</t>
        </is>
      </c>
      <c r="F20" s="271">
        <f>IFERROR(T(INDEX('3-1. 진단 결과(NCP)'!$F$6:$G$36,MATCH($C20,'3-1. 진단 결과(NCP)'!$C$6:$C$36,0),MATCH(F$3,'3-1. 진단 결과(NCP)'!$F$3:$G$3,0))),"")</f>
      </c>
      <c r="G20" s="5"/>
      <c r="H20" s="272"/>
      <c r="I20" s="273">
        <f>IF($J20+$K20=0,"N/A",$J20/($J20+$K20))</f>
      </c>
      <c r="J20" s="274">
        <f>COUNTIF($F20:$F20,"양호")</f>
      </c>
      <c r="K20" s="275">
        <f>COUNTIF($F20:$F20,"취약")</f>
      </c>
      <c r="L20" s="276">
        <f>COUNTIF($F20:$F20,"N/A")</f>
      </c>
    </row>
    <row r="21" spans="1:26" ht="31.65" customHeight="1">
      <c r="A21" s="31"/>
      <c r="B21" s="237" t="inlineStr">
        <is>
          <t xml:space="preserve">3. 서버 보안</t>
        </is>
      </c>
      <c r="C21" s="259" t="inlineStr">
        <is>
          <t xml:space="preserve">SV-01</t>
        </is>
      </c>
      <c r="D21" s="260" t="inlineStr">
        <is>
          <t xml:space="preserve">서비스 포트 관리</t>
        </is>
      </c>
      <c r="E21" s="261" t="inlineStr">
        <is>
          <t xml:space="preserve">상</t>
        </is>
      </c>
      <c r="F21" s="262">
        <f>IFERROR(T(INDEX('3-1. 진단 결과(NCP)'!$F$6:$G$36,MATCH($C21,'3-1. 진단 결과(NCP)'!$C$6:$C$36,0),MATCH(F$3,'3-1. 진단 결과(NCP)'!$F$3:$G$3,0))),"")</f>
      </c>
      <c r="G21" s="5"/>
      <c r="H21" s="263">
        <f>IF(COUNTIF(I21:I26,"N/A")=COUNTA(I21:I26),"N/A",AVERAGE(I21:I26))</f>
      </c>
      <c r="I21" s="264">
        <f>IF($J21+$K21=0,"N/A",$J21/($J21+$K21))</f>
      </c>
      <c r="J21" s="265">
        <f>COUNTIF($F21:$F21,"양호")</f>
      </c>
      <c r="K21" s="266">
        <f>COUNTIF($F21:$F21,"취약")</f>
      </c>
      <c r="L21" s="267">
        <f>COUNTIF($F21:$F21,"N/A")</f>
      </c>
    </row>
    <row r="22" spans="1:26" ht="31.65" customHeight="1">
      <c r="A22" s="31"/>
      <c r="B22" s="163"/>
      <c r="C22" s="91" t="inlineStr">
        <is>
          <t xml:space="preserve">SV-02</t>
        </is>
      </c>
      <c r="D22" s="227" t="inlineStr">
        <is>
          <t xml:space="preserve">서버간 통신 제어</t>
        </is>
      </c>
      <c r="E22" s="8" t="inlineStr">
        <is>
          <t xml:space="preserve">중</t>
        </is>
      </c>
      <c r="F22" s="33">
        <f>IFERROR(T(INDEX('3-1. 진단 결과(NCP)'!$F$6:$G$36,MATCH($C22,'3-1. 진단 결과(NCP)'!$C$6:$C$36,0),MATCH(F$3,'3-1. 진단 결과(NCP)'!$F$3:$G$3,0))),"")</f>
      </c>
      <c r="G22" s="5"/>
      <c r="H22" s="159"/>
      <c r="I22" s="34">
        <f>IF($J22+$K22=0,"N/A",$J22/($J22+$K22))</f>
      </c>
      <c r="J22" s="120">
        <f>COUNTIF($F22:$F22,"양호")</f>
      </c>
      <c r="K22" s="121">
        <f>COUNTIF($F22:$F22,"취약")</f>
      </c>
      <c r="L22" s="30">
        <f>COUNTIF($F22:$F22,"N/A")</f>
      </c>
    </row>
    <row r="23" spans="1:26" ht="31.65" customHeight="1">
      <c r="A23" s="31"/>
      <c r="B23" s="163"/>
      <c r="C23" s="91" t="inlineStr">
        <is>
          <t xml:space="preserve">SV-03</t>
        </is>
      </c>
      <c r="D23" s="227" t="inlineStr">
        <is>
          <t xml:space="preserve">사용자 접근 통제</t>
        </is>
      </c>
      <c r="E23" s="8" t="inlineStr">
        <is>
          <t xml:space="preserve">상</t>
        </is>
      </c>
      <c r="F23" s="33">
        <f>IFERROR(T(INDEX('3-1. 진단 결과(NCP)'!$F$6:$G$36,MATCH($C23,'3-1. 진단 결과(NCP)'!$C$6:$C$36,0),MATCH(F$3,'3-1. 진단 결과(NCP)'!$F$3:$G$3,0))),"")</f>
      </c>
      <c r="G23" s="5"/>
      <c r="H23" s="159"/>
      <c r="I23" s="34">
        <f>IF($J23+$K23=0,"N/A",$J23/($J23+$K23))</f>
      </c>
      <c r="J23" s="120">
        <f>COUNTIF($F23:$F23,"양호")</f>
      </c>
      <c r="K23" s="121">
        <f>COUNTIF($F23:$F23,"취약")</f>
      </c>
      <c r="L23" s="30">
        <f>COUNTIF($F23:$F23,"N/A")</f>
      </c>
    </row>
    <row r="24" spans="1:26" ht="31.65" customHeight="1">
      <c r="A24" s="31"/>
      <c r="B24" s="163"/>
      <c r="C24" s="91" t="inlineStr">
        <is>
          <t xml:space="preserve">SV-04</t>
        </is>
      </c>
      <c r="D24" s="227" t="inlineStr">
        <is>
          <t xml:space="preserve">공인 IP 사용 제한</t>
        </is>
      </c>
      <c r="E24" s="8" t="inlineStr">
        <is>
          <t xml:space="preserve">중</t>
        </is>
      </c>
      <c r="F24" s="33">
        <f>IFERROR(T(INDEX('3-1. 진단 결과(NCP)'!$F$6:$G$36,MATCH($C24,'3-1. 진단 결과(NCP)'!$C$6:$C$36,0),MATCH(F$3,'3-1. 진단 결과(NCP)'!$F$3:$G$3,0))),"")</f>
      </c>
      <c r="G24" s="5"/>
      <c r="H24" s="159"/>
      <c r="I24" s="34">
        <f>IF($J24+$K24=0,"N/A",$J24/($J24+$K24))</f>
      </c>
      <c r="J24" s="120">
        <f>COUNTIF($F24:$F24,"양호")</f>
      </c>
      <c r="K24" s="121">
        <f>COUNTIF($F24:$F24,"취약")</f>
      </c>
      <c r="L24" s="30">
        <f>COUNTIF($F24:$F24,"N/A")</f>
      </c>
    </row>
    <row r="25" spans="1:26" ht="31.65" customHeight="1">
      <c r="A25" s="31"/>
      <c r="B25" s="163"/>
      <c r="C25" s="91" t="inlineStr">
        <is>
          <t xml:space="preserve">SV-05</t>
        </is>
      </c>
      <c r="D25" s="227" t="inlineStr">
        <is>
          <t xml:space="preserve">불필요한 서버 제거</t>
        </is>
      </c>
      <c r="E25" s="8" t="inlineStr">
        <is>
          <t xml:space="preserve">중</t>
        </is>
      </c>
      <c r="F25" s="33">
        <f>IFERROR(T(INDEX('3-1. 진단 결과(NCP)'!$F$6:$G$36,MATCH($C25,'3-1. 진단 결과(NCP)'!$C$6:$C$36,0),MATCH(F$3,'3-1. 진단 결과(NCP)'!$F$3:$G$3,0))),"")</f>
      </c>
      <c r="G25" s="5"/>
      <c r="H25" s="159"/>
      <c r="I25" s="34">
        <f>IF($J25+$K25=0,"N/A",$J25/($J25+$K25))</f>
      </c>
      <c r="J25" s="120">
        <f>COUNTIF($F25:$F25,"양호")</f>
      </c>
      <c r="K25" s="121">
        <f>COUNTIF($F25:$F25,"취약")</f>
      </c>
      <c r="L25" s="30">
        <f>COUNTIF($F25:$F25,"N/A")</f>
      </c>
    </row>
    <row r="26" spans="1:26" ht="31.65" customHeight="1">
      <c r="A26" s="31"/>
      <c r="B26" s="245"/>
      <c r="C26" s="268" t="inlineStr">
        <is>
          <t xml:space="preserve">SV-06</t>
        </is>
      </c>
      <c r="D26" s="269" t="inlineStr">
        <is>
          <t xml:space="preserve">OS 취약성 점검</t>
        </is>
      </c>
      <c r="E26" s="270" t="inlineStr">
        <is>
          <t xml:space="preserve">중</t>
        </is>
      </c>
      <c r="F26" s="271">
        <f>IFERROR(T(INDEX('3-1. 진단 결과(NCP)'!$F$6:$G$36,MATCH($C26,'3-1. 진단 결과(NCP)'!$C$6:$C$36,0),MATCH(F$3,'3-1. 진단 결과(NCP)'!$F$3:$G$3,0))),"")</f>
      </c>
      <c r="G26" s="5"/>
      <c r="H26" s="272"/>
      <c r="I26" s="273">
        <f>IF($J26+$K26=0,"N/A",$J26/($J26+$K26))</f>
      </c>
      <c r="J26" s="274">
        <f>COUNTIF($F26:$F26,"양호")</f>
      </c>
      <c r="K26" s="275">
        <f>COUNTIF($F26:$F26,"취약")</f>
      </c>
      <c r="L26" s="276">
        <f>COUNTIF($F26:$F26,"N/A")</f>
      </c>
    </row>
    <row r="27" spans="1:26" ht="31.65" customHeight="1">
      <c r="A27" s="31"/>
      <c r="B27" s="237" t="inlineStr">
        <is>
          <t xml:space="preserve">4. 스토리지 보안</t>
        </is>
      </c>
      <c r="C27" s="259" t="inlineStr">
        <is>
          <t xml:space="preserve">ST-01</t>
        </is>
      </c>
      <c r="D27" s="260" t="inlineStr">
        <is>
          <t xml:space="preserve">버킷 공개 설정</t>
        </is>
      </c>
      <c r="E27" s="261" t="inlineStr">
        <is>
          <t xml:space="preserve">중</t>
        </is>
      </c>
      <c r="F27" s="262">
        <f>IFERROR(T(INDEX('3-1. 진단 결과(NCP)'!$F$6:$G$36,MATCH($C27,'3-1. 진단 결과(NCP)'!$C$6:$C$36,0),MATCH(F$3,'3-1. 진단 결과(NCP)'!$F$3:$G$3,0))),"")</f>
      </c>
      <c r="G27" s="5"/>
      <c r="H27" s="263">
        <f>IF(COUNTIF(I27:I30,"N/A")=COUNTA(I27:I30),"N/A",AVERAGE(I27:I30))</f>
      </c>
      <c r="I27" s="264">
        <f>IF($J27+$K27=0,"N/A",$J27/($J27+$K27))</f>
      </c>
      <c r="J27" s="265">
        <f>COUNTIF($F27:$F27,"양호")</f>
      </c>
      <c r="K27" s="266">
        <f>COUNTIF($F27:$F27,"취약")</f>
      </c>
      <c r="L27" s="267">
        <f>COUNTIF($F27:$F27,"N/A")</f>
      </c>
    </row>
    <row r="28" spans="1:26" ht="31.65" customHeight="1">
      <c r="A28" s="31"/>
      <c r="B28" s="163"/>
      <c r="C28" s="91" t="inlineStr">
        <is>
          <t xml:space="preserve">ST-02</t>
        </is>
      </c>
      <c r="D28" s="227" t="inlineStr">
        <is>
          <t xml:space="preserve">데이터 수명 주기 관리</t>
        </is>
      </c>
      <c r="E28" s="8" t="inlineStr">
        <is>
          <t xml:space="preserve">하</t>
        </is>
      </c>
      <c r="F28" s="33">
        <f>IFERROR(T(INDEX('3-1. 진단 결과(NCP)'!$F$6:$G$36,MATCH($C28,'3-1. 진단 결과(NCP)'!$C$6:$C$36,0),MATCH(F$3,'3-1. 진단 결과(NCP)'!$F$3:$G$3,0))),"")</f>
      </c>
      <c r="G28" s="5"/>
      <c r="H28" s="159"/>
      <c r="I28" s="34">
        <f>IF($J28+$K28=0,"N/A",$J28/($J28+$K28))</f>
      </c>
      <c r="J28" s="120">
        <f>COUNTIF($F28:$F28,"양호")</f>
      </c>
      <c r="K28" s="121">
        <f>COUNTIF($F28:$F28,"취약")</f>
      </c>
      <c r="L28" s="30">
        <f>COUNTIF($F28:$F28,"N/A")</f>
      </c>
    </row>
    <row r="29" spans="1:26" ht="31.65" customHeight="1">
      <c r="A29" s="31"/>
      <c r="B29" s="163"/>
      <c r="C29" s="91" t="inlineStr">
        <is>
          <t xml:space="preserve">ST-03</t>
        </is>
      </c>
      <c r="D29" s="227" t="inlineStr">
        <is>
          <t xml:space="preserve">불필요한 버킷 제거</t>
        </is>
      </c>
      <c r="E29" s="8" t="inlineStr">
        <is>
          <t xml:space="preserve">중</t>
        </is>
      </c>
      <c r="F29" s="33">
        <f>IFERROR(T(INDEX('3-1. 진단 결과(NCP)'!$F$6:$G$36,MATCH($C29,'3-1. 진단 결과(NCP)'!$C$6:$C$36,0),MATCH(F$3,'3-1. 진단 결과(NCP)'!$F$3:$G$3,0))),"")</f>
      </c>
      <c r="G29" s="5"/>
      <c r="H29" s="159"/>
      <c r="I29" s="34">
        <f>IF($J29+$K29=0,"N/A",$J29/($J29+$K29))</f>
      </c>
      <c r="J29" s="120">
        <f>COUNTIF($F29:$F29,"양호")</f>
      </c>
      <c r="K29" s="121">
        <f>COUNTIF($F29:$F29,"취약")</f>
      </c>
      <c r="L29" s="30">
        <f>COUNTIF($F29:$F29,"N/A")</f>
      </c>
    </row>
    <row r="30" spans="1:26" ht="31.65" customHeight="1">
      <c r="A30" s="31"/>
      <c r="B30" s="245"/>
      <c r="C30" s="268" t="inlineStr">
        <is>
          <t xml:space="preserve">ST-04</t>
        </is>
      </c>
      <c r="D30" s="269" t="inlineStr">
        <is>
          <t xml:space="preserve">NAS 접근제어</t>
        </is>
      </c>
      <c r="E30" s="270" t="inlineStr">
        <is>
          <t xml:space="preserve">중</t>
        </is>
      </c>
      <c r="F30" s="271">
        <f>IFERROR(T(INDEX('3-1. 진단 결과(NCP)'!$F$6:$G$36,MATCH($C30,'3-1. 진단 결과(NCP)'!$C$6:$C$36,0),MATCH(F$3,'3-1. 진단 결과(NCP)'!$F$3:$G$3,0))),"")</f>
      </c>
      <c r="G30" s="5"/>
      <c r="H30" s="272"/>
      <c r="I30" s="273">
        <f>IF($J30+$K30=0,"N/A",$J30/($J30+$K30))</f>
      </c>
      <c r="J30" s="274">
        <f>COUNTIF($F30:$F30,"양호")</f>
      </c>
      <c r="K30" s="275">
        <f>COUNTIF($F30:$F30,"취약")</f>
      </c>
      <c r="L30" s="276">
        <f>COUNTIF($F30:$F30,"N/A")</f>
      </c>
    </row>
    <row r="31" spans="1:26" ht="31.65" customHeight="1">
      <c r="A31" s="31"/>
      <c r="B31" s="237" t="inlineStr">
        <is>
          <t xml:space="preserve">5. DB 보안</t>
        </is>
      </c>
      <c r="C31" s="259" t="inlineStr">
        <is>
          <t xml:space="preserve">DB-01</t>
        </is>
      </c>
      <c r="D31" s="260" t="inlineStr">
        <is>
          <t xml:space="preserve">DB 접근통제</t>
        </is>
      </c>
      <c r="E31" s="261" t="inlineStr">
        <is>
          <t xml:space="preserve">상</t>
        </is>
      </c>
      <c r="F31" s="262">
        <f>IFERROR(T(INDEX('3-1. 진단 결과(NCP)'!$F$6:$G$36,MATCH($C31,'3-1. 진단 결과(NCP)'!$C$6:$C$36,0),MATCH(F$3,'3-1. 진단 결과(NCP)'!$F$3:$G$3,0))),"")</f>
      </c>
      <c r="G31" s="5"/>
      <c r="H31" s="263">
        <f>IF(COUNTIF(I31:I32,"N/A")=COUNTA(I31:I32),"N/A",AVERAGE(I31:I32))</f>
      </c>
      <c r="I31" s="264">
        <f>IF($J31+$K31=0,"N/A",$J31/($J31+$K31))</f>
      </c>
      <c r="J31" s="265">
        <f>COUNTIF($F31:$F31,"양호")</f>
      </c>
      <c r="K31" s="266">
        <f>COUNTIF($F31:$F31,"취약")</f>
      </c>
      <c r="L31" s="267">
        <f>COUNTIF($F31:$F31,"N/A")</f>
      </c>
    </row>
    <row r="32" spans="1:26" ht="31.65" customHeight="1">
      <c r="A32" s="31"/>
      <c r="B32" s="245"/>
      <c r="C32" s="268" t="inlineStr">
        <is>
          <t xml:space="preserve">DB-02</t>
        </is>
      </c>
      <c r="D32" s="269" t="inlineStr">
        <is>
          <t xml:space="preserve">DB Backup</t>
        </is>
      </c>
      <c r="E32" s="270" t="inlineStr">
        <is>
          <t xml:space="preserve">중</t>
        </is>
      </c>
      <c r="F32" s="271">
        <f>IFERROR(T(INDEX('3-1. 진단 결과(NCP)'!$F$6:$G$36,MATCH($C32,'3-1. 진단 결과(NCP)'!$C$6:$C$36,0),MATCH(F$3,'3-1. 진단 결과(NCP)'!$F$3:$G$3,0))),"")</f>
      </c>
      <c r="G32" s="5"/>
      <c r="H32" s="272"/>
      <c r="I32" s="273">
        <f>IF($J32+$K32=0,"N/A",$J32/($J32+$K32))</f>
      </c>
      <c r="J32" s="274">
        <f>COUNTIF($F32:$F32,"양호")</f>
      </c>
      <c r="K32" s="275">
        <f>COUNTIF($F32:$F32,"취약")</f>
      </c>
      <c r="L32" s="276">
        <f>COUNTIF($F32:$F32,"N/A")</f>
      </c>
    </row>
    <row r="33" spans="1:26" ht="31.65" customHeight="1">
      <c r="A33" s="31"/>
      <c r="B33" s="237" t="inlineStr">
        <is>
          <t xml:space="preserve">6. 클라우드 환경 보안 감사</t>
        </is>
      </c>
      <c r="C33" s="259" t="inlineStr">
        <is>
          <t xml:space="preserve">AU-01</t>
        </is>
      </c>
      <c r="D33" s="260" t="inlineStr">
        <is>
          <t xml:space="preserve">계정 활동 기반 감사</t>
        </is>
      </c>
      <c r="E33" s="261" t="inlineStr">
        <is>
          <t xml:space="preserve">중</t>
        </is>
      </c>
      <c r="F33" s="262">
        <f>IFERROR(T(INDEX('3-1. 진단 결과(NCP)'!$F$6:$G$36,MATCH($C33,'3-1. 진단 결과(NCP)'!$C$6:$C$36,0),MATCH(F$3,'3-1. 진단 결과(NCP)'!$F$3:$G$3,0))),"")</f>
      </c>
      <c r="G33" s="5"/>
      <c r="H33" s="263">
        <f>IF(COUNTIF(I33:I35,"N/A")=COUNTA(I33:I35),"N/A",AVERAGE(I33:I35))</f>
      </c>
      <c r="I33" s="264">
        <f>IF($J33+$K33=0,"N/A",$J33/($J33+$K33))</f>
      </c>
      <c r="J33" s="265">
        <f>COUNTIF($F33:$F33,"양호")</f>
      </c>
      <c r="K33" s="266">
        <f>COUNTIF($F33:$F33,"취약")</f>
      </c>
      <c r="L33" s="267">
        <f>COUNTIF($F33:$F33,"N/A")</f>
      </c>
    </row>
    <row r="34" spans="1:26" ht="31.65" customHeight="1">
      <c r="A34" s="31"/>
      <c r="B34" s="163"/>
      <c r="C34" s="91" t="inlineStr">
        <is>
          <t xml:space="preserve">AU-02</t>
        </is>
      </c>
      <c r="D34" s="227" t="inlineStr">
        <is>
          <t xml:space="preserve">리소스 기반 감사</t>
        </is>
      </c>
      <c r="E34" s="8" t="inlineStr">
        <is>
          <t xml:space="preserve">중</t>
        </is>
      </c>
      <c r="F34" s="33">
        <f>IFERROR(T(INDEX('3-1. 진단 결과(NCP)'!$F$6:$G$36,MATCH($C34,'3-1. 진단 결과(NCP)'!$C$6:$C$36,0),MATCH(F$3,'3-1. 진단 결과(NCP)'!$F$3:$G$3,0))),"")</f>
      </c>
      <c r="G34" s="5"/>
      <c r="H34" s="159"/>
      <c r="I34" s="34">
        <f>IF($J34+$K34=0,"N/A",$J34/($J34+$K34))</f>
      </c>
      <c r="J34" s="120">
        <f>COUNTIF($F34:$F34,"양호")</f>
      </c>
      <c r="K34" s="121">
        <f>COUNTIF($F34:$F34,"취약")</f>
      </c>
      <c r="L34" s="30">
        <f>COUNTIF($F34:$F34,"N/A")</f>
      </c>
    </row>
    <row r="35" spans="1:26" ht="31.65" customHeight="1">
      <c r="A35" s="31"/>
      <c r="B35" s="245"/>
      <c r="C35" s="268" t="inlineStr">
        <is>
          <t xml:space="preserve">AU-03</t>
        </is>
      </c>
      <c r="D35" s="269" t="inlineStr">
        <is>
          <t xml:space="preserve">모범 사례 기반 감사</t>
        </is>
      </c>
      <c r="E35" s="270" t="inlineStr">
        <is>
          <t xml:space="preserve">중</t>
        </is>
      </c>
      <c r="F35" s="271">
        <f>IFERROR(T(INDEX('3-1. 진단 결과(NCP)'!$F$6:$G$36,MATCH($C35,'3-1. 진단 결과(NCP)'!$C$6:$C$36,0),MATCH(F$3,'3-1. 진단 결과(NCP)'!$F$3:$G$3,0))),"")</f>
      </c>
      <c r="G35" s="5"/>
      <c r="H35" s="272"/>
      <c r="I35" s="273">
        <f>IF($J35+$K35=0,"N/A",$J35/($J35+$K35))</f>
      </c>
      <c r="J35" s="274">
        <f>COUNTIF($F35:$F35,"양호")</f>
      </c>
      <c r="K35" s="275">
        <f>COUNTIF($F35:$F35,"취약")</f>
      </c>
      <c r="L35" s="276">
        <f>COUNTIF($F35:$F35,"N/A")</f>
      </c>
    </row>
    <row r="36" spans="1:26" ht="31.65" customHeight="1">
      <c r="A36" s="31"/>
      <c r="B36" s="252" t="inlineStr">
        <is>
          <t xml:space="preserve">7. 서비스 연속성 확보</t>
        </is>
      </c>
      <c r="C36" s="277" t="inlineStr">
        <is>
          <t xml:space="preserve">MU-01</t>
        </is>
      </c>
      <c r="D36" s="278" t="inlineStr">
        <is>
          <t xml:space="preserve">멀티존 구성</t>
        </is>
      </c>
      <c r="E36" s="279" t="inlineStr">
        <is>
          <t xml:space="preserve">중</t>
        </is>
      </c>
      <c r="F36" s="280">
        <f>IFERROR(T(INDEX('3-1. 진단 결과(NCP)'!$F$6:$G$36,MATCH($C36,'3-1. 진단 결과(NCP)'!$C$6:$C$36,0),MATCH(F$3,'3-1. 진단 결과(NCP)'!$F$3:$G$3,0))),"")</f>
      </c>
      <c r="G36" s="5"/>
      <c r="H36" s="281">
        <f>IF(COUNTIF(I36:I36,"N/A")=COUNTA(I36:I36),"N/A",AVERAGE(I36:I36))</f>
      </c>
      <c r="I36" s="282">
        <f>IF($J36+$K36=0,"N/A",$J36/($J36+$K36))</f>
      </c>
      <c r="J36" s="283">
        <f>COUNTIF($F36:$F36,"양호")</f>
      </c>
      <c r="K36" s="284">
        <f>COUNTIF($F36:$F36,"취약")</f>
      </c>
      <c r="L36" s="285">
        <f>COUNTIF($F36:$F36,"N/A")</f>
      </c>
    </row>
    <row r="37" spans="1:21" ht="16.5" customHeight="1">
      <c r="A37" s="31"/>
      <c r="B37" s="162" t="s">
        <v>28</v>
      </c>
      <c r="C37" s="166" t="s">
        <v>29</v>
      </c>
      <c r="D37" s="167"/>
      <c r="E37" s="168"/>
      <c r="F37" s="85">
        <f>IF(COUNTIF(F$6:F$36,"?*")=0,"",COUNTIF(F$6:F$36,"취약"))</f>
      </c>
      <c r="G37" s="5"/>
      <c r="H37" s="9"/>
      <c r="I37" s="9"/>
      <c r="J37" s="9"/>
      <c r="K37" s="9"/>
      <c r="L37" s="9"/>
      <c r="M37" s="5"/>
      <c r="N37" s="5"/>
      <c r="O37" s="5"/>
      <c r="P37" s="5"/>
      <c r="Q37" s="5"/>
      <c r="R37" s="5"/>
      <c r="S37" s="5"/>
      <c r="T37" s="5"/>
      <c r="U37" s="5"/>
    </row>
    <row r="38" spans="1:26" ht="16.5" customHeight="1" thickBot="1">
      <c r="A38" s="31"/>
      <c r="B38" s="164"/>
      <c r="C38" s="169" t="s">
        <v>30</v>
      </c>
      <c r="D38" s="170"/>
      <c r="E38" s="171"/>
      <c r="F38" s="78">
        <f>IF(COUNTIF(F$6:F$36,"?*")=0,"",IFERROR(COUNTIF(F$6:F$36,"양호")/(COUNTIF(F$6:F$36,"양호")+COUNTIF(F$6:F$36,"취약")),"N/A"))</f>
      </c>
      <c r="G38" s="5"/>
      <c r="H38" s="9"/>
      <c r="I38" s="9"/>
      <c r="J38" s="9"/>
      <c r="K38" s="9"/>
      <c r="L38" s="9"/>
      <c r="M38" s="5"/>
      <c r="N38" s="5"/>
      <c r="O38" s="5"/>
      <c r="P38" s="5"/>
      <c r="Q38" s="5"/>
      <c r="R38" s="5"/>
      <c r="S38" s="5"/>
      <c r="T38" s="5"/>
      <c r="U38" s="5"/>
    </row>
    <row r="39" spans="1:26" ht="16.5" customHeight="1">
      <c r="A39" s="1"/>
      <c r="B39" s="1"/>
      <c r="C39" s="1"/>
      <c r="D39" s="1"/>
      <c r="E39" s="3"/>
      <c r="F39" s="3"/>
      <c r="G39" s="3"/>
      <c r="H39" s="3"/>
      <c r="I39" s="3"/>
      <c r="J39" s="3"/>
      <c r="K39" s="3"/>
      <c r="L39" s="5"/>
      <c r="M39" s="9"/>
      <c r="N39" s="9"/>
      <c r="O39" s="9"/>
      <c r="P39" s="9"/>
      <c r="Q39" s="9"/>
      <c r="R39" s="5"/>
      <c r="S39" s="5"/>
      <c r="T39" s="5"/>
      <c r="U39" s="5"/>
      <c r="V39" s="5"/>
      <c r="W39" s="5"/>
      <c r="X39" s="5"/>
      <c r="Y39" s="5"/>
      <c r="Z39" s="5"/>
    </row>
    <row r="40" spans="1:26" ht="16.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9"/>
      <c r="N40" s="9"/>
      <c r="O40" s="9"/>
      <c r="P40" s="9"/>
      <c r="Q40" s="9"/>
      <c r="R40" s="5"/>
      <c r="S40" s="5"/>
      <c r="T40" s="5"/>
      <c r="U40" s="5"/>
      <c r="V40" s="5"/>
      <c r="W40" s="5"/>
      <c r="X40" s="5"/>
      <c r="Y40" s="5"/>
      <c r="Z40" s="5"/>
    </row>
    <row r="41" spans="1:26" ht="16.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9"/>
      <c r="N41" s="9"/>
      <c r="O41" s="9"/>
      <c r="P41" s="9"/>
      <c r="Q41" s="9"/>
      <c r="R41" s="5"/>
      <c r="S41" s="5"/>
      <c r="T41" s="5"/>
      <c r="U41" s="5"/>
      <c r="V41" s="5"/>
      <c r="W41" s="5"/>
      <c r="X41" s="5"/>
      <c r="Y41" s="5"/>
      <c r="Z41" s="5"/>
    </row>
    <row r="42" spans="1:26" ht="14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9"/>
      <c r="N42" s="9"/>
      <c r="O42" s="9"/>
      <c r="P42" s="9"/>
      <c r="Q42" s="9"/>
      <c r="R42" s="5"/>
      <c r="S42" s="5"/>
      <c r="T42" s="5"/>
      <c r="U42" s="5"/>
      <c r="V42" s="5"/>
      <c r="W42" s="5"/>
      <c r="X42" s="5"/>
      <c r="Y42" s="5"/>
      <c r="Z42" s="5"/>
    </row>
    <row r="43" spans="1:26" ht="14.2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9"/>
      <c r="N43" s="9"/>
      <c r="O43" s="9"/>
      <c r="P43" s="9"/>
      <c r="Q43" s="9"/>
      <c r="R43" s="5"/>
      <c r="S43" s="5"/>
      <c r="T43" s="5"/>
      <c r="U43" s="5"/>
      <c r="V43" s="5"/>
      <c r="W43" s="5"/>
      <c r="X43" s="5"/>
      <c r="Y43" s="5"/>
      <c r="Z43" s="5"/>
    </row>
    <row r="44" spans="1:26" ht="14.2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9"/>
      <c r="N44" s="9"/>
      <c r="O44" s="9"/>
      <c r="P44" s="9"/>
      <c r="Q44" s="9"/>
      <c r="R44" s="5"/>
      <c r="S44" s="5"/>
      <c r="T44" s="5"/>
      <c r="U44" s="5"/>
      <c r="V44" s="5"/>
      <c r="W44" s="5"/>
      <c r="X44" s="5"/>
      <c r="Y44" s="5"/>
      <c r="Z44" s="5"/>
    </row>
    <row r="45" spans="1:26" ht="14.2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9"/>
      <c r="N45" s="9"/>
      <c r="O45" s="9"/>
      <c r="P45" s="9"/>
      <c r="Q45" s="9"/>
      <c r="R45" s="5"/>
      <c r="S45" s="5"/>
      <c r="T45" s="5"/>
      <c r="U45" s="5"/>
      <c r="V45" s="5"/>
      <c r="W45" s="5"/>
      <c r="X45" s="5"/>
      <c r="Y45" s="5"/>
      <c r="Z45" s="5"/>
    </row>
    <row r="46" spans="1:26" ht="14.2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9"/>
      <c r="N46" s="9"/>
      <c r="O46" s="9"/>
      <c r="P46" s="9"/>
      <c r="Q46" s="9"/>
      <c r="R46" s="5"/>
      <c r="S46" s="5"/>
      <c r="T46" s="5"/>
      <c r="U46" s="5"/>
      <c r="V46" s="5"/>
      <c r="W46" s="5"/>
      <c r="X46" s="5"/>
      <c r="Y46" s="5"/>
      <c r="Z46" s="5"/>
    </row>
    <row r="47" spans="1:26" ht="14.2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9"/>
      <c r="N47" s="9"/>
      <c r="O47" s="9"/>
      <c r="P47" s="9"/>
      <c r="Q47" s="9"/>
      <c r="R47" s="5"/>
      <c r="S47" s="5"/>
      <c r="T47" s="5"/>
      <c r="U47" s="5"/>
      <c r="V47" s="5"/>
      <c r="W47" s="5"/>
      <c r="X47" s="5"/>
      <c r="Y47" s="5"/>
      <c r="Z47" s="5"/>
    </row>
    <row r="48" spans="1:26" ht="14.2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9"/>
      <c r="N48" s="9"/>
      <c r="O48" s="9"/>
      <c r="P48" s="9"/>
      <c r="Q48" s="9"/>
      <c r="R48" s="5"/>
      <c r="S48" s="5"/>
      <c r="T48" s="5"/>
      <c r="U48" s="5"/>
      <c r="V48" s="5"/>
      <c r="W48" s="5"/>
      <c r="X48" s="5"/>
      <c r="Y48" s="5"/>
      <c r="Z48" s="5"/>
    </row>
    <row r="49" spans="1:26" ht="14.25" customHeight="1">
      <c r="A49" s="1"/>
      <c r="B49" s="1"/>
      <c r="C49" s="1"/>
      <c r="D49" s="1"/>
      <c r="E49" s="3"/>
      <c r="F49" s="3"/>
      <c r="G49" s="3"/>
      <c r="H49" s="3"/>
      <c r="I49" s="3"/>
      <c r="J49" s="3"/>
      <c r="K49" s="3"/>
      <c r="L49" s="5"/>
      <c r="M49" s="9"/>
      <c r="N49" s="9"/>
      <c r="O49" s="9"/>
      <c r="P49" s="9"/>
      <c r="Q49" s="9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>
      <c r="A50" s="1"/>
      <c r="B50" s="1"/>
      <c r="C50" s="1"/>
      <c r="D50" s="1"/>
      <c r="E50" s="3"/>
      <c r="F50" s="3"/>
      <c r="G50" s="3"/>
      <c r="H50" s="3"/>
      <c r="I50" s="3"/>
      <c r="J50" s="3"/>
      <c r="K50" s="3"/>
      <c r="L50" s="5"/>
      <c r="M50" s="9"/>
      <c r="N50" s="9"/>
      <c r="O50" s="9"/>
      <c r="P50" s="9"/>
      <c r="Q50" s="9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>
      <c r="A51" s="1"/>
      <c r="B51" s="1"/>
      <c r="C51" s="1"/>
      <c r="D51" s="1"/>
      <c r="E51" s="3"/>
      <c r="F51" s="3"/>
      <c r="G51" s="3"/>
      <c r="H51" s="3"/>
      <c r="I51" s="3"/>
      <c r="J51" s="3"/>
      <c r="K51" s="3"/>
      <c r="L51" s="5"/>
      <c r="M51" s="9"/>
      <c r="N51" s="9"/>
      <c r="O51" s="9"/>
      <c r="P51" s="9"/>
      <c r="Q51" s="9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>
      <c r="A52" s="1"/>
      <c r="B52" s="1"/>
      <c r="C52" s="1"/>
      <c r="D52" s="1"/>
      <c r="E52" s="3"/>
      <c r="F52" s="3"/>
      <c r="G52" s="3"/>
      <c r="H52" s="3"/>
      <c r="I52" s="3"/>
      <c r="J52" s="3"/>
      <c r="K52" s="3"/>
      <c r="L52" s="5"/>
      <c r="M52" s="9"/>
      <c r="N52" s="9"/>
      <c r="O52" s="9"/>
      <c r="P52" s="9"/>
      <c r="Q52" s="9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>
      <c r="A53" s="1"/>
      <c r="B53" s="1"/>
      <c r="C53" s="1"/>
      <c r="D53" s="1"/>
      <c r="E53" s="3"/>
      <c r="F53" s="3"/>
      <c r="G53" s="3"/>
      <c r="H53" s="3"/>
      <c r="I53" s="3"/>
      <c r="J53" s="3"/>
      <c r="K53" s="3"/>
      <c r="L53" s="5"/>
      <c r="M53" s="9"/>
      <c r="N53" s="9"/>
      <c r="O53" s="9"/>
      <c r="P53" s="9"/>
      <c r="Q53" s="9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>
      <c r="A54" s="1"/>
      <c r="B54" s="1"/>
      <c r="C54" s="1"/>
      <c r="D54" s="1"/>
      <c r="E54" s="3"/>
      <c r="F54" s="3"/>
      <c r="G54" s="3"/>
      <c r="H54" s="3"/>
      <c r="I54" s="3"/>
      <c r="J54" s="3"/>
      <c r="K54" s="3"/>
      <c r="L54" s="5"/>
      <c r="M54" s="9"/>
      <c r="N54" s="9"/>
      <c r="O54" s="9"/>
      <c r="P54" s="9"/>
      <c r="Q54" s="9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>
      <c r="A55" s="1"/>
      <c r="B55" s="1"/>
      <c r="C55" s="1"/>
      <c r="D55" s="1"/>
      <c r="E55" s="3"/>
      <c r="F55" s="3"/>
      <c r="G55" s="3"/>
      <c r="H55" s="3"/>
      <c r="I55" s="3"/>
      <c r="J55" s="3"/>
      <c r="K55" s="3"/>
      <c r="L55" s="5"/>
      <c r="M55" s="9"/>
      <c r="N55" s="9"/>
      <c r="O55" s="9"/>
      <c r="P55" s="9"/>
      <c r="Q55" s="9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>
      <c r="A56" s="1"/>
      <c r="B56" s="1"/>
      <c r="C56" s="1"/>
      <c r="D56" s="1"/>
      <c r="E56" s="3"/>
      <c r="F56" s="3"/>
      <c r="G56" s="3"/>
      <c r="H56" s="3"/>
      <c r="I56" s="3"/>
      <c r="J56" s="3"/>
      <c r="K56" s="3"/>
      <c r="L56" s="5"/>
      <c r="M56" s="9"/>
      <c r="N56" s="9"/>
      <c r="O56" s="9"/>
      <c r="P56" s="9"/>
      <c r="Q56" s="9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>
      <c r="A57" s="1"/>
      <c r="B57" s="1"/>
      <c r="C57" s="1"/>
      <c r="D57" s="1"/>
      <c r="E57" s="3"/>
      <c r="F57" s="3"/>
      <c r="G57" s="3"/>
      <c r="H57" s="3"/>
      <c r="I57" s="3"/>
      <c r="J57" s="3"/>
      <c r="K57" s="3"/>
      <c r="L57" s="5"/>
      <c r="M57" s="9"/>
      <c r="N57" s="9"/>
      <c r="O57" s="9"/>
      <c r="P57" s="9"/>
      <c r="Q57" s="9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>
      <c r="A58" s="1"/>
      <c r="B58" s="1"/>
      <c r="C58" s="1"/>
      <c r="D58" s="1"/>
      <c r="E58" s="3"/>
      <c r="F58" s="3"/>
      <c r="G58" s="3"/>
      <c r="H58" s="3"/>
      <c r="I58" s="3"/>
      <c r="J58" s="3"/>
      <c r="K58" s="3"/>
      <c r="L58" s="5"/>
      <c r="M58" s="9"/>
      <c r="N58" s="9"/>
      <c r="O58" s="9"/>
      <c r="P58" s="9"/>
      <c r="Q58" s="9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>
      <c r="A59" s="1"/>
      <c r="B59" s="1"/>
      <c r="C59" s="1"/>
      <c r="D59" s="1"/>
      <c r="E59" s="3"/>
      <c r="F59" s="3"/>
      <c r="G59" s="3"/>
      <c r="H59" s="3"/>
      <c r="I59" s="3"/>
      <c r="J59" s="3"/>
      <c r="K59" s="3"/>
      <c r="L59" s="5"/>
      <c r="M59" s="9"/>
      <c r="N59" s="9"/>
      <c r="O59" s="9"/>
      <c r="P59" s="9"/>
      <c r="Q59" s="9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>
      <c r="A60" s="1"/>
      <c r="B60" s="1"/>
      <c r="C60" s="1"/>
      <c r="D60" s="1"/>
      <c r="E60" s="3"/>
      <c r="F60" s="3"/>
      <c r="G60" s="3"/>
      <c r="H60" s="3"/>
      <c r="I60" s="3"/>
      <c r="J60" s="3"/>
      <c r="K60" s="3"/>
      <c r="L60" s="5"/>
      <c r="M60" s="9"/>
      <c r="N60" s="9"/>
      <c r="O60" s="9"/>
      <c r="P60" s="9"/>
      <c r="Q60" s="9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>
      <c r="A61" s="1"/>
      <c r="B61" s="1"/>
      <c r="C61" s="1"/>
      <c r="D61" s="1"/>
      <c r="E61" s="3"/>
      <c r="F61" s="3"/>
      <c r="G61" s="3"/>
      <c r="H61" s="3"/>
      <c r="I61" s="3"/>
      <c r="J61" s="3"/>
      <c r="K61" s="3"/>
      <c r="L61" s="5"/>
      <c r="M61" s="9"/>
      <c r="N61" s="9"/>
      <c r="O61" s="9"/>
      <c r="P61" s="9"/>
      <c r="Q61" s="9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>
      <c r="A62" s="1"/>
      <c r="B62" s="1"/>
      <c r="C62" s="1"/>
      <c r="D62" s="1"/>
      <c r="E62" s="3"/>
      <c r="F62" s="3"/>
      <c r="G62" s="3"/>
      <c r="H62" s="3"/>
      <c r="I62" s="3"/>
      <c r="J62" s="3"/>
      <c r="K62" s="3"/>
      <c r="L62" s="5"/>
      <c r="M62" s="9"/>
      <c r="N62" s="9"/>
      <c r="O62" s="9"/>
      <c r="P62" s="9"/>
      <c r="Q62" s="9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>
      <c r="A63" s="1"/>
      <c r="B63" s="1"/>
      <c r="C63" s="1"/>
      <c r="D63" s="1"/>
      <c r="E63" s="3"/>
      <c r="F63" s="3"/>
      <c r="G63" s="3"/>
      <c r="H63" s="3"/>
      <c r="I63" s="3"/>
      <c r="J63" s="3"/>
      <c r="K63" s="3"/>
      <c r="L63" s="5"/>
      <c r="M63" s="9"/>
      <c r="N63" s="9"/>
      <c r="O63" s="9"/>
      <c r="P63" s="9"/>
      <c r="Q63" s="9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>
      <c r="A64" s="1"/>
      <c r="B64" s="1"/>
      <c r="C64" s="1"/>
      <c r="D64" s="1"/>
      <c r="E64" s="3"/>
      <c r="F64" s="3"/>
      <c r="G64" s="3"/>
      <c r="H64" s="3"/>
      <c r="I64" s="3"/>
      <c r="J64" s="3"/>
      <c r="K64" s="3"/>
      <c r="L64" s="5"/>
      <c r="M64" s="9"/>
      <c r="N64" s="9"/>
      <c r="O64" s="9"/>
      <c r="P64" s="9"/>
      <c r="Q64" s="9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>
      <c r="A65" s="1"/>
      <c r="B65" s="1"/>
      <c r="C65" s="1"/>
      <c r="D65" s="1"/>
      <c r="E65" s="3"/>
      <c r="F65" s="3"/>
      <c r="G65" s="3"/>
      <c r="H65" s="3"/>
      <c r="I65" s="3"/>
      <c r="J65" s="3"/>
      <c r="K65" s="3"/>
      <c r="L65" s="5"/>
      <c r="M65" s="9"/>
      <c r="N65" s="9"/>
      <c r="O65" s="9"/>
      <c r="P65" s="9"/>
      <c r="Q65" s="9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>
      <c r="A66" s="1"/>
      <c r="B66" s="1"/>
      <c r="C66" s="1"/>
      <c r="D66" s="1"/>
      <c r="E66" s="3"/>
      <c r="F66" s="3"/>
      <c r="G66" s="3"/>
      <c r="H66" s="3"/>
      <c r="I66" s="3"/>
      <c r="J66" s="3"/>
      <c r="K66" s="3"/>
      <c r="L66" s="5"/>
      <c r="M66" s="9"/>
      <c r="N66" s="9"/>
      <c r="O66" s="9"/>
      <c r="P66" s="9"/>
      <c r="Q66" s="9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>
      <c r="A67" s="1"/>
      <c r="B67" s="1"/>
      <c r="C67" s="1"/>
      <c r="D67" s="1"/>
      <c r="E67" s="3"/>
      <c r="F67" s="3"/>
      <c r="G67" s="3"/>
      <c r="H67" s="3"/>
      <c r="I67" s="3"/>
      <c r="J67" s="3"/>
      <c r="K67" s="3"/>
      <c r="L67" s="5"/>
      <c r="M67" s="9"/>
      <c r="N67" s="9"/>
      <c r="O67" s="9"/>
      <c r="P67" s="9"/>
      <c r="Q67" s="9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>
      <c r="A68" s="1"/>
      <c r="B68" s="1"/>
      <c r="C68" s="1"/>
      <c r="D68" s="1"/>
      <c r="E68" s="3"/>
      <c r="F68" s="3"/>
      <c r="G68" s="3"/>
      <c r="H68" s="3"/>
      <c r="I68" s="3"/>
      <c r="J68" s="3"/>
      <c r="K68" s="3"/>
      <c r="L68" s="5"/>
      <c r="M68" s="9"/>
      <c r="N68" s="9"/>
      <c r="O68" s="9"/>
      <c r="P68" s="9"/>
      <c r="Q68" s="9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>
      <c r="A69" s="1"/>
      <c r="B69" s="1"/>
      <c r="C69" s="1"/>
      <c r="D69" s="1"/>
      <c r="E69" s="3"/>
      <c r="F69" s="3"/>
      <c r="G69" s="3"/>
      <c r="H69" s="3"/>
      <c r="I69" s="3"/>
      <c r="J69" s="3"/>
      <c r="K69" s="3"/>
      <c r="L69" s="5"/>
      <c r="M69" s="9"/>
      <c r="N69" s="9"/>
      <c r="O69" s="9"/>
      <c r="P69" s="9"/>
      <c r="Q69" s="9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>
      <c r="A70" s="1"/>
      <c r="B70" s="1"/>
      <c r="C70" s="1"/>
      <c r="D70" s="1"/>
      <c r="E70" s="3"/>
      <c r="F70" s="3"/>
      <c r="G70" s="3"/>
      <c r="H70" s="3"/>
      <c r="I70" s="3"/>
      <c r="J70" s="3"/>
      <c r="K70" s="3"/>
      <c r="L70" s="5"/>
      <c r="M70" s="9"/>
      <c r="N70" s="9"/>
      <c r="O70" s="9"/>
      <c r="P70" s="9"/>
      <c r="Q70" s="9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>
      <c r="A71" s="1"/>
      <c r="B71" s="1"/>
      <c r="C71" s="1"/>
      <c r="D71" s="1"/>
      <c r="E71" s="3"/>
      <c r="F71" s="3"/>
      <c r="G71" s="3"/>
      <c r="H71" s="3"/>
      <c r="I71" s="3"/>
      <c r="J71" s="3"/>
      <c r="K71" s="3"/>
      <c r="L71" s="5"/>
      <c r="M71" s="9"/>
      <c r="N71" s="9"/>
      <c r="O71" s="9"/>
      <c r="P71" s="9"/>
      <c r="Q71" s="9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>
      <c r="A72" s="1"/>
      <c r="B72" s="1"/>
      <c r="C72" s="1"/>
      <c r="D72" s="1"/>
      <c r="E72" s="3"/>
      <c r="F72" s="3"/>
      <c r="G72" s="3"/>
      <c r="H72" s="3"/>
      <c r="I72" s="3"/>
      <c r="J72" s="3"/>
      <c r="K72" s="3"/>
      <c r="L72" s="5"/>
      <c r="M72" s="9"/>
      <c r="N72" s="9"/>
      <c r="O72" s="9"/>
      <c r="P72" s="9"/>
      <c r="Q72" s="9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>
      <c r="A73" s="1"/>
      <c r="B73" s="1"/>
      <c r="C73" s="1"/>
      <c r="D73" s="1"/>
      <c r="E73" s="3"/>
      <c r="F73" s="3"/>
      <c r="G73" s="3"/>
      <c r="H73" s="3"/>
      <c r="I73" s="3"/>
      <c r="J73" s="3"/>
      <c r="K73" s="3"/>
      <c r="L73" s="5"/>
      <c r="M73" s="9"/>
      <c r="N73" s="9"/>
      <c r="O73" s="9"/>
      <c r="P73" s="9"/>
      <c r="Q73" s="9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>
      <c r="A74" s="1"/>
      <c r="B74" s="1"/>
      <c r="C74" s="1"/>
      <c r="D74" s="1"/>
      <c r="E74" s="3"/>
      <c r="F74" s="3"/>
      <c r="G74" s="3"/>
      <c r="H74" s="3"/>
      <c r="I74" s="3"/>
      <c r="J74" s="3"/>
      <c r="K74" s="3"/>
      <c r="L74" s="5"/>
      <c r="M74" s="9"/>
      <c r="N74" s="9"/>
      <c r="O74" s="9"/>
      <c r="P74" s="9"/>
      <c r="Q74" s="9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>
      <c r="A75" s="1"/>
      <c r="B75" s="1"/>
      <c r="C75" s="1"/>
      <c r="D75" s="1"/>
      <c r="E75" s="3"/>
      <c r="F75" s="3"/>
      <c r="G75" s="3"/>
      <c r="H75" s="3"/>
      <c r="I75" s="3"/>
      <c r="J75" s="3"/>
      <c r="K75" s="3"/>
      <c r="L75" s="5"/>
      <c r="M75" s="9"/>
      <c r="N75" s="9"/>
      <c r="O75" s="9"/>
      <c r="P75" s="9"/>
      <c r="Q75" s="9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>
      <c r="A76" s="1"/>
      <c r="B76" s="1"/>
      <c r="C76" s="1"/>
      <c r="D76" s="1"/>
      <c r="E76" s="3"/>
      <c r="F76" s="3"/>
      <c r="G76" s="3"/>
      <c r="H76" s="3"/>
      <c r="I76" s="3"/>
      <c r="J76" s="3"/>
      <c r="K76" s="3"/>
      <c r="L76" s="5"/>
      <c r="M76" s="9"/>
      <c r="N76" s="9"/>
      <c r="O76" s="9"/>
      <c r="P76" s="9"/>
      <c r="Q76" s="9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>
      <c r="A77" s="1"/>
      <c r="B77" s="1"/>
      <c r="C77" s="1"/>
      <c r="D77" s="1"/>
      <c r="E77" s="3"/>
      <c r="F77" s="3"/>
      <c r="G77" s="3"/>
      <c r="H77" s="3"/>
      <c r="I77" s="3"/>
      <c r="J77" s="3"/>
      <c r="K77" s="3"/>
      <c r="L77" s="5"/>
      <c r="M77" s="9"/>
      <c r="N77" s="9"/>
      <c r="O77" s="9"/>
      <c r="P77" s="9"/>
      <c r="Q77" s="9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>
      <c r="A78" s="1"/>
      <c r="B78" s="1"/>
      <c r="C78" s="1"/>
      <c r="D78" s="1"/>
      <c r="E78" s="3"/>
      <c r="F78" s="3"/>
      <c r="G78" s="3"/>
      <c r="H78" s="3"/>
      <c r="I78" s="3"/>
      <c r="J78" s="3"/>
      <c r="K78" s="3"/>
      <c r="L78" s="5"/>
      <c r="M78" s="9"/>
      <c r="N78" s="9"/>
      <c r="O78" s="9"/>
      <c r="P78" s="9"/>
      <c r="Q78" s="9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>
      <c r="A79" s="1"/>
      <c r="B79" s="1"/>
      <c r="C79" s="1"/>
      <c r="D79" s="1"/>
      <c r="E79" s="3"/>
      <c r="F79" s="3"/>
      <c r="G79" s="3"/>
      <c r="H79" s="3"/>
      <c r="I79" s="3"/>
      <c r="J79" s="3"/>
      <c r="K79" s="3"/>
      <c r="L79" s="5"/>
      <c r="M79" s="9"/>
      <c r="N79" s="9"/>
      <c r="O79" s="9"/>
      <c r="P79" s="9"/>
      <c r="Q79" s="9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>
      <c r="A80" s="1"/>
      <c r="B80" s="1"/>
      <c r="C80" s="1"/>
      <c r="D80" s="1"/>
      <c r="E80" s="3"/>
      <c r="F80" s="3"/>
      <c r="G80" s="3"/>
      <c r="H80" s="3"/>
      <c r="I80" s="3"/>
      <c r="J80" s="3"/>
      <c r="K80" s="3"/>
      <c r="L80" s="5"/>
      <c r="M80" s="9"/>
      <c r="N80" s="9"/>
      <c r="O80" s="9"/>
      <c r="P80" s="9"/>
      <c r="Q80" s="9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>
      <c r="A81" s="1"/>
      <c r="B81" s="1"/>
      <c r="C81" s="1"/>
      <c r="D81" s="1"/>
      <c r="E81" s="3"/>
      <c r="F81" s="3"/>
      <c r="G81" s="3"/>
      <c r="H81" s="3"/>
      <c r="I81" s="3"/>
      <c r="J81" s="3"/>
      <c r="K81" s="3"/>
      <c r="L81" s="5"/>
      <c r="M81" s="9"/>
      <c r="N81" s="9"/>
      <c r="O81" s="9"/>
      <c r="P81" s="9"/>
      <c r="Q81" s="9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>
      <c r="A82" s="1"/>
      <c r="B82" s="1"/>
      <c r="C82" s="1"/>
      <c r="D82" s="1"/>
      <c r="E82" s="3"/>
      <c r="F82" s="3"/>
      <c r="G82" s="3"/>
      <c r="H82" s="3"/>
      <c r="I82" s="3"/>
      <c r="J82" s="3"/>
      <c r="K82" s="3"/>
      <c r="L82" s="5"/>
      <c r="M82" s="9"/>
      <c r="N82" s="9"/>
      <c r="O82" s="9"/>
      <c r="P82" s="9"/>
      <c r="Q82" s="9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>
      <c r="A83" s="1"/>
      <c r="B83" s="1"/>
      <c r="C83" s="1"/>
      <c r="D83" s="1"/>
      <c r="E83" s="3"/>
      <c r="F83" s="3"/>
      <c r="G83" s="3"/>
      <c r="H83" s="3"/>
      <c r="I83" s="3"/>
      <c r="J83" s="3"/>
      <c r="K83" s="3"/>
      <c r="L83" s="5"/>
      <c r="M83" s="9"/>
      <c r="N83" s="9"/>
      <c r="O83" s="9"/>
      <c r="P83" s="9"/>
      <c r="Q83" s="9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>
      <c r="A84" s="1"/>
      <c r="B84" s="1"/>
      <c r="C84" s="1"/>
      <c r="D84" s="1"/>
      <c r="E84" s="3"/>
      <c r="F84" s="3"/>
      <c r="G84" s="3"/>
      <c r="H84" s="3"/>
      <c r="I84" s="3"/>
      <c r="J84" s="3"/>
      <c r="K84" s="3"/>
      <c r="L84" s="5"/>
      <c r="M84" s="9"/>
      <c r="N84" s="9"/>
      <c r="O84" s="9"/>
      <c r="P84" s="9"/>
      <c r="Q84" s="9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>
      <c r="A85" s="1"/>
      <c r="B85" s="1"/>
      <c r="C85" s="1"/>
      <c r="D85" s="1"/>
      <c r="E85" s="3"/>
      <c r="F85" s="3"/>
      <c r="G85" s="3"/>
      <c r="H85" s="3"/>
      <c r="I85" s="3"/>
      <c r="J85" s="3"/>
      <c r="K85" s="3"/>
      <c r="L85" s="5"/>
      <c r="M85" s="9"/>
      <c r="N85" s="9"/>
      <c r="O85" s="9"/>
      <c r="P85" s="9"/>
      <c r="Q85" s="9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>
      <c r="A86" s="1"/>
      <c r="B86" s="1"/>
      <c r="C86" s="1"/>
      <c r="D86" s="1"/>
      <c r="E86" s="3"/>
      <c r="F86" s="3"/>
      <c r="G86" s="3"/>
      <c r="H86" s="3"/>
      <c r="I86" s="3"/>
      <c r="J86" s="3"/>
      <c r="K86" s="3"/>
      <c r="L86" s="5"/>
      <c r="M86" s="9"/>
      <c r="N86" s="9"/>
      <c r="O86" s="9"/>
      <c r="P86" s="9"/>
      <c r="Q86" s="9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>
      <c r="A87" s="1"/>
      <c r="B87" s="1"/>
      <c r="C87" s="1"/>
      <c r="D87" s="1"/>
      <c r="E87" s="3"/>
      <c r="F87" s="3"/>
      <c r="G87" s="3"/>
      <c r="H87" s="3"/>
      <c r="I87" s="3"/>
      <c r="J87" s="3"/>
      <c r="K87" s="3"/>
      <c r="L87" s="5"/>
      <c r="M87" s="9"/>
      <c r="N87" s="9"/>
      <c r="O87" s="9"/>
      <c r="P87" s="9"/>
      <c r="Q87" s="9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>
      <c r="A88" s="1"/>
      <c r="B88" s="1"/>
      <c r="C88" s="1"/>
      <c r="D88" s="1"/>
      <c r="E88" s="3"/>
      <c r="F88" s="3"/>
      <c r="G88" s="3"/>
      <c r="H88" s="3"/>
      <c r="I88" s="3"/>
      <c r="J88" s="3"/>
      <c r="K88" s="3"/>
      <c r="L88" s="5"/>
      <c r="M88" s="9"/>
      <c r="N88" s="9"/>
      <c r="O88" s="9"/>
      <c r="P88" s="9"/>
      <c r="Q88" s="9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>
      <c r="A89" s="1"/>
      <c r="B89" s="1"/>
      <c r="C89" s="1"/>
      <c r="D89" s="1"/>
      <c r="E89" s="3"/>
      <c r="F89" s="3"/>
      <c r="G89" s="3"/>
      <c r="H89" s="3"/>
      <c r="I89" s="3"/>
      <c r="J89" s="3"/>
      <c r="K89" s="3"/>
      <c r="L89" s="5"/>
      <c r="M89" s="9"/>
      <c r="N89" s="9"/>
      <c r="O89" s="9"/>
      <c r="P89" s="9"/>
      <c r="Q89" s="9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>
      <c r="A90" s="1"/>
      <c r="B90" s="1"/>
      <c r="C90" s="1"/>
      <c r="D90" s="1"/>
      <c r="E90" s="3"/>
      <c r="F90" s="3"/>
      <c r="G90" s="3"/>
      <c r="H90" s="3"/>
      <c r="I90" s="3"/>
      <c r="J90" s="3"/>
      <c r="K90" s="3"/>
      <c r="L90" s="5"/>
      <c r="M90" s="9"/>
      <c r="N90" s="9"/>
      <c r="O90" s="9"/>
      <c r="P90" s="9"/>
      <c r="Q90" s="9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>
      <c r="A91" s="1"/>
      <c r="B91" s="1"/>
      <c r="C91" s="1"/>
      <c r="D91" s="1"/>
      <c r="E91" s="3"/>
      <c r="F91" s="3"/>
      <c r="G91" s="3"/>
      <c r="H91" s="3"/>
      <c r="I91" s="3"/>
      <c r="J91" s="3"/>
      <c r="K91" s="3"/>
      <c r="L91" s="5"/>
      <c r="M91" s="9"/>
      <c r="N91" s="9"/>
      <c r="O91" s="9"/>
      <c r="P91" s="9"/>
      <c r="Q91" s="9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>
      <c r="A92" s="1"/>
      <c r="B92" s="1"/>
      <c r="C92" s="1"/>
      <c r="D92" s="1"/>
      <c r="E92" s="3"/>
      <c r="F92" s="3"/>
      <c r="G92" s="3"/>
      <c r="H92" s="3"/>
      <c r="I92" s="3"/>
      <c r="J92" s="3"/>
      <c r="K92" s="3"/>
      <c r="L92" s="5"/>
      <c r="M92" s="9"/>
      <c r="N92" s="9"/>
      <c r="O92" s="9"/>
      <c r="P92" s="9"/>
      <c r="Q92" s="9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>
      <c r="A93" s="1"/>
      <c r="B93" s="1"/>
      <c r="C93" s="1"/>
      <c r="D93" s="1"/>
      <c r="E93" s="3"/>
      <c r="F93" s="3"/>
      <c r="G93" s="3"/>
      <c r="H93" s="3"/>
      <c r="I93" s="3"/>
      <c r="J93" s="3"/>
      <c r="K93" s="3"/>
      <c r="L93" s="5"/>
      <c r="M93" s="9"/>
      <c r="N93" s="9"/>
      <c r="O93" s="9"/>
      <c r="P93" s="9"/>
      <c r="Q93" s="9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>
      <c r="A94" s="1"/>
      <c r="B94" s="1"/>
      <c r="C94" s="1"/>
      <c r="D94" s="1"/>
      <c r="E94" s="3"/>
      <c r="F94" s="3"/>
      <c r="G94" s="3"/>
      <c r="H94" s="3"/>
      <c r="I94" s="3"/>
      <c r="J94" s="3"/>
      <c r="K94" s="3"/>
      <c r="L94" s="5"/>
      <c r="M94" s="9"/>
      <c r="N94" s="9"/>
      <c r="O94" s="9"/>
      <c r="P94" s="9"/>
      <c r="Q94" s="9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>
      <c r="A95" s="1"/>
      <c r="B95" s="1"/>
      <c r="C95" s="1"/>
      <c r="D95" s="1"/>
      <c r="E95" s="3"/>
      <c r="F95" s="3"/>
      <c r="G95" s="3"/>
      <c r="H95" s="3"/>
      <c r="I95" s="3"/>
      <c r="J95" s="3"/>
      <c r="K95" s="3"/>
      <c r="L95" s="5"/>
      <c r="M95" s="9"/>
      <c r="N95" s="9"/>
      <c r="O95" s="9"/>
      <c r="P95" s="9"/>
      <c r="Q95" s="9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>
      <c r="A96" s="1"/>
      <c r="B96" s="1"/>
      <c r="C96" s="1"/>
      <c r="D96" s="1"/>
      <c r="E96" s="3"/>
      <c r="F96" s="3"/>
      <c r="G96" s="3"/>
      <c r="H96" s="3"/>
      <c r="I96" s="3"/>
      <c r="J96" s="3"/>
      <c r="K96" s="3"/>
      <c r="L96" s="5"/>
      <c r="M96" s="9"/>
      <c r="N96" s="9"/>
      <c r="O96" s="9"/>
      <c r="P96" s="9"/>
      <c r="Q96" s="9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>
      <c r="A97" s="1"/>
      <c r="B97" s="1"/>
      <c r="C97" s="1"/>
      <c r="D97" s="1"/>
      <c r="E97" s="3"/>
      <c r="F97" s="3"/>
      <c r="G97" s="3"/>
      <c r="H97" s="3"/>
      <c r="I97" s="3"/>
      <c r="J97" s="3"/>
      <c r="K97" s="3"/>
      <c r="L97" s="5"/>
      <c r="M97" s="9"/>
      <c r="N97" s="9"/>
      <c r="O97" s="9"/>
      <c r="P97" s="9"/>
      <c r="Q97" s="9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>
      <c r="A98" s="1"/>
      <c r="B98" s="1"/>
      <c r="C98" s="1"/>
      <c r="D98" s="1"/>
      <c r="E98" s="3"/>
      <c r="F98" s="3"/>
      <c r="G98" s="3"/>
      <c r="H98" s="3"/>
      <c r="I98" s="3"/>
      <c r="J98" s="3"/>
      <c r="K98" s="3"/>
      <c r="L98" s="5"/>
      <c r="M98" s="9"/>
      <c r="N98" s="9"/>
      <c r="O98" s="9"/>
      <c r="P98" s="9"/>
      <c r="Q98" s="9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>
      <c r="A99" s="1"/>
      <c r="B99" s="1"/>
      <c r="C99" s="1"/>
      <c r="D99" s="1"/>
      <c r="E99" s="3"/>
      <c r="F99" s="3"/>
      <c r="G99" s="3"/>
      <c r="H99" s="3"/>
      <c r="I99" s="3"/>
      <c r="J99" s="3"/>
      <c r="K99" s="3"/>
      <c r="L99" s="5"/>
      <c r="M99" s="9"/>
      <c r="N99" s="9"/>
      <c r="O99" s="9"/>
      <c r="P99" s="9"/>
      <c r="Q99" s="9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>
      <c r="A100" s="1"/>
      <c r="B100" s="1"/>
      <c r="C100" s="1"/>
      <c r="D100" s="1"/>
      <c r="E100" s="3"/>
      <c r="F100" s="3"/>
      <c r="G100" s="3"/>
      <c r="H100" s="3"/>
      <c r="I100" s="3"/>
      <c r="J100" s="3"/>
      <c r="K100" s="3"/>
      <c r="L100" s="5"/>
      <c r="M100" s="9"/>
      <c r="N100" s="9"/>
      <c r="O100" s="9"/>
      <c r="P100" s="9"/>
      <c r="Q100" s="9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>
      <c r="A101" s="1"/>
      <c r="B101" s="1"/>
      <c r="C101" s="1"/>
      <c r="D101" s="1"/>
      <c r="E101" s="3"/>
      <c r="F101" s="3"/>
      <c r="G101" s="3"/>
      <c r="H101" s="3"/>
      <c r="I101" s="3"/>
      <c r="J101" s="3"/>
      <c r="K101" s="3"/>
      <c r="L101" s="5"/>
      <c r="M101" s="9"/>
      <c r="N101" s="9"/>
      <c r="O101" s="9"/>
      <c r="P101" s="9"/>
      <c r="Q101" s="9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>
      <c r="A102" s="1"/>
      <c r="B102" s="1"/>
      <c r="C102" s="1"/>
      <c r="D102" s="1"/>
      <c r="E102" s="3"/>
      <c r="F102" s="3"/>
      <c r="G102" s="3"/>
      <c r="H102" s="3"/>
      <c r="I102" s="3"/>
      <c r="J102" s="3"/>
      <c r="K102" s="3"/>
      <c r="L102" s="5"/>
      <c r="M102" s="9"/>
      <c r="N102" s="9"/>
      <c r="O102" s="9"/>
      <c r="P102" s="9"/>
      <c r="Q102" s="9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>
      <c r="A103" s="1"/>
      <c r="B103" s="1"/>
      <c r="C103" s="1"/>
      <c r="D103" s="1"/>
      <c r="E103" s="3"/>
      <c r="F103" s="3"/>
      <c r="G103" s="3"/>
      <c r="H103" s="3"/>
      <c r="I103" s="3"/>
      <c r="J103" s="3"/>
      <c r="K103" s="3"/>
      <c r="L103" s="5"/>
      <c r="M103" s="9"/>
      <c r="N103" s="9"/>
      <c r="O103" s="9"/>
      <c r="P103" s="9"/>
      <c r="Q103" s="9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>
      <c r="A104" s="1"/>
      <c r="B104" s="1"/>
      <c r="C104" s="1"/>
      <c r="D104" s="1"/>
      <c r="E104" s="3"/>
      <c r="F104" s="3"/>
      <c r="G104" s="3"/>
      <c r="H104" s="3"/>
      <c r="I104" s="3"/>
      <c r="J104" s="3"/>
      <c r="K104" s="3"/>
      <c r="L104" s="5"/>
      <c r="M104" s="9"/>
      <c r="N104" s="9"/>
      <c r="O104" s="9"/>
      <c r="P104" s="9"/>
      <c r="Q104" s="9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>
      <c r="A105" s="1"/>
      <c r="B105" s="1"/>
      <c r="C105" s="1"/>
      <c r="D105" s="1"/>
      <c r="E105" s="3"/>
      <c r="F105" s="3"/>
      <c r="G105" s="3"/>
      <c r="H105" s="3"/>
      <c r="I105" s="3"/>
      <c r="J105" s="3"/>
      <c r="K105" s="3"/>
      <c r="L105" s="5"/>
      <c r="M105" s="9"/>
      <c r="N105" s="9"/>
      <c r="O105" s="9"/>
      <c r="P105" s="9"/>
      <c r="Q105" s="9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>
      <c r="A106" s="1"/>
      <c r="B106" s="1"/>
      <c r="C106" s="1"/>
      <c r="D106" s="1"/>
      <c r="E106" s="3"/>
      <c r="F106" s="3"/>
      <c r="G106" s="3"/>
      <c r="H106" s="3"/>
      <c r="I106" s="3"/>
      <c r="J106" s="3"/>
      <c r="K106" s="3"/>
      <c r="L106" s="5"/>
      <c r="M106" s="9"/>
      <c r="N106" s="9"/>
      <c r="O106" s="9"/>
      <c r="P106" s="9"/>
      <c r="Q106" s="9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>
      <c r="A107" s="1"/>
      <c r="B107" s="1"/>
      <c r="C107" s="1"/>
      <c r="D107" s="1"/>
      <c r="E107" s="3"/>
      <c r="F107" s="3"/>
      <c r="G107" s="3"/>
      <c r="H107" s="3"/>
      <c r="I107" s="3"/>
      <c r="J107" s="3"/>
      <c r="K107" s="3"/>
      <c r="L107" s="5"/>
      <c r="M107" s="9"/>
      <c r="N107" s="9"/>
      <c r="O107" s="9"/>
      <c r="P107" s="9"/>
      <c r="Q107" s="9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>
      <c r="A108" s="1"/>
      <c r="B108" s="1"/>
      <c r="C108" s="1"/>
      <c r="D108" s="1"/>
      <c r="E108" s="3"/>
      <c r="F108" s="3"/>
      <c r="G108" s="3"/>
      <c r="H108" s="3"/>
      <c r="I108" s="3"/>
      <c r="J108" s="3"/>
      <c r="K108" s="3"/>
      <c r="L108" s="5"/>
      <c r="M108" s="9"/>
      <c r="N108" s="9"/>
      <c r="O108" s="9"/>
      <c r="P108" s="9"/>
      <c r="Q108" s="9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>
      <c r="A109" s="1"/>
      <c r="B109" s="1"/>
      <c r="C109" s="1"/>
      <c r="D109" s="1"/>
      <c r="E109" s="3"/>
      <c r="F109" s="3"/>
      <c r="G109" s="3"/>
      <c r="H109" s="3"/>
      <c r="I109" s="3"/>
      <c r="J109" s="3"/>
      <c r="K109" s="3"/>
      <c r="L109" s="5"/>
      <c r="M109" s="9"/>
      <c r="N109" s="9"/>
      <c r="O109" s="9"/>
      <c r="P109" s="9"/>
      <c r="Q109" s="9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>
      <c r="A110" s="1"/>
      <c r="B110" s="1"/>
      <c r="C110" s="1"/>
      <c r="D110" s="1"/>
      <c r="E110" s="3"/>
      <c r="F110" s="3"/>
      <c r="G110" s="3"/>
      <c r="H110" s="3"/>
      <c r="I110" s="3"/>
      <c r="J110" s="3"/>
      <c r="K110" s="3"/>
      <c r="L110" s="5"/>
      <c r="M110" s="9"/>
      <c r="N110" s="9"/>
      <c r="O110" s="9"/>
      <c r="P110" s="9"/>
      <c r="Q110" s="9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>
      <c r="A111" s="1"/>
      <c r="B111" s="1"/>
      <c r="C111" s="1"/>
      <c r="D111" s="1"/>
      <c r="E111" s="3"/>
      <c r="F111" s="3"/>
      <c r="G111" s="3"/>
      <c r="H111" s="3"/>
      <c r="I111" s="3"/>
      <c r="J111" s="3"/>
      <c r="K111" s="3"/>
      <c r="L111" s="5"/>
      <c r="M111" s="9"/>
      <c r="N111" s="9"/>
      <c r="O111" s="9"/>
      <c r="P111" s="9"/>
      <c r="Q111" s="9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>
      <c r="A112" s="1"/>
      <c r="B112" s="1"/>
      <c r="C112" s="1"/>
      <c r="D112" s="1"/>
      <c r="E112" s="3"/>
      <c r="F112" s="3"/>
      <c r="G112" s="3"/>
      <c r="H112" s="3"/>
      <c r="I112" s="3"/>
      <c r="J112" s="3"/>
      <c r="K112" s="3"/>
      <c r="L112" s="5"/>
      <c r="M112" s="9"/>
      <c r="N112" s="9"/>
      <c r="O112" s="9"/>
      <c r="P112" s="9"/>
      <c r="Q112" s="9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>
      <c r="A113" s="1"/>
      <c r="B113" s="1"/>
      <c r="C113" s="1"/>
      <c r="D113" s="1"/>
      <c r="E113" s="3"/>
      <c r="F113" s="3"/>
      <c r="G113" s="3"/>
      <c r="H113" s="3"/>
      <c r="I113" s="3"/>
      <c r="J113" s="3"/>
      <c r="K113" s="3"/>
      <c r="L113" s="5"/>
      <c r="M113" s="9"/>
      <c r="N113" s="9"/>
      <c r="O113" s="9"/>
      <c r="P113" s="9"/>
      <c r="Q113" s="9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>
      <c r="A114" s="1"/>
      <c r="B114" s="1"/>
      <c r="C114" s="1"/>
      <c r="D114" s="1"/>
      <c r="E114" s="3"/>
      <c r="F114" s="3"/>
      <c r="G114" s="3"/>
      <c r="H114" s="3"/>
      <c r="I114" s="3"/>
      <c r="J114" s="3"/>
      <c r="K114" s="3"/>
      <c r="L114" s="5"/>
      <c r="M114" s="9"/>
      <c r="N114" s="9"/>
      <c r="O114" s="9"/>
      <c r="P114" s="9"/>
      <c r="Q114" s="9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>
      <c r="A115" s="1"/>
      <c r="B115" s="1"/>
      <c r="C115" s="1"/>
      <c r="D115" s="1"/>
      <c r="E115" s="3"/>
      <c r="F115" s="3"/>
      <c r="G115" s="3"/>
      <c r="H115" s="3"/>
      <c r="I115" s="3"/>
      <c r="J115" s="3"/>
      <c r="K115" s="3"/>
      <c r="L115" s="5"/>
      <c r="M115" s="9"/>
      <c r="N115" s="9"/>
      <c r="O115" s="9"/>
      <c r="P115" s="9"/>
      <c r="Q115" s="9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>
      <c r="A116" s="1"/>
      <c r="B116" s="1"/>
      <c r="C116" s="1"/>
      <c r="D116" s="1"/>
      <c r="E116" s="3"/>
      <c r="F116" s="3"/>
      <c r="G116" s="3"/>
      <c r="H116" s="3"/>
      <c r="I116" s="3"/>
      <c r="J116" s="3"/>
      <c r="K116" s="3"/>
      <c r="L116" s="5"/>
      <c r="M116" s="9"/>
      <c r="N116" s="9"/>
      <c r="O116" s="9"/>
      <c r="P116" s="9"/>
      <c r="Q116" s="9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>
      <c r="A117" s="1"/>
      <c r="B117" s="1"/>
      <c r="C117" s="1"/>
      <c r="D117" s="1"/>
      <c r="E117" s="3"/>
      <c r="F117" s="3"/>
      <c r="G117" s="3"/>
      <c r="H117" s="3"/>
      <c r="I117" s="3"/>
      <c r="J117" s="3"/>
      <c r="K117" s="3"/>
      <c r="L117" s="5"/>
      <c r="M117" s="9"/>
      <c r="N117" s="9"/>
      <c r="O117" s="9"/>
      <c r="P117" s="9"/>
      <c r="Q117" s="9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>
      <c r="A118" s="1"/>
      <c r="B118" s="1"/>
      <c r="C118" s="1"/>
      <c r="D118" s="1"/>
      <c r="E118" s="3"/>
      <c r="F118" s="3"/>
      <c r="G118" s="3"/>
      <c r="H118" s="3"/>
      <c r="I118" s="3"/>
      <c r="J118" s="3"/>
      <c r="K118" s="3"/>
      <c r="L118" s="5"/>
      <c r="M118" s="9"/>
      <c r="N118" s="9"/>
      <c r="O118" s="9"/>
      <c r="P118" s="9"/>
      <c r="Q118" s="9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>
      <c r="A119" s="1"/>
      <c r="B119" s="1"/>
      <c r="C119" s="1"/>
      <c r="D119" s="1"/>
      <c r="E119" s="3"/>
      <c r="F119" s="3"/>
      <c r="G119" s="3"/>
      <c r="H119" s="3"/>
      <c r="I119" s="3"/>
      <c r="J119" s="3"/>
      <c r="K119" s="3"/>
      <c r="L119" s="5"/>
      <c r="M119" s="9"/>
      <c r="N119" s="9"/>
      <c r="O119" s="9"/>
      <c r="P119" s="9"/>
      <c r="Q119" s="9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>
      <c r="A120" s="1"/>
      <c r="B120" s="1"/>
      <c r="C120" s="1"/>
      <c r="D120" s="1"/>
      <c r="E120" s="3"/>
      <c r="F120" s="3"/>
      <c r="G120" s="3"/>
      <c r="H120" s="3"/>
      <c r="I120" s="3"/>
      <c r="J120" s="3"/>
      <c r="K120" s="3"/>
      <c r="L120" s="5"/>
      <c r="M120" s="9"/>
      <c r="N120" s="9"/>
      <c r="O120" s="9"/>
      <c r="P120" s="9"/>
      <c r="Q120" s="9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>
      <c r="A121" s="1"/>
      <c r="B121" s="1"/>
      <c r="C121" s="1"/>
      <c r="D121" s="1"/>
      <c r="E121" s="3"/>
      <c r="F121" s="3"/>
      <c r="G121" s="3"/>
      <c r="H121" s="3"/>
      <c r="I121" s="3"/>
      <c r="J121" s="3"/>
      <c r="K121" s="3"/>
      <c r="L121" s="5"/>
      <c r="M121" s="9"/>
      <c r="N121" s="9"/>
      <c r="O121" s="9"/>
      <c r="P121" s="9"/>
      <c r="Q121" s="9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>
      <c r="A122" s="1"/>
      <c r="B122" s="1"/>
      <c r="C122" s="1"/>
      <c r="D122" s="1"/>
      <c r="E122" s="3"/>
      <c r="F122" s="3"/>
      <c r="G122" s="3"/>
      <c r="H122" s="3"/>
      <c r="I122" s="3"/>
      <c r="J122" s="3"/>
      <c r="K122" s="3"/>
      <c r="L122" s="5"/>
      <c r="M122" s="9"/>
      <c r="N122" s="9"/>
      <c r="O122" s="9"/>
      <c r="P122" s="9"/>
      <c r="Q122" s="9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>
      <c r="A123" s="1"/>
      <c r="B123" s="1"/>
      <c r="C123" s="1"/>
      <c r="D123" s="1"/>
      <c r="E123" s="3"/>
      <c r="F123" s="3"/>
      <c r="G123" s="3"/>
      <c r="H123" s="3"/>
      <c r="I123" s="3"/>
      <c r="J123" s="3"/>
      <c r="K123" s="3"/>
      <c r="L123" s="5"/>
      <c r="M123" s="9"/>
      <c r="N123" s="9"/>
      <c r="O123" s="9"/>
      <c r="P123" s="9"/>
      <c r="Q123" s="9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>
      <c r="A124" s="1"/>
      <c r="B124" s="1"/>
      <c r="C124" s="1"/>
      <c r="D124" s="1"/>
      <c r="E124" s="3"/>
      <c r="F124" s="3"/>
      <c r="G124" s="3"/>
      <c r="H124" s="3"/>
      <c r="I124" s="3"/>
      <c r="J124" s="3"/>
      <c r="K124" s="3"/>
      <c r="L124" s="5"/>
      <c r="M124" s="9"/>
      <c r="N124" s="9"/>
      <c r="O124" s="9"/>
      <c r="P124" s="9"/>
      <c r="Q124" s="9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>
      <c r="A125" s="1"/>
      <c r="B125" s="1"/>
      <c r="C125" s="1"/>
      <c r="D125" s="1"/>
      <c r="E125" s="3"/>
      <c r="F125" s="3"/>
      <c r="G125" s="3"/>
      <c r="H125" s="3"/>
      <c r="I125" s="3"/>
      <c r="J125" s="3"/>
      <c r="K125" s="3"/>
      <c r="L125" s="5"/>
      <c r="M125" s="9"/>
      <c r="N125" s="9"/>
      <c r="O125" s="9"/>
      <c r="P125" s="9"/>
      <c r="Q125" s="9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>
      <c r="A126" s="1"/>
      <c r="B126" s="1"/>
      <c r="C126" s="1"/>
      <c r="D126" s="1"/>
      <c r="E126" s="3"/>
      <c r="F126" s="3"/>
      <c r="G126" s="3"/>
      <c r="H126" s="3"/>
      <c r="I126" s="3"/>
      <c r="J126" s="3"/>
      <c r="K126" s="3"/>
      <c r="L126" s="5"/>
      <c r="M126" s="9"/>
      <c r="N126" s="9"/>
      <c r="O126" s="9"/>
      <c r="P126" s="9"/>
      <c r="Q126" s="9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>
      <c r="A127" s="1"/>
      <c r="B127" s="1"/>
      <c r="C127" s="1"/>
      <c r="D127" s="1"/>
      <c r="E127" s="3"/>
      <c r="F127" s="3"/>
      <c r="G127" s="3"/>
      <c r="H127" s="3"/>
      <c r="I127" s="3"/>
      <c r="J127" s="3"/>
      <c r="K127" s="3"/>
      <c r="L127" s="5"/>
      <c r="M127" s="9"/>
      <c r="N127" s="9"/>
      <c r="O127" s="9"/>
      <c r="P127" s="9"/>
      <c r="Q127" s="9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>
      <c r="A128" s="1"/>
      <c r="B128" s="1"/>
      <c r="C128" s="1"/>
      <c r="D128" s="1"/>
      <c r="E128" s="3"/>
      <c r="F128" s="3"/>
      <c r="G128" s="3"/>
      <c r="H128" s="3"/>
      <c r="I128" s="3"/>
      <c r="J128" s="3"/>
      <c r="K128" s="3"/>
      <c r="L128" s="5"/>
      <c r="M128" s="9"/>
      <c r="N128" s="9"/>
      <c r="O128" s="9"/>
      <c r="P128" s="9"/>
      <c r="Q128" s="9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>
      <c r="A129" s="1"/>
      <c r="B129" s="1"/>
      <c r="C129" s="1"/>
      <c r="D129" s="1"/>
      <c r="E129" s="3"/>
      <c r="F129" s="3"/>
      <c r="G129" s="3"/>
      <c r="H129" s="3"/>
      <c r="I129" s="3"/>
      <c r="J129" s="3"/>
      <c r="K129" s="3"/>
      <c r="L129" s="5"/>
      <c r="M129" s="9"/>
      <c r="N129" s="9"/>
      <c r="O129" s="9"/>
      <c r="P129" s="9"/>
      <c r="Q129" s="9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>
      <c r="A130" s="1"/>
      <c r="B130" s="1"/>
      <c r="C130" s="1"/>
      <c r="D130" s="1"/>
      <c r="E130" s="3"/>
      <c r="F130" s="3"/>
      <c r="G130" s="3"/>
      <c r="H130" s="3"/>
      <c r="I130" s="3"/>
      <c r="J130" s="3"/>
      <c r="K130" s="3"/>
      <c r="L130" s="5"/>
      <c r="M130" s="9"/>
      <c r="N130" s="9"/>
      <c r="O130" s="9"/>
      <c r="P130" s="9"/>
      <c r="Q130" s="9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>
      <c r="A131" s="1"/>
      <c r="B131" s="1"/>
      <c r="C131" s="1"/>
      <c r="D131" s="1"/>
      <c r="E131" s="3"/>
      <c r="F131" s="3"/>
      <c r="G131" s="3"/>
      <c r="H131" s="3"/>
      <c r="I131" s="3"/>
      <c r="J131" s="3"/>
      <c r="K131" s="3"/>
      <c r="L131" s="5"/>
      <c r="M131" s="9"/>
      <c r="N131" s="9"/>
      <c r="O131" s="9"/>
      <c r="P131" s="9"/>
      <c r="Q131" s="9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>
      <c r="A132" s="1"/>
      <c r="B132" s="1"/>
      <c r="C132" s="1"/>
      <c r="D132" s="1"/>
      <c r="E132" s="3"/>
      <c r="F132" s="3"/>
      <c r="G132" s="3"/>
      <c r="H132" s="3"/>
      <c r="I132" s="3"/>
      <c r="J132" s="3"/>
      <c r="K132" s="3"/>
      <c r="L132" s="5"/>
      <c r="M132" s="9"/>
      <c r="N132" s="9"/>
      <c r="O132" s="9"/>
      <c r="P132" s="9"/>
      <c r="Q132" s="9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>
      <c r="A133" s="1"/>
      <c r="B133" s="1"/>
      <c r="C133" s="1"/>
      <c r="D133" s="1"/>
      <c r="E133" s="3"/>
      <c r="F133" s="3"/>
      <c r="G133" s="3"/>
      <c r="H133" s="3"/>
      <c r="I133" s="3"/>
      <c r="J133" s="3"/>
      <c r="K133" s="3"/>
      <c r="L133" s="5"/>
      <c r="M133" s="9"/>
      <c r="N133" s="9"/>
      <c r="O133" s="9"/>
      <c r="P133" s="9"/>
      <c r="Q133" s="9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>
      <c r="A134" s="1"/>
      <c r="B134" s="1"/>
      <c r="C134" s="1"/>
      <c r="D134" s="1"/>
      <c r="E134" s="3"/>
      <c r="F134" s="3"/>
      <c r="G134" s="3"/>
      <c r="H134" s="3"/>
      <c r="I134" s="3"/>
      <c r="J134" s="3"/>
      <c r="K134" s="3"/>
      <c r="L134" s="5"/>
      <c r="M134" s="9"/>
      <c r="N134" s="9"/>
      <c r="O134" s="9"/>
      <c r="P134" s="9"/>
      <c r="Q134" s="9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>
      <c r="A135" s="1"/>
      <c r="B135" s="1"/>
      <c r="C135" s="1"/>
      <c r="D135" s="1"/>
      <c r="E135" s="3"/>
      <c r="F135" s="3"/>
      <c r="G135" s="3"/>
      <c r="H135" s="3"/>
      <c r="I135" s="3"/>
      <c r="J135" s="3"/>
      <c r="K135" s="3"/>
      <c r="L135" s="5"/>
      <c r="M135" s="9"/>
      <c r="N135" s="9"/>
      <c r="O135" s="9"/>
      <c r="P135" s="9"/>
      <c r="Q135" s="9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>
      <c r="A136" s="1"/>
      <c r="B136" s="1"/>
      <c r="C136" s="1"/>
      <c r="D136" s="1"/>
      <c r="E136" s="3"/>
      <c r="F136" s="3"/>
      <c r="G136" s="3"/>
      <c r="H136" s="3"/>
      <c r="I136" s="3"/>
      <c r="J136" s="3"/>
      <c r="K136" s="3"/>
      <c r="L136" s="5"/>
      <c r="M136" s="9"/>
      <c r="N136" s="9"/>
      <c r="O136" s="9"/>
      <c r="P136" s="9"/>
      <c r="Q136" s="9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>
      <c r="A137" s="1"/>
      <c r="B137" s="1"/>
      <c r="C137" s="1"/>
      <c r="D137" s="1"/>
      <c r="E137" s="3"/>
      <c r="F137" s="3"/>
      <c r="G137" s="3"/>
      <c r="H137" s="3"/>
      <c r="I137" s="3"/>
      <c r="J137" s="3"/>
      <c r="K137" s="3"/>
      <c r="L137" s="5"/>
      <c r="M137" s="9"/>
      <c r="N137" s="9"/>
      <c r="O137" s="9"/>
      <c r="P137" s="9"/>
      <c r="Q137" s="9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>
      <c r="A138" s="1"/>
      <c r="B138" s="1"/>
      <c r="C138" s="1"/>
      <c r="D138" s="1"/>
      <c r="E138" s="3"/>
      <c r="F138" s="3"/>
      <c r="G138" s="3"/>
      <c r="H138" s="3"/>
      <c r="I138" s="3"/>
      <c r="J138" s="3"/>
      <c r="K138" s="3"/>
      <c r="L138" s="5"/>
      <c r="M138" s="9"/>
      <c r="N138" s="9"/>
      <c r="O138" s="9"/>
      <c r="P138" s="9"/>
      <c r="Q138" s="9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>
      <c r="A139" s="1"/>
      <c r="B139" s="1"/>
      <c r="C139" s="1"/>
      <c r="D139" s="1"/>
      <c r="E139" s="3"/>
      <c r="F139" s="3"/>
      <c r="G139" s="3"/>
      <c r="H139" s="3"/>
      <c r="I139" s="3"/>
      <c r="J139" s="3"/>
      <c r="K139" s="3"/>
      <c r="L139" s="5"/>
      <c r="M139" s="9"/>
      <c r="N139" s="9"/>
      <c r="O139" s="9"/>
      <c r="P139" s="9"/>
      <c r="Q139" s="9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>
      <c r="A140" s="1"/>
      <c r="B140" s="1"/>
      <c r="C140" s="1"/>
      <c r="D140" s="1"/>
      <c r="E140" s="3"/>
      <c r="F140" s="3"/>
      <c r="G140" s="3"/>
      <c r="H140" s="3"/>
      <c r="I140" s="3"/>
      <c r="J140" s="3"/>
      <c r="K140" s="3"/>
      <c r="L140" s="5"/>
      <c r="M140" s="9"/>
      <c r="N140" s="9"/>
      <c r="O140" s="9"/>
      <c r="P140" s="9"/>
      <c r="Q140" s="9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>
      <c r="A141" s="1"/>
      <c r="B141" s="1"/>
      <c r="C141" s="1"/>
      <c r="D141" s="1"/>
      <c r="E141" s="3"/>
      <c r="F141" s="3"/>
      <c r="G141" s="3"/>
      <c r="H141" s="3"/>
      <c r="I141" s="3"/>
      <c r="J141" s="3"/>
      <c r="K141" s="3"/>
      <c r="L141" s="5"/>
      <c r="M141" s="9"/>
      <c r="N141" s="9"/>
      <c r="O141" s="9"/>
      <c r="P141" s="9"/>
      <c r="Q141" s="9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5"/>
      <c r="M142" s="9"/>
      <c r="N142" s="9"/>
      <c r="O142" s="9"/>
      <c r="P142" s="9"/>
      <c r="Q142" s="9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5"/>
      <c r="M143" s="9"/>
      <c r="N143" s="9"/>
      <c r="O143" s="9"/>
      <c r="P143" s="9"/>
      <c r="Q143" s="9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5"/>
      <c r="M144" s="9"/>
      <c r="N144" s="9"/>
      <c r="O144" s="9"/>
      <c r="P144" s="9"/>
      <c r="Q144" s="9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5"/>
      <c r="M145" s="9"/>
      <c r="N145" s="9"/>
      <c r="O145" s="9"/>
      <c r="P145" s="9"/>
      <c r="Q145" s="9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5"/>
      <c r="M146" s="9"/>
      <c r="N146" s="9"/>
      <c r="O146" s="9"/>
      <c r="P146" s="9"/>
      <c r="Q146" s="9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5"/>
      <c r="M147" s="9"/>
      <c r="N147" s="9"/>
      <c r="O147" s="9"/>
      <c r="P147" s="9"/>
      <c r="Q147" s="9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5"/>
      <c r="M148" s="9"/>
      <c r="N148" s="9"/>
      <c r="O148" s="9"/>
      <c r="P148" s="9"/>
      <c r="Q148" s="9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5"/>
      <c r="M149" s="9"/>
      <c r="N149" s="9"/>
      <c r="O149" s="9"/>
      <c r="P149" s="9"/>
      <c r="Q149" s="9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5"/>
      <c r="M150" s="9"/>
      <c r="N150" s="9"/>
      <c r="O150" s="9"/>
      <c r="P150" s="9"/>
      <c r="Q150" s="9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5"/>
      <c r="M151" s="9"/>
      <c r="N151" s="9"/>
      <c r="O151" s="9"/>
      <c r="P151" s="9"/>
      <c r="Q151" s="9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5"/>
      <c r="M152" s="9"/>
      <c r="N152" s="9"/>
      <c r="O152" s="9"/>
      <c r="P152" s="9"/>
      <c r="Q152" s="9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5"/>
      <c r="M153" s="9"/>
      <c r="N153" s="9"/>
      <c r="O153" s="9"/>
      <c r="P153" s="9"/>
      <c r="Q153" s="9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5"/>
      <c r="M154" s="9"/>
      <c r="N154" s="9"/>
      <c r="O154" s="9"/>
      <c r="P154" s="9"/>
      <c r="Q154" s="9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5"/>
      <c r="M155" s="9"/>
      <c r="N155" s="9"/>
      <c r="O155" s="9"/>
      <c r="P155" s="9"/>
      <c r="Q155" s="9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5"/>
      <c r="M156" s="9"/>
      <c r="N156" s="9"/>
      <c r="O156" s="9"/>
      <c r="P156" s="9"/>
      <c r="Q156" s="9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5"/>
      <c r="M157" s="9"/>
      <c r="N157" s="9"/>
      <c r="O157" s="9"/>
      <c r="P157" s="9"/>
      <c r="Q157" s="9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5"/>
      <c r="M158" s="9"/>
      <c r="N158" s="9"/>
      <c r="O158" s="9"/>
      <c r="P158" s="9"/>
      <c r="Q158" s="9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5"/>
      <c r="M159" s="9"/>
      <c r="N159" s="9"/>
      <c r="O159" s="9"/>
      <c r="P159" s="9"/>
      <c r="Q159" s="9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5"/>
      <c r="M160" s="9"/>
      <c r="N160" s="9"/>
      <c r="O160" s="9"/>
      <c r="P160" s="9"/>
      <c r="Q160" s="9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5"/>
      <c r="M161" s="9"/>
      <c r="N161" s="9"/>
      <c r="O161" s="9"/>
      <c r="P161" s="9"/>
      <c r="Q161" s="9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5"/>
      <c r="M162" s="9"/>
      <c r="N162" s="9"/>
      <c r="O162" s="9"/>
      <c r="P162" s="9"/>
      <c r="Q162" s="9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5"/>
      <c r="M163" s="9"/>
      <c r="N163" s="9"/>
      <c r="O163" s="9"/>
      <c r="P163" s="9"/>
      <c r="Q163" s="9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5"/>
      <c r="M164" s="9"/>
      <c r="N164" s="9"/>
      <c r="O164" s="9"/>
      <c r="P164" s="9"/>
      <c r="Q164" s="9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5"/>
      <c r="M165" s="9"/>
      <c r="N165" s="9"/>
      <c r="O165" s="9"/>
      <c r="P165" s="9"/>
      <c r="Q165" s="9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5"/>
      <c r="M166" s="9"/>
      <c r="N166" s="9"/>
      <c r="O166" s="9"/>
      <c r="P166" s="9"/>
      <c r="Q166" s="9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5"/>
      <c r="M167" s="9"/>
      <c r="N167" s="9"/>
      <c r="O167" s="9"/>
      <c r="P167" s="9"/>
      <c r="Q167" s="9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5"/>
      <c r="M168" s="9"/>
      <c r="N168" s="9"/>
      <c r="O168" s="9"/>
      <c r="P168" s="9"/>
      <c r="Q168" s="9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5"/>
      <c r="M169" s="9"/>
      <c r="N169" s="9"/>
      <c r="O169" s="9"/>
      <c r="P169" s="9"/>
      <c r="Q169" s="9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5"/>
      <c r="M170" s="9"/>
      <c r="N170" s="9"/>
      <c r="O170" s="9"/>
      <c r="P170" s="9"/>
      <c r="Q170" s="9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5"/>
      <c r="M171" s="9"/>
      <c r="N171" s="9"/>
      <c r="O171" s="9"/>
      <c r="P171" s="9"/>
      <c r="Q171" s="9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5"/>
      <c r="M172" s="9"/>
      <c r="N172" s="9"/>
      <c r="O172" s="9"/>
      <c r="P172" s="9"/>
      <c r="Q172" s="9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5"/>
      <c r="M173" s="9"/>
      <c r="N173" s="9"/>
      <c r="O173" s="9"/>
      <c r="P173" s="9"/>
      <c r="Q173" s="9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5"/>
      <c r="M174" s="9"/>
      <c r="N174" s="9"/>
      <c r="O174" s="9"/>
      <c r="P174" s="9"/>
      <c r="Q174" s="9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5"/>
      <c r="M175" s="9"/>
      <c r="N175" s="9"/>
      <c r="O175" s="9"/>
      <c r="P175" s="9"/>
      <c r="Q175" s="9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5"/>
      <c r="M176" s="9"/>
      <c r="N176" s="9"/>
      <c r="O176" s="9"/>
      <c r="P176" s="9"/>
      <c r="Q176" s="9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5"/>
      <c r="M177" s="9"/>
      <c r="N177" s="9"/>
      <c r="O177" s="9"/>
      <c r="P177" s="9"/>
      <c r="Q177" s="9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5"/>
      <c r="M178" s="9"/>
      <c r="N178" s="9"/>
      <c r="O178" s="9"/>
      <c r="P178" s="9"/>
      <c r="Q178" s="9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5"/>
      <c r="M179" s="9"/>
      <c r="N179" s="9"/>
      <c r="O179" s="9"/>
      <c r="P179" s="9"/>
      <c r="Q179" s="9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5"/>
      <c r="M180" s="9"/>
      <c r="N180" s="9"/>
      <c r="O180" s="9"/>
      <c r="P180" s="9"/>
      <c r="Q180" s="9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5"/>
      <c r="M181" s="9"/>
      <c r="N181" s="9"/>
      <c r="O181" s="9"/>
      <c r="P181" s="9"/>
      <c r="Q181" s="9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5"/>
      <c r="M182" s="9"/>
      <c r="N182" s="9"/>
      <c r="O182" s="9"/>
      <c r="P182" s="9"/>
      <c r="Q182" s="9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5"/>
      <c r="M183" s="9"/>
      <c r="N183" s="9"/>
      <c r="O183" s="9"/>
      <c r="P183" s="9"/>
      <c r="Q183" s="9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5"/>
      <c r="M184" s="9"/>
      <c r="N184" s="9"/>
      <c r="O184" s="9"/>
      <c r="P184" s="9"/>
      <c r="Q184" s="9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5"/>
      <c r="M185" s="9"/>
      <c r="N185" s="9"/>
      <c r="O185" s="9"/>
      <c r="P185" s="9"/>
      <c r="Q185" s="9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5"/>
      <c r="M186" s="9"/>
      <c r="N186" s="9"/>
      <c r="O186" s="9"/>
      <c r="P186" s="9"/>
      <c r="Q186" s="9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5"/>
      <c r="M187" s="9"/>
      <c r="N187" s="9"/>
      <c r="O187" s="9"/>
      <c r="P187" s="9"/>
      <c r="Q187" s="9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5"/>
      <c r="M188" s="9"/>
      <c r="N188" s="9"/>
      <c r="O188" s="9"/>
      <c r="P188" s="9"/>
      <c r="Q188" s="9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5"/>
      <c r="M189" s="9"/>
      <c r="N189" s="9"/>
      <c r="O189" s="9"/>
      <c r="P189" s="9"/>
      <c r="Q189" s="9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5"/>
      <c r="M190" s="9"/>
      <c r="N190" s="9"/>
      <c r="O190" s="9"/>
      <c r="P190" s="9"/>
      <c r="Q190" s="9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5"/>
      <c r="M191" s="9"/>
      <c r="N191" s="9"/>
      <c r="O191" s="9"/>
      <c r="P191" s="9"/>
      <c r="Q191" s="9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5"/>
      <c r="M192" s="9"/>
      <c r="N192" s="9"/>
      <c r="O192" s="9"/>
      <c r="P192" s="9"/>
      <c r="Q192" s="9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5"/>
      <c r="M193" s="9"/>
      <c r="N193" s="9"/>
      <c r="O193" s="9"/>
      <c r="P193" s="9"/>
      <c r="Q193" s="9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5"/>
      <c r="M194" s="9"/>
      <c r="N194" s="9"/>
      <c r="O194" s="9"/>
      <c r="P194" s="9"/>
      <c r="Q194" s="9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5"/>
      <c r="M195" s="9"/>
      <c r="N195" s="9"/>
      <c r="O195" s="9"/>
      <c r="P195" s="9"/>
      <c r="Q195" s="9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5"/>
      <c r="M196" s="9"/>
      <c r="N196" s="9"/>
      <c r="O196" s="9"/>
      <c r="P196" s="9"/>
      <c r="Q196" s="9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5"/>
      <c r="M197" s="9"/>
      <c r="N197" s="9"/>
      <c r="O197" s="9"/>
      <c r="P197" s="9"/>
      <c r="Q197" s="9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5"/>
      <c r="M198" s="9"/>
      <c r="N198" s="9"/>
      <c r="O198" s="9"/>
      <c r="P198" s="9"/>
      <c r="Q198" s="9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5"/>
      <c r="M199" s="9"/>
      <c r="N199" s="9"/>
      <c r="O199" s="9"/>
      <c r="P199" s="9"/>
      <c r="Q199" s="9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5"/>
      <c r="M200" s="9"/>
      <c r="N200" s="9"/>
      <c r="O200" s="9"/>
      <c r="P200" s="9"/>
      <c r="Q200" s="9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5"/>
      <c r="M201" s="9"/>
      <c r="N201" s="9"/>
      <c r="O201" s="9"/>
      <c r="P201" s="9"/>
      <c r="Q201" s="9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5"/>
      <c r="M202" s="9"/>
      <c r="N202" s="9"/>
      <c r="O202" s="9"/>
      <c r="P202" s="9"/>
      <c r="Q202" s="9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5"/>
      <c r="M203" s="9"/>
      <c r="N203" s="9"/>
      <c r="O203" s="9"/>
      <c r="P203" s="9"/>
      <c r="Q203" s="9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5"/>
      <c r="M204" s="9"/>
      <c r="N204" s="9"/>
      <c r="O204" s="9"/>
      <c r="P204" s="9"/>
      <c r="Q204" s="9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5"/>
      <c r="M205" s="9"/>
      <c r="N205" s="9"/>
      <c r="O205" s="9"/>
      <c r="P205" s="9"/>
      <c r="Q205" s="9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5"/>
      <c r="M206" s="9"/>
      <c r="N206" s="9"/>
      <c r="O206" s="9"/>
      <c r="P206" s="9"/>
      <c r="Q206" s="9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5"/>
      <c r="M207" s="9"/>
      <c r="N207" s="9"/>
      <c r="O207" s="9"/>
      <c r="P207" s="9"/>
      <c r="Q207" s="9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5"/>
      <c r="M208" s="9"/>
      <c r="N208" s="9"/>
      <c r="O208" s="9"/>
      <c r="P208" s="9"/>
      <c r="Q208" s="9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5"/>
      <c r="M209" s="9"/>
      <c r="N209" s="9"/>
      <c r="O209" s="9"/>
      <c r="P209" s="9"/>
      <c r="Q209" s="9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5"/>
      <c r="M210" s="9"/>
      <c r="N210" s="9"/>
      <c r="O210" s="9"/>
      <c r="P210" s="9"/>
      <c r="Q210" s="9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5"/>
      <c r="M211" s="9"/>
      <c r="N211" s="9"/>
      <c r="O211" s="9"/>
      <c r="P211" s="9"/>
      <c r="Q211" s="9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5"/>
      <c r="M212" s="9"/>
      <c r="N212" s="9"/>
      <c r="O212" s="9"/>
      <c r="P212" s="9"/>
      <c r="Q212" s="9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5"/>
      <c r="M213" s="9"/>
      <c r="N213" s="9"/>
      <c r="O213" s="9"/>
      <c r="P213" s="9"/>
      <c r="Q213" s="9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5"/>
      <c r="M214" s="9"/>
      <c r="N214" s="9"/>
      <c r="O214" s="9"/>
      <c r="P214" s="9"/>
      <c r="Q214" s="9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5"/>
      <c r="M215" s="9"/>
      <c r="N215" s="9"/>
      <c r="O215" s="9"/>
      <c r="P215" s="9"/>
      <c r="Q215" s="9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5"/>
      <c r="M216" s="9"/>
      <c r="N216" s="9"/>
      <c r="O216" s="9"/>
      <c r="P216" s="9"/>
      <c r="Q216" s="9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5"/>
      <c r="M217" s="9"/>
      <c r="N217" s="9"/>
      <c r="O217" s="9"/>
      <c r="P217" s="9"/>
      <c r="Q217" s="9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5"/>
      <c r="M218" s="9"/>
      <c r="N218" s="9"/>
      <c r="O218" s="9"/>
      <c r="P218" s="9"/>
      <c r="Q218" s="9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5"/>
      <c r="M219" s="9"/>
      <c r="N219" s="9"/>
      <c r="O219" s="9"/>
      <c r="P219" s="9"/>
      <c r="Q219" s="9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5"/>
      <c r="M220" s="9"/>
      <c r="N220" s="9"/>
      <c r="O220" s="9"/>
      <c r="P220" s="9"/>
      <c r="Q220" s="9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5"/>
      <c r="M221" s="9"/>
      <c r="N221" s="9"/>
      <c r="O221" s="9"/>
      <c r="P221" s="9"/>
      <c r="Q221" s="9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5"/>
      <c r="M222" s="9"/>
      <c r="N222" s="9"/>
      <c r="O222" s="9"/>
      <c r="P222" s="9"/>
      <c r="Q222" s="9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5"/>
      <c r="M223" s="9"/>
      <c r="N223" s="9"/>
      <c r="O223" s="9"/>
      <c r="P223" s="9"/>
      <c r="Q223" s="9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5"/>
      <c r="M224" s="9"/>
      <c r="N224" s="9"/>
      <c r="O224" s="9"/>
      <c r="P224" s="9"/>
      <c r="Q224" s="9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5"/>
      <c r="M225" s="9"/>
      <c r="N225" s="9"/>
      <c r="O225" s="9"/>
      <c r="P225" s="9"/>
      <c r="Q225" s="9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5"/>
      <c r="M226" s="9"/>
      <c r="N226" s="9"/>
      <c r="O226" s="9"/>
      <c r="P226" s="9"/>
      <c r="Q226" s="9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5"/>
      <c r="M227" s="9"/>
      <c r="N227" s="9"/>
      <c r="O227" s="9"/>
      <c r="P227" s="9"/>
      <c r="Q227" s="9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5"/>
      <c r="M228" s="9"/>
      <c r="N228" s="9"/>
      <c r="O228" s="9"/>
      <c r="P228" s="9"/>
      <c r="Q228" s="9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5"/>
      <c r="M229" s="9"/>
      <c r="N229" s="9"/>
      <c r="O229" s="9"/>
      <c r="P229" s="9"/>
      <c r="Q229" s="9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5"/>
      <c r="M230" s="9"/>
      <c r="N230" s="9"/>
      <c r="O230" s="9"/>
      <c r="P230" s="9"/>
      <c r="Q230" s="9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5"/>
      <c r="M231" s="9"/>
      <c r="N231" s="9"/>
      <c r="O231" s="9"/>
      <c r="P231" s="9"/>
      <c r="Q231" s="9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5"/>
      <c r="M232" s="9"/>
      <c r="N232" s="9"/>
      <c r="O232" s="9"/>
      <c r="P232" s="9"/>
      <c r="Q232" s="9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5"/>
      <c r="M233" s="9"/>
      <c r="N233" s="9"/>
      <c r="O233" s="9"/>
      <c r="P233" s="9"/>
      <c r="Q233" s="9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5"/>
      <c r="M234" s="9"/>
      <c r="N234" s="9"/>
      <c r="O234" s="9"/>
      <c r="P234" s="9"/>
      <c r="Q234" s="9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5"/>
      <c r="M235" s="9"/>
      <c r="N235" s="9"/>
      <c r="O235" s="9"/>
      <c r="P235" s="9"/>
      <c r="Q235" s="9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5"/>
      <c r="M236" s="9"/>
      <c r="N236" s="9"/>
      <c r="O236" s="9"/>
      <c r="P236" s="9"/>
      <c r="Q236" s="9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5"/>
      <c r="M237" s="9"/>
      <c r="N237" s="9"/>
      <c r="O237" s="9"/>
      <c r="P237" s="9"/>
      <c r="Q237" s="9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5"/>
      <c r="M238" s="9"/>
      <c r="N238" s="9"/>
      <c r="O238" s="9"/>
      <c r="P238" s="9"/>
      <c r="Q238" s="9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5"/>
      <c r="M239" s="9"/>
      <c r="N239" s="9"/>
      <c r="O239" s="9"/>
      <c r="P239" s="9"/>
      <c r="Q239" s="9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5"/>
      <c r="M240" s="9"/>
      <c r="N240" s="9"/>
      <c r="O240" s="9"/>
      <c r="P240" s="9"/>
      <c r="Q240" s="9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5"/>
      <c r="M241" s="9"/>
      <c r="N241" s="9"/>
      <c r="O241" s="9"/>
      <c r="P241" s="9"/>
      <c r="Q241" s="9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5"/>
      <c r="M242" s="9"/>
      <c r="N242" s="9"/>
      <c r="O242" s="9"/>
      <c r="P242" s="9"/>
      <c r="Q242" s="9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5"/>
      <c r="M243" s="9"/>
      <c r="N243" s="9"/>
      <c r="O243" s="9"/>
      <c r="P243" s="9"/>
      <c r="Q243" s="9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5"/>
      <c r="M244" s="9"/>
      <c r="N244" s="9"/>
      <c r="O244" s="9"/>
      <c r="P244" s="9"/>
      <c r="Q244" s="9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5"/>
      <c r="M245" s="9"/>
      <c r="N245" s="9"/>
      <c r="O245" s="9"/>
      <c r="P245" s="9"/>
      <c r="Q245" s="9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5"/>
      <c r="M246" s="9"/>
      <c r="N246" s="9"/>
      <c r="O246" s="9"/>
      <c r="P246" s="9"/>
      <c r="Q246" s="9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5"/>
      <c r="M247" s="9"/>
      <c r="N247" s="9"/>
      <c r="O247" s="9"/>
      <c r="P247" s="9"/>
      <c r="Q247" s="9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5"/>
      <c r="M248" s="9"/>
      <c r="N248" s="9"/>
      <c r="O248" s="9"/>
      <c r="P248" s="9"/>
      <c r="Q248" s="9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5"/>
      <c r="M249" s="9"/>
      <c r="N249" s="9"/>
      <c r="O249" s="9"/>
      <c r="P249" s="9"/>
      <c r="Q249" s="9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5"/>
      <c r="M250" s="9"/>
      <c r="N250" s="9"/>
      <c r="O250" s="9"/>
      <c r="P250" s="9"/>
      <c r="Q250" s="9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5"/>
      <c r="M251" s="9"/>
      <c r="N251" s="9"/>
      <c r="O251" s="9"/>
      <c r="P251" s="9"/>
      <c r="Q251" s="9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5"/>
      <c r="M252" s="9"/>
      <c r="N252" s="9"/>
      <c r="O252" s="9"/>
      <c r="P252" s="9"/>
      <c r="Q252" s="9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5"/>
      <c r="M253" s="9"/>
      <c r="N253" s="9"/>
      <c r="O253" s="9"/>
      <c r="P253" s="9"/>
      <c r="Q253" s="9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5"/>
      <c r="M254" s="9"/>
      <c r="N254" s="9"/>
      <c r="O254" s="9"/>
      <c r="P254" s="9"/>
      <c r="Q254" s="9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5"/>
      <c r="M255" s="9"/>
      <c r="N255" s="9"/>
      <c r="O255" s="9"/>
      <c r="P255" s="9"/>
      <c r="Q255" s="9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5"/>
      <c r="M256" s="9"/>
      <c r="N256" s="9"/>
      <c r="O256" s="9"/>
      <c r="P256" s="9"/>
      <c r="Q256" s="9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5"/>
      <c r="M257" s="9"/>
      <c r="N257" s="9"/>
      <c r="O257" s="9"/>
      <c r="P257" s="9"/>
      <c r="Q257" s="9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5"/>
      <c r="M258" s="9"/>
      <c r="N258" s="9"/>
      <c r="O258" s="9"/>
      <c r="P258" s="9"/>
      <c r="Q258" s="9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5"/>
      <c r="M259" s="9"/>
      <c r="N259" s="9"/>
      <c r="O259" s="9"/>
      <c r="P259" s="9"/>
      <c r="Q259" s="9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5"/>
      <c r="M260" s="9"/>
      <c r="N260" s="9"/>
      <c r="O260" s="9"/>
      <c r="P260" s="9"/>
      <c r="Q260" s="9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5"/>
      <c r="M261" s="9"/>
      <c r="N261" s="9"/>
      <c r="O261" s="9"/>
      <c r="P261" s="9"/>
      <c r="Q261" s="9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5"/>
      <c r="M262" s="9"/>
      <c r="N262" s="9"/>
      <c r="O262" s="9"/>
      <c r="P262" s="9"/>
      <c r="Q262" s="9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5"/>
      <c r="M263" s="9"/>
      <c r="N263" s="9"/>
      <c r="O263" s="9"/>
      <c r="P263" s="9"/>
      <c r="Q263" s="9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5"/>
      <c r="M264" s="9"/>
      <c r="N264" s="9"/>
      <c r="O264" s="9"/>
      <c r="P264" s="9"/>
      <c r="Q264" s="9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5"/>
      <c r="M265" s="9"/>
      <c r="N265" s="9"/>
      <c r="O265" s="9"/>
      <c r="P265" s="9"/>
      <c r="Q265" s="9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5"/>
      <c r="M266" s="9"/>
      <c r="N266" s="9"/>
      <c r="O266" s="9"/>
      <c r="P266" s="9"/>
      <c r="Q266" s="9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5"/>
      <c r="M267" s="9"/>
      <c r="N267" s="9"/>
      <c r="O267" s="9"/>
      <c r="P267" s="9"/>
      <c r="Q267" s="9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5"/>
      <c r="M268" s="9"/>
      <c r="N268" s="9"/>
      <c r="O268" s="9"/>
      <c r="P268" s="9"/>
      <c r="Q268" s="9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5"/>
      <c r="M269" s="9"/>
      <c r="N269" s="9"/>
      <c r="O269" s="9"/>
      <c r="P269" s="9"/>
      <c r="Q269" s="9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5"/>
      <c r="M270" s="9"/>
      <c r="N270" s="9"/>
      <c r="O270" s="9"/>
      <c r="P270" s="9"/>
      <c r="Q270" s="9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5"/>
      <c r="M271" s="9"/>
      <c r="N271" s="9"/>
      <c r="O271" s="9"/>
      <c r="P271" s="9"/>
      <c r="Q271" s="9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5"/>
      <c r="M272" s="9"/>
      <c r="N272" s="9"/>
      <c r="O272" s="9"/>
      <c r="P272" s="9"/>
      <c r="Q272" s="9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5"/>
      <c r="M273" s="9"/>
      <c r="N273" s="9"/>
      <c r="O273" s="9"/>
      <c r="P273" s="9"/>
      <c r="Q273" s="9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5"/>
      <c r="M274" s="9"/>
      <c r="N274" s="9"/>
      <c r="O274" s="9"/>
      <c r="P274" s="9"/>
      <c r="Q274" s="9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5"/>
      <c r="M275" s="9"/>
      <c r="N275" s="9"/>
      <c r="O275" s="9"/>
      <c r="P275" s="9"/>
      <c r="Q275" s="9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5"/>
      <c r="M276" s="9"/>
      <c r="N276" s="9"/>
      <c r="O276" s="9"/>
      <c r="P276" s="9"/>
      <c r="Q276" s="9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5"/>
      <c r="M277" s="9"/>
      <c r="N277" s="9"/>
      <c r="O277" s="9"/>
      <c r="P277" s="9"/>
      <c r="Q277" s="9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5"/>
      <c r="M278" s="9"/>
      <c r="N278" s="9"/>
      <c r="O278" s="9"/>
      <c r="P278" s="9"/>
      <c r="Q278" s="9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5"/>
      <c r="M279" s="9"/>
      <c r="N279" s="9"/>
      <c r="O279" s="9"/>
      <c r="P279" s="9"/>
      <c r="Q279" s="9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5"/>
      <c r="M280" s="9"/>
      <c r="N280" s="9"/>
      <c r="O280" s="9"/>
      <c r="P280" s="9"/>
      <c r="Q280" s="9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5"/>
      <c r="M281" s="9"/>
      <c r="N281" s="9"/>
      <c r="O281" s="9"/>
      <c r="P281" s="9"/>
      <c r="Q281" s="9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5"/>
      <c r="M282" s="9"/>
      <c r="N282" s="9"/>
      <c r="O282" s="9"/>
      <c r="P282" s="9"/>
      <c r="Q282" s="9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5"/>
      <c r="M283" s="9"/>
      <c r="N283" s="9"/>
      <c r="O283" s="9"/>
      <c r="P283" s="9"/>
      <c r="Q283" s="9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5"/>
      <c r="M284" s="9"/>
      <c r="N284" s="9"/>
      <c r="O284" s="9"/>
      <c r="P284" s="9"/>
      <c r="Q284" s="9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5"/>
      <c r="M285" s="9"/>
      <c r="N285" s="9"/>
      <c r="O285" s="9"/>
      <c r="P285" s="9"/>
      <c r="Q285" s="9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5"/>
      <c r="M286" s="9"/>
      <c r="N286" s="9"/>
      <c r="O286" s="9"/>
      <c r="P286" s="9"/>
      <c r="Q286" s="9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5"/>
      <c r="M287" s="9"/>
      <c r="N287" s="9"/>
      <c r="O287" s="9"/>
      <c r="P287" s="9"/>
      <c r="Q287" s="9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5"/>
      <c r="M288" s="9"/>
      <c r="N288" s="9"/>
      <c r="O288" s="9"/>
      <c r="P288" s="9"/>
      <c r="Q288" s="9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5"/>
      <c r="M289" s="9"/>
      <c r="N289" s="9"/>
      <c r="O289" s="9"/>
      <c r="P289" s="9"/>
      <c r="Q289" s="9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5"/>
      <c r="M290" s="9"/>
      <c r="N290" s="9"/>
      <c r="O290" s="9"/>
      <c r="P290" s="9"/>
      <c r="Q290" s="9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5"/>
      <c r="M291" s="9"/>
      <c r="N291" s="9"/>
      <c r="O291" s="9"/>
      <c r="P291" s="9"/>
      <c r="Q291" s="9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5"/>
      <c r="M292" s="9"/>
      <c r="N292" s="9"/>
      <c r="O292" s="9"/>
      <c r="P292" s="9"/>
      <c r="Q292" s="9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5"/>
      <c r="M293" s="9"/>
      <c r="N293" s="9"/>
      <c r="O293" s="9"/>
      <c r="P293" s="9"/>
      <c r="Q293" s="9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5"/>
      <c r="M294" s="9"/>
      <c r="N294" s="9"/>
      <c r="O294" s="9"/>
      <c r="P294" s="9"/>
      <c r="Q294" s="9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5"/>
      <c r="M295" s="9"/>
      <c r="N295" s="9"/>
      <c r="O295" s="9"/>
      <c r="P295" s="9"/>
      <c r="Q295" s="9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5"/>
      <c r="M296" s="9"/>
      <c r="N296" s="9"/>
      <c r="O296" s="9"/>
      <c r="P296" s="9"/>
      <c r="Q296" s="9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5"/>
      <c r="M297" s="9"/>
      <c r="N297" s="9"/>
      <c r="O297" s="9"/>
      <c r="P297" s="9"/>
      <c r="Q297" s="9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5"/>
      <c r="M298" s="9"/>
      <c r="N298" s="9"/>
      <c r="O298" s="9"/>
      <c r="P298" s="9"/>
      <c r="Q298" s="9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5"/>
      <c r="M299" s="9"/>
      <c r="N299" s="9"/>
      <c r="O299" s="9"/>
      <c r="P299" s="9"/>
      <c r="Q299" s="9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5"/>
      <c r="M300" s="9"/>
      <c r="N300" s="9"/>
      <c r="O300" s="9"/>
      <c r="P300" s="9"/>
      <c r="Q300" s="9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5"/>
      <c r="M301" s="9"/>
      <c r="N301" s="9"/>
      <c r="O301" s="9"/>
      <c r="P301" s="9"/>
      <c r="Q301" s="9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5"/>
      <c r="M302" s="9"/>
      <c r="N302" s="9"/>
      <c r="O302" s="9"/>
      <c r="P302" s="9"/>
      <c r="Q302" s="9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5"/>
      <c r="M303" s="9"/>
      <c r="N303" s="9"/>
      <c r="O303" s="9"/>
      <c r="P303" s="9"/>
      <c r="Q303" s="9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5"/>
      <c r="M304" s="9"/>
      <c r="N304" s="9"/>
      <c r="O304" s="9"/>
      <c r="P304" s="9"/>
      <c r="Q304" s="9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5"/>
      <c r="M305" s="9"/>
      <c r="N305" s="9"/>
      <c r="O305" s="9"/>
      <c r="P305" s="9"/>
      <c r="Q305" s="9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5"/>
      <c r="M306" s="9"/>
      <c r="N306" s="9"/>
      <c r="O306" s="9"/>
      <c r="P306" s="9"/>
      <c r="Q306" s="9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5"/>
      <c r="M307" s="9"/>
      <c r="N307" s="9"/>
      <c r="O307" s="9"/>
      <c r="P307" s="9"/>
      <c r="Q307" s="9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5"/>
      <c r="M308" s="9"/>
      <c r="N308" s="9"/>
      <c r="O308" s="9"/>
      <c r="P308" s="9"/>
      <c r="Q308" s="9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5"/>
      <c r="M309" s="9"/>
      <c r="N309" s="9"/>
      <c r="O309" s="9"/>
      <c r="P309" s="9"/>
      <c r="Q309" s="9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5"/>
      <c r="M310" s="9"/>
      <c r="N310" s="9"/>
      <c r="O310" s="9"/>
      <c r="P310" s="9"/>
      <c r="Q310" s="9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5"/>
      <c r="M311" s="9"/>
      <c r="N311" s="9"/>
      <c r="O311" s="9"/>
      <c r="P311" s="9"/>
      <c r="Q311" s="9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5"/>
      <c r="M312" s="9"/>
      <c r="N312" s="9"/>
      <c r="O312" s="9"/>
      <c r="P312" s="9"/>
      <c r="Q312" s="9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5"/>
      <c r="M313" s="9"/>
      <c r="N313" s="9"/>
      <c r="O313" s="9"/>
      <c r="P313" s="9"/>
      <c r="Q313" s="9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5"/>
      <c r="M314" s="9"/>
      <c r="N314" s="9"/>
      <c r="O314" s="9"/>
      <c r="P314" s="9"/>
      <c r="Q314" s="9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5"/>
      <c r="M315" s="9"/>
      <c r="N315" s="9"/>
      <c r="O315" s="9"/>
      <c r="P315" s="9"/>
      <c r="Q315" s="9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5"/>
      <c r="M316" s="9"/>
      <c r="N316" s="9"/>
      <c r="O316" s="9"/>
      <c r="P316" s="9"/>
      <c r="Q316" s="9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5"/>
      <c r="M317" s="9"/>
      <c r="N317" s="9"/>
      <c r="O317" s="9"/>
      <c r="P317" s="9"/>
      <c r="Q317" s="9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5"/>
      <c r="M318" s="9"/>
      <c r="N318" s="9"/>
      <c r="O318" s="9"/>
      <c r="P318" s="9"/>
      <c r="Q318" s="9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5"/>
      <c r="M319" s="9"/>
      <c r="N319" s="9"/>
      <c r="O319" s="9"/>
      <c r="P319" s="9"/>
      <c r="Q319" s="9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5"/>
      <c r="M320" s="9"/>
      <c r="N320" s="9"/>
      <c r="O320" s="9"/>
      <c r="P320" s="9"/>
      <c r="Q320" s="9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5"/>
      <c r="M321" s="9"/>
      <c r="N321" s="9"/>
      <c r="O321" s="9"/>
      <c r="P321" s="9"/>
      <c r="Q321" s="9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5"/>
      <c r="M322" s="9"/>
      <c r="N322" s="9"/>
      <c r="O322" s="9"/>
      <c r="P322" s="9"/>
      <c r="Q322" s="9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5"/>
      <c r="M323" s="9"/>
      <c r="N323" s="9"/>
      <c r="O323" s="9"/>
      <c r="P323" s="9"/>
      <c r="Q323" s="9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5"/>
      <c r="M324" s="9"/>
      <c r="N324" s="9"/>
      <c r="O324" s="9"/>
      <c r="P324" s="9"/>
      <c r="Q324" s="9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5"/>
      <c r="M325" s="9"/>
      <c r="N325" s="9"/>
      <c r="O325" s="9"/>
      <c r="P325" s="9"/>
      <c r="Q325" s="9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5"/>
      <c r="M326" s="9"/>
      <c r="N326" s="9"/>
      <c r="O326" s="9"/>
      <c r="P326" s="9"/>
      <c r="Q326" s="9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5"/>
      <c r="M327" s="9"/>
      <c r="N327" s="9"/>
      <c r="O327" s="9"/>
      <c r="P327" s="9"/>
      <c r="Q327" s="9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5"/>
      <c r="M328" s="9"/>
      <c r="N328" s="9"/>
      <c r="O328" s="9"/>
      <c r="P328" s="9"/>
      <c r="Q328" s="9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5"/>
      <c r="M329" s="9"/>
      <c r="N329" s="9"/>
      <c r="O329" s="9"/>
      <c r="P329" s="9"/>
      <c r="Q329" s="9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5"/>
      <c r="M330" s="9"/>
      <c r="N330" s="9"/>
      <c r="O330" s="9"/>
      <c r="P330" s="9"/>
      <c r="Q330" s="9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5"/>
      <c r="M331" s="9"/>
      <c r="N331" s="9"/>
      <c r="O331" s="9"/>
      <c r="P331" s="9"/>
      <c r="Q331" s="9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5"/>
      <c r="M332" s="9"/>
      <c r="N332" s="9"/>
      <c r="O332" s="9"/>
      <c r="P332" s="9"/>
      <c r="Q332" s="9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5"/>
      <c r="M333" s="9"/>
      <c r="N333" s="9"/>
      <c r="O333" s="9"/>
      <c r="P333" s="9"/>
      <c r="Q333" s="9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5"/>
      <c r="M334" s="9"/>
      <c r="N334" s="9"/>
      <c r="O334" s="9"/>
      <c r="P334" s="9"/>
      <c r="Q334" s="9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5"/>
      <c r="M335" s="9"/>
      <c r="N335" s="9"/>
      <c r="O335" s="9"/>
      <c r="P335" s="9"/>
      <c r="Q335" s="9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5"/>
      <c r="M336" s="9"/>
      <c r="N336" s="9"/>
      <c r="O336" s="9"/>
      <c r="P336" s="9"/>
      <c r="Q336" s="9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5"/>
      <c r="M337" s="9"/>
      <c r="N337" s="9"/>
      <c r="O337" s="9"/>
      <c r="P337" s="9"/>
      <c r="Q337" s="9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5"/>
      <c r="M338" s="9"/>
      <c r="N338" s="9"/>
      <c r="O338" s="9"/>
      <c r="P338" s="9"/>
      <c r="Q338" s="9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5"/>
      <c r="M339" s="9"/>
      <c r="N339" s="9"/>
      <c r="O339" s="9"/>
      <c r="P339" s="9"/>
      <c r="Q339" s="9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5"/>
      <c r="M340" s="9"/>
      <c r="N340" s="9"/>
      <c r="O340" s="9"/>
      <c r="P340" s="9"/>
      <c r="Q340" s="9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5"/>
      <c r="M341" s="9"/>
      <c r="N341" s="9"/>
      <c r="O341" s="9"/>
      <c r="P341" s="9"/>
      <c r="Q341" s="9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5"/>
      <c r="M342" s="9"/>
      <c r="N342" s="9"/>
      <c r="O342" s="9"/>
      <c r="P342" s="9"/>
      <c r="Q342" s="9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5"/>
      <c r="M343" s="9"/>
      <c r="N343" s="9"/>
      <c r="O343" s="9"/>
      <c r="P343" s="9"/>
      <c r="Q343" s="9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5"/>
      <c r="M344" s="9"/>
      <c r="N344" s="9"/>
      <c r="O344" s="9"/>
      <c r="P344" s="9"/>
      <c r="Q344" s="9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5"/>
      <c r="M345" s="9"/>
      <c r="N345" s="9"/>
      <c r="O345" s="9"/>
      <c r="P345" s="9"/>
      <c r="Q345" s="9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5"/>
      <c r="M346" s="9"/>
      <c r="N346" s="9"/>
      <c r="O346" s="9"/>
      <c r="P346" s="9"/>
      <c r="Q346" s="9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5"/>
      <c r="M347" s="9"/>
      <c r="N347" s="9"/>
      <c r="O347" s="9"/>
      <c r="P347" s="9"/>
      <c r="Q347" s="9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5"/>
      <c r="M348" s="9"/>
      <c r="N348" s="9"/>
      <c r="O348" s="9"/>
      <c r="P348" s="9"/>
      <c r="Q348" s="9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5"/>
      <c r="M349" s="9"/>
      <c r="N349" s="9"/>
      <c r="O349" s="9"/>
      <c r="P349" s="9"/>
      <c r="Q349" s="9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5"/>
      <c r="M350" s="9"/>
      <c r="N350" s="9"/>
      <c r="O350" s="9"/>
      <c r="P350" s="9"/>
      <c r="Q350" s="9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5"/>
      <c r="M351" s="9"/>
      <c r="N351" s="9"/>
      <c r="O351" s="9"/>
      <c r="P351" s="9"/>
      <c r="Q351" s="9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5"/>
      <c r="M352" s="9"/>
      <c r="N352" s="9"/>
      <c r="O352" s="9"/>
      <c r="P352" s="9"/>
      <c r="Q352" s="9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5"/>
      <c r="M353" s="9"/>
      <c r="N353" s="9"/>
      <c r="O353" s="9"/>
      <c r="P353" s="9"/>
      <c r="Q353" s="9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5"/>
      <c r="M354" s="9"/>
      <c r="N354" s="9"/>
      <c r="O354" s="9"/>
      <c r="P354" s="9"/>
      <c r="Q354" s="9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5"/>
      <c r="M355" s="9"/>
      <c r="N355" s="9"/>
      <c r="O355" s="9"/>
      <c r="P355" s="9"/>
      <c r="Q355" s="9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5"/>
      <c r="M356" s="9"/>
      <c r="N356" s="9"/>
      <c r="O356" s="9"/>
      <c r="P356" s="9"/>
      <c r="Q356" s="9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5"/>
      <c r="M357" s="9"/>
      <c r="N357" s="9"/>
      <c r="O357" s="9"/>
      <c r="P357" s="9"/>
      <c r="Q357" s="9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5"/>
      <c r="M358" s="9"/>
      <c r="N358" s="9"/>
      <c r="O358" s="9"/>
      <c r="P358" s="9"/>
      <c r="Q358" s="9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5"/>
      <c r="M359" s="9"/>
      <c r="N359" s="9"/>
      <c r="O359" s="9"/>
      <c r="P359" s="9"/>
      <c r="Q359" s="9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5"/>
      <c r="M360" s="9"/>
      <c r="N360" s="9"/>
      <c r="O360" s="9"/>
      <c r="P360" s="9"/>
      <c r="Q360" s="9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5"/>
      <c r="M361" s="9"/>
      <c r="N361" s="9"/>
      <c r="O361" s="9"/>
      <c r="P361" s="9"/>
      <c r="Q361" s="9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5"/>
      <c r="M362" s="9"/>
      <c r="N362" s="9"/>
      <c r="O362" s="9"/>
      <c r="P362" s="9"/>
      <c r="Q362" s="9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5"/>
      <c r="M363" s="9"/>
      <c r="N363" s="9"/>
      <c r="O363" s="9"/>
      <c r="P363" s="9"/>
      <c r="Q363" s="9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5"/>
      <c r="M364" s="9"/>
      <c r="N364" s="9"/>
      <c r="O364" s="9"/>
      <c r="P364" s="9"/>
      <c r="Q364" s="9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5"/>
      <c r="M365" s="9"/>
      <c r="N365" s="9"/>
      <c r="O365" s="9"/>
      <c r="P365" s="9"/>
      <c r="Q365" s="9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5"/>
      <c r="M366" s="9"/>
      <c r="N366" s="9"/>
      <c r="O366" s="9"/>
      <c r="P366" s="9"/>
      <c r="Q366" s="9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5"/>
      <c r="M367" s="9"/>
      <c r="N367" s="9"/>
      <c r="O367" s="9"/>
      <c r="P367" s="9"/>
      <c r="Q367" s="9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5"/>
      <c r="M368" s="9"/>
      <c r="N368" s="9"/>
      <c r="O368" s="9"/>
      <c r="P368" s="9"/>
      <c r="Q368" s="9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5"/>
      <c r="M369" s="9"/>
      <c r="N369" s="9"/>
      <c r="O369" s="9"/>
      <c r="P369" s="9"/>
      <c r="Q369" s="9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5"/>
      <c r="M370" s="9"/>
      <c r="N370" s="9"/>
      <c r="O370" s="9"/>
      <c r="P370" s="9"/>
      <c r="Q370" s="9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5"/>
      <c r="M371" s="9"/>
      <c r="N371" s="9"/>
      <c r="O371" s="9"/>
      <c r="P371" s="9"/>
      <c r="Q371" s="9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5"/>
      <c r="M372" s="9"/>
      <c r="N372" s="9"/>
      <c r="O372" s="9"/>
      <c r="P372" s="9"/>
      <c r="Q372" s="9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5"/>
      <c r="M373" s="9"/>
      <c r="N373" s="9"/>
      <c r="O373" s="9"/>
      <c r="P373" s="9"/>
      <c r="Q373" s="9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5"/>
      <c r="M374" s="9"/>
      <c r="N374" s="9"/>
      <c r="O374" s="9"/>
      <c r="P374" s="9"/>
      <c r="Q374" s="9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5"/>
      <c r="M375" s="9"/>
      <c r="N375" s="9"/>
      <c r="O375" s="9"/>
      <c r="P375" s="9"/>
      <c r="Q375" s="9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5"/>
      <c r="M376" s="9"/>
      <c r="N376" s="9"/>
      <c r="O376" s="9"/>
      <c r="P376" s="9"/>
      <c r="Q376" s="9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5"/>
      <c r="M377" s="9"/>
      <c r="N377" s="9"/>
      <c r="O377" s="9"/>
      <c r="P377" s="9"/>
      <c r="Q377" s="9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5"/>
      <c r="M378" s="9"/>
      <c r="N378" s="9"/>
      <c r="O378" s="9"/>
      <c r="P378" s="9"/>
      <c r="Q378" s="9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5"/>
      <c r="M379" s="9"/>
      <c r="N379" s="9"/>
      <c r="O379" s="9"/>
      <c r="P379" s="9"/>
      <c r="Q379" s="9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5"/>
      <c r="M380" s="9"/>
      <c r="N380" s="9"/>
      <c r="O380" s="9"/>
      <c r="P380" s="9"/>
      <c r="Q380" s="9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5"/>
      <c r="M381" s="9"/>
      <c r="N381" s="9"/>
      <c r="O381" s="9"/>
      <c r="P381" s="9"/>
      <c r="Q381" s="9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5"/>
      <c r="M382" s="9"/>
      <c r="N382" s="9"/>
      <c r="O382" s="9"/>
      <c r="P382" s="9"/>
      <c r="Q382" s="9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5"/>
      <c r="M383" s="9"/>
      <c r="N383" s="9"/>
      <c r="O383" s="9"/>
      <c r="P383" s="9"/>
      <c r="Q383" s="9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5"/>
      <c r="M384" s="9"/>
      <c r="N384" s="9"/>
      <c r="O384" s="9"/>
      <c r="P384" s="9"/>
      <c r="Q384" s="9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5"/>
      <c r="M385" s="9"/>
      <c r="N385" s="9"/>
      <c r="O385" s="9"/>
      <c r="P385" s="9"/>
      <c r="Q385" s="9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5"/>
      <c r="M386" s="9"/>
      <c r="N386" s="9"/>
      <c r="O386" s="9"/>
      <c r="P386" s="9"/>
      <c r="Q386" s="9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5"/>
      <c r="M387" s="9"/>
      <c r="N387" s="9"/>
      <c r="O387" s="9"/>
      <c r="P387" s="9"/>
      <c r="Q387" s="9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5"/>
      <c r="M388" s="9"/>
      <c r="N388" s="9"/>
      <c r="O388" s="9"/>
      <c r="P388" s="9"/>
      <c r="Q388" s="9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5"/>
      <c r="M389" s="9"/>
      <c r="N389" s="9"/>
      <c r="O389" s="9"/>
      <c r="P389" s="9"/>
      <c r="Q389" s="9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5"/>
      <c r="M390" s="9"/>
      <c r="N390" s="9"/>
      <c r="O390" s="9"/>
      <c r="P390" s="9"/>
      <c r="Q390" s="9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5"/>
      <c r="M391" s="9"/>
      <c r="N391" s="9"/>
      <c r="O391" s="9"/>
      <c r="P391" s="9"/>
      <c r="Q391" s="9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5"/>
      <c r="M392" s="9"/>
      <c r="N392" s="9"/>
      <c r="O392" s="9"/>
      <c r="P392" s="9"/>
      <c r="Q392" s="9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5"/>
      <c r="M393" s="9"/>
      <c r="N393" s="9"/>
      <c r="O393" s="9"/>
      <c r="P393" s="9"/>
      <c r="Q393" s="9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5"/>
      <c r="M394" s="9"/>
      <c r="N394" s="9"/>
      <c r="O394" s="9"/>
      <c r="P394" s="9"/>
      <c r="Q394" s="9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5"/>
      <c r="M395" s="9"/>
      <c r="N395" s="9"/>
      <c r="O395" s="9"/>
      <c r="P395" s="9"/>
      <c r="Q395" s="9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5"/>
      <c r="M396" s="9"/>
      <c r="N396" s="9"/>
      <c r="O396" s="9"/>
      <c r="P396" s="9"/>
      <c r="Q396" s="9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5"/>
      <c r="M397" s="9"/>
      <c r="N397" s="9"/>
      <c r="O397" s="9"/>
      <c r="P397" s="9"/>
      <c r="Q397" s="9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5"/>
      <c r="M398" s="9"/>
      <c r="N398" s="9"/>
      <c r="O398" s="9"/>
      <c r="P398" s="9"/>
      <c r="Q398" s="9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5"/>
      <c r="M399" s="9"/>
      <c r="N399" s="9"/>
      <c r="O399" s="9"/>
      <c r="P399" s="9"/>
      <c r="Q399" s="9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5"/>
      <c r="M400" s="9"/>
      <c r="N400" s="9"/>
      <c r="O400" s="9"/>
      <c r="P400" s="9"/>
      <c r="Q400" s="9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5"/>
      <c r="M401" s="9"/>
      <c r="N401" s="9"/>
      <c r="O401" s="9"/>
      <c r="P401" s="9"/>
      <c r="Q401" s="9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5"/>
      <c r="M402" s="9"/>
      <c r="N402" s="9"/>
      <c r="O402" s="9"/>
      <c r="P402" s="9"/>
      <c r="Q402" s="9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5"/>
      <c r="M403" s="9"/>
      <c r="N403" s="9"/>
      <c r="O403" s="9"/>
      <c r="P403" s="9"/>
      <c r="Q403" s="9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5"/>
      <c r="M404" s="9"/>
      <c r="N404" s="9"/>
      <c r="O404" s="9"/>
      <c r="P404" s="9"/>
      <c r="Q404" s="9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5"/>
      <c r="M405" s="9"/>
      <c r="N405" s="9"/>
      <c r="O405" s="9"/>
      <c r="P405" s="9"/>
      <c r="Q405" s="9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5"/>
      <c r="M406" s="9"/>
      <c r="N406" s="9"/>
      <c r="O406" s="9"/>
      <c r="P406" s="9"/>
      <c r="Q406" s="9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5"/>
      <c r="M407" s="9"/>
      <c r="N407" s="9"/>
      <c r="O407" s="9"/>
      <c r="P407" s="9"/>
      <c r="Q407" s="9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5"/>
      <c r="M408" s="9"/>
      <c r="N408" s="9"/>
      <c r="O408" s="9"/>
      <c r="P408" s="9"/>
      <c r="Q408" s="9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5"/>
      <c r="M409" s="9"/>
      <c r="N409" s="9"/>
      <c r="O409" s="9"/>
      <c r="P409" s="9"/>
      <c r="Q409" s="9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5"/>
      <c r="M410" s="9"/>
      <c r="N410" s="9"/>
      <c r="O410" s="9"/>
      <c r="P410" s="9"/>
      <c r="Q410" s="9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5"/>
      <c r="M411" s="9"/>
      <c r="N411" s="9"/>
      <c r="O411" s="9"/>
      <c r="P411" s="9"/>
      <c r="Q411" s="9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5"/>
      <c r="M412" s="9"/>
      <c r="N412" s="9"/>
      <c r="O412" s="9"/>
      <c r="P412" s="9"/>
      <c r="Q412" s="9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5"/>
      <c r="M413" s="9"/>
      <c r="N413" s="9"/>
      <c r="O413" s="9"/>
      <c r="P413" s="9"/>
      <c r="Q413" s="9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5"/>
      <c r="M414" s="9"/>
      <c r="N414" s="9"/>
      <c r="O414" s="9"/>
      <c r="P414" s="9"/>
      <c r="Q414" s="9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5"/>
      <c r="M415" s="9"/>
      <c r="N415" s="9"/>
      <c r="O415" s="9"/>
      <c r="P415" s="9"/>
      <c r="Q415" s="9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5"/>
      <c r="M416" s="9"/>
      <c r="N416" s="9"/>
      <c r="O416" s="9"/>
      <c r="P416" s="9"/>
      <c r="Q416" s="9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5"/>
      <c r="M417" s="9"/>
      <c r="N417" s="9"/>
      <c r="O417" s="9"/>
      <c r="P417" s="9"/>
      <c r="Q417" s="9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5"/>
      <c r="M418" s="9"/>
      <c r="N418" s="9"/>
      <c r="O418" s="9"/>
      <c r="P418" s="9"/>
      <c r="Q418" s="9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5"/>
      <c r="M419" s="9"/>
      <c r="N419" s="9"/>
      <c r="O419" s="9"/>
      <c r="P419" s="9"/>
      <c r="Q419" s="9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5"/>
      <c r="M420" s="9"/>
      <c r="N420" s="9"/>
      <c r="O420" s="9"/>
      <c r="P420" s="9"/>
      <c r="Q420" s="9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5"/>
      <c r="M421" s="9"/>
      <c r="N421" s="9"/>
      <c r="O421" s="9"/>
      <c r="P421" s="9"/>
      <c r="Q421" s="9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5"/>
      <c r="M422" s="9"/>
      <c r="N422" s="9"/>
      <c r="O422" s="9"/>
      <c r="P422" s="9"/>
      <c r="Q422" s="9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5"/>
      <c r="M423" s="9"/>
      <c r="N423" s="9"/>
      <c r="O423" s="9"/>
      <c r="P423" s="9"/>
      <c r="Q423" s="9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5"/>
      <c r="M424" s="9"/>
      <c r="N424" s="9"/>
      <c r="O424" s="9"/>
      <c r="P424" s="9"/>
      <c r="Q424" s="9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5"/>
      <c r="M425" s="9"/>
      <c r="N425" s="9"/>
      <c r="O425" s="9"/>
      <c r="P425" s="9"/>
      <c r="Q425" s="9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5"/>
      <c r="M426" s="9"/>
      <c r="N426" s="9"/>
      <c r="O426" s="9"/>
      <c r="P426" s="9"/>
      <c r="Q426" s="9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5"/>
      <c r="M427" s="9"/>
      <c r="N427" s="9"/>
      <c r="O427" s="9"/>
      <c r="P427" s="9"/>
      <c r="Q427" s="9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5"/>
      <c r="M428" s="9"/>
      <c r="N428" s="9"/>
      <c r="O428" s="9"/>
      <c r="P428" s="9"/>
      <c r="Q428" s="9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5"/>
      <c r="M429" s="9"/>
      <c r="N429" s="9"/>
      <c r="O429" s="9"/>
      <c r="P429" s="9"/>
      <c r="Q429" s="9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5"/>
      <c r="M430" s="9"/>
      <c r="N430" s="9"/>
      <c r="O430" s="9"/>
      <c r="P430" s="9"/>
      <c r="Q430" s="9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5"/>
      <c r="M431" s="9"/>
      <c r="N431" s="9"/>
      <c r="O431" s="9"/>
      <c r="P431" s="9"/>
      <c r="Q431" s="9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5"/>
      <c r="M432" s="9"/>
      <c r="N432" s="9"/>
      <c r="O432" s="9"/>
      <c r="P432" s="9"/>
      <c r="Q432" s="9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5"/>
      <c r="M433" s="9"/>
      <c r="N433" s="9"/>
      <c r="O433" s="9"/>
      <c r="P433" s="9"/>
      <c r="Q433" s="9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5"/>
      <c r="M434" s="9"/>
      <c r="N434" s="9"/>
      <c r="O434" s="9"/>
      <c r="P434" s="9"/>
      <c r="Q434" s="9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5"/>
      <c r="M435" s="9"/>
      <c r="N435" s="9"/>
      <c r="O435" s="9"/>
      <c r="P435" s="9"/>
      <c r="Q435" s="9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5"/>
      <c r="M436" s="9"/>
      <c r="N436" s="9"/>
      <c r="O436" s="9"/>
      <c r="P436" s="9"/>
      <c r="Q436" s="9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5"/>
      <c r="M437" s="9"/>
      <c r="N437" s="9"/>
      <c r="O437" s="9"/>
      <c r="P437" s="9"/>
      <c r="Q437" s="9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5"/>
      <c r="M438" s="9"/>
      <c r="N438" s="9"/>
      <c r="O438" s="9"/>
      <c r="P438" s="9"/>
      <c r="Q438" s="9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5"/>
      <c r="M439" s="9"/>
      <c r="N439" s="9"/>
      <c r="O439" s="9"/>
      <c r="P439" s="9"/>
      <c r="Q439" s="9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5"/>
      <c r="M440" s="9"/>
      <c r="N440" s="9"/>
      <c r="O440" s="9"/>
      <c r="P440" s="9"/>
      <c r="Q440" s="9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5"/>
      <c r="M441" s="9"/>
      <c r="N441" s="9"/>
      <c r="O441" s="9"/>
      <c r="P441" s="9"/>
      <c r="Q441" s="9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5"/>
      <c r="M442" s="9"/>
      <c r="N442" s="9"/>
      <c r="O442" s="9"/>
      <c r="P442" s="9"/>
      <c r="Q442" s="9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5"/>
      <c r="M443" s="9"/>
      <c r="N443" s="9"/>
      <c r="O443" s="9"/>
      <c r="P443" s="9"/>
      <c r="Q443" s="9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5"/>
      <c r="M444" s="9"/>
      <c r="N444" s="9"/>
      <c r="O444" s="9"/>
      <c r="P444" s="9"/>
      <c r="Q444" s="9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5"/>
      <c r="M445" s="9"/>
      <c r="N445" s="9"/>
      <c r="O445" s="9"/>
      <c r="P445" s="9"/>
      <c r="Q445" s="9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5"/>
      <c r="M446" s="9"/>
      <c r="N446" s="9"/>
      <c r="O446" s="9"/>
      <c r="P446" s="9"/>
      <c r="Q446" s="9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5"/>
      <c r="M447" s="9"/>
      <c r="N447" s="9"/>
      <c r="O447" s="9"/>
      <c r="P447" s="9"/>
      <c r="Q447" s="9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5"/>
      <c r="M448" s="9"/>
      <c r="N448" s="9"/>
      <c r="O448" s="9"/>
      <c r="P448" s="9"/>
      <c r="Q448" s="9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5"/>
      <c r="M449" s="9"/>
      <c r="N449" s="9"/>
      <c r="O449" s="9"/>
      <c r="P449" s="9"/>
      <c r="Q449" s="9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5"/>
      <c r="M450" s="9"/>
      <c r="N450" s="9"/>
      <c r="O450" s="9"/>
      <c r="P450" s="9"/>
      <c r="Q450" s="9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5"/>
      <c r="M451" s="9"/>
      <c r="N451" s="9"/>
      <c r="O451" s="9"/>
      <c r="P451" s="9"/>
      <c r="Q451" s="9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5"/>
      <c r="M452" s="9"/>
      <c r="N452" s="9"/>
      <c r="O452" s="9"/>
      <c r="P452" s="9"/>
      <c r="Q452" s="9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5"/>
      <c r="M453" s="9"/>
      <c r="N453" s="9"/>
      <c r="O453" s="9"/>
      <c r="P453" s="9"/>
      <c r="Q453" s="9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5"/>
      <c r="M454" s="9"/>
      <c r="N454" s="9"/>
      <c r="O454" s="9"/>
      <c r="P454" s="9"/>
      <c r="Q454" s="9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5"/>
      <c r="M455" s="9"/>
      <c r="N455" s="9"/>
      <c r="O455" s="9"/>
      <c r="P455" s="9"/>
      <c r="Q455" s="9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5"/>
      <c r="M456" s="9"/>
      <c r="N456" s="9"/>
      <c r="O456" s="9"/>
      <c r="P456" s="9"/>
      <c r="Q456" s="9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5"/>
      <c r="M457" s="9"/>
      <c r="N457" s="9"/>
      <c r="O457" s="9"/>
      <c r="P457" s="9"/>
      <c r="Q457" s="9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5"/>
      <c r="M458" s="9"/>
      <c r="N458" s="9"/>
      <c r="O458" s="9"/>
      <c r="P458" s="9"/>
      <c r="Q458" s="9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5"/>
      <c r="M459" s="9"/>
      <c r="N459" s="9"/>
      <c r="O459" s="9"/>
      <c r="P459" s="9"/>
      <c r="Q459" s="9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5"/>
      <c r="M460" s="9"/>
      <c r="N460" s="9"/>
      <c r="O460" s="9"/>
      <c r="P460" s="9"/>
      <c r="Q460" s="9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5"/>
      <c r="M461" s="9"/>
      <c r="N461" s="9"/>
      <c r="O461" s="9"/>
      <c r="P461" s="9"/>
      <c r="Q461" s="9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5"/>
      <c r="M462" s="9"/>
      <c r="N462" s="9"/>
      <c r="O462" s="9"/>
      <c r="P462" s="9"/>
      <c r="Q462" s="9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5"/>
      <c r="M463" s="9"/>
      <c r="N463" s="9"/>
      <c r="O463" s="9"/>
      <c r="P463" s="9"/>
      <c r="Q463" s="9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5"/>
      <c r="M464" s="9"/>
      <c r="N464" s="9"/>
      <c r="O464" s="9"/>
      <c r="P464" s="9"/>
      <c r="Q464" s="9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5"/>
      <c r="M465" s="9"/>
      <c r="N465" s="9"/>
      <c r="O465" s="9"/>
      <c r="P465" s="9"/>
      <c r="Q465" s="9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5"/>
      <c r="M466" s="9"/>
      <c r="N466" s="9"/>
      <c r="O466" s="9"/>
      <c r="P466" s="9"/>
      <c r="Q466" s="9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5"/>
      <c r="M467" s="9"/>
      <c r="N467" s="9"/>
      <c r="O467" s="9"/>
      <c r="P467" s="9"/>
      <c r="Q467" s="9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5"/>
      <c r="M468" s="9"/>
      <c r="N468" s="9"/>
      <c r="O468" s="9"/>
      <c r="P468" s="9"/>
      <c r="Q468" s="9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5"/>
      <c r="M469" s="9"/>
      <c r="N469" s="9"/>
      <c r="O469" s="9"/>
      <c r="P469" s="9"/>
      <c r="Q469" s="9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5"/>
      <c r="M470" s="9"/>
      <c r="N470" s="9"/>
      <c r="O470" s="9"/>
      <c r="P470" s="9"/>
      <c r="Q470" s="9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5"/>
      <c r="M471" s="9"/>
      <c r="N471" s="9"/>
      <c r="O471" s="9"/>
      <c r="P471" s="9"/>
      <c r="Q471" s="9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5"/>
      <c r="M472" s="9"/>
      <c r="N472" s="9"/>
      <c r="O472" s="9"/>
      <c r="P472" s="9"/>
      <c r="Q472" s="9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5"/>
      <c r="M473" s="9"/>
      <c r="N473" s="9"/>
      <c r="O473" s="9"/>
      <c r="P473" s="9"/>
      <c r="Q473" s="9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5"/>
      <c r="M474" s="9"/>
      <c r="N474" s="9"/>
      <c r="O474" s="9"/>
      <c r="P474" s="9"/>
      <c r="Q474" s="9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5"/>
      <c r="M475" s="9"/>
      <c r="N475" s="9"/>
      <c r="O475" s="9"/>
      <c r="P475" s="9"/>
      <c r="Q475" s="9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5"/>
      <c r="M476" s="9"/>
      <c r="N476" s="9"/>
      <c r="O476" s="9"/>
      <c r="P476" s="9"/>
      <c r="Q476" s="9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5"/>
      <c r="M477" s="9"/>
      <c r="N477" s="9"/>
      <c r="O477" s="9"/>
      <c r="P477" s="9"/>
      <c r="Q477" s="9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5"/>
      <c r="M478" s="9"/>
      <c r="N478" s="9"/>
      <c r="O478" s="9"/>
      <c r="P478" s="9"/>
      <c r="Q478" s="9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5"/>
      <c r="M479" s="9"/>
      <c r="N479" s="9"/>
      <c r="O479" s="9"/>
      <c r="P479" s="9"/>
      <c r="Q479" s="9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5"/>
      <c r="M480" s="9"/>
      <c r="N480" s="9"/>
      <c r="O480" s="9"/>
      <c r="P480" s="9"/>
      <c r="Q480" s="9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5"/>
      <c r="M481" s="9"/>
      <c r="N481" s="9"/>
      <c r="O481" s="9"/>
      <c r="P481" s="9"/>
      <c r="Q481" s="9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5"/>
      <c r="M482" s="9"/>
      <c r="N482" s="9"/>
      <c r="O482" s="9"/>
      <c r="P482" s="9"/>
      <c r="Q482" s="9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5"/>
      <c r="M483" s="9"/>
      <c r="N483" s="9"/>
      <c r="O483" s="9"/>
      <c r="P483" s="9"/>
      <c r="Q483" s="9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5"/>
      <c r="M484" s="9"/>
      <c r="N484" s="9"/>
      <c r="O484" s="9"/>
      <c r="P484" s="9"/>
      <c r="Q484" s="9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5"/>
      <c r="M485" s="9"/>
      <c r="N485" s="9"/>
      <c r="O485" s="9"/>
      <c r="P485" s="9"/>
      <c r="Q485" s="9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5"/>
      <c r="M486" s="9"/>
      <c r="N486" s="9"/>
      <c r="O486" s="9"/>
      <c r="P486" s="9"/>
      <c r="Q486" s="9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5"/>
      <c r="M487" s="9"/>
      <c r="N487" s="9"/>
      <c r="O487" s="9"/>
      <c r="P487" s="9"/>
      <c r="Q487" s="9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5"/>
      <c r="M488" s="9"/>
      <c r="N488" s="9"/>
      <c r="O488" s="9"/>
      <c r="P488" s="9"/>
      <c r="Q488" s="9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5"/>
      <c r="M489" s="9"/>
      <c r="N489" s="9"/>
      <c r="O489" s="9"/>
      <c r="P489" s="9"/>
      <c r="Q489" s="9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5"/>
      <c r="M490" s="9"/>
      <c r="N490" s="9"/>
      <c r="O490" s="9"/>
      <c r="P490" s="9"/>
      <c r="Q490" s="9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5"/>
      <c r="M491" s="9"/>
      <c r="N491" s="9"/>
      <c r="O491" s="9"/>
      <c r="P491" s="9"/>
      <c r="Q491" s="9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5"/>
      <c r="M492" s="9"/>
      <c r="N492" s="9"/>
      <c r="O492" s="9"/>
      <c r="P492" s="9"/>
      <c r="Q492" s="9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5"/>
      <c r="M493" s="9"/>
      <c r="N493" s="9"/>
      <c r="O493" s="9"/>
      <c r="P493" s="9"/>
      <c r="Q493" s="9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5"/>
      <c r="M494" s="9"/>
      <c r="N494" s="9"/>
      <c r="O494" s="9"/>
      <c r="P494" s="9"/>
      <c r="Q494" s="9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5"/>
      <c r="M495" s="9"/>
      <c r="N495" s="9"/>
      <c r="O495" s="9"/>
      <c r="P495" s="9"/>
      <c r="Q495" s="9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5"/>
      <c r="M496" s="9"/>
      <c r="N496" s="9"/>
      <c r="O496" s="9"/>
      <c r="P496" s="9"/>
      <c r="Q496" s="9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5"/>
      <c r="M497" s="9"/>
      <c r="N497" s="9"/>
      <c r="O497" s="9"/>
      <c r="P497" s="9"/>
      <c r="Q497" s="9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5"/>
      <c r="M498" s="9"/>
      <c r="N498" s="9"/>
      <c r="O498" s="9"/>
      <c r="P498" s="9"/>
      <c r="Q498" s="9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5"/>
      <c r="M499" s="9"/>
      <c r="N499" s="9"/>
      <c r="O499" s="9"/>
      <c r="P499" s="9"/>
      <c r="Q499" s="9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5"/>
      <c r="M500" s="9"/>
      <c r="N500" s="9"/>
      <c r="O500" s="9"/>
      <c r="P500" s="9"/>
      <c r="Q500" s="9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5"/>
      <c r="M501" s="9"/>
      <c r="N501" s="9"/>
      <c r="O501" s="9"/>
      <c r="P501" s="9"/>
      <c r="Q501" s="9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5"/>
      <c r="M502" s="9"/>
      <c r="N502" s="9"/>
      <c r="O502" s="9"/>
      <c r="P502" s="9"/>
      <c r="Q502" s="9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5"/>
      <c r="M503" s="9"/>
      <c r="N503" s="9"/>
      <c r="O503" s="9"/>
      <c r="P503" s="9"/>
      <c r="Q503" s="9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5"/>
      <c r="M504" s="9"/>
      <c r="N504" s="9"/>
      <c r="O504" s="9"/>
      <c r="P504" s="9"/>
      <c r="Q504" s="9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5"/>
      <c r="M505" s="9"/>
      <c r="N505" s="9"/>
      <c r="O505" s="9"/>
      <c r="P505" s="9"/>
      <c r="Q505" s="9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5"/>
      <c r="M506" s="9"/>
      <c r="N506" s="9"/>
      <c r="O506" s="9"/>
      <c r="P506" s="9"/>
      <c r="Q506" s="9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5"/>
      <c r="M507" s="9"/>
      <c r="N507" s="9"/>
      <c r="O507" s="9"/>
      <c r="P507" s="9"/>
      <c r="Q507" s="9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5"/>
      <c r="M508" s="9"/>
      <c r="N508" s="9"/>
      <c r="O508" s="9"/>
      <c r="P508" s="9"/>
      <c r="Q508" s="9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5"/>
      <c r="M509" s="9"/>
      <c r="N509" s="9"/>
      <c r="O509" s="9"/>
      <c r="P509" s="9"/>
      <c r="Q509" s="9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5"/>
      <c r="M510" s="9"/>
      <c r="N510" s="9"/>
      <c r="O510" s="9"/>
      <c r="P510" s="9"/>
      <c r="Q510" s="9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5"/>
      <c r="M511" s="9"/>
      <c r="N511" s="9"/>
      <c r="O511" s="9"/>
      <c r="P511" s="9"/>
      <c r="Q511" s="9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5"/>
      <c r="M512" s="9"/>
      <c r="N512" s="9"/>
      <c r="O512" s="9"/>
      <c r="P512" s="9"/>
      <c r="Q512" s="9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5"/>
      <c r="M513" s="9"/>
      <c r="N513" s="9"/>
      <c r="O513" s="9"/>
      <c r="P513" s="9"/>
      <c r="Q513" s="9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5"/>
      <c r="M514" s="9"/>
      <c r="N514" s="9"/>
      <c r="O514" s="9"/>
      <c r="P514" s="9"/>
      <c r="Q514" s="9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5"/>
      <c r="M515" s="9"/>
      <c r="N515" s="9"/>
      <c r="O515" s="9"/>
      <c r="P515" s="9"/>
      <c r="Q515" s="9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5"/>
      <c r="M516" s="9"/>
      <c r="N516" s="9"/>
      <c r="O516" s="9"/>
      <c r="P516" s="9"/>
      <c r="Q516" s="9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5"/>
      <c r="M517" s="9"/>
      <c r="N517" s="9"/>
      <c r="O517" s="9"/>
      <c r="P517" s="9"/>
      <c r="Q517" s="9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5"/>
      <c r="M518" s="9"/>
      <c r="N518" s="9"/>
      <c r="O518" s="9"/>
      <c r="P518" s="9"/>
      <c r="Q518" s="9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5"/>
      <c r="M519" s="9"/>
      <c r="N519" s="9"/>
      <c r="O519" s="9"/>
      <c r="P519" s="9"/>
      <c r="Q519" s="9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5"/>
      <c r="M520" s="9"/>
      <c r="N520" s="9"/>
      <c r="O520" s="9"/>
      <c r="P520" s="9"/>
      <c r="Q520" s="9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5"/>
      <c r="M521" s="9"/>
      <c r="N521" s="9"/>
      <c r="O521" s="9"/>
      <c r="P521" s="9"/>
      <c r="Q521" s="9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5"/>
      <c r="M522" s="9"/>
      <c r="N522" s="9"/>
      <c r="O522" s="9"/>
      <c r="P522" s="9"/>
      <c r="Q522" s="9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5"/>
      <c r="M523" s="9"/>
      <c r="N523" s="9"/>
      <c r="O523" s="9"/>
      <c r="P523" s="9"/>
      <c r="Q523" s="9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5"/>
      <c r="M524" s="9"/>
      <c r="N524" s="9"/>
      <c r="O524" s="9"/>
      <c r="P524" s="9"/>
      <c r="Q524" s="9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5"/>
      <c r="M525" s="9"/>
      <c r="N525" s="9"/>
      <c r="O525" s="9"/>
      <c r="P525" s="9"/>
      <c r="Q525" s="9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5"/>
      <c r="M526" s="9"/>
      <c r="N526" s="9"/>
      <c r="O526" s="9"/>
      <c r="P526" s="9"/>
      <c r="Q526" s="9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5"/>
      <c r="M527" s="9"/>
      <c r="N527" s="9"/>
      <c r="O527" s="9"/>
      <c r="P527" s="9"/>
      <c r="Q527" s="9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5"/>
      <c r="M528" s="9"/>
      <c r="N528" s="9"/>
      <c r="O528" s="9"/>
      <c r="P528" s="9"/>
      <c r="Q528" s="9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5"/>
      <c r="M529" s="9"/>
      <c r="N529" s="9"/>
      <c r="O529" s="9"/>
      <c r="P529" s="9"/>
      <c r="Q529" s="9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5"/>
      <c r="M530" s="9"/>
      <c r="N530" s="9"/>
      <c r="O530" s="9"/>
      <c r="P530" s="9"/>
      <c r="Q530" s="9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5"/>
      <c r="M531" s="9"/>
      <c r="N531" s="9"/>
      <c r="O531" s="9"/>
      <c r="P531" s="9"/>
      <c r="Q531" s="9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5"/>
      <c r="M532" s="9"/>
      <c r="N532" s="9"/>
      <c r="O532" s="9"/>
      <c r="P532" s="9"/>
      <c r="Q532" s="9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5"/>
      <c r="M533" s="9"/>
      <c r="N533" s="9"/>
      <c r="O533" s="9"/>
      <c r="P533" s="9"/>
      <c r="Q533" s="9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5"/>
      <c r="M534" s="9"/>
      <c r="N534" s="9"/>
      <c r="O534" s="9"/>
      <c r="P534" s="9"/>
      <c r="Q534" s="9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5"/>
      <c r="M535" s="9"/>
      <c r="N535" s="9"/>
      <c r="O535" s="9"/>
      <c r="P535" s="9"/>
      <c r="Q535" s="9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5"/>
      <c r="M536" s="9"/>
      <c r="N536" s="9"/>
      <c r="O536" s="9"/>
      <c r="P536" s="9"/>
      <c r="Q536" s="9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5"/>
      <c r="M537" s="9"/>
      <c r="N537" s="9"/>
      <c r="O537" s="9"/>
      <c r="P537" s="9"/>
      <c r="Q537" s="9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5"/>
      <c r="M538" s="9"/>
      <c r="N538" s="9"/>
      <c r="O538" s="9"/>
      <c r="P538" s="9"/>
      <c r="Q538" s="9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5"/>
      <c r="M539" s="9"/>
      <c r="N539" s="9"/>
      <c r="O539" s="9"/>
      <c r="P539" s="9"/>
      <c r="Q539" s="9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5"/>
      <c r="M540" s="9"/>
      <c r="N540" s="9"/>
      <c r="O540" s="9"/>
      <c r="P540" s="9"/>
      <c r="Q540" s="9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5"/>
      <c r="M541" s="9"/>
      <c r="N541" s="9"/>
      <c r="O541" s="9"/>
      <c r="P541" s="9"/>
      <c r="Q541" s="9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5"/>
      <c r="M542" s="9"/>
      <c r="N542" s="9"/>
      <c r="O542" s="9"/>
      <c r="P542" s="9"/>
      <c r="Q542" s="9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5"/>
      <c r="M543" s="9"/>
      <c r="N543" s="9"/>
      <c r="O543" s="9"/>
      <c r="P543" s="9"/>
      <c r="Q543" s="9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5"/>
      <c r="M544" s="9"/>
      <c r="N544" s="9"/>
      <c r="O544" s="9"/>
      <c r="P544" s="9"/>
      <c r="Q544" s="9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5"/>
      <c r="M545" s="9"/>
      <c r="N545" s="9"/>
      <c r="O545" s="9"/>
      <c r="P545" s="9"/>
      <c r="Q545" s="9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5"/>
      <c r="M546" s="9"/>
      <c r="N546" s="9"/>
      <c r="O546" s="9"/>
      <c r="P546" s="9"/>
      <c r="Q546" s="9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5"/>
      <c r="M547" s="9"/>
      <c r="N547" s="9"/>
      <c r="O547" s="9"/>
      <c r="P547" s="9"/>
      <c r="Q547" s="9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5"/>
      <c r="M548" s="9"/>
      <c r="N548" s="9"/>
      <c r="O548" s="9"/>
      <c r="P548" s="9"/>
      <c r="Q548" s="9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5"/>
      <c r="M549" s="9"/>
      <c r="N549" s="9"/>
      <c r="O549" s="9"/>
      <c r="P549" s="9"/>
      <c r="Q549" s="9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5"/>
      <c r="M550" s="9"/>
      <c r="N550" s="9"/>
      <c r="O550" s="9"/>
      <c r="P550" s="9"/>
      <c r="Q550" s="9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5"/>
      <c r="M551" s="9"/>
      <c r="N551" s="9"/>
      <c r="O551" s="9"/>
      <c r="P551" s="9"/>
      <c r="Q551" s="9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5"/>
      <c r="M552" s="9"/>
      <c r="N552" s="9"/>
      <c r="O552" s="9"/>
      <c r="P552" s="9"/>
      <c r="Q552" s="9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5"/>
      <c r="M553" s="9"/>
      <c r="N553" s="9"/>
      <c r="O553" s="9"/>
      <c r="P553" s="9"/>
      <c r="Q553" s="9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5"/>
      <c r="M554" s="9"/>
      <c r="N554" s="9"/>
      <c r="O554" s="9"/>
      <c r="P554" s="9"/>
      <c r="Q554" s="9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5"/>
      <c r="M555" s="9"/>
      <c r="N555" s="9"/>
      <c r="O555" s="9"/>
      <c r="P555" s="9"/>
      <c r="Q555" s="9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5"/>
      <c r="M556" s="9"/>
      <c r="N556" s="9"/>
      <c r="O556" s="9"/>
      <c r="P556" s="9"/>
      <c r="Q556" s="9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5"/>
      <c r="M557" s="9"/>
      <c r="N557" s="9"/>
      <c r="O557" s="9"/>
      <c r="P557" s="9"/>
      <c r="Q557" s="9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5"/>
      <c r="M558" s="9"/>
      <c r="N558" s="9"/>
      <c r="O558" s="9"/>
      <c r="P558" s="9"/>
      <c r="Q558" s="9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5"/>
      <c r="M559" s="9"/>
      <c r="N559" s="9"/>
      <c r="O559" s="9"/>
      <c r="P559" s="9"/>
      <c r="Q559" s="9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5"/>
      <c r="M560" s="9"/>
      <c r="N560" s="9"/>
      <c r="O560" s="9"/>
      <c r="P560" s="9"/>
      <c r="Q560" s="9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5"/>
      <c r="M561" s="9"/>
      <c r="N561" s="9"/>
      <c r="O561" s="9"/>
      <c r="P561" s="9"/>
      <c r="Q561" s="9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5"/>
      <c r="M562" s="9"/>
      <c r="N562" s="9"/>
      <c r="O562" s="9"/>
      <c r="P562" s="9"/>
      <c r="Q562" s="9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5"/>
      <c r="M563" s="9"/>
      <c r="N563" s="9"/>
      <c r="O563" s="9"/>
      <c r="P563" s="9"/>
      <c r="Q563" s="9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5"/>
      <c r="M564" s="9"/>
      <c r="N564" s="9"/>
      <c r="O564" s="9"/>
      <c r="P564" s="9"/>
      <c r="Q564" s="9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5"/>
      <c r="M565" s="9"/>
      <c r="N565" s="9"/>
      <c r="O565" s="9"/>
      <c r="P565" s="9"/>
      <c r="Q565" s="9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5"/>
      <c r="M566" s="9"/>
      <c r="N566" s="9"/>
      <c r="O566" s="9"/>
      <c r="P566" s="9"/>
      <c r="Q566" s="9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5"/>
      <c r="M567" s="9"/>
      <c r="N567" s="9"/>
      <c r="O567" s="9"/>
      <c r="P567" s="9"/>
      <c r="Q567" s="9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5"/>
      <c r="M568" s="9"/>
      <c r="N568" s="9"/>
      <c r="O568" s="9"/>
      <c r="P568" s="9"/>
      <c r="Q568" s="9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5"/>
      <c r="M569" s="9"/>
      <c r="N569" s="9"/>
      <c r="O569" s="9"/>
      <c r="P569" s="9"/>
      <c r="Q569" s="9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5"/>
      <c r="M570" s="9"/>
      <c r="N570" s="9"/>
      <c r="O570" s="9"/>
      <c r="P570" s="9"/>
      <c r="Q570" s="9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5"/>
      <c r="M571" s="9"/>
      <c r="N571" s="9"/>
      <c r="O571" s="9"/>
      <c r="P571" s="9"/>
      <c r="Q571" s="9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5"/>
      <c r="M572" s="9"/>
      <c r="N572" s="9"/>
      <c r="O572" s="9"/>
      <c r="P572" s="9"/>
      <c r="Q572" s="9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5"/>
      <c r="M573" s="9"/>
      <c r="N573" s="9"/>
      <c r="O573" s="9"/>
      <c r="P573" s="9"/>
      <c r="Q573" s="9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5"/>
      <c r="M574" s="9"/>
      <c r="N574" s="9"/>
      <c r="O574" s="9"/>
      <c r="P574" s="9"/>
      <c r="Q574" s="9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5"/>
      <c r="M575" s="9"/>
      <c r="N575" s="9"/>
      <c r="O575" s="9"/>
      <c r="P575" s="9"/>
      <c r="Q575" s="9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5"/>
      <c r="M576" s="9"/>
      <c r="N576" s="9"/>
      <c r="O576" s="9"/>
      <c r="P576" s="9"/>
      <c r="Q576" s="9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5"/>
      <c r="M577" s="9"/>
      <c r="N577" s="9"/>
      <c r="O577" s="9"/>
      <c r="P577" s="9"/>
      <c r="Q577" s="9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5"/>
      <c r="M578" s="9"/>
      <c r="N578" s="9"/>
      <c r="O578" s="9"/>
      <c r="P578" s="9"/>
      <c r="Q578" s="9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5"/>
      <c r="M579" s="9"/>
      <c r="N579" s="9"/>
      <c r="O579" s="9"/>
      <c r="P579" s="9"/>
      <c r="Q579" s="9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5"/>
      <c r="M580" s="9"/>
      <c r="N580" s="9"/>
      <c r="O580" s="9"/>
      <c r="P580" s="9"/>
      <c r="Q580" s="9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5"/>
      <c r="M581" s="9"/>
      <c r="N581" s="9"/>
      <c r="O581" s="9"/>
      <c r="P581" s="9"/>
      <c r="Q581" s="9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5"/>
      <c r="M582" s="9"/>
      <c r="N582" s="9"/>
      <c r="O582" s="9"/>
      <c r="P582" s="9"/>
      <c r="Q582" s="9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5"/>
      <c r="M583" s="9"/>
      <c r="N583" s="9"/>
      <c r="O583" s="9"/>
      <c r="P583" s="9"/>
      <c r="Q583" s="9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5"/>
      <c r="M584" s="9"/>
      <c r="N584" s="9"/>
      <c r="O584" s="9"/>
      <c r="P584" s="9"/>
      <c r="Q584" s="9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5"/>
      <c r="M585" s="9"/>
      <c r="N585" s="9"/>
      <c r="O585" s="9"/>
      <c r="P585" s="9"/>
      <c r="Q585" s="9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5"/>
      <c r="M586" s="9"/>
      <c r="N586" s="9"/>
      <c r="O586" s="9"/>
      <c r="P586" s="9"/>
      <c r="Q586" s="9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5"/>
      <c r="M587" s="9"/>
      <c r="N587" s="9"/>
      <c r="O587" s="9"/>
      <c r="P587" s="9"/>
      <c r="Q587" s="9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5"/>
      <c r="M588" s="9"/>
      <c r="N588" s="9"/>
      <c r="O588" s="9"/>
      <c r="P588" s="9"/>
      <c r="Q588" s="9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5"/>
      <c r="M589" s="9"/>
      <c r="N589" s="9"/>
      <c r="O589" s="9"/>
      <c r="P589" s="9"/>
      <c r="Q589" s="9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5"/>
      <c r="M590" s="9"/>
      <c r="N590" s="9"/>
      <c r="O590" s="9"/>
      <c r="P590" s="9"/>
      <c r="Q590" s="9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5"/>
      <c r="M591" s="9"/>
      <c r="N591" s="9"/>
      <c r="O591" s="9"/>
      <c r="P591" s="9"/>
      <c r="Q591" s="9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5"/>
      <c r="M592" s="9"/>
      <c r="N592" s="9"/>
      <c r="O592" s="9"/>
      <c r="P592" s="9"/>
      <c r="Q592" s="9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5"/>
      <c r="M593" s="9"/>
      <c r="N593" s="9"/>
      <c r="O593" s="9"/>
      <c r="P593" s="9"/>
      <c r="Q593" s="9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5"/>
      <c r="M594" s="9"/>
      <c r="N594" s="9"/>
      <c r="O594" s="9"/>
      <c r="P594" s="9"/>
      <c r="Q594" s="9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5"/>
      <c r="M595" s="9"/>
      <c r="N595" s="9"/>
      <c r="O595" s="9"/>
      <c r="P595" s="9"/>
      <c r="Q595" s="9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5"/>
      <c r="M596" s="9"/>
      <c r="N596" s="9"/>
      <c r="O596" s="9"/>
      <c r="P596" s="9"/>
      <c r="Q596" s="9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5"/>
      <c r="M597" s="9"/>
      <c r="N597" s="9"/>
      <c r="O597" s="9"/>
      <c r="P597" s="9"/>
      <c r="Q597" s="9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5"/>
      <c r="M598" s="9"/>
      <c r="N598" s="9"/>
      <c r="O598" s="9"/>
      <c r="P598" s="9"/>
      <c r="Q598" s="9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5"/>
      <c r="M599" s="9"/>
      <c r="N599" s="9"/>
      <c r="O599" s="9"/>
      <c r="P599" s="9"/>
      <c r="Q599" s="9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5"/>
      <c r="M600" s="9"/>
      <c r="N600" s="9"/>
      <c r="O600" s="9"/>
      <c r="P600" s="9"/>
      <c r="Q600" s="9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5"/>
      <c r="M601" s="9"/>
      <c r="N601" s="9"/>
      <c r="O601" s="9"/>
      <c r="P601" s="9"/>
      <c r="Q601" s="9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5"/>
      <c r="M602" s="9"/>
      <c r="N602" s="9"/>
      <c r="O602" s="9"/>
      <c r="P602" s="9"/>
      <c r="Q602" s="9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5"/>
      <c r="M603" s="9"/>
      <c r="N603" s="9"/>
      <c r="O603" s="9"/>
      <c r="P603" s="9"/>
      <c r="Q603" s="9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5"/>
      <c r="M604" s="9"/>
      <c r="N604" s="9"/>
      <c r="O604" s="9"/>
      <c r="P604" s="9"/>
      <c r="Q604" s="9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5"/>
      <c r="M605" s="9"/>
      <c r="N605" s="9"/>
      <c r="O605" s="9"/>
      <c r="P605" s="9"/>
      <c r="Q605" s="9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5"/>
      <c r="M606" s="9"/>
      <c r="N606" s="9"/>
      <c r="O606" s="9"/>
      <c r="P606" s="9"/>
      <c r="Q606" s="9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5"/>
      <c r="M607" s="9"/>
      <c r="N607" s="9"/>
      <c r="O607" s="9"/>
      <c r="P607" s="9"/>
      <c r="Q607" s="9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5"/>
      <c r="M608" s="9"/>
      <c r="N608" s="9"/>
      <c r="O608" s="9"/>
      <c r="P608" s="9"/>
      <c r="Q608" s="9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5"/>
      <c r="M609" s="9"/>
      <c r="N609" s="9"/>
      <c r="O609" s="9"/>
      <c r="P609" s="9"/>
      <c r="Q609" s="9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5"/>
      <c r="M610" s="9"/>
      <c r="N610" s="9"/>
      <c r="O610" s="9"/>
      <c r="P610" s="9"/>
      <c r="Q610" s="9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5"/>
      <c r="M611" s="9"/>
      <c r="N611" s="9"/>
      <c r="O611" s="9"/>
      <c r="P611" s="9"/>
      <c r="Q611" s="9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5"/>
      <c r="M612" s="9"/>
      <c r="N612" s="9"/>
      <c r="O612" s="9"/>
      <c r="P612" s="9"/>
      <c r="Q612" s="9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5"/>
      <c r="M613" s="9"/>
      <c r="N613" s="9"/>
      <c r="O613" s="9"/>
      <c r="P613" s="9"/>
      <c r="Q613" s="9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5"/>
      <c r="M614" s="9"/>
      <c r="N614" s="9"/>
      <c r="O614" s="9"/>
      <c r="P614" s="9"/>
      <c r="Q614" s="9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5"/>
      <c r="M615" s="9"/>
      <c r="N615" s="9"/>
      <c r="O615" s="9"/>
      <c r="P615" s="9"/>
      <c r="Q615" s="9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5"/>
      <c r="M616" s="9"/>
      <c r="N616" s="9"/>
      <c r="O616" s="9"/>
      <c r="P616" s="9"/>
      <c r="Q616" s="9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5"/>
      <c r="M617" s="9"/>
      <c r="N617" s="9"/>
      <c r="O617" s="9"/>
      <c r="P617" s="9"/>
      <c r="Q617" s="9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5"/>
      <c r="M618" s="9"/>
      <c r="N618" s="9"/>
      <c r="O618" s="9"/>
      <c r="P618" s="9"/>
      <c r="Q618" s="9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5"/>
      <c r="M619" s="9"/>
      <c r="N619" s="9"/>
      <c r="O619" s="9"/>
      <c r="P619" s="9"/>
      <c r="Q619" s="9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5"/>
      <c r="M620" s="9"/>
      <c r="N620" s="9"/>
      <c r="O620" s="9"/>
      <c r="P620" s="9"/>
      <c r="Q620" s="9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5"/>
      <c r="M621" s="9"/>
      <c r="N621" s="9"/>
      <c r="O621" s="9"/>
      <c r="P621" s="9"/>
      <c r="Q621" s="9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5"/>
      <c r="M622" s="9"/>
      <c r="N622" s="9"/>
      <c r="O622" s="9"/>
      <c r="P622" s="9"/>
      <c r="Q622" s="9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5"/>
      <c r="M623" s="9"/>
      <c r="N623" s="9"/>
      <c r="O623" s="9"/>
      <c r="P623" s="9"/>
      <c r="Q623" s="9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5"/>
      <c r="M624" s="9"/>
      <c r="N624" s="9"/>
      <c r="O624" s="9"/>
      <c r="P624" s="9"/>
      <c r="Q624" s="9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5"/>
      <c r="M625" s="9"/>
      <c r="N625" s="9"/>
      <c r="O625" s="9"/>
      <c r="P625" s="9"/>
      <c r="Q625" s="9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5"/>
      <c r="M626" s="9"/>
      <c r="N626" s="9"/>
      <c r="O626" s="9"/>
      <c r="P626" s="9"/>
      <c r="Q626" s="9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5"/>
      <c r="M627" s="9"/>
      <c r="N627" s="9"/>
      <c r="O627" s="9"/>
      <c r="P627" s="9"/>
      <c r="Q627" s="9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5"/>
      <c r="M628" s="9"/>
      <c r="N628" s="9"/>
      <c r="O628" s="9"/>
      <c r="P628" s="9"/>
      <c r="Q628" s="9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5"/>
      <c r="M629" s="9"/>
      <c r="N629" s="9"/>
      <c r="O629" s="9"/>
      <c r="P629" s="9"/>
      <c r="Q629" s="9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5"/>
      <c r="M630" s="9"/>
      <c r="N630" s="9"/>
      <c r="O630" s="9"/>
      <c r="P630" s="9"/>
      <c r="Q630" s="9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5"/>
      <c r="M631" s="9"/>
      <c r="N631" s="9"/>
      <c r="O631" s="9"/>
      <c r="P631" s="9"/>
      <c r="Q631" s="9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5"/>
      <c r="M632" s="9"/>
      <c r="N632" s="9"/>
      <c r="O632" s="9"/>
      <c r="P632" s="9"/>
      <c r="Q632" s="9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5"/>
      <c r="M633" s="9"/>
      <c r="N633" s="9"/>
      <c r="O633" s="9"/>
      <c r="P633" s="9"/>
      <c r="Q633" s="9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5"/>
      <c r="M634" s="9"/>
      <c r="N634" s="9"/>
      <c r="O634" s="9"/>
      <c r="P634" s="9"/>
      <c r="Q634" s="9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5"/>
      <c r="M635" s="9"/>
      <c r="N635" s="9"/>
      <c r="O635" s="9"/>
      <c r="P635" s="9"/>
      <c r="Q635" s="9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5"/>
      <c r="M636" s="9"/>
      <c r="N636" s="9"/>
      <c r="O636" s="9"/>
      <c r="P636" s="9"/>
      <c r="Q636" s="9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5"/>
      <c r="M637" s="9"/>
      <c r="N637" s="9"/>
      <c r="O637" s="9"/>
      <c r="P637" s="9"/>
      <c r="Q637" s="9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5"/>
      <c r="M638" s="9"/>
      <c r="N638" s="9"/>
      <c r="O638" s="9"/>
      <c r="P638" s="9"/>
      <c r="Q638" s="9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5"/>
      <c r="M639" s="9"/>
      <c r="N639" s="9"/>
      <c r="O639" s="9"/>
      <c r="P639" s="9"/>
      <c r="Q639" s="9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5"/>
      <c r="M640" s="9"/>
      <c r="N640" s="9"/>
      <c r="O640" s="9"/>
      <c r="P640" s="9"/>
      <c r="Q640" s="9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5"/>
      <c r="M641" s="9"/>
      <c r="N641" s="9"/>
      <c r="O641" s="9"/>
      <c r="P641" s="9"/>
      <c r="Q641" s="9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5"/>
      <c r="M642" s="9"/>
      <c r="N642" s="9"/>
      <c r="O642" s="9"/>
      <c r="P642" s="9"/>
      <c r="Q642" s="9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5"/>
      <c r="M643" s="9"/>
      <c r="N643" s="9"/>
      <c r="O643" s="9"/>
      <c r="P643" s="9"/>
      <c r="Q643" s="9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5"/>
      <c r="M644" s="9"/>
      <c r="N644" s="9"/>
      <c r="O644" s="9"/>
      <c r="P644" s="9"/>
      <c r="Q644" s="9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5"/>
      <c r="M645" s="9"/>
      <c r="N645" s="9"/>
      <c r="O645" s="9"/>
      <c r="P645" s="9"/>
      <c r="Q645" s="9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5"/>
      <c r="M646" s="9"/>
      <c r="N646" s="9"/>
      <c r="O646" s="9"/>
      <c r="P646" s="9"/>
      <c r="Q646" s="9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5"/>
      <c r="M647" s="9"/>
      <c r="N647" s="9"/>
      <c r="O647" s="9"/>
      <c r="P647" s="9"/>
      <c r="Q647" s="9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5"/>
      <c r="M648" s="9"/>
      <c r="N648" s="9"/>
      <c r="O648" s="9"/>
      <c r="P648" s="9"/>
      <c r="Q648" s="9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5"/>
      <c r="M649" s="9"/>
      <c r="N649" s="9"/>
      <c r="O649" s="9"/>
      <c r="P649" s="9"/>
      <c r="Q649" s="9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5"/>
      <c r="M650" s="9"/>
      <c r="N650" s="9"/>
      <c r="O650" s="9"/>
      <c r="P650" s="9"/>
      <c r="Q650" s="9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5"/>
      <c r="M651" s="9"/>
      <c r="N651" s="9"/>
      <c r="O651" s="9"/>
      <c r="P651" s="9"/>
      <c r="Q651" s="9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5"/>
      <c r="M652" s="9"/>
      <c r="N652" s="9"/>
      <c r="O652" s="9"/>
      <c r="P652" s="9"/>
      <c r="Q652" s="9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5"/>
      <c r="M653" s="9"/>
      <c r="N653" s="9"/>
      <c r="O653" s="9"/>
      <c r="P653" s="9"/>
      <c r="Q653" s="9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5"/>
      <c r="M654" s="9"/>
      <c r="N654" s="9"/>
      <c r="O654" s="9"/>
      <c r="P654" s="9"/>
      <c r="Q654" s="9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5"/>
      <c r="M655" s="9"/>
      <c r="N655" s="9"/>
      <c r="O655" s="9"/>
      <c r="P655" s="9"/>
      <c r="Q655" s="9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5"/>
      <c r="M656" s="9"/>
      <c r="N656" s="9"/>
      <c r="O656" s="9"/>
      <c r="P656" s="9"/>
      <c r="Q656" s="9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5"/>
      <c r="M657" s="9"/>
      <c r="N657" s="9"/>
      <c r="O657" s="9"/>
      <c r="P657" s="9"/>
      <c r="Q657" s="9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5"/>
      <c r="M658" s="9"/>
      <c r="N658" s="9"/>
      <c r="O658" s="9"/>
      <c r="P658" s="9"/>
      <c r="Q658" s="9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5"/>
      <c r="M659" s="9"/>
      <c r="N659" s="9"/>
      <c r="O659" s="9"/>
      <c r="P659" s="9"/>
      <c r="Q659" s="9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5"/>
      <c r="M660" s="9"/>
      <c r="N660" s="9"/>
      <c r="O660" s="9"/>
      <c r="P660" s="9"/>
      <c r="Q660" s="9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5"/>
      <c r="M661" s="9"/>
      <c r="N661" s="9"/>
      <c r="O661" s="9"/>
      <c r="P661" s="9"/>
      <c r="Q661" s="9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5"/>
      <c r="M662" s="9"/>
      <c r="N662" s="9"/>
      <c r="O662" s="9"/>
      <c r="P662" s="9"/>
      <c r="Q662" s="9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5"/>
      <c r="M663" s="9"/>
      <c r="N663" s="9"/>
      <c r="O663" s="9"/>
      <c r="P663" s="9"/>
      <c r="Q663" s="9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5"/>
      <c r="M664" s="9"/>
      <c r="N664" s="9"/>
      <c r="O664" s="9"/>
      <c r="P664" s="9"/>
      <c r="Q664" s="9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5"/>
      <c r="M665" s="9"/>
      <c r="N665" s="9"/>
      <c r="O665" s="9"/>
      <c r="P665" s="9"/>
      <c r="Q665" s="9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5"/>
      <c r="M666" s="9"/>
      <c r="N666" s="9"/>
      <c r="O666" s="9"/>
      <c r="P666" s="9"/>
      <c r="Q666" s="9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5"/>
      <c r="M667" s="9"/>
      <c r="N667" s="9"/>
      <c r="O667" s="9"/>
      <c r="P667" s="9"/>
      <c r="Q667" s="9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5"/>
      <c r="M668" s="9"/>
      <c r="N668" s="9"/>
      <c r="O668" s="9"/>
      <c r="P668" s="9"/>
      <c r="Q668" s="9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5"/>
      <c r="M669" s="9"/>
      <c r="N669" s="9"/>
      <c r="O669" s="9"/>
      <c r="P669" s="9"/>
      <c r="Q669" s="9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5"/>
      <c r="M670" s="9"/>
      <c r="N670" s="9"/>
      <c r="O670" s="9"/>
      <c r="P670" s="9"/>
      <c r="Q670" s="9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5"/>
      <c r="M671" s="9"/>
      <c r="N671" s="9"/>
      <c r="O671" s="9"/>
      <c r="P671" s="9"/>
      <c r="Q671" s="9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5"/>
      <c r="M672" s="9"/>
      <c r="N672" s="9"/>
      <c r="O672" s="9"/>
      <c r="P672" s="9"/>
      <c r="Q672" s="9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5"/>
      <c r="M673" s="9"/>
      <c r="N673" s="9"/>
      <c r="O673" s="9"/>
      <c r="P673" s="9"/>
      <c r="Q673" s="9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5"/>
      <c r="M674" s="9"/>
      <c r="N674" s="9"/>
      <c r="O674" s="9"/>
      <c r="P674" s="9"/>
      <c r="Q674" s="9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5"/>
      <c r="M675" s="9"/>
      <c r="N675" s="9"/>
      <c r="O675" s="9"/>
      <c r="P675" s="9"/>
      <c r="Q675" s="9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5"/>
      <c r="M676" s="9"/>
      <c r="N676" s="9"/>
      <c r="O676" s="9"/>
      <c r="P676" s="9"/>
      <c r="Q676" s="9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5"/>
      <c r="M677" s="9"/>
      <c r="N677" s="9"/>
      <c r="O677" s="9"/>
      <c r="P677" s="9"/>
      <c r="Q677" s="9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5"/>
      <c r="M678" s="9"/>
      <c r="N678" s="9"/>
      <c r="O678" s="9"/>
      <c r="P678" s="9"/>
      <c r="Q678" s="9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5"/>
      <c r="M679" s="9"/>
      <c r="N679" s="9"/>
      <c r="O679" s="9"/>
      <c r="P679" s="9"/>
      <c r="Q679" s="9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5"/>
      <c r="M680" s="9"/>
      <c r="N680" s="9"/>
      <c r="O680" s="9"/>
      <c r="P680" s="9"/>
      <c r="Q680" s="9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5"/>
      <c r="M681" s="9"/>
      <c r="N681" s="9"/>
      <c r="O681" s="9"/>
      <c r="P681" s="9"/>
      <c r="Q681" s="9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5"/>
      <c r="M682" s="9"/>
      <c r="N682" s="9"/>
      <c r="O682" s="9"/>
      <c r="P682" s="9"/>
      <c r="Q682" s="9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5"/>
      <c r="M683" s="9"/>
      <c r="N683" s="9"/>
      <c r="O683" s="9"/>
      <c r="P683" s="9"/>
      <c r="Q683" s="9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5"/>
      <c r="M684" s="9"/>
      <c r="N684" s="9"/>
      <c r="O684" s="9"/>
      <c r="P684" s="9"/>
      <c r="Q684" s="9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5"/>
      <c r="M685" s="9"/>
      <c r="N685" s="9"/>
      <c r="O685" s="9"/>
      <c r="P685" s="9"/>
      <c r="Q685" s="9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5"/>
      <c r="M686" s="9"/>
      <c r="N686" s="9"/>
      <c r="O686" s="9"/>
      <c r="P686" s="9"/>
      <c r="Q686" s="9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5"/>
      <c r="M687" s="9"/>
      <c r="N687" s="9"/>
      <c r="O687" s="9"/>
      <c r="P687" s="9"/>
      <c r="Q687" s="9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5"/>
      <c r="M688" s="9"/>
      <c r="N688" s="9"/>
      <c r="O688" s="9"/>
      <c r="P688" s="9"/>
      <c r="Q688" s="9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5"/>
      <c r="M689" s="9"/>
      <c r="N689" s="9"/>
      <c r="O689" s="9"/>
      <c r="P689" s="9"/>
      <c r="Q689" s="9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5"/>
      <c r="M690" s="9"/>
      <c r="N690" s="9"/>
      <c r="O690" s="9"/>
      <c r="P690" s="9"/>
      <c r="Q690" s="9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5"/>
      <c r="M691" s="9"/>
      <c r="N691" s="9"/>
      <c r="O691" s="9"/>
      <c r="P691" s="9"/>
      <c r="Q691" s="9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5"/>
      <c r="M692" s="9"/>
      <c r="N692" s="9"/>
      <c r="O692" s="9"/>
      <c r="P692" s="9"/>
      <c r="Q692" s="9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5"/>
      <c r="M693" s="9"/>
      <c r="N693" s="9"/>
      <c r="O693" s="9"/>
      <c r="P693" s="9"/>
      <c r="Q693" s="9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5"/>
      <c r="M694" s="9"/>
      <c r="N694" s="9"/>
      <c r="O694" s="9"/>
      <c r="P694" s="9"/>
      <c r="Q694" s="9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5"/>
      <c r="M695" s="9"/>
      <c r="N695" s="9"/>
      <c r="O695" s="9"/>
      <c r="P695" s="9"/>
      <c r="Q695" s="9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5"/>
      <c r="M696" s="9"/>
      <c r="N696" s="9"/>
      <c r="O696" s="9"/>
      <c r="P696" s="9"/>
      <c r="Q696" s="9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5"/>
      <c r="M697" s="9"/>
      <c r="N697" s="9"/>
      <c r="O697" s="9"/>
      <c r="P697" s="9"/>
      <c r="Q697" s="9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5"/>
      <c r="M698" s="9"/>
      <c r="N698" s="9"/>
      <c r="O698" s="9"/>
      <c r="P698" s="9"/>
      <c r="Q698" s="9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5"/>
      <c r="M699" s="9"/>
      <c r="N699" s="9"/>
      <c r="O699" s="9"/>
      <c r="P699" s="9"/>
      <c r="Q699" s="9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5"/>
      <c r="M700" s="9"/>
      <c r="N700" s="9"/>
      <c r="O700" s="9"/>
      <c r="P700" s="9"/>
      <c r="Q700" s="9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5"/>
      <c r="M701" s="9"/>
      <c r="N701" s="9"/>
      <c r="O701" s="9"/>
      <c r="P701" s="9"/>
      <c r="Q701" s="9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5"/>
      <c r="M702" s="9"/>
      <c r="N702" s="9"/>
      <c r="O702" s="9"/>
      <c r="P702" s="9"/>
      <c r="Q702" s="9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5"/>
      <c r="M703" s="9"/>
      <c r="N703" s="9"/>
      <c r="O703" s="9"/>
      <c r="P703" s="9"/>
      <c r="Q703" s="9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5"/>
      <c r="M704" s="9"/>
      <c r="N704" s="9"/>
      <c r="O704" s="9"/>
      <c r="P704" s="9"/>
      <c r="Q704" s="9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5"/>
      <c r="M705" s="9"/>
      <c r="N705" s="9"/>
      <c r="O705" s="9"/>
      <c r="P705" s="9"/>
      <c r="Q705" s="9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5"/>
      <c r="M706" s="9"/>
      <c r="N706" s="9"/>
      <c r="O706" s="9"/>
      <c r="P706" s="9"/>
      <c r="Q706" s="9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5"/>
      <c r="M707" s="9"/>
      <c r="N707" s="9"/>
      <c r="O707" s="9"/>
      <c r="P707" s="9"/>
      <c r="Q707" s="9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5"/>
      <c r="M708" s="9"/>
      <c r="N708" s="9"/>
      <c r="O708" s="9"/>
      <c r="P708" s="9"/>
      <c r="Q708" s="9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5"/>
      <c r="M709" s="9"/>
      <c r="N709" s="9"/>
      <c r="O709" s="9"/>
      <c r="P709" s="9"/>
      <c r="Q709" s="9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5"/>
      <c r="M710" s="9"/>
      <c r="N710" s="9"/>
      <c r="O710" s="9"/>
      <c r="P710" s="9"/>
      <c r="Q710" s="9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5"/>
      <c r="M711" s="9"/>
      <c r="N711" s="9"/>
      <c r="O711" s="9"/>
      <c r="P711" s="9"/>
      <c r="Q711" s="9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5"/>
      <c r="M712" s="9"/>
      <c r="N712" s="9"/>
      <c r="O712" s="9"/>
      <c r="P712" s="9"/>
      <c r="Q712" s="9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5"/>
      <c r="M713" s="9"/>
      <c r="N713" s="9"/>
      <c r="O713" s="9"/>
      <c r="P713" s="9"/>
      <c r="Q713" s="9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5"/>
      <c r="M714" s="9"/>
      <c r="N714" s="9"/>
      <c r="O714" s="9"/>
      <c r="P714" s="9"/>
      <c r="Q714" s="9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5"/>
      <c r="M715" s="9"/>
      <c r="N715" s="9"/>
      <c r="O715" s="9"/>
      <c r="P715" s="9"/>
      <c r="Q715" s="9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5"/>
      <c r="M716" s="9"/>
      <c r="N716" s="9"/>
      <c r="O716" s="9"/>
      <c r="P716" s="9"/>
      <c r="Q716" s="9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5"/>
      <c r="M717" s="9"/>
      <c r="N717" s="9"/>
      <c r="O717" s="9"/>
      <c r="P717" s="9"/>
      <c r="Q717" s="9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5"/>
      <c r="M718" s="9"/>
      <c r="N718" s="9"/>
      <c r="O718" s="9"/>
      <c r="P718" s="9"/>
      <c r="Q718" s="9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5"/>
      <c r="M719" s="9"/>
      <c r="N719" s="9"/>
      <c r="O719" s="9"/>
      <c r="P719" s="9"/>
      <c r="Q719" s="9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5"/>
      <c r="M720" s="9"/>
      <c r="N720" s="9"/>
      <c r="O720" s="9"/>
      <c r="P720" s="9"/>
      <c r="Q720" s="9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5"/>
      <c r="M721" s="9"/>
      <c r="N721" s="9"/>
      <c r="O721" s="9"/>
      <c r="P721" s="9"/>
      <c r="Q721" s="9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5"/>
      <c r="M722" s="9"/>
      <c r="N722" s="9"/>
      <c r="O722" s="9"/>
      <c r="P722" s="9"/>
      <c r="Q722" s="9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5"/>
      <c r="M723" s="9"/>
      <c r="N723" s="9"/>
      <c r="O723" s="9"/>
      <c r="P723" s="9"/>
      <c r="Q723" s="9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5"/>
      <c r="M724" s="9"/>
      <c r="N724" s="9"/>
      <c r="O724" s="9"/>
      <c r="P724" s="9"/>
      <c r="Q724" s="9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5"/>
      <c r="M725" s="9"/>
      <c r="N725" s="9"/>
      <c r="O725" s="9"/>
      <c r="P725" s="9"/>
      <c r="Q725" s="9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5"/>
      <c r="M726" s="9"/>
      <c r="N726" s="9"/>
      <c r="O726" s="9"/>
      <c r="P726" s="9"/>
      <c r="Q726" s="9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5"/>
      <c r="M727" s="9"/>
      <c r="N727" s="9"/>
      <c r="O727" s="9"/>
      <c r="P727" s="9"/>
      <c r="Q727" s="9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5"/>
      <c r="M728" s="9"/>
      <c r="N728" s="9"/>
      <c r="O728" s="9"/>
      <c r="P728" s="9"/>
      <c r="Q728" s="9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5"/>
      <c r="M729" s="9"/>
      <c r="N729" s="9"/>
      <c r="O729" s="9"/>
      <c r="P729" s="9"/>
      <c r="Q729" s="9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5"/>
      <c r="M730" s="9"/>
      <c r="N730" s="9"/>
      <c r="O730" s="9"/>
      <c r="P730" s="9"/>
      <c r="Q730" s="9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5"/>
      <c r="M731" s="9"/>
      <c r="N731" s="9"/>
      <c r="O731" s="9"/>
      <c r="P731" s="9"/>
      <c r="Q731" s="9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5"/>
      <c r="M732" s="9"/>
      <c r="N732" s="9"/>
      <c r="O732" s="9"/>
      <c r="P732" s="9"/>
      <c r="Q732" s="9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5"/>
      <c r="M733" s="9"/>
      <c r="N733" s="9"/>
      <c r="O733" s="9"/>
      <c r="P733" s="9"/>
      <c r="Q733" s="9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5"/>
      <c r="M734" s="9"/>
      <c r="N734" s="9"/>
      <c r="O734" s="9"/>
      <c r="P734" s="9"/>
      <c r="Q734" s="9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5"/>
      <c r="M735" s="9"/>
      <c r="N735" s="9"/>
      <c r="O735" s="9"/>
      <c r="P735" s="9"/>
      <c r="Q735" s="9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5"/>
      <c r="M736" s="9"/>
      <c r="N736" s="9"/>
      <c r="O736" s="9"/>
      <c r="P736" s="9"/>
      <c r="Q736" s="9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5"/>
      <c r="M737" s="9"/>
      <c r="N737" s="9"/>
      <c r="O737" s="9"/>
      <c r="P737" s="9"/>
      <c r="Q737" s="9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5"/>
      <c r="M738" s="9"/>
      <c r="N738" s="9"/>
      <c r="O738" s="9"/>
      <c r="P738" s="9"/>
      <c r="Q738" s="9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5"/>
      <c r="M739" s="9"/>
      <c r="N739" s="9"/>
      <c r="O739" s="9"/>
      <c r="P739" s="9"/>
      <c r="Q739" s="9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5"/>
      <c r="M740" s="9"/>
      <c r="N740" s="9"/>
      <c r="O740" s="9"/>
      <c r="P740" s="9"/>
      <c r="Q740" s="9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5"/>
      <c r="M741" s="9"/>
      <c r="N741" s="9"/>
      <c r="O741" s="9"/>
      <c r="P741" s="9"/>
      <c r="Q741" s="9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5"/>
      <c r="M742" s="9"/>
      <c r="N742" s="9"/>
      <c r="O742" s="9"/>
      <c r="P742" s="9"/>
      <c r="Q742" s="9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5"/>
      <c r="M743" s="9"/>
      <c r="N743" s="9"/>
      <c r="O743" s="9"/>
      <c r="P743" s="9"/>
      <c r="Q743" s="9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5"/>
      <c r="M744" s="9"/>
      <c r="N744" s="9"/>
      <c r="O744" s="9"/>
      <c r="P744" s="9"/>
      <c r="Q744" s="9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5"/>
      <c r="M745" s="9"/>
      <c r="N745" s="9"/>
      <c r="O745" s="9"/>
      <c r="P745" s="9"/>
      <c r="Q745" s="9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5"/>
      <c r="M746" s="9"/>
      <c r="N746" s="9"/>
      <c r="O746" s="9"/>
      <c r="P746" s="9"/>
      <c r="Q746" s="9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5"/>
      <c r="M747" s="9"/>
      <c r="N747" s="9"/>
      <c r="O747" s="9"/>
      <c r="P747" s="9"/>
      <c r="Q747" s="9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5"/>
      <c r="M748" s="9"/>
      <c r="N748" s="9"/>
      <c r="O748" s="9"/>
      <c r="P748" s="9"/>
      <c r="Q748" s="9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5"/>
      <c r="M749" s="9"/>
      <c r="N749" s="9"/>
      <c r="O749" s="9"/>
      <c r="P749" s="9"/>
      <c r="Q749" s="9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5"/>
      <c r="M750" s="9"/>
      <c r="N750" s="9"/>
      <c r="O750" s="9"/>
      <c r="P750" s="9"/>
      <c r="Q750" s="9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5"/>
      <c r="M751" s="9"/>
      <c r="N751" s="9"/>
      <c r="O751" s="9"/>
      <c r="P751" s="9"/>
      <c r="Q751" s="9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5"/>
      <c r="M752" s="9"/>
      <c r="N752" s="9"/>
      <c r="O752" s="9"/>
      <c r="P752" s="9"/>
      <c r="Q752" s="9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5"/>
      <c r="M753" s="9"/>
      <c r="N753" s="9"/>
      <c r="O753" s="9"/>
      <c r="P753" s="9"/>
      <c r="Q753" s="9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5"/>
      <c r="M754" s="9"/>
      <c r="N754" s="9"/>
      <c r="O754" s="9"/>
      <c r="P754" s="9"/>
      <c r="Q754" s="9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5"/>
      <c r="M755" s="9"/>
      <c r="N755" s="9"/>
      <c r="O755" s="9"/>
      <c r="P755" s="9"/>
      <c r="Q755" s="9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5"/>
      <c r="M756" s="9"/>
      <c r="N756" s="9"/>
      <c r="O756" s="9"/>
      <c r="P756" s="9"/>
      <c r="Q756" s="9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5"/>
      <c r="M757" s="9"/>
      <c r="N757" s="9"/>
      <c r="O757" s="9"/>
      <c r="P757" s="9"/>
      <c r="Q757" s="9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5"/>
      <c r="M758" s="9"/>
      <c r="N758" s="9"/>
      <c r="O758" s="9"/>
      <c r="P758" s="9"/>
      <c r="Q758" s="9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5"/>
      <c r="M759" s="9"/>
      <c r="N759" s="9"/>
      <c r="O759" s="9"/>
      <c r="P759" s="9"/>
      <c r="Q759" s="9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5"/>
      <c r="M760" s="9"/>
      <c r="N760" s="9"/>
      <c r="O760" s="9"/>
      <c r="P760" s="9"/>
      <c r="Q760" s="9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5"/>
      <c r="M761" s="9"/>
      <c r="N761" s="9"/>
      <c r="O761" s="9"/>
      <c r="P761" s="9"/>
      <c r="Q761" s="9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5"/>
      <c r="M762" s="9"/>
      <c r="N762" s="9"/>
      <c r="O762" s="9"/>
      <c r="P762" s="9"/>
      <c r="Q762" s="9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5"/>
      <c r="M763" s="9"/>
      <c r="N763" s="9"/>
      <c r="O763" s="9"/>
      <c r="P763" s="9"/>
      <c r="Q763" s="9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5"/>
      <c r="M764" s="9"/>
      <c r="N764" s="9"/>
      <c r="O764" s="9"/>
      <c r="P764" s="9"/>
      <c r="Q764" s="9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5"/>
      <c r="M765" s="9"/>
      <c r="N765" s="9"/>
      <c r="O765" s="9"/>
      <c r="P765" s="9"/>
      <c r="Q765" s="9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5"/>
      <c r="M766" s="9"/>
      <c r="N766" s="9"/>
      <c r="O766" s="9"/>
      <c r="P766" s="9"/>
      <c r="Q766" s="9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5"/>
      <c r="M767" s="9"/>
      <c r="N767" s="9"/>
      <c r="O767" s="9"/>
      <c r="P767" s="9"/>
      <c r="Q767" s="9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5"/>
      <c r="M768" s="9"/>
      <c r="N768" s="9"/>
      <c r="O768" s="9"/>
      <c r="P768" s="9"/>
      <c r="Q768" s="9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5"/>
      <c r="M769" s="9"/>
      <c r="N769" s="9"/>
      <c r="O769" s="9"/>
      <c r="P769" s="9"/>
      <c r="Q769" s="9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5"/>
      <c r="M770" s="9"/>
      <c r="N770" s="9"/>
      <c r="O770" s="9"/>
      <c r="P770" s="9"/>
      <c r="Q770" s="9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5"/>
      <c r="M771" s="9"/>
      <c r="N771" s="9"/>
      <c r="O771" s="9"/>
      <c r="P771" s="9"/>
      <c r="Q771" s="9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5"/>
      <c r="M772" s="9"/>
      <c r="N772" s="9"/>
      <c r="O772" s="9"/>
      <c r="P772" s="9"/>
      <c r="Q772" s="9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5"/>
      <c r="M773" s="9"/>
      <c r="N773" s="9"/>
      <c r="O773" s="9"/>
      <c r="P773" s="9"/>
      <c r="Q773" s="9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5"/>
      <c r="M774" s="9"/>
      <c r="N774" s="9"/>
      <c r="O774" s="9"/>
      <c r="P774" s="9"/>
      <c r="Q774" s="9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5"/>
      <c r="M775" s="9"/>
      <c r="N775" s="9"/>
      <c r="O775" s="9"/>
      <c r="P775" s="9"/>
      <c r="Q775" s="9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5"/>
      <c r="M776" s="9"/>
      <c r="N776" s="9"/>
      <c r="O776" s="9"/>
      <c r="P776" s="9"/>
      <c r="Q776" s="9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5"/>
      <c r="M777" s="9"/>
      <c r="N777" s="9"/>
      <c r="O777" s="9"/>
      <c r="P777" s="9"/>
      <c r="Q777" s="9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5"/>
      <c r="M778" s="9"/>
      <c r="N778" s="9"/>
      <c r="O778" s="9"/>
      <c r="P778" s="9"/>
      <c r="Q778" s="9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5"/>
      <c r="M779" s="9"/>
      <c r="N779" s="9"/>
      <c r="O779" s="9"/>
      <c r="P779" s="9"/>
      <c r="Q779" s="9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5"/>
      <c r="M780" s="9"/>
      <c r="N780" s="9"/>
      <c r="O780" s="9"/>
      <c r="P780" s="9"/>
      <c r="Q780" s="9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5"/>
      <c r="M781" s="9"/>
      <c r="N781" s="9"/>
      <c r="O781" s="9"/>
      <c r="P781" s="9"/>
      <c r="Q781" s="9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5"/>
      <c r="M782" s="9"/>
      <c r="N782" s="9"/>
      <c r="O782" s="9"/>
      <c r="P782" s="9"/>
      <c r="Q782" s="9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5"/>
      <c r="M783" s="9"/>
      <c r="N783" s="9"/>
      <c r="O783" s="9"/>
      <c r="P783" s="9"/>
      <c r="Q783" s="9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5"/>
      <c r="M784" s="9"/>
      <c r="N784" s="9"/>
      <c r="O784" s="9"/>
      <c r="P784" s="9"/>
      <c r="Q784" s="9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5"/>
      <c r="M785" s="9"/>
      <c r="N785" s="9"/>
      <c r="O785" s="9"/>
      <c r="P785" s="9"/>
      <c r="Q785" s="9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5"/>
      <c r="M786" s="9"/>
      <c r="N786" s="9"/>
      <c r="O786" s="9"/>
      <c r="P786" s="9"/>
      <c r="Q786" s="9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5"/>
      <c r="M787" s="9"/>
      <c r="N787" s="9"/>
      <c r="O787" s="9"/>
      <c r="P787" s="9"/>
      <c r="Q787" s="9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5"/>
      <c r="M788" s="9"/>
      <c r="N788" s="9"/>
      <c r="O788" s="9"/>
      <c r="P788" s="9"/>
      <c r="Q788" s="9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5"/>
      <c r="M789" s="9"/>
      <c r="N789" s="9"/>
      <c r="O789" s="9"/>
      <c r="P789" s="9"/>
      <c r="Q789" s="9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5"/>
      <c r="M790" s="9"/>
      <c r="N790" s="9"/>
      <c r="O790" s="9"/>
      <c r="P790" s="9"/>
      <c r="Q790" s="9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5"/>
      <c r="M791" s="9"/>
      <c r="N791" s="9"/>
      <c r="O791" s="9"/>
      <c r="P791" s="9"/>
      <c r="Q791" s="9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5"/>
      <c r="M792" s="9"/>
      <c r="N792" s="9"/>
      <c r="O792" s="9"/>
      <c r="P792" s="9"/>
      <c r="Q792" s="9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5"/>
      <c r="M793" s="9"/>
      <c r="N793" s="9"/>
      <c r="O793" s="9"/>
      <c r="P793" s="9"/>
      <c r="Q793" s="9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5"/>
      <c r="M794" s="9"/>
      <c r="N794" s="9"/>
      <c r="O794" s="9"/>
      <c r="P794" s="9"/>
      <c r="Q794" s="9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5"/>
      <c r="M795" s="9"/>
      <c r="N795" s="9"/>
      <c r="O795" s="9"/>
      <c r="P795" s="9"/>
      <c r="Q795" s="9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5"/>
      <c r="M796" s="9"/>
      <c r="N796" s="9"/>
      <c r="O796" s="9"/>
      <c r="P796" s="9"/>
      <c r="Q796" s="9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5"/>
      <c r="M797" s="9"/>
      <c r="N797" s="9"/>
      <c r="O797" s="9"/>
      <c r="P797" s="9"/>
      <c r="Q797" s="9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5"/>
      <c r="M798" s="9"/>
      <c r="N798" s="9"/>
      <c r="O798" s="9"/>
      <c r="P798" s="9"/>
      <c r="Q798" s="9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5"/>
      <c r="M799" s="9"/>
      <c r="N799" s="9"/>
      <c r="O799" s="9"/>
      <c r="P799" s="9"/>
      <c r="Q799" s="9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5"/>
      <c r="M800" s="9"/>
      <c r="N800" s="9"/>
      <c r="O800" s="9"/>
      <c r="P800" s="9"/>
      <c r="Q800" s="9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5"/>
      <c r="M801" s="9"/>
      <c r="N801" s="9"/>
      <c r="O801" s="9"/>
      <c r="P801" s="9"/>
      <c r="Q801" s="9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5"/>
      <c r="M802" s="9"/>
      <c r="N802" s="9"/>
      <c r="O802" s="9"/>
      <c r="P802" s="9"/>
      <c r="Q802" s="9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5"/>
      <c r="M803" s="9"/>
      <c r="N803" s="9"/>
      <c r="O803" s="9"/>
      <c r="P803" s="9"/>
      <c r="Q803" s="9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5"/>
      <c r="M804" s="9"/>
      <c r="N804" s="9"/>
      <c r="O804" s="9"/>
      <c r="P804" s="9"/>
      <c r="Q804" s="9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5"/>
      <c r="M805" s="9"/>
      <c r="N805" s="9"/>
      <c r="O805" s="9"/>
      <c r="P805" s="9"/>
      <c r="Q805" s="9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5"/>
      <c r="M806" s="9"/>
      <c r="N806" s="9"/>
      <c r="O806" s="9"/>
      <c r="P806" s="9"/>
      <c r="Q806" s="9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5"/>
      <c r="M807" s="9"/>
      <c r="N807" s="9"/>
      <c r="O807" s="9"/>
      <c r="P807" s="9"/>
      <c r="Q807" s="9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5"/>
      <c r="M808" s="9"/>
      <c r="N808" s="9"/>
      <c r="O808" s="9"/>
      <c r="P808" s="9"/>
      <c r="Q808" s="9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5"/>
      <c r="M809" s="9"/>
      <c r="N809" s="9"/>
      <c r="O809" s="9"/>
      <c r="P809" s="9"/>
      <c r="Q809" s="9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5"/>
      <c r="M810" s="9"/>
      <c r="N810" s="9"/>
      <c r="O810" s="9"/>
      <c r="P810" s="9"/>
      <c r="Q810" s="9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5"/>
      <c r="M811" s="9"/>
      <c r="N811" s="9"/>
      <c r="O811" s="9"/>
      <c r="P811" s="9"/>
      <c r="Q811" s="9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5"/>
      <c r="M812" s="9"/>
      <c r="N812" s="9"/>
      <c r="O812" s="9"/>
      <c r="P812" s="9"/>
      <c r="Q812" s="9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5"/>
      <c r="M813" s="9"/>
      <c r="N813" s="9"/>
      <c r="O813" s="9"/>
      <c r="P813" s="9"/>
      <c r="Q813" s="9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5"/>
      <c r="M814" s="9"/>
      <c r="N814" s="9"/>
      <c r="O814" s="9"/>
      <c r="P814" s="9"/>
      <c r="Q814" s="9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5"/>
      <c r="M815" s="9"/>
      <c r="N815" s="9"/>
      <c r="O815" s="9"/>
      <c r="P815" s="9"/>
      <c r="Q815" s="9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5"/>
      <c r="M816" s="9"/>
      <c r="N816" s="9"/>
      <c r="O816" s="9"/>
      <c r="P816" s="9"/>
      <c r="Q816" s="9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5"/>
      <c r="M817" s="9"/>
      <c r="N817" s="9"/>
      <c r="O817" s="9"/>
      <c r="P817" s="9"/>
      <c r="Q817" s="9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5"/>
      <c r="M818" s="9"/>
      <c r="N818" s="9"/>
      <c r="O818" s="9"/>
      <c r="P818" s="9"/>
      <c r="Q818" s="9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5"/>
      <c r="M819" s="9"/>
      <c r="N819" s="9"/>
      <c r="O819" s="9"/>
      <c r="P819" s="9"/>
      <c r="Q819" s="9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5"/>
      <c r="M820" s="9"/>
      <c r="N820" s="9"/>
      <c r="O820" s="9"/>
      <c r="P820" s="9"/>
      <c r="Q820" s="9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5"/>
      <c r="M821" s="9"/>
      <c r="N821" s="9"/>
      <c r="O821" s="9"/>
      <c r="P821" s="9"/>
      <c r="Q821" s="9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5"/>
      <c r="M822" s="9"/>
      <c r="N822" s="9"/>
      <c r="O822" s="9"/>
      <c r="P822" s="9"/>
      <c r="Q822" s="9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5"/>
      <c r="M823" s="9"/>
      <c r="N823" s="9"/>
      <c r="O823" s="9"/>
      <c r="P823" s="9"/>
      <c r="Q823" s="9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5"/>
      <c r="M824" s="9"/>
      <c r="N824" s="9"/>
      <c r="O824" s="9"/>
      <c r="P824" s="9"/>
      <c r="Q824" s="9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5"/>
      <c r="M825" s="9"/>
      <c r="N825" s="9"/>
      <c r="O825" s="9"/>
      <c r="P825" s="9"/>
      <c r="Q825" s="9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5"/>
      <c r="M826" s="9"/>
      <c r="N826" s="9"/>
      <c r="O826" s="9"/>
      <c r="P826" s="9"/>
      <c r="Q826" s="9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5"/>
      <c r="M827" s="9"/>
      <c r="N827" s="9"/>
      <c r="O827" s="9"/>
      <c r="P827" s="9"/>
      <c r="Q827" s="9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5"/>
      <c r="M828" s="9"/>
      <c r="N828" s="9"/>
      <c r="O828" s="9"/>
      <c r="P828" s="9"/>
      <c r="Q828" s="9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5"/>
      <c r="M829" s="9"/>
      <c r="N829" s="9"/>
      <c r="O829" s="9"/>
      <c r="P829" s="9"/>
      <c r="Q829" s="9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5"/>
      <c r="M830" s="9"/>
      <c r="N830" s="9"/>
      <c r="O830" s="9"/>
      <c r="P830" s="9"/>
      <c r="Q830" s="9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5"/>
      <c r="M831" s="9"/>
      <c r="N831" s="9"/>
      <c r="O831" s="9"/>
      <c r="P831" s="9"/>
      <c r="Q831" s="9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5"/>
      <c r="M832" s="9"/>
      <c r="N832" s="9"/>
      <c r="O832" s="9"/>
      <c r="P832" s="9"/>
      <c r="Q832" s="9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5"/>
      <c r="M833" s="9"/>
      <c r="N833" s="9"/>
      <c r="O833" s="9"/>
      <c r="P833" s="9"/>
      <c r="Q833" s="9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5"/>
      <c r="M834" s="9"/>
      <c r="N834" s="9"/>
      <c r="O834" s="9"/>
      <c r="P834" s="9"/>
      <c r="Q834" s="9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5"/>
      <c r="M835" s="9"/>
      <c r="N835" s="9"/>
      <c r="O835" s="9"/>
      <c r="P835" s="9"/>
      <c r="Q835" s="9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5"/>
      <c r="M836" s="9"/>
      <c r="N836" s="9"/>
      <c r="O836" s="9"/>
      <c r="P836" s="9"/>
      <c r="Q836" s="9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5"/>
      <c r="M837" s="9"/>
      <c r="N837" s="9"/>
      <c r="O837" s="9"/>
      <c r="P837" s="9"/>
      <c r="Q837" s="9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5"/>
      <c r="M838" s="9"/>
      <c r="N838" s="9"/>
      <c r="O838" s="9"/>
      <c r="P838" s="9"/>
      <c r="Q838" s="9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5"/>
      <c r="M839" s="9"/>
      <c r="N839" s="9"/>
      <c r="O839" s="9"/>
      <c r="P839" s="9"/>
      <c r="Q839" s="9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5"/>
      <c r="M840" s="9"/>
      <c r="N840" s="9"/>
      <c r="O840" s="9"/>
      <c r="P840" s="9"/>
      <c r="Q840" s="9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5"/>
      <c r="M841" s="9"/>
      <c r="N841" s="9"/>
      <c r="O841" s="9"/>
      <c r="P841" s="9"/>
      <c r="Q841" s="9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5"/>
      <c r="M842" s="9"/>
      <c r="N842" s="9"/>
      <c r="O842" s="9"/>
      <c r="P842" s="9"/>
      <c r="Q842" s="9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5"/>
      <c r="M843" s="9"/>
      <c r="N843" s="9"/>
      <c r="O843" s="9"/>
      <c r="P843" s="9"/>
      <c r="Q843" s="9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5"/>
      <c r="M844" s="9"/>
      <c r="N844" s="9"/>
      <c r="O844" s="9"/>
      <c r="P844" s="9"/>
      <c r="Q844" s="9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5"/>
      <c r="M845" s="9"/>
      <c r="N845" s="9"/>
      <c r="O845" s="9"/>
      <c r="P845" s="9"/>
      <c r="Q845" s="9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5"/>
      <c r="M846" s="9"/>
      <c r="N846" s="9"/>
      <c r="O846" s="9"/>
      <c r="P846" s="9"/>
      <c r="Q846" s="9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5"/>
      <c r="M847" s="9"/>
      <c r="N847" s="9"/>
      <c r="O847" s="9"/>
      <c r="P847" s="9"/>
      <c r="Q847" s="9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5"/>
      <c r="M848" s="9"/>
      <c r="N848" s="9"/>
      <c r="O848" s="9"/>
      <c r="P848" s="9"/>
      <c r="Q848" s="9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5"/>
      <c r="M849" s="9"/>
      <c r="N849" s="9"/>
      <c r="O849" s="9"/>
      <c r="P849" s="9"/>
      <c r="Q849" s="9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5"/>
      <c r="M850" s="9"/>
      <c r="N850" s="9"/>
      <c r="O850" s="9"/>
      <c r="P850" s="9"/>
      <c r="Q850" s="9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5"/>
      <c r="M851" s="9"/>
      <c r="N851" s="9"/>
      <c r="O851" s="9"/>
      <c r="P851" s="9"/>
      <c r="Q851" s="9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5"/>
      <c r="M852" s="9"/>
      <c r="N852" s="9"/>
      <c r="O852" s="9"/>
      <c r="P852" s="9"/>
      <c r="Q852" s="9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5"/>
      <c r="M853" s="9"/>
      <c r="N853" s="9"/>
      <c r="O853" s="9"/>
      <c r="P853" s="9"/>
      <c r="Q853" s="9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5"/>
      <c r="M854" s="9"/>
      <c r="N854" s="9"/>
      <c r="O854" s="9"/>
      <c r="P854" s="9"/>
      <c r="Q854" s="9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5"/>
      <c r="M855" s="9"/>
      <c r="N855" s="9"/>
      <c r="O855" s="9"/>
      <c r="P855" s="9"/>
      <c r="Q855" s="9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5"/>
      <c r="M856" s="9"/>
      <c r="N856" s="9"/>
      <c r="O856" s="9"/>
      <c r="P856" s="9"/>
      <c r="Q856" s="9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5"/>
      <c r="M857" s="9"/>
      <c r="N857" s="9"/>
      <c r="O857" s="9"/>
      <c r="P857" s="9"/>
      <c r="Q857" s="9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5"/>
      <c r="M858" s="9"/>
      <c r="N858" s="9"/>
      <c r="O858" s="9"/>
      <c r="P858" s="9"/>
      <c r="Q858" s="9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5"/>
      <c r="M859" s="9"/>
      <c r="N859" s="9"/>
      <c r="O859" s="9"/>
      <c r="P859" s="9"/>
      <c r="Q859" s="9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5"/>
      <c r="M860" s="9"/>
      <c r="N860" s="9"/>
      <c r="O860" s="9"/>
      <c r="P860" s="9"/>
      <c r="Q860" s="9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5"/>
      <c r="M861" s="9"/>
      <c r="N861" s="9"/>
      <c r="O861" s="9"/>
      <c r="P861" s="9"/>
      <c r="Q861" s="9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5"/>
      <c r="M862" s="9"/>
      <c r="N862" s="9"/>
      <c r="O862" s="9"/>
      <c r="P862" s="9"/>
      <c r="Q862" s="9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5"/>
      <c r="M863" s="9"/>
      <c r="N863" s="9"/>
      <c r="O863" s="9"/>
      <c r="P863" s="9"/>
      <c r="Q863" s="9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5"/>
      <c r="M864" s="9"/>
      <c r="N864" s="9"/>
      <c r="O864" s="9"/>
      <c r="P864" s="9"/>
      <c r="Q864" s="9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5"/>
      <c r="M865" s="9"/>
      <c r="N865" s="9"/>
      <c r="O865" s="9"/>
      <c r="P865" s="9"/>
      <c r="Q865" s="9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5"/>
      <c r="M866" s="9"/>
      <c r="N866" s="9"/>
      <c r="O866" s="9"/>
      <c r="P866" s="9"/>
      <c r="Q866" s="9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5"/>
      <c r="M867" s="9"/>
      <c r="N867" s="9"/>
      <c r="O867" s="9"/>
      <c r="P867" s="9"/>
      <c r="Q867" s="9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5"/>
      <c r="M868" s="9"/>
      <c r="N868" s="9"/>
      <c r="O868" s="9"/>
      <c r="P868" s="9"/>
      <c r="Q868" s="9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5"/>
      <c r="M869" s="9"/>
      <c r="N869" s="9"/>
      <c r="O869" s="9"/>
      <c r="P869" s="9"/>
      <c r="Q869" s="9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5"/>
      <c r="M870" s="9"/>
      <c r="N870" s="9"/>
      <c r="O870" s="9"/>
      <c r="P870" s="9"/>
      <c r="Q870" s="9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5"/>
      <c r="M871" s="9"/>
      <c r="N871" s="9"/>
      <c r="O871" s="9"/>
      <c r="P871" s="9"/>
      <c r="Q871" s="9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5"/>
      <c r="M872" s="9"/>
      <c r="N872" s="9"/>
      <c r="O872" s="9"/>
      <c r="P872" s="9"/>
      <c r="Q872" s="9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5"/>
      <c r="M873" s="9"/>
      <c r="N873" s="9"/>
      <c r="O873" s="9"/>
      <c r="P873" s="9"/>
      <c r="Q873" s="9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5"/>
      <c r="M874" s="9"/>
      <c r="N874" s="9"/>
      <c r="O874" s="9"/>
      <c r="P874" s="9"/>
      <c r="Q874" s="9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5"/>
      <c r="M875" s="9"/>
      <c r="N875" s="9"/>
      <c r="O875" s="9"/>
      <c r="P875" s="9"/>
      <c r="Q875" s="9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5"/>
      <c r="M876" s="9"/>
      <c r="N876" s="9"/>
      <c r="O876" s="9"/>
      <c r="P876" s="9"/>
      <c r="Q876" s="9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5"/>
      <c r="M877" s="9"/>
      <c r="N877" s="9"/>
      <c r="O877" s="9"/>
      <c r="P877" s="9"/>
      <c r="Q877" s="9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5"/>
      <c r="M878" s="9"/>
      <c r="N878" s="9"/>
      <c r="O878" s="9"/>
      <c r="P878" s="9"/>
      <c r="Q878" s="9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5"/>
      <c r="M879" s="9"/>
      <c r="N879" s="9"/>
      <c r="O879" s="9"/>
      <c r="P879" s="9"/>
      <c r="Q879" s="9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5"/>
      <c r="M880" s="9"/>
      <c r="N880" s="9"/>
      <c r="O880" s="9"/>
      <c r="P880" s="9"/>
      <c r="Q880" s="9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5"/>
      <c r="M881" s="9"/>
      <c r="N881" s="9"/>
      <c r="O881" s="9"/>
      <c r="P881" s="9"/>
      <c r="Q881" s="9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5"/>
      <c r="M882" s="9"/>
      <c r="N882" s="9"/>
      <c r="O882" s="9"/>
      <c r="P882" s="9"/>
      <c r="Q882" s="9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5"/>
      <c r="M883" s="9"/>
      <c r="N883" s="9"/>
      <c r="O883" s="9"/>
      <c r="P883" s="9"/>
      <c r="Q883" s="9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5"/>
      <c r="M884" s="9"/>
      <c r="N884" s="9"/>
      <c r="O884" s="9"/>
      <c r="P884" s="9"/>
      <c r="Q884" s="9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5"/>
      <c r="M885" s="9"/>
      <c r="N885" s="9"/>
      <c r="O885" s="9"/>
      <c r="P885" s="9"/>
      <c r="Q885" s="9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5"/>
      <c r="M886" s="9"/>
      <c r="N886" s="9"/>
      <c r="O886" s="9"/>
      <c r="P886" s="9"/>
      <c r="Q886" s="9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5"/>
      <c r="M887" s="9"/>
      <c r="N887" s="9"/>
      <c r="O887" s="9"/>
      <c r="P887" s="9"/>
      <c r="Q887" s="9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5"/>
      <c r="M888" s="9"/>
      <c r="N888" s="9"/>
      <c r="O888" s="9"/>
      <c r="P888" s="9"/>
      <c r="Q888" s="9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5"/>
      <c r="M889" s="9"/>
      <c r="N889" s="9"/>
      <c r="O889" s="9"/>
      <c r="P889" s="9"/>
      <c r="Q889" s="9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5"/>
      <c r="M890" s="9"/>
      <c r="N890" s="9"/>
      <c r="O890" s="9"/>
      <c r="P890" s="9"/>
      <c r="Q890" s="9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5"/>
      <c r="M891" s="9"/>
      <c r="N891" s="9"/>
      <c r="O891" s="9"/>
      <c r="P891" s="9"/>
      <c r="Q891" s="9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5"/>
      <c r="M892" s="9"/>
      <c r="N892" s="9"/>
      <c r="O892" s="9"/>
      <c r="P892" s="9"/>
      <c r="Q892" s="9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5"/>
      <c r="M893" s="9"/>
      <c r="N893" s="9"/>
      <c r="O893" s="9"/>
      <c r="P893" s="9"/>
      <c r="Q893" s="9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5"/>
      <c r="M894" s="9"/>
      <c r="N894" s="9"/>
      <c r="O894" s="9"/>
      <c r="P894" s="9"/>
      <c r="Q894" s="9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5"/>
      <c r="M895" s="9"/>
      <c r="N895" s="9"/>
      <c r="O895" s="9"/>
      <c r="P895" s="9"/>
      <c r="Q895" s="9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5"/>
      <c r="M896" s="9"/>
      <c r="N896" s="9"/>
      <c r="O896" s="9"/>
      <c r="P896" s="9"/>
      <c r="Q896" s="9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5"/>
      <c r="M897" s="9"/>
      <c r="N897" s="9"/>
      <c r="O897" s="9"/>
      <c r="P897" s="9"/>
      <c r="Q897" s="9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5"/>
      <c r="M898" s="9"/>
      <c r="N898" s="9"/>
      <c r="O898" s="9"/>
      <c r="P898" s="9"/>
      <c r="Q898" s="9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5"/>
      <c r="M899" s="9"/>
      <c r="N899" s="9"/>
      <c r="O899" s="9"/>
      <c r="P899" s="9"/>
      <c r="Q899" s="9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5"/>
      <c r="M900" s="9"/>
      <c r="N900" s="9"/>
      <c r="O900" s="9"/>
      <c r="P900" s="9"/>
      <c r="Q900" s="9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5"/>
      <c r="M901" s="9"/>
      <c r="N901" s="9"/>
      <c r="O901" s="9"/>
      <c r="P901" s="9"/>
      <c r="Q901" s="9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5"/>
      <c r="M902" s="9"/>
      <c r="N902" s="9"/>
      <c r="O902" s="9"/>
      <c r="P902" s="9"/>
      <c r="Q902" s="9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5"/>
      <c r="M903" s="9"/>
      <c r="N903" s="9"/>
      <c r="O903" s="9"/>
      <c r="P903" s="9"/>
      <c r="Q903" s="9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5"/>
      <c r="M904" s="9"/>
      <c r="N904" s="9"/>
      <c r="O904" s="9"/>
      <c r="P904" s="9"/>
      <c r="Q904" s="9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5"/>
      <c r="M905" s="9"/>
      <c r="N905" s="9"/>
      <c r="O905" s="9"/>
      <c r="P905" s="9"/>
      <c r="Q905" s="9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5"/>
      <c r="M906" s="9"/>
      <c r="N906" s="9"/>
      <c r="O906" s="9"/>
      <c r="P906" s="9"/>
      <c r="Q906" s="9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5"/>
      <c r="M907" s="9"/>
      <c r="N907" s="9"/>
      <c r="O907" s="9"/>
      <c r="P907" s="9"/>
      <c r="Q907" s="9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5"/>
      <c r="M908" s="9"/>
      <c r="N908" s="9"/>
      <c r="O908" s="9"/>
      <c r="P908" s="9"/>
      <c r="Q908" s="9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5"/>
      <c r="M909" s="9"/>
      <c r="N909" s="9"/>
      <c r="O909" s="9"/>
      <c r="P909" s="9"/>
      <c r="Q909" s="9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5"/>
      <c r="M910" s="9"/>
      <c r="N910" s="9"/>
      <c r="O910" s="9"/>
      <c r="P910" s="9"/>
      <c r="Q910" s="9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5"/>
      <c r="M911" s="9"/>
      <c r="N911" s="9"/>
      <c r="O911" s="9"/>
      <c r="P911" s="9"/>
      <c r="Q911" s="9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5"/>
      <c r="M912" s="9"/>
      <c r="N912" s="9"/>
      <c r="O912" s="9"/>
      <c r="P912" s="9"/>
      <c r="Q912" s="9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5"/>
      <c r="M913" s="9"/>
      <c r="N913" s="9"/>
      <c r="O913" s="9"/>
      <c r="P913" s="9"/>
      <c r="Q913" s="9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5"/>
      <c r="M914" s="9"/>
      <c r="N914" s="9"/>
      <c r="O914" s="9"/>
      <c r="P914" s="9"/>
      <c r="Q914" s="9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5"/>
      <c r="M915" s="9"/>
      <c r="N915" s="9"/>
      <c r="O915" s="9"/>
      <c r="P915" s="9"/>
      <c r="Q915" s="9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5"/>
      <c r="M916" s="9"/>
      <c r="N916" s="9"/>
      <c r="O916" s="9"/>
      <c r="P916" s="9"/>
      <c r="Q916" s="9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5"/>
      <c r="M917" s="9"/>
      <c r="N917" s="9"/>
      <c r="O917" s="9"/>
      <c r="P917" s="9"/>
      <c r="Q917" s="9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5"/>
      <c r="M918" s="9"/>
      <c r="N918" s="9"/>
      <c r="O918" s="9"/>
      <c r="P918" s="9"/>
      <c r="Q918" s="9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5"/>
      <c r="M919" s="9"/>
      <c r="N919" s="9"/>
      <c r="O919" s="9"/>
      <c r="P919" s="9"/>
      <c r="Q919" s="9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5"/>
      <c r="M920" s="9"/>
      <c r="N920" s="9"/>
      <c r="O920" s="9"/>
      <c r="P920" s="9"/>
      <c r="Q920" s="9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5"/>
      <c r="M921" s="9"/>
      <c r="N921" s="9"/>
      <c r="O921" s="9"/>
      <c r="P921" s="9"/>
      <c r="Q921" s="9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5"/>
      <c r="M922" s="9"/>
      <c r="N922" s="9"/>
      <c r="O922" s="9"/>
      <c r="P922" s="9"/>
      <c r="Q922" s="9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5"/>
      <c r="M923" s="9"/>
      <c r="N923" s="9"/>
      <c r="O923" s="9"/>
      <c r="P923" s="9"/>
      <c r="Q923" s="9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5"/>
      <c r="M924" s="9"/>
      <c r="N924" s="9"/>
      <c r="O924" s="9"/>
      <c r="P924" s="9"/>
      <c r="Q924" s="9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5"/>
      <c r="M925" s="9"/>
      <c r="N925" s="9"/>
      <c r="O925" s="9"/>
      <c r="P925" s="9"/>
      <c r="Q925" s="9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5"/>
      <c r="M926" s="9"/>
      <c r="N926" s="9"/>
      <c r="O926" s="9"/>
      <c r="P926" s="9"/>
      <c r="Q926" s="9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5"/>
      <c r="M927" s="9"/>
      <c r="N927" s="9"/>
      <c r="O927" s="9"/>
      <c r="P927" s="9"/>
      <c r="Q927" s="9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5"/>
      <c r="M928" s="9"/>
      <c r="N928" s="9"/>
      <c r="O928" s="9"/>
      <c r="P928" s="9"/>
      <c r="Q928" s="9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5"/>
      <c r="M929" s="9"/>
      <c r="N929" s="9"/>
      <c r="O929" s="9"/>
      <c r="P929" s="9"/>
      <c r="Q929" s="9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5"/>
      <c r="M930" s="9"/>
      <c r="N930" s="9"/>
      <c r="O930" s="9"/>
      <c r="P930" s="9"/>
      <c r="Q930" s="9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5"/>
      <c r="M931" s="9"/>
      <c r="N931" s="9"/>
      <c r="O931" s="9"/>
      <c r="P931" s="9"/>
      <c r="Q931" s="9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5"/>
      <c r="M932" s="9"/>
      <c r="N932" s="9"/>
      <c r="O932" s="9"/>
      <c r="P932" s="9"/>
      <c r="Q932" s="9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5"/>
      <c r="M933" s="9"/>
      <c r="N933" s="9"/>
      <c r="O933" s="9"/>
      <c r="P933" s="9"/>
      <c r="Q933" s="9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5"/>
      <c r="M934" s="9"/>
      <c r="N934" s="9"/>
      <c r="O934" s="9"/>
      <c r="P934" s="9"/>
      <c r="Q934" s="9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5"/>
      <c r="M935" s="9"/>
      <c r="N935" s="9"/>
      <c r="O935" s="9"/>
      <c r="P935" s="9"/>
      <c r="Q935" s="9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5"/>
      <c r="M936" s="9"/>
      <c r="N936" s="9"/>
      <c r="O936" s="9"/>
      <c r="P936" s="9"/>
      <c r="Q936" s="9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5"/>
      <c r="M937" s="9"/>
      <c r="N937" s="9"/>
      <c r="O937" s="9"/>
      <c r="P937" s="9"/>
      <c r="Q937" s="9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5"/>
      <c r="M938" s="9"/>
      <c r="N938" s="9"/>
      <c r="O938" s="9"/>
      <c r="P938" s="9"/>
      <c r="Q938" s="9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5"/>
      <c r="M939" s="9"/>
      <c r="N939" s="9"/>
      <c r="O939" s="9"/>
      <c r="P939" s="9"/>
      <c r="Q939" s="9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5"/>
      <c r="M940" s="9"/>
      <c r="N940" s="9"/>
      <c r="O940" s="9"/>
      <c r="P940" s="9"/>
      <c r="Q940" s="9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5"/>
      <c r="M941" s="9"/>
      <c r="N941" s="9"/>
      <c r="O941" s="9"/>
      <c r="P941" s="9"/>
      <c r="Q941" s="9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5"/>
      <c r="M942" s="9"/>
      <c r="N942" s="9"/>
      <c r="O942" s="9"/>
      <c r="P942" s="9"/>
      <c r="Q942" s="9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5"/>
      <c r="M943" s="9"/>
      <c r="N943" s="9"/>
      <c r="O943" s="9"/>
      <c r="P943" s="9"/>
      <c r="Q943" s="9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5"/>
      <c r="M944" s="9"/>
      <c r="N944" s="9"/>
      <c r="O944" s="9"/>
      <c r="P944" s="9"/>
      <c r="Q944" s="9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5"/>
      <c r="M945" s="9"/>
      <c r="N945" s="9"/>
      <c r="O945" s="9"/>
      <c r="P945" s="9"/>
      <c r="Q945" s="9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5"/>
      <c r="M946" s="9"/>
      <c r="N946" s="9"/>
      <c r="O946" s="9"/>
      <c r="P946" s="9"/>
      <c r="Q946" s="9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5"/>
      <c r="M947" s="9"/>
      <c r="N947" s="9"/>
      <c r="O947" s="9"/>
      <c r="P947" s="9"/>
      <c r="Q947" s="9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5"/>
      <c r="M948" s="9"/>
      <c r="N948" s="9"/>
      <c r="O948" s="9"/>
      <c r="P948" s="9"/>
      <c r="Q948" s="9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5"/>
      <c r="M949" s="9"/>
      <c r="N949" s="9"/>
      <c r="O949" s="9"/>
      <c r="P949" s="9"/>
      <c r="Q949" s="9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5"/>
      <c r="M950" s="9"/>
      <c r="N950" s="9"/>
      <c r="O950" s="9"/>
      <c r="P950" s="9"/>
      <c r="Q950" s="9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5"/>
      <c r="M951" s="9"/>
      <c r="N951" s="9"/>
      <c r="O951" s="9"/>
      <c r="P951" s="9"/>
      <c r="Q951" s="9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5"/>
      <c r="M952" s="9"/>
      <c r="N952" s="9"/>
      <c r="O952" s="9"/>
      <c r="P952" s="9"/>
      <c r="Q952" s="9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5"/>
      <c r="M953" s="9"/>
      <c r="N953" s="9"/>
      <c r="O953" s="9"/>
      <c r="P953" s="9"/>
      <c r="Q953" s="9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5"/>
      <c r="M954" s="9"/>
      <c r="N954" s="9"/>
      <c r="O954" s="9"/>
      <c r="P954" s="9"/>
      <c r="Q954" s="9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5"/>
      <c r="M955" s="9"/>
      <c r="N955" s="9"/>
      <c r="O955" s="9"/>
      <c r="P955" s="9"/>
      <c r="Q955" s="9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5"/>
      <c r="M956" s="9"/>
      <c r="N956" s="9"/>
      <c r="O956" s="9"/>
      <c r="P956" s="9"/>
      <c r="Q956" s="9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5"/>
      <c r="M957" s="9"/>
      <c r="N957" s="9"/>
      <c r="O957" s="9"/>
      <c r="P957" s="9"/>
      <c r="Q957" s="9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5"/>
      <c r="M958" s="9"/>
      <c r="N958" s="9"/>
      <c r="O958" s="9"/>
      <c r="P958" s="9"/>
      <c r="Q958" s="9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5"/>
      <c r="M959" s="9"/>
      <c r="N959" s="9"/>
      <c r="O959" s="9"/>
      <c r="P959" s="9"/>
      <c r="Q959" s="9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5"/>
      <c r="M960" s="9"/>
      <c r="N960" s="9"/>
      <c r="O960" s="9"/>
      <c r="P960" s="9"/>
      <c r="Q960" s="9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5"/>
      <c r="M961" s="9"/>
      <c r="N961" s="9"/>
      <c r="O961" s="9"/>
      <c r="P961" s="9"/>
      <c r="Q961" s="9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5"/>
      <c r="M962" s="9"/>
      <c r="N962" s="9"/>
      <c r="O962" s="9"/>
      <c r="P962" s="9"/>
      <c r="Q962" s="9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5"/>
      <c r="M963" s="9"/>
      <c r="N963" s="9"/>
      <c r="O963" s="9"/>
      <c r="P963" s="9"/>
      <c r="Q963" s="9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5"/>
      <c r="M964" s="9"/>
      <c r="N964" s="9"/>
      <c r="O964" s="9"/>
      <c r="P964" s="9"/>
      <c r="Q964" s="9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5"/>
      <c r="M965" s="9"/>
      <c r="N965" s="9"/>
      <c r="O965" s="9"/>
      <c r="P965" s="9"/>
      <c r="Q965" s="9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5"/>
      <c r="M966" s="9"/>
      <c r="N966" s="9"/>
      <c r="O966" s="9"/>
      <c r="P966" s="9"/>
      <c r="Q966" s="9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5"/>
      <c r="M967" s="9"/>
      <c r="N967" s="9"/>
      <c r="O967" s="9"/>
      <c r="P967" s="9"/>
      <c r="Q967" s="9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5"/>
      <c r="M968" s="9"/>
      <c r="N968" s="9"/>
      <c r="O968" s="9"/>
      <c r="P968" s="9"/>
      <c r="Q968" s="9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5"/>
      <c r="M969" s="9"/>
      <c r="N969" s="9"/>
      <c r="O969" s="9"/>
      <c r="P969" s="9"/>
      <c r="Q969" s="9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5"/>
      <c r="M970" s="9"/>
      <c r="N970" s="9"/>
      <c r="O970" s="9"/>
      <c r="P970" s="9"/>
      <c r="Q970" s="9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5"/>
      <c r="M971" s="9"/>
      <c r="N971" s="9"/>
      <c r="O971" s="9"/>
      <c r="P971" s="9"/>
      <c r="Q971" s="9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5"/>
      <c r="M972" s="9"/>
      <c r="N972" s="9"/>
      <c r="O972" s="9"/>
      <c r="P972" s="9"/>
      <c r="Q972" s="9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5"/>
      <c r="M973" s="9"/>
      <c r="N973" s="9"/>
      <c r="O973" s="9"/>
      <c r="P973" s="9"/>
      <c r="Q973" s="9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5"/>
      <c r="M974" s="9"/>
      <c r="N974" s="9"/>
      <c r="O974" s="9"/>
      <c r="P974" s="9"/>
      <c r="Q974" s="9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5"/>
      <c r="M975" s="9"/>
      <c r="N975" s="9"/>
      <c r="O975" s="9"/>
      <c r="P975" s="9"/>
      <c r="Q975" s="9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5"/>
      <c r="M976" s="9"/>
      <c r="N976" s="9"/>
      <c r="O976" s="9"/>
      <c r="P976" s="9"/>
      <c r="Q976" s="9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5"/>
      <c r="M977" s="9"/>
      <c r="N977" s="9"/>
      <c r="O977" s="9"/>
      <c r="P977" s="9"/>
      <c r="Q977" s="9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5"/>
      <c r="M978" s="9"/>
      <c r="N978" s="9"/>
      <c r="O978" s="9"/>
      <c r="P978" s="9"/>
      <c r="Q978" s="9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5"/>
      <c r="M979" s="9"/>
      <c r="N979" s="9"/>
      <c r="O979" s="9"/>
      <c r="P979" s="9"/>
      <c r="Q979" s="9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5"/>
      <c r="M980" s="9"/>
      <c r="N980" s="9"/>
      <c r="O980" s="9"/>
      <c r="P980" s="9"/>
      <c r="Q980" s="9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5"/>
      <c r="M981" s="9"/>
      <c r="N981" s="9"/>
      <c r="O981" s="9"/>
      <c r="P981" s="9"/>
      <c r="Q981" s="9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5"/>
      <c r="M982" s="9"/>
      <c r="N982" s="9"/>
      <c r="O982" s="9"/>
      <c r="P982" s="9"/>
      <c r="Q982" s="9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5"/>
      <c r="M983" s="9"/>
      <c r="N983" s="9"/>
      <c r="O983" s="9"/>
      <c r="P983" s="9"/>
      <c r="Q983" s="9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5"/>
      <c r="M984" s="9"/>
      <c r="N984" s="9"/>
      <c r="O984" s="9"/>
      <c r="P984" s="9"/>
      <c r="Q984" s="9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5"/>
      <c r="M985" s="9"/>
      <c r="N985" s="9"/>
      <c r="O985" s="9"/>
      <c r="P985" s="9"/>
      <c r="Q985" s="9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5"/>
      <c r="M986" s="9"/>
      <c r="N986" s="9"/>
      <c r="O986" s="9"/>
      <c r="P986" s="9"/>
      <c r="Q986" s="9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5"/>
      <c r="M987" s="9"/>
      <c r="N987" s="9"/>
      <c r="O987" s="9"/>
      <c r="P987" s="9"/>
      <c r="Q987" s="9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5"/>
      <c r="M988" s="9"/>
      <c r="N988" s="9"/>
      <c r="O988" s="9"/>
      <c r="P988" s="9"/>
      <c r="Q988" s="9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5"/>
      <c r="M989" s="9"/>
      <c r="N989" s="9"/>
      <c r="O989" s="9"/>
      <c r="P989" s="9"/>
      <c r="Q989" s="9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5"/>
      <c r="M990" s="9"/>
      <c r="N990" s="9"/>
      <c r="O990" s="9"/>
      <c r="P990" s="9"/>
      <c r="Q990" s="9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5"/>
      <c r="M991" s="9"/>
      <c r="N991" s="9"/>
      <c r="O991" s="9"/>
      <c r="P991" s="9"/>
      <c r="Q991" s="9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5"/>
      <c r="M992" s="9"/>
      <c r="N992" s="9"/>
      <c r="O992" s="9"/>
      <c r="P992" s="9"/>
      <c r="Q992" s="9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5"/>
      <c r="M993" s="9"/>
      <c r="N993" s="9"/>
      <c r="O993" s="9"/>
      <c r="P993" s="9"/>
      <c r="Q993" s="9"/>
      <c r="R993" s="5"/>
      <c r="S993" s="5"/>
      <c r="T993" s="5"/>
      <c r="U993" s="5"/>
      <c r="V993" s="5"/>
      <c r="W993" s="5"/>
      <c r="X993" s="5"/>
      <c r="Y993" s="5"/>
      <c r="Z993" s="5"/>
    </row>
  </sheetData>
  <mergeCells count="20">
    <mergeCell ref="B2:F2"/>
    <mergeCell ref="B3:B5"/>
    <mergeCell ref="C3:C5"/>
    <mergeCell ref="D3:D5"/>
    <mergeCell ref="E3:E5"/>
    <mergeCell ref="B6:B15"/>
    <mergeCell ref="H6:H15"/>
    <mergeCell ref="B16:B20"/>
    <mergeCell ref="H16:H20"/>
    <mergeCell ref="B21:B26"/>
    <mergeCell ref="H21:H26"/>
    <mergeCell ref="B27:B30"/>
    <mergeCell ref="H27:H30"/>
    <mergeCell ref="B31:B32"/>
    <mergeCell ref="H31:H32"/>
    <mergeCell ref="B33:B35"/>
    <mergeCell ref="H33:H35"/>
    <mergeCell ref="B37:B38"/>
    <mergeCell ref="C37:E37"/>
    <mergeCell ref="C38:E38"/>
  </mergeCells>
  <phoneticPr fontId="28" type="noConversion"/>
  <conditionalFormatting sqref="F6:F36">
    <cfRule type="cellIs" dxfId="50" priority="1" operator="equal">
      <formula>"취약"</formula>
    </cfRule>
    <cfRule type="cellIs" dxfId="49" priority="2" operator="equal">
      <formula>"N/A"</formula>
    </cfRule>
    <cfRule type="containsText" dxfId="45" priority="3" operator="containsText" text="인터뷰">
      <formula>NOT(ISERROR(SEARCH("인터뷰",F6)))</formula>
    </cfRule>
    <cfRule type="containsText" dxfId="44" priority="4" operator="containsText" text="확인">
      <formula>NOT(ISERROR(SEARCH("확인",F6)))</formula>
    </cfRule>
  </conditionalFormatting>
  <conditionalFormatting sqref="I6:I36">
    <cfRule type="cellIs" dxfId="49" priority="5" operator="equal">
      <formula>"N/A"</formula>
    </cfRule>
  </conditionalFormatting>
  <pageMargins left="0.25" right="0.25" top="0.75" bottom="0.75" header="0" footer="0"/>
  <pageSetup paperSize="9" fitToWidth="1" orientation="landscape" r:id="rId1" fitToHeight="0"/>
  <headerFooter>
    <oddFooter>&amp;C&amp;P / &amp;N</oddFooter>
  </headerFooter>
  <ignoredErrors>
    <ignoredError sqref="C6:C36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993"/>
  <sheetViews>
    <sheetView zoomScale="55" zoomScaleNormal="55" workbookViewId="0">
      <pane ySplit="5" topLeftCell="A6" activePane="bottomLeft" state="frozen"/>
      <selection activeCell="A1" sqref="A1"/>
      <selection pane="bottomLeft" activeCell="A6" sqref="A6"/>
    </sheetView>
  </sheetViews>
  <sheetFormatPr defaultColWidth="14.44140625" defaultRowHeight="15" customHeight="1"/>
  <cols>
    <col min="1" max="1" width="1.6640625" customWidth="1"/>
    <col min="2" max="2" width="14.88671875" customWidth="1"/>
    <col min="3" max="3" width="6.33203125" customWidth="1"/>
    <col min="4" max="4" width="40.6640625" customWidth="1"/>
    <col min="5" max="5" width="38.6640625" customWidth="1"/>
    <col min="6" max="6" width="12.5" customWidth="1"/>
    <col min="7" max="7" width="67.39" customWidth="1"/>
    <col min="8" max="8" width="5.88671875" customWidth="1"/>
    <col min="9" max="9" width="36" customWidth="1"/>
    <col min="10" max="10" width="5.88671875" customWidth="1"/>
    <col min="11" max="11" width="36" customWidth="1"/>
    <col min="12" max="12" width="5.88671875" customWidth="1"/>
    <col min="13" max="13" width="36" customWidth="1"/>
    <col min="14" max="14" width="5.88671875" customWidth="1"/>
    <col min="15" max="15" width="36" customWidth="1"/>
    <col min="16" max="16" width="5.88671875" customWidth="1"/>
    <col min="17" max="17" width="36" customWidth="1"/>
    <col min="18" max="26" width="8.88671875" customWidth="1"/>
  </cols>
  <sheetData>
    <row r="1" spans="1:26" ht="12" customHeight="1">
      <c r="A1" s="1"/>
      <c r="B1" s="1"/>
      <c r="C1" s="1"/>
      <c r="E1" s="3"/>
      <c r="F1" s="3"/>
      <c r="G1" s="5"/>
      <c r="H1" s="3"/>
      <c r="I1" s="5"/>
      <c r="J1" s="3"/>
      <c r="K1" s="5"/>
      <c r="L1" s="3"/>
      <c r="M1" s="5"/>
      <c r="N1" s="3"/>
      <c r="O1" s="5"/>
      <c r="P1" s="3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36.75" customHeight="1" thickBot="1">
      <c r="A2" s="35"/>
      <c r="B2" s="172" t="inlineStr">
        <is>
          <t xml:space="preserve">NCP 취약점 진단 상세결과(31항목)</t>
        </is>
      </c>
      <c r="C2" s="173"/>
      <c r="D2" s="173"/>
      <c r="E2" s="173"/>
      <c r="F2" s="173"/>
      <c r="G2" s="4"/>
      <c r="H2" s="36"/>
      <c r="I2" s="4"/>
      <c r="J2" s="12"/>
      <c r="K2" s="4"/>
      <c r="L2" s="12"/>
      <c r="M2" s="4"/>
      <c r="N2" s="12"/>
      <c r="O2" s="4"/>
      <c r="P2" s="12"/>
      <c r="Q2" s="4"/>
      <c r="R2" s="5"/>
      <c r="S2" s="5"/>
      <c r="T2" s="5"/>
      <c r="U2" s="5"/>
      <c r="V2" s="5"/>
      <c r="W2" s="5"/>
      <c r="X2" s="5"/>
      <c r="Y2" s="5"/>
      <c r="Z2" s="5"/>
    </row>
    <row r="3" spans="1:26" ht="17.25" customHeight="1">
      <c r="A3" s="37"/>
      <c r="B3" s="162" t="s">
        <v>19</v>
      </c>
      <c r="C3" s="179" t="s">
        <v>20</v>
      </c>
      <c r="D3" s="179" t="s">
        <v>21</v>
      </c>
      <c r="E3" s="179" t="s">
        <v>31</v>
      </c>
      <c r="F3" s="179">
        <v>1</v>
      </c>
      <c r="G3" s="19">
        <f>IFERROR(VLOOKUP(F$3,'1. 진단 대상'!$B$5:$F$5,2,FALSE),"")</f>
      </c>
      <c r="H3" s="5"/>
      <c r="I3" s="5"/>
      <c r="J3" s="5"/>
      <c r="K3" s="5"/>
      <c r="L3" s="5"/>
      <c r="M3" s="5"/>
      <c r="N3" s="5"/>
      <c r="O3" s="5"/>
      <c r="P3" s="5"/>
    </row>
    <row r="4" spans="1:26" ht="17.25" customHeight="1">
      <c r="A4" s="37"/>
      <c r="B4" s="188"/>
      <c r="C4" s="180"/>
      <c r="D4" s="180"/>
      <c r="E4" s="180"/>
      <c r="F4" s="180"/>
      <c r="G4" s="21">
        <f>IFERROR(VLOOKUP(F$3,'1. 진단 대상'!$B$5:$F$5,3,FALSE),"")</f>
      </c>
      <c r="H4" s="5"/>
      <c r="I4" s="5"/>
      <c r="J4" s="5"/>
      <c r="K4" s="5"/>
      <c r="L4" s="5"/>
      <c r="M4" s="5"/>
      <c r="N4" s="5"/>
      <c r="O4" s="5"/>
      <c r="P4" s="5"/>
    </row>
    <row r="5" spans="1:26" ht="17.25" customHeight="1" thickBot="1">
      <c r="A5" s="37"/>
      <c r="B5" s="188"/>
      <c r="C5" s="181"/>
      <c r="D5" s="181"/>
      <c r="E5" s="181"/>
      <c r="F5" s="181"/>
      <c r="G5" s="44">
        <f>IFERROR(VLOOKUP(F$3,'1. 진단 대상'!$B$5:$F$5,5,FALSE),"")</f>
      </c>
      <c r="H5" s="5"/>
      <c r="I5" s="5"/>
      <c r="J5" s="5"/>
      <c r="K5" s="5"/>
      <c r="L5" s="5"/>
      <c r="M5" s="5"/>
      <c r="N5" s="5"/>
      <c r="O5" s="5"/>
      <c r="P5" s="5"/>
    </row>
    <row r="6" spans="1:16" ht="63.90" customHeight="1">
      <c r="A6" s="1"/>
      <c r="B6" s="237" t="inlineStr">
        <is>
          <t xml:space="preserve">1. 계정관리</t>
        </is>
      </c>
      <c r="C6" s="238" t="inlineStr">
        <is>
          <t xml:space="preserve">AC-01</t>
        </is>
      </c>
      <c r="D6" s="239" t="inlineStr">
        <is>
          <t xml:space="preserve">패스워드 복잡성 설정</t>
        </is>
      </c>
      <c r="E6" s="240" t="inlineStr">
        <is>
          <t xml:space="preserve">양호 - 영문자·숫자·특수문자를 조합하여 8자 이상으로 패스워드가 설정된 경우
취약 - 패스워드 조합 규칙을 충족하지 않는 경우</t>
        </is>
      </c>
      <c r="F6" s="243"/>
      <c r="G6" s="242"/>
    </row>
    <row r="7" spans="1:16" ht="63.90" customHeight="1">
      <c r="A7" s="1"/>
      <c r="B7" s="163"/>
      <c r="C7" s="90" t="inlineStr">
        <is>
          <t xml:space="preserve">AC-02</t>
        </is>
      </c>
      <c r="D7" s="212" t="inlineStr">
        <is>
          <t xml:space="preserve">패스워드 최소 길이 설정</t>
        </is>
      </c>
      <c r="E7" s="108" t="inlineStr">
        <is>
          <t xml:space="preserve">양호 - 패스워드 최소 길이가 8자 이상으로 설정된 경우
취약 - 패스워드 최소 길이가 8자 미만인 경우</t>
        </is>
      </c>
      <c r="F7" s="244"/>
      <c r="G7" s="201"/>
    </row>
    <row r="8" spans="1:16" ht="79.50" customHeight="1">
      <c r="A8" s="1"/>
      <c r="B8" s="163"/>
      <c r="C8" s="90" t="inlineStr">
        <is>
          <t xml:space="preserve">AC-03</t>
        </is>
      </c>
      <c r="D8" s="212" t="inlineStr">
        <is>
          <t xml:space="preserve">강화된 인증방식 적용</t>
        </is>
      </c>
      <c r="E8" s="108" t="inlineStr">
        <is>
          <t xml:space="preserve">양호 - 메인 계정·Sub Account 모두 ID/PW 외 추가 인증수단(인증번호·OTP)을 적용한 경우
취약 - 2차 인증이 미적용된 계정이 존재하는 경우</t>
        </is>
      </c>
      <c r="F8" s="244"/>
      <c r="G8" s="201"/>
    </row>
    <row r="9" spans="1:16" ht="63.90" customHeight="1">
      <c r="A9" s="1"/>
      <c r="B9" s="163"/>
      <c r="C9" s="90" t="inlineStr">
        <is>
          <t xml:space="preserve">AC-04</t>
        </is>
      </c>
      <c r="D9" s="212" t="inlineStr">
        <is>
          <t xml:space="preserve">API 인증키 관리</t>
        </is>
      </c>
      <c r="E9" s="108" t="inlineStr">
        <is>
          <t xml:space="preserve">양호 - 메인 계정·Sub Account의 Access Key를 주기적으로 관리·교체하는 경우
취약 - Access Key가 장기간 미교체·방치된 경우</t>
        </is>
      </c>
      <c r="F9" s="244"/>
      <c r="G9" s="201"/>
    </row>
    <row r="10" spans="1:16" ht="63.90" customHeight="1">
      <c r="A10" s="1"/>
      <c r="B10" s="163"/>
      <c r="C10" s="90" t="inlineStr">
        <is>
          <t xml:space="preserve">AC-05</t>
        </is>
      </c>
      <c r="D10" s="212" t="inlineStr">
        <is>
          <t xml:space="preserve">계정 권한 부여 방식</t>
        </is>
      </c>
      <c r="E10" s="108" t="inlineStr">
        <is>
          <t xml:space="preserve">양호 - Sub Account의 모든 계정이 그룹에 속하여 권한을 부여받은 경우
취약 - 그룹에 속하지 않은 특수권한 계정이 존재하는 경우</t>
        </is>
      </c>
      <c r="F10" s="244"/>
      <c r="G10" s="201"/>
    </row>
    <row r="11" spans="1:16" ht="63.90" customHeight="1">
      <c r="A11" s="1"/>
      <c r="B11" s="163"/>
      <c r="C11" s="90" t="inlineStr">
        <is>
          <t xml:space="preserve">AC-06</t>
        </is>
      </c>
      <c r="D11" s="212" t="inlineStr">
        <is>
          <t xml:space="preserve">메인 계정 사용 금지</t>
        </is>
      </c>
      <c r="E11" s="108" t="inlineStr">
        <is>
          <t xml:space="preserve">양호 - 메인 계정을 사용하지 않고 서브 계정에 적절한 권한을 부여하여 사용하는 경우
취약 - 메인(루트) 계정을 상시 사용하는 경우</t>
        </is>
      </c>
      <c r="F11" s="244"/>
      <c r="G11" s="201"/>
    </row>
    <row r="12" spans="1:16" ht="79.50" customHeight="1">
      <c r="A12" s="1"/>
      <c r="B12" s="163"/>
      <c r="C12" s="90" t="inlineStr">
        <is>
          <t xml:space="preserve">AC-07</t>
        </is>
      </c>
      <c r="D12" s="212" t="inlineStr">
        <is>
          <t xml:space="preserve">불필요한 계정 제거</t>
        </is>
      </c>
      <c r="E12" s="108" t="inlineStr">
        <is>
          <t xml:space="preserve">양호 - Sub Account에 불필요·미사용(퇴직·휴직·장기미사용) 계정이 존재하지 않는 경우
취약 - 불필요·미사용 계정이 존재하는 경우</t>
        </is>
      </c>
      <c r="F12" s="244"/>
      <c r="G12" s="201"/>
    </row>
    <row r="13" spans="1:16" ht="48.30" customHeight="1">
      <c r="A13" s="1"/>
      <c r="B13" s="163"/>
      <c r="C13" s="90" t="inlineStr">
        <is>
          <t xml:space="preserve">AC-08</t>
        </is>
      </c>
      <c r="D13" s="212" t="inlineStr">
        <is>
          <t xml:space="preserve">계정 속성 만료 활성화</t>
        </is>
      </c>
      <c r="E13" s="108" t="inlineStr">
        <is>
          <t xml:space="preserve">양호 - 미사용 세션 및 비밀번호 만료 기능이 활성화되고 적절한 만료일이 설정된 경우
취약 - 만료 설정이 비활성화된 경우</t>
        </is>
      </c>
      <c r="F13" s="244"/>
      <c r="G13" s="201"/>
    </row>
    <row r="14" spans="1:16" ht="63.90" customHeight="1">
      <c r="A14" s="1"/>
      <c r="B14" s="163"/>
      <c r="C14" s="90" t="inlineStr">
        <is>
          <t xml:space="preserve">AC-09</t>
        </is>
      </c>
      <c r="D14" s="212" t="inlineStr">
        <is>
          <t xml:space="preserve">정확한 정책 및 역할 할당</t>
        </is>
      </c>
      <c r="E14" s="108" t="inlineStr">
        <is>
          <t xml:space="preserve">양호 - Sub Account 계정에 필요한 정책과 적절한 역할이 할당된 경우
취약 - 과도하거나 부적절한 정책·역할이 부여된 경우</t>
        </is>
      </c>
      <c r="F14" s="244"/>
      <c r="G14" s="201"/>
    </row>
    <row r="15" spans="1:16" ht="79.50" customHeight="1">
      <c r="A15" s="1"/>
      <c r="B15" s="245"/>
      <c r="C15" s="246" t="inlineStr">
        <is>
          <t xml:space="preserve">AC-10</t>
        </is>
      </c>
      <c r="D15" s="247" t="inlineStr">
        <is>
          <t xml:space="preserve">통합 계정 관리</t>
        </is>
      </c>
      <c r="E15" s="248" t="inlineStr">
        <is>
          <t xml:space="preserve">양호 - Organization으로 거버넌스 정책을 수립하여 계정별 서비스·사용량을 제어하는 경우
취약 - 다수 계정이 통합 관리 없이 개별 운영되는 경우</t>
        </is>
      </c>
      <c r="F15" s="251"/>
      <c r="G15" s="250"/>
    </row>
    <row r="16" spans="1:16" ht="63.90" customHeight="1">
      <c r="A16" s="1"/>
      <c r="B16" s="237" t="inlineStr">
        <is>
          <t xml:space="preserve">2. 네트워크 보안</t>
        </is>
      </c>
      <c r="C16" s="238" t="inlineStr">
        <is>
          <t xml:space="preserve">VP-01</t>
        </is>
      </c>
      <c r="D16" s="239" t="inlineStr">
        <is>
          <t xml:space="preserve">VPC Naming 설정</t>
        </is>
      </c>
      <c r="E16" s="240" t="inlineStr">
        <is>
          <t xml:space="preserve">양호 - VPC 이름을 통해 서비스를 식별할 수 있는 경우
취약 - 식별이 불가능한 이름으로 VPC가 생성된 경우</t>
        </is>
      </c>
      <c r="F16" s="243"/>
      <c r="G16" s="242"/>
    </row>
    <row r="17" spans="1:16" ht="63.90" customHeight="1">
      <c r="A17" s="1"/>
      <c r="B17" s="163"/>
      <c r="C17" s="90" t="inlineStr">
        <is>
          <t xml:space="preserve">VP-02</t>
        </is>
      </c>
      <c r="D17" s="212" t="inlineStr">
        <is>
          <t xml:space="preserve">서비스 목적에 따른 네트워크 분리</t>
        </is>
      </c>
      <c r="E17" s="108" t="inlineStr">
        <is>
          <t xml:space="preserve">양호 - 서비스 사용 목적에 따라 Subnet이 분리된 경우
취약 - 목적 구분 없이 Subnet이 혼용되는 경우</t>
        </is>
      </c>
      <c r="F17" s="244"/>
      <c r="G17" s="201"/>
    </row>
    <row r="18" spans="1:16" ht="63.90" customHeight="1">
      <c r="A18" s="1"/>
      <c r="B18" s="163"/>
      <c r="C18" s="90" t="inlineStr">
        <is>
          <t xml:space="preserve">VP-03</t>
        </is>
      </c>
      <c r="D18" s="212" t="inlineStr">
        <is>
          <t xml:space="preserve">NACL 관리</t>
        </is>
      </c>
      <c r="E18" s="108" t="inlineStr">
        <is>
          <t xml:space="preserve">양호 - 전체 차단 정책을 기본으로 서비스에 필요한 IP·Port만 허용된 경우
취약 - Network ACL 정책이 없거나 광범위하게 허용된 경우</t>
        </is>
      </c>
      <c r="F18" s="244"/>
      <c r="G18" s="201"/>
    </row>
    <row r="19" spans="1:16" ht="63.90" customHeight="1">
      <c r="A19" s="1"/>
      <c r="B19" s="163"/>
      <c r="C19" s="90" t="inlineStr">
        <is>
          <t xml:space="preserve">VP-04</t>
        </is>
      </c>
      <c r="D19" s="212" t="inlineStr">
        <is>
          <t xml:space="preserve">NAT Gateway 관리</t>
        </is>
      </c>
      <c r="E19" s="108" t="inlineStr">
        <is>
          <t xml:space="preserve">양호 - 외부 통신이 더 이상 필요 없는 서버가 NAT Gateway 설정에서 제외된 경우
취약 - 사용 목적이 완료된 서버가 외부 통신 가능 상태로 남아있는 경우</t>
        </is>
      </c>
      <c r="F19" s="244"/>
      <c r="G19" s="201"/>
    </row>
    <row r="20" spans="1:16" ht="79.50" customHeight="1">
      <c r="A20" s="1"/>
      <c r="B20" s="245"/>
      <c r="C20" s="246" t="inlineStr">
        <is>
          <t xml:space="preserve">VP-05</t>
        </is>
      </c>
      <c r="D20" s="247" t="inlineStr">
        <is>
          <t xml:space="preserve">안전한 접속 수단 설정</t>
        </is>
      </c>
      <c r="E20" s="248" t="inlineStr">
        <is>
          <t xml:space="preserve">양호 - 정보자산 접속 시 SSL VPN·IPsec VPN·Certificate Manager 등 안전한 접속 수단을 적용한 경우
취약 - 암호화되지 않은 접속 수단을 사용하는 경우</t>
        </is>
      </c>
      <c r="F20" s="251"/>
      <c r="G20" s="250"/>
    </row>
    <row r="21" spans="1:16" ht="63.90" customHeight="1">
      <c r="A21" s="1"/>
      <c r="B21" s="237" t="inlineStr">
        <is>
          <t xml:space="preserve">3. 서버 보안</t>
        </is>
      </c>
      <c r="C21" s="238" t="inlineStr">
        <is>
          <t xml:space="preserve">SV-01</t>
        </is>
      </c>
      <c r="D21" s="239" t="inlineStr">
        <is>
          <t xml:space="preserve">서비스 포트 관리</t>
        </is>
      </c>
      <c r="E21" s="240" t="inlineStr">
        <is>
          <t xml:space="preserve">양호 - ACG에 서비스에 필요한 IP·Port만 허용된 경우
취약 - 불필요한 IP·Port(ANY 등)가 허용된 경우</t>
        </is>
      </c>
      <c r="F21" s="243"/>
      <c r="G21" s="242"/>
    </row>
    <row r="22" spans="1:16" ht="63.90" customHeight="1">
      <c r="A22" s="1"/>
      <c r="B22" s="163"/>
      <c r="C22" s="90" t="inlineStr">
        <is>
          <t xml:space="preserve">SV-02</t>
        </is>
      </c>
      <c r="D22" s="212" t="inlineStr">
        <is>
          <t xml:space="preserve">서버간 통신 제어</t>
        </is>
      </c>
      <c r="E22" s="108" t="inlineStr">
        <is>
          <t xml:space="preserve">양호 - 서버 간 통신이 승인된 정책 범위 내에서만 ACG로 허용된 경우
취약 - 서버 간 통신이 광범위하게 허용된 경우</t>
        </is>
      </c>
      <c r="F22" s="244"/>
      <c r="G22" s="201"/>
    </row>
    <row r="23" spans="1:16" ht="63.90" customHeight="1">
      <c r="A23" s="1"/>
      <c r="B23" s="163"/>
      <c r="C23" s="90" t="inlineStr">
        <is>
          <t xml:space="preserve">SV-03</t>
        </is>
      </c>
      <c r="D23" s="212" t="inlineStr">
        <is>
          <t xml:space="preserve">사용자 접근 통제</t>
        </is>
      </c>
      <c r="E23" s="108" t="inlineStr">
        <is>
          <t xml:space="preserve">양호 - 서버 접속 시 인증키를 통해 접속하는 경우
취약 - ID/Password 직접 입력 방식으로 서버에 접속하는 경우</t>
        </is>
      </c>
      <c r="F23" s="244"/>
      <c r="G23" s="201"/>
    </row>
    <row r="24" spans="1:16" ht="63.90" customHeight="1">
      <c r="A24" s="1"/>
      <c r="B24" s="163"/>
      <c r="C24" s="90" t="inlineStr">
        <is>
          <t xml:space="preserve">SV-04</t>
        </is>
      </c>
      <c r="D24" s="212" t="inlineStr">
        <is>
          <t xml:space="preserve">공인 IP 사용 제한</t>
        </is>
      </c>
      <c r="E24" s="108" t="inlineStr">
        <is>
          <t xml:space="preserve">양호 - Private Zone에 위치한 서버에 공인 IP가 할당되지 않은 경우
취약 - Private Zone 서버에 공인 IP가 할당된 경우</t>
        </is>
      </c>
      <c r="F24" s="244"/>
      <c r="G24" s="201"/>
    </row>
    <row r="25" spans="1:16" ht="63.90" customHeight="1">
      <c r="A25" s="1"/>
      <c r="B25" s="163"/>
      <c r="C25" s="90" t="inlineStr">
        <is>
          <t xml:space="preserve">SV-05</t>
        </is>
      </c>
      <c r="D25" s="212" t="inlineStr">
        <is>
          <t xml:space="preserve">불필요한 서버 제거</t>
        </is>
      </c>
      <c r="E25" s="108" t="inlineStr">
        <is>
          <t xml:space="preserve">양호 - 사용 목적이 완료된 서버를 정기 검토를 통해 반납 처리하는 경우
취약 - 불필요한 서버가 미반납 상태로 방치된 경우</t>
        </is>
      </c>
      <c r="F25" s="244"/>
      <c r="G25" s="201"/>
    </row>
    <row r="26" spans="1:16" ht="63.90" customHeight="1">
      <c r="A26" s="1"/>
      <c r="B26" s="245"/>
      <c r="C26" s="246" t="inlineStr">
        <is>
          <t xml:space="preserve">SV-06</t>
        </is>
      </c>
      <c r="D26" s="247" t="inlineStr">
        <is>
          <t xml:space="preserve">OS 취약성 점검</t>
        </is>
      </c>
      <c r="E26" s="248" t="inlineStr">
        <is>
          <t xml:space="preserve">양호 - 주기적으로 OS 취약성 점검을 이행하는 경우
취약 - OS 취약성 점검이 수행되지 않는 경우</t>
        </is>
      </c>
      <c r="F26" s="251"/>
      <c r="G26" s="250"/>
    </row>
    <row r="27" spans="1:16" ht="48.30" customHeight="1">
      <c r="A27" s="1"/>
      <c r="B27" s="237" t="inlineStr">
        <is>
          <t xml:space="preserve">4. 스토리지 보안</t>
        </is>
      </c>
      <c r="C27" s="238" t="inlineStr">
        <is>
          <t xml:space="preserve">ST-01</t>
        </is>
      </c>
      <c r="D27" s="239" t="inlineStr">
        <is>
          <t xml:space="preserve">버킷 공개 설정</t>
        </is>
      </c>
      <c r="E27" s="240" t="inlineStr">
        <is>
          <t xml:space="preserve">양호 - 중요정보를 보관한 Object Storage 버킷이 비공개로 설정된 경우
취약 - 버킷이 외부에 공개로 설정된 경우</t>
        </is>
      </c>
      <c r="F27" s="243"/>
      <c r="G27" s="242"/>
    </row>
    <row r="28" spans="1:16" ht="79.50" customHeight="1">
      <c r="A28" s="1"/>
      <c r="B28" s="163"/>
      <c r="C28" s="90" t="inlineStr">
        <is>
          <t xml:space="preserve">ST-02</t>
        </is>
      </c>
      <c r="D28" s="212" t="inlineStr">
        <is>
          <t xml:space="preserve">데이터 수명 주기 관리</t>
        </is>
      </c>
      <c r="E28" s="108" t="inlineStr">
        <is>
          <t xml:space="preserve">양호 - 사용 완료 데이터가 수명주기 정책에 따라 Archive Storage 등으로 이관·보관되는 경우
취약 - 수명주기 정책 없이 데이터가 방치된 경우</t>
        </is>
      </c>
      <c r="F28" s="244"/>
      <c r="G28" s="201"/>
    </row>
    <row r="29" spans="1:16" ht="48.30" customHeight="1">
      <c r="A29" s="1"/>
      <c r="B29" s="163"/>
      <c r="C29" s="90" t="inlineStr">
        <is>
          <t xml:space="preserve">ST-03</t>
        </is>
      </c>
      <c r="D29" s="212" t="inlineStr">
        <is>
          <t xml:space="preserve">불필요한 버킷 제거</t>
        </is>
      </c>
      <c r="E29" s="108" t="inlineStr">
        <is>
          <t xml:space="preserve">양호 - 사용 목적이 완료된 버킷을 정기 검토를 통해 삭제 처리하는 경우
취약 - 불필요한 버킷이 방치된 경우</t>
        </is>
      </c>
      <c r="F29" s="244"/>
      <c r="G29" s="201"/>
    </row>
    <row r="30" spans="1:16" ht="79.50" customHeight="1">
      <c r="A30" s="1"/>
      <c r="B30" s="245"/>
      <c r="C30" s="246" t="inlineStr">
        <is>
          <t xml:space="preserve">ST-04</t>
        </is>
      </c>
      <c r="D30" s="247" t="inlineStr">
        <is>
          <t xml:space="preserve">NAS 접근제어</t>
        </is>
      </c>
      <c r="E30" s="248" t="inlineStr">
        <is>
          <t xml:space="preserve">양호 - 사용 중지 서버 또는 공유 대상이 아닌 서버의 NAS 마운트 여부를 주기적으로 점검하는 경우
취약 - 불필요한 서버가 NAS에 마운트된 경우</t>
        </is>
      </c>
      <c r="F30" s="251"/>
      <c r="G30" s="250"/>
    </row>
    <row r="31" spans="1:16" ht="63.90" customHeight="1">
      <c r="A31" s="1"/>
      <c r="B31" s="237" t="inlineStr">
        <is>
          <t xml:space="preserve">5. DB 보안</t>
        </is>
      </c>
      <c r="C31" s="238" t="inlineStr">
        <is>
          <t xml:space="preserve">DB-01</t>
        </is>
      </c>
      <c r="D31" s="239" t="inlineStr">
        <is>
          <t xml:space="preserve">DB 접근통제</t>
        </is>
      </c>
      <c r="E31" s="240" t="inlineStr">
        <is>
          <t xml:space="preserve">양호 - DB 접근이 필요한 응용프로그램·서버·사용자를 식별하고 접근통제 정책에 따라 통제하는 경우
취약 - DB 접근통제 정책이 미흡한 경우</t>
        </is>
      </c>
      <c r="F31" s="243"/>
      <c r="G31" s="242"/>
    </row>
    <row r="32" spans="1:16" ht="63.90" customHeight="1">
      <c r="A32" s="1"/>
      <c r="B32" s="245"/>
      <c r="C32" s="246" t="inlineStr">
        <is>
          <t xml:space="preserve">DB-02</t>
        </is>
      </c>
      <c r="D32" s="247" t="inlineStr">
        <is>
          <t xml:space="preserve">DB Backup</t>
        </is>
      </c>
      <c r="E32" s="248" t="inlineStr">
        <is>
          <t xml:space="preserve">양호 - 데이터 가용성·무결성 유지를 위해 이중화 구성 및 백업 절차를 마련한 경우
취약 - 백업·이중화 절차가 마련되지 않은 경우</t>
        </is>
      </c>
      <c r="F32" s="251"/>
      <c r="G32" s="250"/>
    </row>
    <row r="33" spans="1:16" ht="63.90" customHeight="1">
      <c r="A33" s="1"/>
      <c r="B33" s="237" t="inlineStr">
        <is>
          <t xml:space="preserve">6. 클라우드 환경 보안 감사</t>
        </is>
      </c>
      <c r="C33" s="238" t="inlineStr">
        <is>
          <t xml:space="preserve">AU-01</t>
        </is>
      </c>
      <c r="D33" s="239" t="inlineStr">
        <is>
          <t xml:space="preserve">계정 활동 기반 감사</t>
        </is>
      </c>
      <c r="E33" s="240" t="inlineStr">
        <is>
          <t xml:space="preserve">양호 - Cloud Activity Tracer로 계정 접근권한 적정성을 정기 검토하는 경우
취약 - 계정 활동 로그 점검이 이행되지 않는 경우</t>
        </is>
      </c>
      <c r="F33" s="243"/>
      <c r="G33" s="242"/>
    </row>
    <row r="34" spans="1:16" ht="63.90" customHeight="1">
      <c r="A34" s="1"/>
      <c r="B34" s="163"/>
      <c r="C34" s="90" t="inlineStr">
        <is>
          <t xml:space="preserve">AU-02</t>
        </is>
      </c>
      <c r="D34" s="212" t="inlineStr">
        <is>
          <t xml:space="preserve">리소스 기반 감사</t>
        </is>
      </c>
      <c r="E34" s="108" t="inlineStr">
        <is>
          <t xml:space="preserve">양호 - Resource Manager로 리소스 생성·변경·삭제 적정성을 정기 검토하는 경우
취약 - 리소스 변경 이력 점검이 이행되지 않는 경우</t>
        </is>
      </c>
      <c r="F34" s="244"/>
      <c r="G34" s="201"/>
    </row>
    <row r="35" spans="1:16" ht="63.90" customHeight="1">
      <c r="A35" s="1"/>
      <c r="B35" s="245"/>
      <c r="C35" s="246" t="inlineStr">
        <is>
          <t xml:space="preserve">AU-03</t>
        </is>
      </c>
      <c r="D35" s="247" t="inlineStr">
        <is>
          <t xml:space="preserve">모범 사례 기반 감사</t>
        </is>
      </c>
      <c r="E35" s="248" t="inlineStr">
        <is>
          <t xml:space="preserve">양호 - Cloud Advisor 점검항목의 검사결과가 모두 정상인 경우
취약 - 모범 사례 기반 점검 결과 조치되지 않은 항목이 존재하는 경우</t>
        </is>
      </c>
      <c r="F35" s="251"/>
      <c r="G35" s="250"/>
    </row>
    <row r="36" spans="1:16" ht="63.90" customHeight="1">
      <c r="A36" s="1"/>
      <c r="B36" s="252" t="inlineStr">
        <is>
          <t xml:space="preserve">7. 서비스 연속성 확보</t>
        </is>
      </c>
      <c r="C36" s="253" t="inlineStr">
        <is>
          <t xml:space="preserve">MU-01</t>
        </is>
      </c>
      <c r="D36" s="254" t="inlineStr">
        <is>
          <t xml:space="preserve">멀티존 구성</t>
        </is>
      </c>
      <c r="E36" s="255" t="inlineStr">
        <is>
          <t xml:space="preserve">양호 - 중요 서버가 Zone을 통해 이중화되어 있는 경우
취약 - 중요 서버가 단일 Zone에 구성된 경우</t>
        </is>
      </c>
      <c r="F36" s="258"/>
      <c r="G36" s="257"/>
    </row>
    <row r="37" spans="1:16" ht="20.25" customHeight="1">
      <c r="A37" s="1"/>
      <c r="B37" s="174" t="s">
        <v>28</v>
      </c>
      <c r="C37" s="166" t="inlineStr">
        <is>
          <t xml:space="preserve">취약항목 개수</t>
        </is>
      </c>
      <c r="D37" s="184"/>
      <c r="E37" s="185"/>
      <c r="F37" s="85">
        <f>IF(COUNTIF(F$6:F$36,"?*")=0,"",COUNTIF(F$6:F$36,"취약"))</f>
      </c>
      <c r="G37" s="77"/>
      <c r="H37" s="5"/>
      <c r="I37" s="5"/>
      <c r="J37" s="5"/>
      <c r="K37" s="5"/>
      <c r="L37" s="5"/>
      <c r="M37" s="5"/>
      <c r="N37" s="5"/>
      <c r="O37" s="5"/>
      <c r="P37" s="5"/>
    </row>
    <row r="38" spans="1:26" ht="20.25" customHeight="1" thickBot="1">
      <c r="A38" s="1"/>
      <c r="B38" s="183"/>
      <c r="C38" s="169" t="s">
        <v>30</v>
      </c>
      <c r="D38" s="186"/>
      <c r="E38" s="187"/>
      <c r="F38" s="79">
        <f>IF(COUNTIF(F$6:F$36,"?*")=0,"",IFERROR(COUNTIF(F$6:F$36,"양호")/(COUNTIF(F$6:F$36,"양호")+COUNTIF(F$6:F$36,"취약")),"N/A"))</f>
      </c>
      <c r="G38" s="79"/>
      <c r="H38" s="5"/>
      <c r="I38" s="5"/>
      <c r="J38" s="5"/>
      <c r="K38" s="5"/>
      <c r="L38" s="5"/>
      <c r="M38" s="5"/>
      <c r="N38" s="5"/>
      <c r="O38" s="5"/>
      <c r="P38" s="5"/>
    </row>
    <row r="39" spans="1:26" ht="14.2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4.2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4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4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4.2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4.2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4.2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4.25" customHeight="1">
      <c r="A46" s="1"/>
      <c r="B46" s="1"/>
      <c r="C46" s="1"/>
      <c r="D46" s="1"/>
      <c r="E46" s="3"/>
      <c r="F46" s="3"/>
      <c r="G46" s="5"/>
      <c r="H46" s="3"/>
      <c r="I46" s="5"/>
      <c r="J46" s="3"/>
      <c r="K46" s="5"/>
      <c r="L46" s="3"/>
      <c r="M46" s="5"/>
      <c r="N46" s="3"/>
      <c r="O46" s="5"/>
      <c r="P46" s="3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4.25" customHeight="1">
      <c r="A47" s="1"/>
      <c r="B47" s="1"/>
      <c r="C47" s="1"/>
      <c r="D47" s="1"/>
      <c r="E47" s="3"/>
      <c r="F47" s="3"/>
      <c r="G47" s="5"/>
      <c r="H47" s="3"/>
      <c r="I47" s="5"/>
      <c r="J47" s="3"/>
      <c r="K47" s="5"/>
      <c r="L47" s="3"/>
      <c r="M47" s="5"/>
      <c r="N47" s="3"/>
      <c r="O47" s="5"/>
      <c r="P47" s="3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4.25" customHeight="1">
      <c r="A48" s="1"/>
      <c r="B48" s="1"/>
      <c r="C48" s="1"/>
      <c r="D48" s="1"/>
      <c r="E48" s="3"/>
      <c r="F48" s="3"/>
      <c r="G48" s="5"/>
      <c r="H48" s="3"/>
      <c r="I48" s="5"/>
      <c r="J48" s="3"/>
      <c r="K48" s="5"/>
      <c r="L48" s="3"/>
      <c r="M48" s="5"/>
      <c r="N48" s="3"/>
      <c r="O48" s="5"/>
      <c r="P48" s="3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4.25" customHeight="1">
      <c r="A49" s="1"/>
      <c r="B49" s="1"/>
      <c r="C49" s="1"/>
      <c r="D49" s="1"/>
      <c r="E49" s="3"/>
      <c r="F49" s="3"/>
      <c r="G49" s="5"/>
      <c r="H49" s="3"/>
      <c r="I49" s="5"/>
      <c r="J49" s="3"/>
      <c r="K49" s="5"/>
      <c r="L49" s="3"/>
      <c r="M49" s="5"/>
      <c r="N49" s="3"/>
      <c r="O49" s="5"/>
      <c r="P49" s="3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>
      <c r="A50" s="1"/>
      <c r="B50" s="1"/>
      <c r="C50" s="1"/>
      <c r="D50" s="1"/>
      <c r="E50" s="3"/>
      <c r="F50" s="3"/>
      <c r="G50" s="5"/>
      <c r="H50" s="3"/>
      <c r="I50" s="5"/>
      <c r="J50" s="3"/>
      <c r="K50" s="5"/>
      <c r="L50" s="3"/>
      <c r="M50" s="5"/>
      <c r="N50" s="3"/>
      <c r="O50" s="5"/>
      <c r="P50" s="3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>
      <c r="A51" s="1"/>
      <c r="B51" s="1"/>
      <c r="C51" s="1"/>
      <c r="D51" s="1"/>
      <c r="E51" s="3"/>
      <c r="F51" s="3"/>
      <c r="G51" s="5"/>
      <c r="H51" s="3"/>
      <c r="I51" s="5"/>
      <c r="J51" s="3"/>
      <c r="K51" s="5"/>
      <c r="L51" s="3"/>
      <c r="M51" s="5"/>
      <c r="N51" s="3"/>
      <c r="O51" s="5"/>
      <c r="P51" s="3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>
      <c r="A52" s="1"/>
      <c r="B52" s="1"/>
      <c r="C52" s="1"/>
      <c r="D52" s="1"/>
      <c r="E52" s="3"/>
      <c r="F52" s="3"/>
      <c r="G52" s="5"/>
      <c r="H52" s="3"/>
      <c r="I52" s="5"/>
      <c r="J52" s="3"/>
      <c r="K52" s="5"/>
      <c r="L52" s="3"/>
      <c r="M52" s="5"/>
      <c r="N52" s="3"/>
      <c r="O52" s="5"/>
      <c r="P52" s="3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>
      <c r="A53" s="1"/>
      <c r="B53" s="1"/>
      <c r="C53" s="1"/>
      <c r="D53" s="1"/>
      <c r="E53" s="3"/>
      <c r="F53" s="3"/>
      <c r="G53" s="5"/>
      <c r="H53" s="3"/>
      <c r="I53" s="5"/>
      <c r="J53" s="3"/>
      <c r="K53" s="5"/>
      <c r="L53" s="3"/>
      <c r="M53" s="5"/>
      <c r="N53" s="3"/>
      <c r="O53" s="5"/>
      <c r="P53" s="3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>
      <c r="A54" s="1"/>
      <c r="B54" s="1"/>
      <c r="C54" s="1"/>
      <c r="D54" s="1"/>
      <c r="E54" s="3"/>
      <c r="F54" s="3"/>
      <c r="G54" s="5"/>
      <c r="H54" s="3"/>
      <c r="I54" s="5"/>
      <c r="J54" s="3"/>
      <c r="K54" s="5"/>
      <c r="L54" s="3"/>
      <c r="M54" s="5"/>
      <c r="N54" s="3"/>
      <c r="O54" s="5"/>
      <c r="P54" s="3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>
      <c r="A55" s="1"/>
      <c r="B55" s="1"/>
      <c r="C55" s="1"/>
      <c r="D55" s="1"/>
      <c r="E55" s="3"/>
      <c r="F55" s="3"/>
      <c r="G55" s="5"/>
      <c r="H55" s="3"/>
      <c r="I55" s="5"/>
      <c r="J55" s="3"/>
      <c r="K55" s="5"/>
      <c r="L55" s="3"/>
      <c r="M55" s="5"/>
      <c r="N55" s="3"/>
      <c r="O55" s="5"/>
      <c r="P55" s="3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>
      <c r="A56" s="1"/>
      <c r="B56" s="1"/>
      <c r="C56" s="1"/>
      <c r="D56" s="1"/>
      <c r="E56" s="3"/>
      <c r="F56" s="3"/>
      <c r="G56" s="5"/>
      <c r="H56" s="3"/>
      <c r="I56" s="5"/>
      <c r="J56" s="3"/>
      <c r="K56" s="5"/>
      <c r="L56" s="3"/>
      <c r="M56" s="5"/>
      <c r="N56" s="3"/>
      <c r="O56" s="5"/>
      <c r="P56" s="3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>
      <c r="A57" s="1"/>
      <c r="B57" s="1"/>
      <c r="C57" s="1"/>
      <c r="D57" s="1"/>
      <c r="E57" s="3"/>
      <c r="F57" s="3"/>
      <c r="G57" s="5"/>
      <c r="H57" s="3"/>
      <c r="I57" s="5"/>
      <c r="J57" s="3"/>
      <c r="K57" s="5"/>
      <c r="L57" s="3"/>
      <c r="M57" s="5"/>
      <c r="N57" s="3"/>
      <c r="O57" s="5"/>
      <c r="P57" s="3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>
      <c r="A58" s="1"/>
      <c r="B58" s="1"/>
      <c r="C58" s="1"/>
      <c r="D58" s="1"/>
      <c r="E58" s="3"/>
      <c r="F58" s="3"/>
      <c r="G58" s="5"/>
      <c r="H58" s="3"/>
      <c r="I58" s="5"/>
      <c r="J58" s="3"/>
      <c r="K58" s="5"/>
      <c r="L58" s="3"/>
      <c r="M58" s="5"/>
      <c r="N58" s="3"/>
      <c r="O58" s="5"/>
      <c r="P58" s="3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>
      <c r="A59" s="1"/>
      <c r="B59" s="1"/>
      <c r="C59" s="1"/>
      <c r="D59" s="1"/>
      <c r="E59" s="3"/>
      <c r="F59" s="3"/>
      <c r="G59" s="5"/>
      <c r="H59" s="3"/>
      <c r="I59" s="5"/>
      <c r="J59" s="3"/>
      <c r="K59" s="5"/>
      <c r="L59" s="3"/>
      <c r="M59" s="5"/>
      <c r="N59" s="3"/>
      <c r="O59" s="5"/>
      <c r="P59" s="3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>
      <c r="A60" s="1"/>
      <c r="B60" s="1"/>
      <c r="C60" s="1"/>
      <c r="D60" s="1"/>
      <c r="E60" s="3"/>
      <c r="F60" s="3"/>
      <c r="G60" s="5"/>
      <c r="H60" s="3"/>
      <c r="I60" s="5"/>
      <c r="J60" s="3"/>
      <c r="K60" s="5"/>
      <c r="L60" s="3"/>
      <c r="M60" s="5"/>
      <c r="N60" s="3"/>
      <c r="O60" s="5"/>
      <c r="P60" s="3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>
      <c r="A61" s="1"/>
      <c r="B61" s="1"/>
      <c r="C61" s="1"/>
      <c r="D61" s="1"/>
      <c r="E61" s="3"/>
      <c r="F61" s="3"/>
      <c r="G61" s="5"/>
      <c r="H61" s="3"/>
      <c r="I61" s="5"/>
      <c r="J61" s="3"/>
      <c r="K61" s="5"/>
      <c r="L61" s="3"/>
      <c r="M61" s="5"/>
      <c r="N61" s="3"/>
      <c r="O61" s="5"/>
      <c r="P61" s="3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>
      <c r="A62" s="1"/>
      <c r="B62" s="1"/>
      <c r="C62" s="1"/>
      <c r="D62" s="1"/>
      <c r="E62" s="3"/>
      <c r="F62" s="3"/>
      <c r="G62" s="5"/>
      <c r="H62" s="3"/>
      <c r="I62" s="5"/>
      <c r="J62" s="3"/>
      <c r="K62" s="5"/>
      <c r="L62" s="3"/>
      <c r="M62" s="5"/>
      <c r="N62" s="3"/>
      <c r="O62" s="5"/>
      <c r="P62" s="3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>
      <c r="A63" s="1"/>
      <c r="B63" s="1"/>
      <c r="C63" s="1"/>
      <c r="D63" s="1"/>
      <c r="E63" s="3"/>
      <c r="F63" s="3"/>
      <c r="G63" s="5"/>
      <c r="H63" s="3"/>
      <c r="I63" s="5"/>
      <c r="J63" s="3"/>
      <c r="K63" s="5"/>
      <c r="L63" s="3"/>
      <c r="M63" s="5"/>
      <c r="N63" s="3"/>
      <c r="O63" s="5"/>
      <c r="P63" s="3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>
      <c r="A64" s="1"/>
      <c r="B64" s="1"/>
      <c r="C64" s="1"/>
      <c r="D64" s="1"/>
      <c r="E64" s="3"/>
      <c r="F64" s="3"/>
      <c r="G64" s="5"/>
      <c r="H64" s="3"/>
      <c r="I64" s="5"/>
      <c r="J64" s="3"/>
      <c r="K64" s="5"/>
      <c r="L64" s="3"/>
      <c r="M64" s="5"/>
      <c r="N64" s="3"/>
      <c r="O64" s="5"/>
      <c r="P64" s="3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>
      <c r="A65" s="1"/>
      <c r="B65" s="1"/>
      <c r="C65" s="1"/>
      <c r="D65" s="1"/>
      <c r="E65" s="3"/>
      <c r="F65" s="3"/>
      <c r="G65" s="5"/>
      <c r="H65" s="3"/>
      <c r="I65" s="5"/>
      <c r="J65" s="3"/>
      <c r="K65" s="5"/>
      <c r="L65" s="3"/>
      <c r="M65" s="5"/>
      <c r="N65" s="3"/>
      <c r="O65" s="5"/>
      <c r="P65" s="3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>
      <c r="A66" s="1"/>
      <c r="B66" s="1"/>
      <c r="C66" s="1"/>
      <c r="D66" s="1"/>
      <c r="E66" s="3"/>
      <c r="F66" s="3"/>
      <c r="G66" s="5"/>
      <c r="H66" s="3"/>
      <c r="I66" s="5"/>
      <c r="J66" s="3"/>
      <c r="K66" s="5"/>
      <c r="L66" s="3"/>
      <c r="M66" s="5"/>
      <c r="N66" s="3"/>
      <c r="O66" s="5"/>
      <c r="P66" s="3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>
      <c r="A67" s="1"/>
      <c r="B67" s="1"/>
      <c r="C67" s="1"/>
      <c r="D67" s="1"/>
      <c r="E67" s="3"/>
      <c r="F67" s="3"/>
      <c r="G67" s="5"/>
      <c r="H67" s="3"/>
      <c r="I67" s="5"/>
      <c r="J67" s="3"/>
      <c r="K67" s="5"/>
      <c r="L67" s="3"/>
      <c r="M67" s="5"/>
      <c r="N67" s="3"/>
      <c r="O67" s="5"/>
      <c r="P67" s="3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>
      <c r="A68" s="1"/>
      <c r="B68" s="1"/>
      <c r="C68" s="1"/>
      <c r="D68" s="1"/>
      <c r="E68" s="3"/>
      <c r="F68" s="3"/>
      <c r="G68" s="5"/>
      <c r="H68" s="3"/>
      <c r="I68" s="5"/>
      <c r="J68" s="3"/>
      <c r="K68" s="5"/>
      <c r="L68" s="3"/>
      <c r="M68" s="5"/>
      <c r="N68" s="3"/>
      <c r="O68" s="5"/>
      <c r="P68" s="3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>
      <c r="A69" s="1"/>
      <c r="B69" s="1"/>
      <c r="C69" s="1"/>
      <c r="D69" s="1"/>
      <c r="E69" s="3"/>
      <c r="F69" s="3"/>
      <c r="G69" s="5"/>
      <c r="H69" s="3"/>
      <c r="I69" s="5"/>
      <c r="J69" s="3"/>
      <c r="K69" s="5"/>
      <c r="L69" s="3"/>
      <c r="M69" s="5"/>
      <c r="N69" s="3"/>
      <c r="O69" s="5"/>
      <c r="P69" s="3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>
      <c r="A70" s="1"/>
      <c r="B70" s="1"/>
      <c r="C70" s="1"/>
      <c r="D70" s="1"/>
      <c r="E70" s="3"/>
      <c r="F70" s="3"/>
      <c r="G70" s="5"/>
      <c r="H70" s="3"/>
      <c r="I70" s="5"/>
      <c r="J70" s="3"/>
      <c r="K70" s="5"/>
      <c r="L70" s="3"/>
      <c r="M70" s="5"/>
      <c r="N70" s="3"/>
      <c r="O70" s="5"/>
      <c r="P70" s="3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>
      <c r="A71" s="1"/>
      <c r="B71" s="1"/>
      <c r="C71" s="1"/>
      <c r="D71" s="1"/>
      <c r="E71" s="3"/>
      <c r="F71" s="3"/>
      <c r="G71" s="5"/>
      <c r="H71" s="3"/>
      <c r="I71" s="5"/>
      <c r="J71" s="3"/>
      <c r="K71" s="5"/>
      <c r="L71" s="3"/>
      <c r="M71" s="5"/>
      <c r="N71" s="3"/>
      <c r="O71" s="5"/>
      <c r="P71" s="3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>
      <c r="A72" s="1"/>
      <c r="B72" s="1"/>
      <c r="C72" s="1"/>
      <c r="D72" s="1"/>
      <c r="E72" s="3"/>
      <c r="F72" s="3"/>
      <c r="G72" s="5"/>
      <c r="H72" s="3"/>
      <c r="I72" s="5"/>
      <c r="J72" s="3"/>
      <c r="K72" s="5"/>
      <c r="L72" s="3"/>
      <c r="M72" s="5"/>
      <c r="N72" s="3"/>
      <c r="O72" s="5"/>
      <c r="P72" s="3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>
      <c r="A73" s="1"/>
      <c r="B73" s="1"/>
      <c r="C73" s="1"/>
      <c r="D73" s="1"/>
      <c r="E73" s="3"/>
      <c r="F73" s="3"/>
      <c r="G73" s="5"/>
      <c r="H73" s="3"/>
      <c r="I73" s="5"/>
      <c r="J73" s="3"/>
      <c r="K73" s="5"/>
      <c r="L73" s="3"/>
      <c r="M73" s="5"/>
      <c r="N73" s="3"/>
      <c r="O73" s="5"/>
      <c r="P73" s="3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>
      <c r="A74" s="1"/>
      <c r="B74" s="1"/>
      <c r="C74" s="1"/>
      <c r="D74" s="1"/>
      <c r="E74" s="3"/>
      <c r="F74" s="3"/>
      <c r="G74" s="5"/>
      <c r="H74" s="3"/>
      <c r="I74" s="5"/>
      <c r="J74" s="3"/>
      <c r="K74" s="5"/>
      <c r="L74" s="3"/>
      <c r="M74" s="5"/>
      <c r="N74" s="3"/>
      <c r="O74" s="5"/>
      <c r="P74" s="3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>
      <c r="A75" s="1"/>
      <c r="B75" s="1"/>
      <c r="C75" s="1"/>
      <c r="D75" s="1"/>
      <c r="E75" s="3"/>
      <c r="F75" s="3"/>
      <c r="G75" s="5"/>
      <c r="H75" s="3"/>
      <c r="I75" s="5"/>
      <c r="J75" s="3"/>
      <c r="K75" s="5"/>
      <c r="L75" s="3"/>
      <c r="M75" s="5"/>
      <c r="N75" s="3"/>
      <c r="O75" s="5"/>
      <c r="P75" s="3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>
      <c r="A76" s="1"/>
      <c r="B76" s="1"/>
      <c r="C76" s="1"/>
      <c r="D76" s="1"/>
      <c r="E76" s="3"/>
      <c r="F76" s="3"/>
      <c r="G76" s="5"/>
      <c r="H76" s="3"/>
      <c r="I76" s="5"/>
      <c r="J76" s="3"/>
      <c r="K76" s="5"/>
      <c r="L76" s="3"/>
      <c r="M76" s="5"/>
      <c r="N76" s="3"/>
      <c r="O76" s="5"/>
      <c r="P76" s="3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>
      <c r="A77" s="1"/>
      <c r="B77" s="1"/>
      <c r="C77" s="1"/>
      <c r="D77" s="1"/>
      <c r="E77" s="3"/>
      <c r="F77" s="3"/>
      <c r="G77" s="5"/>
      <c r="H77" s="3"/>
      <c r="I77" s="5"/>
      <c r="J77" s="3"/>
      <c r="K77" s="5"/>
      <c r="L77" s="3"/>
      <c r="M77" s="5"/>
      <c r="N77" s="3"/>
      <c r="O77" s="5"/>
      <c r="P77" s="3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>
      <c r="A78" s="1"/>
      <c r="B78" s="1"/>
      <c r="C78" s="1"/>
      <c r="D78" s="1"/>
      <c r="E78" s="3"/>
      <c r="F78" s="3"/>
      <c r="G78" s="5"/>
      <c r="H78" s="3"/>
      <c r="I78" s="5"/>
      <c r="J78" s="3"/>
      <c r="K78" s="5"/>
      <c r="L78" s="3"/>
      <c r="M78" s="5"/>
      <c r="N78" s="3"/>
      <c r="O78" s="5"/>
      <c r="P78" s="3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>
      <c r="A79" s="1"/>
      <c r="B79" s="1"/>
      <c r="C79" s="1"/>
      <c r="D79" s="1"/>
      <c r="E79" s="3"/>
      <c r="F79" s="3"/>
      <c r="G79" s="5"/>
      <c r="H79" s="3"/>
      <c r="I79" s="5"/>
      <c r="J79" s="3"/>
      <c r="K79" s="5"/>
      <c r="L79" s="3"/>
      <c r="M79" s="5"/>
      <c r="N79" s="3"/>
      <c r="O79" s="5"/>
      <c r="P79" s="3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>
      <c r="A80" s="1"/>
      <c r="B80" s="1"/>
      <c r="C80" s="1"/>
      <c r="D80" s="1"/>
      <c r="E80" s="3"/>
      <c r="F80" s="3"/>
      <c r="G80" s="5"/>
      <c r="H80" s="3"/>
      <c r="I80" s="5"/>
      <c r="J80" s="3"/>
      <c r="K80" s="5"/>
      <c r="L80" s="3"/>
      <c r="M80" s="5"/>
      <c r="N80" s="3"/>
      <c r="O80" s="5"/>
      <c r="P80" s="3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>
      <c r="A81" s="1"/>
      <c r="B81" s="1"/>
      <c r="C81" s="1"/>
      <c r="D81" s="1"/>
      <c r="E81" s="3"/>
      <c r="F81" s="3"/>
      <c r="G81" s="5"/>
      <c r="H81" s="3"/>
      <c r="I81" s="5"/>
      <c r="J81" s="3"/>
      <c r="K81" s="5"/>
      <c r="L81" s="3"/>
      <c r="M81" s="5"/>
      <c r="N81" s="3"/>
      <c r="O81" s="5"/>
      <c r="P81" s="3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>
      <c r="A82" s="1"/>
      <c r="B82" s="1"/>
      <c r="C82" s="1"/>
      <c r="D82" s="1"/>
      <c r="E82" s="3"/>
      <c r="F82" s="3"/>
      <c r="G82" s="5"/>
      <c r="H82" s="3"/>
      <c r="I82" s="5"/>
      <c r="J82" s="3"/>
      <c r="K82" s="5"/>
      <c r="L82" s="3"/>
      <c r="M82" s="5"/>
      <c r="N82" s="3"/>
      <c r="O82" s="5"/>
      <c r="P82" s="3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>
      <c r="A83" s="1"/>
      <c r="B83" s="1"/>
      <c r="C83" s="1"/>
      <c r="D83" s="1"/>
      <c r="E83" s="3"/>
      <c r="F83" s="3"/>
      <c r="G83" s="5"/>
      <c r="H83" s="3"/>
      <c r="I83" s="5"/>
      <c r="J83" s="3"/>
      <c r="K83" s="5"/>
      <c r="L83" s="3"/>
      <c r="M83" s="5"/>
      <c r="N83" s="3"/>
      <c r="O83" s="5"/>
      <c r="P83" s="3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>
      <c r="A84" s="1"/>
      <c r="B84" s="1"/>
      <c r="C84" s="1"/>
      <c r="D84" s="1"/>
      <c r="E84" s="3"/>
      <c r="F84" s="3"/>
      <c r="G84" s="5"/>
      <c r="H84" s="3"/>
      <c r="I84" s="5"/>
      <c r="J84" s="3"/>
      <c r="K84" s="5"/>
      <c r="L84" s="3"/>
      <c r="M84" s="5"/>
      <c r="N84" s="3"/>
      <c r="O84" s="5"/>
      <c r="P84" s="3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>
      <c r="A85" s="1"/>
      <c r="B85" s="1"/>
      <c r="C85" s="1"/>
      <c r="D85" s="1"/>
      <c r="E85" s="3"/>
      <c r="F85" s="3"/>
      <c r="G85" s="5"/>
      <c r="H85" s="3"/>
      <c r="I85" s="5"/>
      <c r="J85" s="3"/>
      <c r="K85" s="5"/>
      <c r="L85" s="3"/>
      <c r="M85" s="5"/>
      <c r="N85" s="3"/>
      <c r="O85" s="5"/>
      <c r="P85" s="3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>
      <c r="A86" s="1"/>
      <c r="B86" s="1"/>
      <c r="C86" s="1"/>
      <c r="D86" s="1"/>
      <c r="E86" s="3"/>
      <c r="F86" s="3"/>
      <c r="G86" s="5"/>
      <c r="H86" s="3"/>
      <c r="I86" s="5"/>
      <c r="J86" s="3"/>
      <c r="K86" s="5"/>
      <c r="L86" s="3"/>
      <c r="M86" s="5"/>
      <c r="N86" s="3"/>
      <c r="O86" s="5"/>
      <c r="P86" s="3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>
      <c r="A87" s="1"/>
      <c r="B87" s="1"/>
      <c r="C87" s="1"/>
      <c r="D87" s="1"/>
      <c r="E87" s="3"/>
      <c r="F87" s="3"/>
      <c r="G87" s="5"/>
      <c r="H87" s="3"/>
      <c r="I87" s="5"/>
      <c r="J87" s="3"/>
      <c r="K87" s="5"/>
      <c r="L87" s="3"/>
      <c r="M87" s="5"/>
      <c r="N87" s="3"/>
      <c r="O87" s="5"/>
      <c r="P87" s="3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>
      <c r="A88" s="1"/>
      <c r="B88" s="1"/>
      <c r="C88" s="1"/>
      <c r="D88" s="1"/>
      <c r="E88" s="3"/>
      <c r="F88" s="3"/>
      <c r="G88" s="5"/>
      <c r="H88" s="3"/>
      <c r="I88" s="5"/>
      <c r="J88" s="3"/>
      <c r="K88" s="5"/>
      <c r="L88" s="3"/>
      <c r="M88" s="5"/>
      <c r="N88" s="3"/>
      <c r="O88" s="5"/>
      <c r="P88" s="3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>
      <c r="A89" s="1"/>
      <c r="B89" s="1"/>
      <c r="C89" s="1"/>
      <c r="D89" s="1"/>
      <c r="E89" s="3"/>
      <c r="F89" s="3"/>
      <c r="G89" s="5"/>
      <c r="H89" s="3"/>
      <c r="I89" s="5"/>
      <c r="J89" s="3"/>
      <c r="K89" s="5"/>
      <c r="L89" s="3"/>
      <c r="M89" s="5"/>
      <c r="N89" s="3"/>
      <c r="O89" s="5"/>
      <c r="P89" s="3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>
      <c r="A90" s="1"/>
      <c r="B90" s="1"/>
      <c r="C90" s="1"/>
      <c r="D90" s="1"/>
      <c r="E90" s="3"/>
      <c r="F90" s="3"/>
      <c r="G90" s="5"/>
      <c r="H90" s="3"/>
      <c r="I90" s="5"/>
      <c r="J90" s="3"/>
      <c r="K90" s="5"/>
      <c r="L90" s="3"/>
      <c r="M90" s="5"/>
      <c r="N90" s="3"/>
      <c r="O90" s="5"/>
      <c r="P90" s="3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>
      <c r="A91" s="1"/>
      <c r="B91" s="1"/>
      <c r="C91" s="1"/>
      <c r="D91" s="1"/>
      <c r="E91" s="3"/>
      <c r="F91" s="3"/>
      <c r="G91" s="5"/>
      <c r="H91" s="3"/>
      <c r="I91" s="5"/>
      <c r="J91" s="3"/>
      <c r="K91" s="5"/>
      <c r="L91" s="3"/>
      <c r="M91" s="5"/>
      <c r="N91" s="3"/>
      <c r="O91" s="5"/>
      <c r="P91" s="3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>
      <c r="A92" s="1"/>
      <c r="B92" s="1"/>
      <c r="C92" s="1"/>
      <c r="D92" s="1"/>
      <c r="E92" s="3"/>
      <c r="F92" s="3"/>
      <c r="G92" s="5"/>
      <c r="H92" s="3"/>
      <c r="I92" s="5"/>
      <c r="J92" s="3"/>
      <c r="K92" s="5"/>
      <c r="L92" s="3"/>
      <c r="M92" s="5"/>
      <c r="N92" s="3"/>
      <c r="O92" s="5"/>
      <c r="P92" s="3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>
      <c r="A93" s="1"/>
      <c r="B93" s="1"/>
      <c r="C93" s="1"/>
      <c r="D93" s="1"/>
      <c r="E93" s="3"/>
      <c r="F93" s="3"/>
      <c r="G93" s="5"/>
      <c r="H93" s="3"/>
      <c r="I93" s="5"/>
      <c r="J93" s="3"/>
      <c r="K93" s="5"/>
      <c r="L93" s="3"/>
      <c r="M93" s="5"/>
      <c r="N93" s="3"/>
      <c r="O93" s="5"/>
      <c r="P93" s="3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>
      <c r="A94" s="1"/>
      <c r="B94" s="1"/>
      <c r="C94" s="1"/>
      <c r="D94" s="1"/>
      <c r="E94" s="3"/>
      <c r="F94" s="3"/>
      <c r="G94" s="5"/>
      <c r="H94" s="3"/>
      <c r="I94" s="5"/>
      <c r="J94" s="3"/>
      <c r="K94" s="5"/>
      <c r="L94" s="3"/>
      <c r="M94" s="5"/>
      <c r="N94" s="3"/>
      <c r="O94" s="5"/>
      <c r="P94" s="3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>
      <c r="A95" s="1"/>
      <c r="B95" s="1"/>
      <c r="C95" s="1"/>
      <c r="D95" s="1"/>
      <c r="E95" s="3"/>
      <c r="F95" s="3"/>
      <c r="G95" s="5"/>
      <c r="H95" s="3"/>
      <c r="I95" s="5"/>
      <c r="J95" s="3"/>
      <c r="K95" s="5"/>
      <c r="L95" s="3"/>
      <c r="M95" s="5"/>
      <c r="N95" s="3"/>
      <c r="O95" s="5"/>
      <c r="P95" s="3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>
      <c r="A96" s="1"/>
      <c r="B96" s="1"/>
      <c r="C96" s="1"/>
      <c r="D96" s="1"/>
      <c r="E96" s="3"/>
      <c r="F96" s="3"/>
      <c r="G96" s="5"/>
      <c r="H96" s="3"/>
      <c r="I96" s="5"/>
      <c r="J96" s="3"/>
      <c r="K96" s="5"/>
      <c r="L96" s="3"/>
      <c r="M96" s="5"/>
      <c r="N96" s="3"/>
      <c r="O96" s="5"/>
      <c r="P96" s="3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>
      <c r="A97" s="1"/>
      <c r="B97" s="1"/>
      <c r="C97" s="1"/>
      <c r="D97" s="1"/>
      <c r="E97" s="3"/>
      <c r="F97" s="3"/>
      <c r="G97" s="5"/>
      <c r="H97" s="3"/>
      <c r="I97" s="5"/>
      <c r="J97" s="3"/>
      <c r="K97" s="5"/>
      <c r="L97" s="3"/>
      <c r="M97" s="5"/>
      <c r="N97" s="3"/>
      <c r="O97" s="5"/>
      <c r="P97" s="3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>
      <c r="A98" s="1"/>
      <c r="B98" s="1"/>
      <c r="C98" s="1"/>
      <c r="D98" s="1"/>
      <c r="E98" s="3"/>
      <c r="F98" s="3"/>
      <c r="G98" s="5"/>
      <c r="H98" s="3"/>
      <c r="I98" s="5"/>
      <c r="J98" s="3"/>
      <c r="K98" s="5"/>
      <c r="L98" s="3"/>
      <c r="M98" s="5"/>
      <c r="N98" s="3"/>
      <c r="O98" s="5"/>
      <c r="P98" s="3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>
      <c r="A99" s="1"/>
      <c r="B99" s="1"/>
      <c r="C99" s="1"/>
      <c r="D99" s="1"/>
      <c r="E99" s="3"/>
      <c r="F99" s="3"/>
      <c r="G99" s="5"/>
      <c r="H99" s="3"/>
      <c r="I99" s="5"/>
      <c r="J99" s="3"/>
      <c r="K99" s="5"/>
      <c r="L99" s="3"/>
      <c r="M99" s="5"/>
      <c r="N99" s="3"/>
      <c r="O99" s="5"/>
      <c r="P99" s="3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>
      <c r="A100" s="1"/>
      <c r="B100" s="1"/>
      <c r="C100" s="1"/>
      <c r="D100" s="1"/>
      <c r="E100" s="3"/>
      <c r="F100" s="3"/>
      <c r="G100" s="5"/>
      <c r="H100" s="3"/>
      <c r="I100" s="5"/>
      <c r="J100" s="3"/>
      <c r="K100" s="5"/>
      <c r="L100" s="3"/>
      <c r="M100" s="5"/>
      <c r="N100" s="3"/>
      <c r="O100" s="5"/>
      <c r="P100" s="3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>
      <c r="A101" s="1"/>
      <c r="B101" s="1"/>
      <c r="C101" s="1"/>
      <c r="D101" s="1"/>
      <c r="E101" s="3"/>
      <c r="F101" s="3"/>
      <c r="G101" s="5"/>
      <c r="H101" s="3"/>
      <c r="I101" s="5"/>
      <c r="J101" s="3"/>
      <c r="K101" s="5"/>
      <c r="L101" s="3"/>
      <c r="M101" s="5"/>
      <c r="N101" s="3"/>
      <c r="O101" s="5"/>
      <c r="P101" s="3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>
      <c r="A102" s="1"/>
      <c r="B102" s="1"/>
      <c r="C102" s="1"/>
      <c r="D102" s="1"/>
      <c r="E102" s="3"/>
      <c r="F102" s="3"/>
      <c r="G102" s="5"/>
      <c r="H102" s="3"/>
      <c r="I102" s="5"/>
      <c r="J102" s="3"/>
      <c r="K102" s="5"/>
      <c r="L102" s="3"/>
      <c r="M102" s="5"/>
      <c r="N102" s="3"/>
      <c r="O102" s="5"/>
      <c r="P102" s="3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>
      <c r="A103" s="1"/>
      <c r="B103" s="1"/>
      <c r="C103" s="1"/>
      <c r="D103" s="1"/>
      <c r="E103" s="3"/>
      <c r="F103" s="3"/>
      <c r="G103" s="5"/>
      <c r="H103" s="3"/>
      <c r="I103" s="5"/>
      <c r="J103" s="3"/>
      <c r="K103" s="5"/>
      <c r="L103" s="3"/>
      <c r="M103" s="5"/>
      <c r="N103" s="3"/>
      <c r="O103" s="5"/>
      <c r="P103" s="3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>
      <c r="A104" s="1"/>
      <c r="B104" s="1"/>
      <c r="C104" s="1"/>
      <c r="D104" s="1"/>
      <c r="E104" s="3"/>
      <c r="F104" s="3"/>
      <c r="G104" s="5"/>
      <c r="H104" s="3"/>
      <c r="I104" s="5"/>
      <c r="J104" s="3"/>
      <c r="K104" s="5"/>
      <c r="L104" s="3"/>
      <c r="M104" s="5"/>
      <c r="N104" s="3"/>
      <c r="O104" s="5"/>
      <c r="P104" s="3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>
      <c r="A105" s="1"/>
      <c r="B105" s="1"/>
      <c r="C105" s="1"/>
      <c r="D105" s="1"/>
      <c r="E105" s="3"/>
      <c r="F105" s="3"/>
      <c r="G105" s="5"/>
      <c r="H105" s="3"/>
      <c r="I105" s="5"/>
      <c r="J105" s="3"/>
      <c r="K105" s="5"/>
      <c r="L105" s="3"/>
      <c r="M105" s="5"/>
      <c r="N105" s="3"/>
      <c r="O105" s="5"/>
      <c r="P105" s="3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>
      <c r="A106" s="1"/>
      <c r="B106" s="1"/>
      <c r="C106" s="1"/>
      <c r="D106" s="1"/>
      <c r="E106" s="3"/>
      <c r="F106" s="3"/>
      <c r="G106" s="5"/>
      <c r="H106" s="3"/>
      <c r="I106" s="5"/>
      <c r="J106" s="3"/>
      <c r="K106" s="5"/>
      <c r="L106" s="3"/>
      <c r="M106" s="5"/>
      <c r="N106" s="3"/>
      <c r="O106" s="5"/>
      <c r="P106" s="3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>
      <c r="A107" s="1"/>
      <c r="B107" s="1"/>
      <c r="C107" s="1"/>
      <c r="D107" s="1"/>
      <c r="E107" s="3"/>
      <c r="F107" s="3"/>
      <c r="G107" s="5"/>
      <c r="H107" s="3"/>
      <c r="I107" s="5"/>
      <c r="J107" s="3"/>
      <c r="K107" s="5"/>
      <c r="L107" s="3"/>
      <c r="M107" s="5"/>
      <c r="N107" s="3"/>
      <c r="O107" s="5"/>
      <c r="P107" s="3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>
      <c r="A108" s="1"/>
      <c r="B108" s="1"/>
      <c r="C108" s="1"/>
      <c r="D108" s="1"/>
      <c r="E108" s="3"/>
      <c r="F108" s="3"/>
      <c r="G108" s="5"/>
      <c r="H108" s="3"/>
      <c r="I108" s="5"/>
      <c r="J108" s="3"/>
      <c r="K108" s="5"/>
      <c r="L108" s="3"/>
      <c r="M108" s="5"/>
      <c r="N108" s="3"/>
      <c r="O108" s="5"/>
      <c r="P108" s="3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>
      <c r="A109" s="1"/>
      <c r="B109" s="1"/>
      <c r="C109" s="1"/>
      <c r="D109" s="1"/>
      <c r="E109" s="3"/>
      <c r="F109" s="3"/>
      <c r="G109" s="5"/>
      <c r="H109" s="3"/>
      <c r="I109" s="5"/>
      <c r="J109" s="3"/>
      <c r="K109" s="5"/>
      <c r="L109" s="3"/>
      <c r="M109" s="5"/>
      <c r="N109" s="3"/>
      <c r="O109" s="5"/>
      <c r="P109" s="3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>
      <c r="A110" s="1"/>
      <c r="B110" s="1"/>
      <c r="C110" s="1"/>
      <c r="D110" s="1"/>
      <c r="E110" s="3"/>
      <c r="F110" s="3"/>
      <c r="G110" s="5"/>
      <c r="H110" s="3"/>
      <c r="I110" s="5"/>
      <c r="J110" s="3"/>
      <c r="K110" s="5"/>
      <c r="L110" s="3"/>
      <c r="M110" s="5"/>
      <c r="N110" s="3"/>
      <c r="O110" s="5"/>
      <c r="P110" s="3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>
      <c r="A111" s="1"/>
      <c r="B111" s="1"/>
      <c r="C111" s="1"/>
      <c r="D111" s="1"/>
      <c r="E111" s="3"/>
      <c r="F111" s="3"/>
      <c r="G111" s="5"/>
      <c r="H111" s="3"/>
      <c r="I111" s="5"/>
      <c r="J111" s="3"/>
      <c r="K111" s="5"/>
      <c r="L111" s="3"/>
      <c r="M111" s="5"/>
      <c r="N111" s="3"/>
      <c r="O111" s="5"/>
      <c r="P111" s="3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>
      <c r="A112" s="1"/>
      <c r="B112" s="1"/>
      <c r="C112" s="1"/>
      <c r="D112" s="1"/>
      <c r="E112" s="3"/>
      <c r="F112" s="3"/>
      <c r="G112" s="5"/>
      <c r="H112" s="3"/>
      <c r="I112" s="5"/>
      <c r="J112" s="3"/>
      <c r="K112" s="5"/>
      <c r="L112" s="3"/>
      <c r="M112" s="5"/>
      <c r="N112" s="3"/>
      <c r="O112" s="5"/>
      <c r="P112" s="3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>
      <c r="A113" s="1"/>
      <c r="B113" s="1"/>
      <c r="C113" s="1"/>
      <c r="D113" s="1"/>
      <c r="E113" s="3"/>
      <c r="F113" s="3"/>
      <c r="G113" s="5"/>
      <c r="H113" s="3"/>
      <c r="I113" s="5"/>
      <c r="J113" s="3"/>
      <c r="K113" s="5"/>
      <c r="L113" s="3"/>
      <c r="M113" s="5"/>
      <c r="N113" s="3"/>
      <c r="O113" s="5"/>
      <c r="P113" s="3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>
      <c r="A114" s="1"/>
      <c r="B114" s="1"/>
      <c r="C114" s="1"/>
      <c r="D114" s="1"/>
      <c r="E114" s="3"/>
      <c r="F114" s="3"/>
      <c r="G114" s="5"/>
      <c r="H114" s="3"/>
      <c r="I114" s="5"/>
      <c r="J114" s="3"/>
      <c r="K114" s="5"/>
      <c r="L114" s="3"/>
      <c r="M114" s="5"/>
      <c r="N114" s="3"/>
      <c r="O114" s="5"/>
      <c r="P114" s="3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>
      <c r="A115" s="1"/>
      <c r="B115" s="1"/>
      <c r="C115" s="1"/>
      <c r="D115" s="1"/>
      <c r="E115" s="3"/>
      <c r="F115" s="3"/>
      <c r="G115" s="5"/>
      <c r="H115" s="3"/>
      <c r="I115" s="5"/>
      <c r="J115" s="3"/>
      <c r="K115" s="5"/>
      <c r="L115" s="3"/>
      <c r="M115" s="5"/>
      <c r="N115" s="3"/>
      <c r="O115" s="5"/>
      <c r="P115" s="3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>
      <c r="A116" s="1"/>
      <c r="B116" s="1"/>
      <c r="C116" s="1"/>
      <c r="D116" s="1"/>
      <c r="E116" s="3"/>
      <c r="F116" s="3"/>
      <c r="G116" s="5"/>
      <c r="H116" s="3"/>
      <c r="I116" s="5"/>
      <c r="J116" s="3"/>
      <c r="K116" s="5"/>
      <c r="L116" s="3"/>
      <c r="M116" s="5"/>
      <c r="N116" s="3"/>
      <c r="O116" s="5"/>
      <c r="P116" s="3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>
      <c r="A117" s="1"/>
      <c r="B117" s="1"/>
      <c r="C117" s="1"/>
      <c r="D117" s="1"/>
      <c r="E117" s="3"/>
      <c r="F117" s="3"/>
      <c r="G117" s="5"/>
      <c r="H117" s="3"/>
      <c r="I117" s="5"/>
      <c r="J117" s="3"/>
      <c r="K117" s="5"/>
      <c r="L117" s="3"/>
      <c r="M117" s="5"/>
      <c r="N117" s="3"/>
      <c r="O117" s="5"/>
      <c r="P117" s="3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>
      <c r="A118" s="1"/>
      <c r="B118" s="1"/>
      <c r="C118" s="1"/>
      <c r="D118" s="1"/>
      <c r="E118" s="3"/>
      <c r="F118" s="3"/>
      <c r="G118" s="5"/>
      <c r="H118" s="3"/>
      <c r="I118" s="5"/>
      <c r="J118" s="3"/>
      <c r="K118" s="5"/>
      <c r="L118" s="3"/>
      <c r="M118" s="5"/>
      <c r="N118" s="3"/>
      <c r="O118" s="5"/>
      <c r="P118" s="3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>
      <c r="A119" s="1"/>
      <c r="B119" s="1"/>
      <c r="C119" s="1"/>
      <c r="D119" s="1"/>
      <c r="E119" s="3"/>
      <c r="F119" s="3"/>
      <c r="G119" s="5"/>
      <c r="H119" s="3"/>
      <c r="I119" s="5"/>
      <c r="J119" s="3"/>
      <c r="K119" s="5"/>
      <c r="L119" s="3"/>
      <c r="M119" s="5"/>
      <c r="N119" s="3"/>
      <c r="O119" s="5"/>
      <c r="P119" s="3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>
      <c r="A120" s="1"/>
      <c r="B120" s="1"/>
      <c r="C120" s="1"/>
      <c r="D120" s="1"/>
      <c r="E120" s="3"/>
      <c r="F120" s="3"/>
      <c r="G120" s="5"/>
      <c r="H120" s="3"/>
      <c r="I120" s="5"/>
      <c r="J120" s="3"/>
      <c r="K120" s="5"/>
      <c r="L120" s="3"/>
      <c r="M120" s="5"/>
      <c r="N120" s="3"/>
      <c r="O120" s="5"/>
      <c r="P120" s="3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>
      <c r="A121" s="1"/>
      <c r="B121" s="1"/>
      <c r="C121" s="1"/>
      <c r="D121" s="1"/>
      <c r="E121" s="3"/>
      <c r="F121" s="3"/>
      <c r="G121" s="5"/>
      <c r="H121" s="3"/>
      <c r="I121" s="5"/>
      <c r="J121" s="3"/>
      <c r="K121" s="5"/>
      <c r="L121" s="3"/>
      <c r="M121" s="5"/>
      <c r="N121" s="3"/>
      <c r="O121" s="5"/>
      <c r="P121" s="3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>
      <c r="A122" s="1"/>
      <c r="B122" s="1"/>
      <c r="C122" s="1"/>
      <c r="D122" s="1"/>
      <c r="E122" s="3"/>
      <c r="F122" s="3"/>
      <c r="G122" s="5"/>
      <c r="H122" s="3"/>
      <c r="I122" s="5"/>
      <c r="J122" s="3"/>
      <c r="K122" s="5"/>
      <c r="L122" s="3"/>
      <c r="M122" s="5"/>
      <c r="N122" s="3"/>
      <c r="O122" s="5"/>
      <c r="P122" s="3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>
      <c r="A123" s="1"/>
      <c r="B123" s="1"/>
      <c r="C123" s="1"/>
      <c r="D123" s="1"/>
      <c r="E123" s="3"/>
      <c r="F123" s="3"/>
      <c r="G123" s="5"/>
      <c r="H123" s="3"/>
      <c r="I123" s="5"/>
      <c r="J123" s="3"/>
      <c r="K123" s="5"/>
      <c r="L123" s="3"/>
      <c r="M123" s="5"/>
      <c r="N123" s="3"/>
      <c r="O123" s="5"/>
      <c r="P123" s="3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>
      <c r="A124" s="1"/>
      <c r="B124" s="1"/>
      <c r="C124" s="1"/>
      <c r="D124" s="1"/>
      <c r="E124" s="3"/>
      <c r="F124" s="3"/>
      <c r="G124" s="5"/>
      <c r="H124" s="3"/>
      <c r="I124" s="5"/>
      <c r="J124" s="3"/>
      <c r="K124" s="5"/>
      <c r="L124" s="3"/>
      <c r="M124" s="5"/>
      <c r="N124" s="3"/>
      <c r="O124" s="5"/>
      <c r="P124" s="3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>
      <c r="A125" s="1"/>
      <c r="B125" s="1"/>
      <c r="C125" s="1"/>
      <c r="D125" s="1"/>
      <c r="E125" s="3"/>
      <c r="F125" s="3"/>
      <c r="G125" s="5"/>
      <c r="H125" s="3"/>
      <c r="I125" s="5"/>
      <c r="J125" s="3"/>
      <c r="K125" s="5"/>
      <c r="L125" s="3"/>
      <c r="M125" s="5"/>
      <c r="N125" s="3"/>
      <c r="O125" s="5"/>
      <c r="P125" s="3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>
      <c r="A126" s="1"/>
      <c r="B126" s="1"/>
      <c r="C126" s="1"/>
      <c r="D126" s="1"/>
      <c r="E126" s="3"/>
      <c r="F126" s="3"/>
      <c r="G126" s="5"/>
      <c r="H126" s="3"/>
      <c r="I126" s="5"/>
      <c r="J126" s="3"/>
      <c r="K126" s="5"/>
      <c r="L126" s="3"/>
      <c r="M126" s="5"/>
      <c r="N126" s="3"/>
      <c r="O126" s="5"/>
      <c r="P126" s="3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>
      <c r="A127" s="1"/>
      <c r="B127" s="1"/>
      <c r="C127" s="1"/>
      <c r="D127" s="1"/>
      <c r="E127" s="3"/>
      <c r="F127" s="3"/>
      <c r="G127" s="5"/>
      <c r="H127" s="3"/>
      <c r="I127" s="5"/>
      <c r="J127" s="3"/>
      <c r="K127" s="5"/>
      <c r="L127" s="3"/>
      <c r="M127" s="5"/>
      <c r="N127" s="3"/>
      <c r="O127" s="5"/>
      <c r="P127" s="3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>
      <c r="A128" s="1"/>
      <c r="B128" s="1"/>
      <c r="C128" s="1"/>
      <c r="D128" s="1"/>
      <c r="E128" s="3"/>
      <c r="F128" s="3"/>
      <c r="G128" s="5"/>
      <c r="H128" s="3"/>
      <c r="I128" s="5"/>
      <c r="J128" s="3"/>
      <c r="K128" s="5"/>
      <c r="L128" s="3"/>
      <c r="M128" s="5"/>
      <c r="N128" s="3"/>
      <c r="O128" s="5"/>
      <c r="P128" s="3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>
      <c r="A129" s="1"/>
      <c r="B129" s="1"/>
      <c r="C129" s="1"/>
      <c r="D129" s="1"/>
      <c r="E129" s="3"/>
      <c r="F129" s="3"/>
      <c r="G129" s="5"/>
      <c r="H129" s="3"/>
      <c r="I129" s="5"/>
      <c r="J129" s="3"/>
      <c r="K129" s="5"/>
      <c r="L129" s="3"/>
      <c r="M129" s="5"/>
      <c r="N129" s="3"/>
      <c r="O129" s="5"/>
      <c r="P129" s="3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>
      <c r="A130" s="1"/>
      <c r="B130" s="1"/>
      <c r="C130" s="1"/>
      <c r="D130" s="1"/>
      <c r="E130" s="3"/>
      <c r="F130" s="3"/>
      <c r="G130" s="5"/>
      <c r="H130" s="3"/>
      <c r="I130" s="5"/>
      <c r="J130" s="3"/>
      <c r="K130" s="5"/>
      <c r="L130" s="3"/>
      <c r="M130" s="5"/>
      <c r="N130" s="3"/>
      <c r="O130" s="5"/>
      <c r="P130" s="3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>
      <c r="A131" s="1"/>
      <c r="B131" s="1"/>
      <c r="C131" s="1"/>
      <c r="D131" s="1"/>
      <c r="E131" s="3"/>
      <c r="F131" s="3"/>
      <c r="G131" s="5"/>
      <c r="H131" s="3"/>
      <c r="I131" s="5"/>
      <c r="J131" s="3"/>
      <c r="K131" s="5"/>
      <c r="L131" s="3"/>
      <c r="M131" s="5"/>
      <c r="N131" s="3"/>
      <c r="O131" s="5"/>
      <c r="P131" s="3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>
      <c r="A132" s="1"/>
      <c r="B132" s="1"/>
      <c r="C132" s="1"/>
      <c r="D132" s="1"/>
      <c r="E132" s="3"/>
      <c r="F132" s="3"/>
      <c r="G132" s="5"/>
      <c r="H132" s="3"/>
      <c r="I132" s="5"/>
      <c r="J132" s="3"/>
      <c r="K132" s="5"/>
      <c r="L132" s="3"/>
      <c r="M132" s="5"/>
      <c r="N132" s="3"/>
      <c r="O132" s="5"/>
      <c r="P132" s="3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>
      <c r="A133" s="1"/>
      <c r="B133" s="1"/>
      <c r="C133" s="1"/>
      <c r="D133" s="1"/>
      <c r="E133" s="3"/>
      <c r="F133" s="3"/>
      <c r="G133" s="5"/>
      <c r="H133" s="3"/>
      <c r="I133" s="5"/>
      <c r="J133" s="3"/>
      <c r="K133" s="5"/>
      <c r="L133" s="3"/>
      <c r="M133" s="5"/>
      <c r="N133" s="3"/>
      <c r="O133" s="5"/>
      <c r="P133" s="3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>
      <c r="A134" s="1"/>
      <c r="B134" s="1"/>
      <c r="C134" s="1"/>
      <c r="D134" s="1"/>
      <c r="E134" s="3"/>
      <c r="F134" s="3"/>
      <c r="G134" s="5"/>
      <c r="H134" s="3"/>
      <c r="I134" s="5"/>
      <c r="J134" s="3"/>
      <c r="K134" s="5"/>
      <c r="L134" s="3"/>
      <c r="M134" s="5"/>
      <c r="N134" s="3"/>
      <c r="O134" s="5"/>
      <c r="P134" s="3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>
      <c r="A135" s="1"/>
      <c r="B135" s="1"/>
      <c r="C135" s="1"/>
      <c r="D135" s="1"/>
      <c r="E135" s="3"/>
      <c r="F135" s="3"/>
      <c r="G135" s="5"/>
      <c r="H135" s="3"/>
      <c r="I135" s="5"/>
      <c r="J135" s="3"/>
      <c r="K135" s="5"/>
      <c r="L135" s="3"/>
      <c r="M135" s="5"/>
      <c r="N135" s="3"/>
      <c r="O135" s="5"/>
      <c r="P135" s="3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>
      <c r="A136" s="1"/>
      <c r="B136" s="1"/>
      <c r="C136" s="1"/>
      <c r="D136" s="1"/>
      <c r="E136" s="3"/>
      <c r="F136" s="3"/>
      <c r="G136" s="5"/>
      <c r="H136" s="3"/>
      <c r="I136" s="5"/>
      <c r="J136" s="3"/>
      <c r="K136" s="5"/>
      <c r="L136" s="3"/>
      <c r="M136" s="5"/>
      <c r="N136" s="3"/>
      <c r="O136" s="5"/>
      <c r="P136" s="3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>
      <c r="A137" s="1"/>
      <c r="B137" s="1"/>
      <c r="C137" s="1"/>
      <c r="D137" s="1"/>
      <c r="E137" s="3"/>
      <c r="F137" s="3"/>
      <c r="G137" s="5"/>
      <c r="H137" s="3"/>
      <c r="I137" s="5"/>
      <c r="J137" s="3"/>
      <c r="K137" s="5"/>
      <c r="L137" s="3"/>
      <c r="M137" s="5"/>
      <c r="N137" s="3"/>
      <c r="O137" s="5"/>
      <c r="P137" s="3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>
      <c r="A138" s="1"/>
      <c r="B138" s="1"/>
      <c r="C138" s="1"/>
      <c r="D138" s="1"/>
      <c r="E138" s="3"/>
      <c r="F138" s="3"/>
      <c r="G138" s="5"/>
      <c r="H138" s="3"/>
      <c r="I138" s="5"/>
      <c r="J138" s="3"/>
      <c r="K138" s="5"/>
      <c r="L138" s="3"/>
      <c r="M138" s="5"/>
      <c r="N138" s="3"/>
      <c r="O138" s="5"/>
      <c r="P138" s="3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>
      <c r="A139" s="1"/>
      <c r="B139" s="1"/>
      <c r="C139" s="1"/>
      <c r="D139" s="1"/>
      <c r="E139" s="3"/>
      <c r="F139" s="3"/>
      <c r="G139" s="5"/>
      <c r="H139" s="3"/>
      <c r="I139" s="5"/>
      <c r="J139" s="3"/>
      <c r="K139" s="5"/>
      <c r="L139" s="3"/>
      <c r="M139" s="5"/>
      <c r="N139" s="3"/>
      <c r="O139" s="5"/>
      <c r="P139" s="3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>
      <c r="A140" s="1"/>
      <c r="B140" s="1"/>
      <c r="C140" s="1"/>
      <c r="D140" s="1"/>
      <c r="E140" s="3"/>
      <c r="F140" s="3"/>
      <c r="G140" s="5"/>
      <c r="H140" s="3"/>
      <c r="I140" s="5"/>
      <c r="J140" s="3"/>
      <c r="K140" s="5"/>
      <c r="L140" s="3"/>
      <c r="M140" s="5"/>
      <c r="N140" s="3"/>
      <c r="O140" s="5"/>
      <c r="P140" s="3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>
      <c r="A141" s="1"/>
      <c r="B141" s="1"/>
      <c r="C141" s="1"/>
      <c r="D141" s="1"/>
      <c r="E141" s="3"/>
      <c r="F141" s="3"/>
      <c r="G141" s="5"/>
      <c r="H141" s="3"/>
      <c r="I141" s="5"/>
      <c r="J141" s="3"/>
      <c r="K141" s="5"/>
      <c r="L141" s="3"/>
      <c r="M141" s="5"/>
      <c r="N141" s="3"/>
      <c r="O141" s="5"/>
      <c r="P141" s="3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>
      <c r="A142" s="1"/>
      <c r="B142" s="1"/>
      <c r="C142" s="1"/>
      <c r="D142" s="1"/>
      <c r="E142" s="3"/>
      <c r="F142" s="3"/>
      <c r="G142" s="5"/>
      <c r="H142" s="3"/>
      <c r="I142" s="5"/>
      <c r="J142" s="3"/>
      <c r="K142" s="5"/>
      <c r="L142" s="3"/>
      <c r="M142" s="5"/>
      <c r="N142" s="3"/>
      <c r="O142" s="5"/>
      <c r="P142" s="3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>
      <c r="A143" s="1"/>
      <c r="B143" s="1"/>
      <c r="C143" s="1"/>
      <c r="D143" s="1"/>
      <c r="E143" s="3"/>
      <c r="F143" s="3"/>
      <c r="G143" s="5"/>
      <c r="H143" s="3"/>
      <c r="I143" s="5"/>
      <c r="J143" s="3"/>
      <c r="K143" s="5"/>
      <c r="L143" s="3"/>
      <c r="M143" s="5"/>
      <c r="N143" s="3"/>
      <c r="O143" s="5"/>
      <c r="P143" s="3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>
      <c r="A144" s="1"/>
      <c r="B144" s="1"/>
      <c r="C144" s="1"/>
      <c r="D144" s="1"/>
      <c r="E144" s="3"/>
      <c r="F144" s="3"/>
      <c r="G144" s="5"/>
      <c r="H144" s="3"/>
      <c r="I144" s="5"/>
      <c r="J144" s="3"/>
      <c r="K144" s="5"/>
      <c r="L144" s="3"/>
      <c r="M144" s="5"/>
      <c r="N144" s="3"/>
      <c r="O144" s="5"/>
      <c r="P144" s="3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>
      <c r="A145" s="1"/>
      <c r="B145" s="1"/>
      <c r="C145" s="1"/>
      <c r="D145" s="1"/>
      <c r="E145" s="3"/>
      <c r="F145" s="3"/>
      <c r="G145" s="5"/>
      <c r="H145" s="3"/>
      <c r="I145" s="5"/>
      <c r="J145" s="3"/>
      <c r="K145" s="5"/>
      <c r="L145" s="3"/>
      <c r="M145" s="5"/>
      <c r="N145" s="3"/>
      <c r="O145" s="5"/>
      <c r="P145" s="3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>
      <c r="A146" s="1"/>
      <c r="B146" s="1"/>
      <c r="C146" s="1"/>
      <c r="D146" s="1"/>
      <c r="E146" s="3"/>
      <c r="F146" s="3"/>
      <c r="G146" s="5"/>
      <c r="H146" s="3"/>
      <c r="I146" s="5"/>
      <c r="J146" s="3"/>
      <c r="K146" s="5"/>
      <c r="L146" s="3"/>
      <c r="M146" s="5"/>
      <c r="N146" s="3"/>
      <c r="O146" s="5"/>
      <c r="P146" s="3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>
      <c r="A147" s="1"/>
      <c r="B147" s="1"/>
      <c r="C147" s="1"/>
      <c r="D147" s="1"/>
      <c r="E147" s="3"/>
      <c r="F147" s="3"/>
      <c r="G147" s="5"/>
      <c r="H147" s="3"/>
      <c r="I147" s="5"/>
      <c r="J147" s="3"/>
      <c r="K147" s="5"/>
      <c r="L147" s="3"/>
      <c r="M147" s="5"/>
      <c r="N147" s="3"/>
      <c r="O147" s="5"/>
      <c r="P147" s="3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>
      <c r="A148" s="1"/>
      <c r="B148" s="1"/>
      <c r="C148" s="1"/>
      <c r="D148" s="1"/>
      <c r="E148" s="3"/>
      <c r="F148" s="3"/>
      <c r="G148" s="5"/>
      <c r="H148" s="3"/>
      <c r="I148" s="5"/>
      <c r="J148" s="3"/>
      <c r="K148" s="5"/>
      <c r="L148" s="3"/>
      <c r="M148" s="5"/>
      <c r="N148" s="3"/>
      <c r="O148" s="5"/>
      <c r="P148" s="3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>
      <c r="A149" s="1"/>
      <c r="B149" s="1"/>
      <c r="C149" s="1"/>
      <c r="D149" s="1"/>
      <c r="E149" s="3"/>
      <c r="F149" s="3"/>
      <c r="G149" s="5"/>
      <c r="H149" s="3"/>
      <c r="I149" s="5"/>
      <c r="J149" s="3"/>
      <c r="K149" s="5"/>
      <c r="L149" s="3"/>
      <c r="M149" s="5"/>
      <c r="N149" s="3"/>
      <c r="O149" s="5"/>
      <c r="P149" s="3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>
      <c r="A150" s="1"/>
      <c r="B150" s="1"/>
      <c r="C150" s="1"/>
      <c r="D150" s="1"/>
      <c r="E150" s="3"/>
      <c r="F150" s="3"/>
      <c r="G150" s="5"/>
      <c r="H150" s="3"/>
      <c r="I150" s="5"/>
      <c r="J150" s="3"/>
      <c r="K150" s="5"/>
      <c r="L150" s="3"/>
      <c r="M150" s="5"/>
      <c r="N150" s="3"/>
      <c r="O150" s="5"/>
      <c r="P150" s="3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>
      <c r="A151" s="1"/>
      <c r="B151" s="1"/>
      <c r="C151" s="1"/>
      <c r="D151" s="1"/>
      <c r="E151" s="3"/>
      <c r="F151" s="3"/>
      <c r="G151" s="5"/>
      <c r="H151" s="3"/>
      <c r="I151" s="5"/>
      <c r="J151" s="3"/>
      <c r="K151" s="5"/>
      <c r="L151" s="3"/>
      <c r="M151" s="5"/>
      <c r="N151" s="3"/>
      <c r="O151" s="5"/>
      <c r="P151" s="3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>
      <c r="A152" s="1"/>
      <c r="B152" s="1"/>
      <c r="C152" s="1"/>
      <c r="D152" s="1"/>
      <c r="E152" s="3"/>
      <c r="F152" s="3"/>
      <c r="G152" s="5"/>
      <c r="H152" s="3"/>
      <c r="I152" s="5"/>
      <c r="J152" s="3"/>
      <c r="K152" s="5"/>
      <c r="L152" s="3"/>
      <c r="M152" s="5"/>
      <c r="N152" s="3"/>
      <c r="O152" s="5"/>
      <c r="P152" s="3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>
      <c r="A153" s="1"/>
      <c r="B153" s="1"/>
      <c r="C153" s="1"/>
      <c r="D153" s="1"/>
      <c r="E153" s="3"/>
      <c r="F153" s="3"/>
      <c r="G153" s="5"/>
      <c r="H153" s="3"/>
      <c r="I153" s="5"/>
      <c r="J153" s="3"/>
      <c r="K153" s="5"/>
      <c r="L153" s="3"/>
      <c r="M153" s="5"/>
      <c r="N153" s="3"/>
      <c r="O153" s="5"/>
      <c r="P153" s="3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>
      <c r="A154" s="1"/>
      <c r="B154" s="1"/>
      <c r="C154" s="1"/>
      <c r="D154" s="1"/>
      <c r="E154" s="3"/>
      <c r="F154" s="3"/>
      <c r="G154" s="5"/>
      <c r="H154" s="3"/>
      <c r="I154" s="5"/>
      <c r="J154" s="3"/>
      <c r="K154" s="5"/>
      <c r="L154" s="3"/>
      <c r="M154" s="5"/>
      <c r="N154" s="3"/>
      <c r="O154" s="5"/>
      <c r="P154" s="3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>
      <c r="A155" s="1"/>
      <c r="B155" s="1"/>
      <c r="C155" s="1"/>
      <c r="D155" s="1"/>
      <c r="E155" s="3"/>
      <c r="F155" s="3"/>
      <c r="G155" s="5"/>
      <c r="H155" s="3"/>
      <c r="I155" s="5"/>
      <c r="J155" s="3"/>
      <c r="K155" s="5"/>
      <c r="L155" s="3"/>
      <c r="M155" s="5"/>
      <c r="N155" s="3"/>
      <c r="O155" s="5"/>
      <c r="P155" s="3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>
      <c r="A156" s="1"/>
      <c r="B156" s="1"/>
      <c r="C156" s="1"/>
      <c r="D156" s="1"/>
      <c r="E156" s="3"/>
      <c r="F156" s="3"/>
      <c r="G156" s="5"/>
      <c r="H156" s="3"/>
      <c r="I156" s="5"/>
      <c r="J156" s="3"/>
      <c r="K156" s="5"/>
      <c r="L156" s="3"/>
      <c r="M156" s="5"/>
      <c r="N156" s="3"/>
      <c r="O156" s="5"/>
      <c r="P156" s="3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>
      <c r="A157" s="1"/>
      <c r="B157" s="1"/>
      <c r="C157" s="1"/>
      <c r="D157" s="1"/>
      <c r="E157" s="3"/>
      <c r="F157" s="3"/>
      <c r="G157" s="5"/>
      <c r="H157" s="3"/>
      <c r="I157" s="5"/>
      <c r="J157" s="3"/>
      <c r="K157" s="5"/>
      <c r="L157" s="3"/>
      <c r="M157" s="5"/>
      <c r="N157" s="3"/>
      <c r="O157" s="5"/>
      <c r="P157" s="3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>
      <c r="A158" s="1"/>
      <c r="B158" s="1"/>
      <c r="C158" s="1"/>
      <c r="D158" s="1"/>
      <c r="E158" s="3"/>
      <c r="F158" s="3"/>
      <c r="G158" s="5"/>
      <c r="H158" s="3"/>
      <c r="I158" s="5"/>
      <c r="J158" s="3"/>
      <c r="K158" s="5"/>
      <c r="L158" s="3"/>
      <c r="M158" s="5"/>
      <c r="N158" s="3"/>
      <c r="O158" s="5"/>
      <c r="P158" s="3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>
      <c r="A159" s="1"/>
      <c r="B159" s="1"/>
      <c r="C159" s="1"/>
      <c r="D159" s="1"/>
      <c r="E159" s="3"/>
      <c r="F159" s="3"/>
      <c r="G159" s="5"/>
      <c r="H159" s="3"/>
      <c r="I159" s="5"/>
      <c r="J159" s="3"/>
      <c r="K159" s="5"/>
      <c r="L159" s="3"/>
      <c r="M159" s="5"/>
      <c r="N159" s="3"/>
      <c r="O159" s="5"/>
      <c r="P159" s="3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>
      <c r="A160" s="1"/>
      <c r="B160" s="1"/>
      <c r="C160" s="1"/>
      <c r="D160" s="1"/>
      <c r="E160" s="3"/>
      <c r="F160" s="3"/>
      <c r="G160" s="5"/>
      <c r="H160" s="3"/>
      <c r="I160" s="5"/>
      <c r="J160" s="3"/>
      <c r="K160" s="5"/>
      <c r="L160" s="3"/>
      <c r="M160" s="5"/>
      <c r="N160" s="3"/>
      <c r="O160" s="5"/>
      <c r="P160" s="3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>
      <c r="A161" s="1"/>
      <c r="B161" s="1"/>
      <c r="C161" s="1"/>
      <c r="D161" s="1"/>
      <c r="E161" s="3"/>
      <c r="F161" s="3"/>
      <c r="G161" s="5"/>
      <c r="H161" s="3"/>
      <c r="I161" s="5"/>
      <c r="J161" s="3"/>
      <c r="K161" s="5"/>
      <c r="L161" s="3"/>
      <c r="M161" s="5"/>
      <c r="N161" s="3"/>
      <c r="O161" s="5"/>
      <c r="P161" s="3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>
      <c r="A162" s="1"/>
      <c r="B162" s="1"/>
      <c r="C162" s="1"/>
      <c r="D162" s="1"/>
      <c r="E162" s="3"/>
      <c r="F162" s="3"/>
      <c r="G162" s="5"/>
      <c r="H162" s="3"/>
      <c r="I162" s="5"/>
      <c r="J162" s="3"/>
      <c r="K162" s="5"/>
      <c r="L162" s="3"/>
      <c r="M162" s="5"/>
      <c r="N162" s="3"/>
      <c r="O162" s="5"/>
      <c r="P162" s="3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>
      <c r="A163" s="1"/>
      <c r="B163" s="1"/>
      <c r="C163" s="1"/>
      <c r="D163" s="1"/>
      <c r="E163" s="3"/>
      <c r="F163" s="3"/>
      <c r="G163" s="5"/>
      <c r="H163" s="3"/>
      <c r="I163" s="5"/>
      <c r="J163" s="3"/>
      <c r="K163" s="5"/>
      <c r="L163" s="3"/>
      <c r="M163" s="5"/>
      <c r="N163" s="3"/>
      <c r="O163" s="5"/>
      <c r="P163" s="3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>
      <c r="A164" s="1"/>
      <c r="B164" s="1"/>
      <c r="C164" s="1"/>
      <c r="D164" s="1"/>
      <c r="E164" s="3"/>
      <c r="F164" s="3"/>
      <c r="G164" s="5"/>
      <c r="H164" s="3"/>
      <c r="I164" s="5"/>
      <c r="J164" s="3"/>
      <c r="K164" s="5"/>
      <c r="L164" s="3"/>
      <c r="M164" s="5"/>
      <c r="N164" s="3"/>
      <c r="O164" s="5"/>
      <c r="P164" s="3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>
      <c r="A165" s="1"/>
      <c r="B165" s="1"/>
      <c r="C165" s="1"/>
      <c r="D165" s="1"/>
      <c r="E165" s="3"/>
      <c r="F165" s="3"/>
      <c r="G165" s="5"/>
      <c r="H165" s="3"/>
      <c r="I165" s="5"/>
      <c r="J165" s="3"/>
      <c r="K165" s="5"/>
      <c r="L165" s="3"/>
      <c r="M165" s="5"/>
      <c r="N165" s="3"/>
      <c r="O165" s="5"/>
      <c r="P165" s="3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>
      <c r="A166" s="1"/>
      <c r="B166" s="1"/>
      <c r="C166" s="1"/>
      <c r="D166" s="1"/>
      <c r="E166" s="3"/>
      <c r="F166" s="3"/>
      <c r="G166" s="5"/>
      <c r="H166" s="3"/>
      <c r="I166" s="5"/>
      <c r="J166" s="3"/>
      <c r="K166" s="5"/>
      <c r="L166" s="3"/>
      <c r="M166" s="5"/>
      <c r="N166" s="3"/>
      <c r="O166" s="5"/>
      <c r="P166" s="3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>
      <c r="A167" s="1"/>
      <c r="B167" s="1"/>
      <c r="C167" s="1"/>
      <c r="D167" s="1"/>
      <c r="E167" s="3"/>
      <c r="F167" s="3"/>
      <c r="G167" s="5"/>
      <c r="H167" s="3"/>
      <c r="I167" s="5"/>
      <c r="J167" s="3"/>
      <c r="K167" s="5"/>
      <c r="L167" s="3"/>
      <c r="M167" s="5"/>
      <c r="N167" s="3"/>
      <c r="O167" s="5"/>
      <c r="P167" s="3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>
      <c r="A168" s="1"/>
      <c r="B168" s="1"/>
      <c r="C168" s="1"/>
      <c r="D168" s="1"/>
      <c r="E168" s="3"/>
      <c r="F168" s="3"/>
      <c r="G168" s="5"/>
      <c r="H168" s="3"/>
      <c r="I168" s="5"/>
      <c r="J168" s="3"/>
      <c r="K168" s="5"/>
      <c r="L168" s="3"/>
      <c r="M168" s="5"/>
      <c r="N168" s="3"/>
      <c r="O168" s="5"/>
      <c r="P168" s="3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>
      <c r="A169" s="1"/>
      <c r="B169" s="1"/>
      <c r="C169" s="1"/>
      <c r="D169" s="1"/>
      <c r="E169" s="3"/>
      <c r="F169" s="3"/>
      <c r="G169" s="5"/>
      <c r="H169" s="3"/>
      <c r="I169" s="5"/>
      <c r="J169" s="3"/>
      <c r="K169" s="5"/>
      <c r="L169" s="3"/>
      <c r="M169" s="5"/>
      <c r="N169" s="3"/>
      <c r="O169" s="5"/>
      <c r="P169" s="3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>
      <c r="A170" s="1"/>
      <c r="B170" s="1"/>
      <c r="C170" s="1"/>
      <c r="D170" s="1"/>
      <c r="E170" s="3"/>
      <c r="F170" s="3"/>
      <c r="G170" s="5"/>
      <c r="H170" s="3"/>
      <c r="I170" s="5"/>
      <c r="J170" s="3"/>
      <c r="K170" s="5"/>
      <c r="L170" s="3"/>
      <c r="M170" s="5"/>
      <c r="N170" s="3"/>
      <c r="O170" s="5"/>
      <c r="P170" s="3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>
      <c r="A171" s="1"/>
      <c r="B171" s="1"/>
      <c r="C171" s="1"/>
      <c r="D171" s="1"/>
      <c r="E171" s="3"/>
      <c r="F171" s="3"/>
      <c r="G171" s="5"/>
      <c r="H171" s="3"/>
      <c r="I171" s="5"/>
      <c r="J171" s="3"/>
      <c r="K171" s="5"/>
      <c r="L171" s="3"/>
      <c r="M171" s="5"/>
      <c r="N171" s="3"/>
      <c r="O171" s="5"/>
      <c r="P171" s="3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>
      <c r="A172" s="1"/>
      <c r="B172" s="1"/>
      <c r="C172" s="1"/>
      <c r="D172" s="1"/>
      <c r="E172" s="3"/>
      <c r="F172" s="3"/>
      <c r="G172" s="5"/>
      <c r="H172" s="3"/>
      <c r="I172" s="5"/>
      <c r="J172" s="3"/>
      <c r="K172" s="5"/>
      <c r="L172" s="3"/>
      <c r="M172" s="5"/>
      <c r="N172" s="3"/>
      <c r="O172" s="5"/>
      <c r="P172" s="3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>
      <c r="A173" s="1"/>
      <c r="B173" s="1"/>
      <c r="C173" s="1"/>
      <c r="D173" s="1"/>
      <c r="E173" s="3"/>
      <c r="F173" s="3"/>
      <c r="G173" s="5"/>
      <c r="H173" s="3"/>
      <c r="I173" s="5"/>
      <c r="J173" s="3"/>
      <c r="K173" s="5"/>
      <c r="L173" s="3"/>
      <c r="M173" s="5"/>
      <c r="N173" s="3"/>
      <c r="O173" s="5"/>
      <c r="P173" s="3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>
      <c r="A174" s="1"/>
      <c r="B174" s="1"/>
      <c r="C174" s="1"/>
      <c r="D174" s="1"/>
      <c r="E174" s="3"/>
      <c r="F174" s="3"/>
      <c r="G174" s="5"/>
      <c r="H174" s="3"/>
      <c r="I174" s="5"/>
      <c r="J174" s="3"/>
      <c r="K174" s="5"/>
      <c r="L174" s="3"/>
      <c r="M174" s="5"/>
      <c r="N174" s="3"/>
      <c r="O174" s="5"/>
      <c r="P174" s="3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>
      <c r="A175" s="1"/>
      <c r="B175" s="1"/>
      <c r="C175" s="1"/>
      <c r="D175" s="1"/>
      <c r="E175" s="3"/>
      <c r="F175" s="3"/>
      <c r="G175" s="5"/>
      <c r="H175" s="3"/>
      <c r="I175" s="5"/>
      <c r="J175" s="3"/>
      <c r="K175" s="5"/>
      <c r="L175" s="3"/>
      <c r="M175" s="5"/>
      <c r="N175" s="3"/>
      <c r="O175" s="5"/>
      <c r="P175" s="3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>
      <c r="A176" s="1"/>
      <c r="B176" s="1"/>
      <c r="C176" s="1"/>
      <c r="D176" s="1"/>
      <c r="E176" s="3"/>
      <c r="F176" s="3"/>
      <c r="G176" s="5"/>
      <c r="H176" s="3"/>
      <c r="I176" s="5"/>
      <c r="J176" s="3"/>
      <c r="K176" s="5"/>
      <c r="L176" s="3"/>
      <c r="M176" s="5"/>
      <c r="N176" s="3"/>
      <c r="O176" s="5"/>
      <c r="P176" s="3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>
      <c r="A177" s="1"/>
      <c r="B177" s="1"/>
      <c r="C177" s="1"/>
      <c r="D177" s="1"/>
      <c r="E177" s="3"/>
      <c r="F177" s="3"/>
      <c r="G177" s="5"/>
      <c r="H177" s="3"/>
      <c r="I177" s="5"/>
      <c r="J177" s="3"/>
      <c r="K177" s="5"/>
      <c r="L177" s="3"/>
      <c r="M177" s="5"/>
      <c r="N177" s="3"/>
      <c r="O177" s="5"/>
      <c r="P177" s="3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>
      <c r="A178" s="1"/>
      <c r="B178" s="1"/>
      <c r="C178" s="1"/>
      <c r="D178" s="1"/>
      <c r="E178" s="3"/>
      <c r="F178" s="3"/>
      <c r="G178" s="5"/>
      <c r="H178" s="3"/>
      <c r="I178" s="5"/>
      <c r="J178" s="3"/>
      <c r="K178" s="5"/>
      <c r="L178" s="3"/>
      <c r="M178" s="5"/>
      <c r="N178" s="3"/>
      <c r="O178" s="5"/>
      <c r="P178" s="3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>
      <c r="A179" s="1"/>
      <c r="B179" s="1"/>
      <c r="C179" s="1"/>
      <c r="D179" s="1"/>
      <c r="E179" s="3"/>
      <c r="F179" s="3"/>
      <c r="G179" s="5"/>
      <c r="H179" s="3"/>
      <c r="I179" s="5"/>
      <c r="J179" s="3"/>
      <c r="K179" s="5"/>
      <c r="L179" s="3"/>
      <c r="M179" s="5"/>
      <c r="N179" s="3"/>
      <c r="O179" s="5"/>
      <c r="P179" s="3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>
      <c r="A180" s="1"/>
      <c r="B180" s="1"/>
      <c r="C180" s="1"/>
      <c r="D180" s="1"/>
      <c r="E180" s="3"/>
      <c r="F180" s="3"/>
      <c r="G180" s="5"/>
      <c r="H180" s="3"/>
      <c r="I180" s="5"/>
      <c r="J180" s="3"/>
      <c r="K180" s="5"/>
      <c r="L180" s="3"/>
      <c r="M180" s="5"/>
      <c r="N180" s="3"/>
      <c r="O180" s="5"/>
      <c r="P180" s="3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>
      <c r="A181" s="1"/>
      <c r="B181" s="1"/>
      <c r="C181" s="1"/>
      <c r="D181" s="1"/>
      <c r="E181" s="3"/>
      <c r="F181" s="3"/>
      <c r="G181" s="5"/>
      <c r="H181" s="3"/>
      <c r="I181" s="5"/>
      <c r="J181" s="3"/>
      <c r="K181" s="5"/>
      <c r="L181" s="3"/>
      <c r="M181" s="5"/>
      <c r="N181" s="3"/>
      <c r="O181" s="5"/>
      <c r="P181" s="3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>
      <c r="A182" s="1"/>
      <c r="B182" s="1"/>
      <c r="C182" s="1"/>
      <c r="D182" s="1"/>
      <c r="E182" s="3"/>
      <c r="F182" s="3"/>
      <c r="G182" s="5"/>
      <c r="H182" s="3"/>
      <c r="I182" s="5"/>
      <c r="J182" s="3"/>
      <c r="K182" s="5"/>
      <c r="L182" s="3"/>
      <c r="M182" s="5"/>
      <c r="N182" s="3"/>
      <c r="O182" s="5"/>
      <c r="P182" s="3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>
      <c r="A183" s="1"/>
      <c r="B183" s="1"/>
      <c r="C183" s="1"/>
      <c r="D183" s="1"/>
      <c r="E183" s="3"/>
      <c r="F183" s="3"/>
      <c r="G183" s="5"/>
      <c r="H183" s="3"/>
      <c r="I183" s="5"/>
      <c r="J183" s="3"/>
      <c r="K183" s="5"/>
      <c r="L183" s="3"/>
      <c r="M183" s="5"/>
      <c r="N183" s="3"/>
      <c r="O183" s="5"/>
      <c r="P183" s="3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>
      <c r="A184" s="1"/>
      <c r="B184" s="1"/>
      <c r="C184" s="1"/>
      <c r="D184" s="1"/>
      <c r="E184" s="3"/>
      <c r="F184" s="3"/>
      <c r="G184" s="5"/>
      <c r="H184" s="3"/>
      <c r="I184" s="5"/>
      <c r="J184" s="3"/>
      <c r="K184" s="5"/>
      <c r="L184" s="3"/>
      <c r="M184" s="5"/>
      <c r="N184" s="3"/>
      <c r="O184" s="5"/>
      <c r="P184" s="3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>
      <c r="A185" s="1"/>
      <c r="B185" s="1"/>
      <c r="C185" s="1"/>
      <c r="D185" s="1"/>
      <c r="E185" s="3"/>
      <c r="F185" s="3"/>
      <c r="G185" s="5"/>
      <c r="H185" s="3"/>
      <c r="I185" s="5"/>
      <c r="J185" s="3"/>
      <c r="K185" s="5"/>
      <c r="L185" s="3"/>
      <c r="M185" s="5"/>
      <c r="N185" s="3"/>
      <c r="O185" s="5"/>
      <c r="P185" s="3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>
      <c r="A186" s="1"/>
      <c r="B186" s="1"/>
      <c r="C186" s="1"/>
      <c r="D186" s="1"/>
      <c r="E186" s="3"/>
      <c r="F186" s="3"/>
      <c r="G186" s="5"/>
      <c r="H186" s="3"/>
      <c r="I186" s="5"/>
      <c r="J186" s="3"/>
      <c r="K186" s="5"/>
      <c r="L186" s="3"/>
      <c r="M186" s="5"/>
      <c r="N186" s="3"/>
      <c r="O186" s="5"/>
      <c r="P186" s="3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>
      <c r="A187" s="1"/>
      <c r="B187" s="1"/>
      <c r="C187" s="1"/>
      <c r="D187" s="1"/>
      <c r="E187" s="3"/>
      <c r="F187" s="3"/>
      <c r="G187" s="5"/>
      <c r="H187" s="3"/>
      <c r="I187" s="5"/>
      <c r="J187" s="3"/>
      <c r="K187" s="5"/>
      <c r="L187" s="3"/>
      <c r="M187" s="5"/>
      <c r="N187" s="3"/>
      <c r="O187" s="5"/>
      <c r="P187" s="3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>
      <c r="A188" s="1"/>
      <c r="B188" s="1"/>
      <c r="C188" s="1"/>
      <c r="D188" s="1"/>
      <c r="E188" s="3"/>
      <c r="F188" s="3"/>
      <c r="G188" s="5"/>
      <c r="H188" s="3"/>
      <c r="I188" s="5"/>
      <c r="J188" s="3"/>
      <c r="K188" s="5"/>
      <c r="L188" s="3"/>
      <c r="M188" s="5"/>
      <c r="N188" s="3"/>
      <c r="O188" s="5"/>
      <c r="P188" s="3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>
      <c r="A189" s="1"/>
      <c r="B189" s="1"/>
      <c r="C189" s="1"/>
      <c r="D189" s="1"/>
      <c r="E189" s="3"/>
      <c r="F189" s="3"/>
      <c r="G189" s="5"/>
      <c r="H189" s="3"/>
      <c r="I189" s="5"/>
      <c r="J189" s="3"/>
      <c r="K189" s="5"/>
      <c r="L189" s="3"/>
      <c r="M189" s="5"/>
      <c r="N189" s="3"/>
      <c r="O189" s="5"/>
      <c r="P189" s="3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>
      <c r="A190" s="1"/>
      <c r="B190" s="1"/>
      <c r="C190" s="1"/>
      <c r="D190" s="1"/>
      <c r="E190" s="3"/>
      <c r="F190" s="3"/>
      <c r="G190" s="5"/>
      <c r="H190" s="3"/>
      <c r="I190" s="5"/>
      <c r="J190" s="3"/>
      <c r="K190" s="5"/>
      <c r="L190" s="3"/>
      <c r="M190" s="5"/>
      <c r="N190" s="3"/>
      <c r="O190" s="5"/>
      <c r="P190" s="3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>
      <c r="A191" s="1"/>
      <c r="B191" s="1"/>
      <c r="C191" s="1"/>
      <c r="D191" s="1"/>
      <c r="E191" s="3"/>
      <c r="F191" s="3"/>
      <c r="G191" s="5"/>
      <c r="H191" s="3"/>
      <c r="I191" s="5"/>
      <c r="J191" s="3"/>
      <c r="K191" s="5"/>
      <c r="L191" s="3"/>
      <c r="M191" s="5"/>
      <c r="N191" s="3"/>
      <c r="O191" s="5"/>
      <c r="P191" s="3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>
      <c r="A192" s="1"/>
      <c r="B192" s="1"/>
      <c r="C192" s="1"/>
      <c r="D192" s="1"/>
      <c r="E192" s="3"/>
      <c r="F192" s="3"/>
      <c r="G192" s="5"/>
      <c r="H192" s="3"/>
      <c r="I192" s="5"/>
      <c r="J192" s="3"/>
      <c r="K192" s="5"/>
      <c r="L192" s="3"/>
      <c r="M192" s="5"/>
      <c r="N192" s="3"/>
      <c r="O192" s="5"/>
      <c r="P192" s="3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>
      <c r="A193" s="1"/>
      <c r="B193" s="1"/>
      <c r="C193" s="1"/>
      <c r="D193" s="1"/>
      <c r="E193" s="3"/>
      <c r="F193" s="3"/>
      <c r="G193" s="5"/>
      <c r="H193" s="3"/>
      <c r="I193" s="5"/>
      <c r="J193" s="3"/>
      <c r="K193" s="5"/>
      <c r="L193" s="3"/>
      <c r="M193" s="5"/>
      <c r="N193" s="3"/>
      <c r="O193" s="5"/>
      <c r="P193" s="3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>
      <c r="A194" s="1"/>
      <c r="B194" s="1"/>
      <c r="C194" s="1"/>
      <c r="D194" s="1"/>
      <c r="E194" s="3"/>
      <c r="F194" s="3"/>
      <c r="G194" s="5"/>
      <c r="H194" s="3"/>
      <c r="I194" s="5"/>
      <c r="J194" s="3"/>
      <c r="K194" s="5"/>
      <c r="L194" s="3"/>
      <c r="M194" s="5"/>
      <c r="N194" s="3"/>
      <c r="O194" s="5"/>
      <c r="P194" s="3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>
      <c r="A195" s="1"/>
      <c r="B195" s="1"/>
      <c r="C195" s="1"/>
      <c r="D195" s="1"/>
      <c r="E195" s="3"/>
      <c r="F195" s="3"/>
      <c r="G195" s="5"/>
      <c r="H195" s="3"/>
      <c r="I195" s="5"/>
      <c r="J195" s="3"/>
      <c r="K195" s="5"/>
      <c r="L195" s="3"/>
      <c r="M195" s="5"/>
      <c r="N195" s="3"/>
      <c r="O195" s="5"/>
      <c r="P195" s="3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>
      <c r="A196" s="1"/>
      <c r="B196" s="1"/>
      <c r="C196" s="1"/>
      <c r="D196" s="1"/>
      <c r="E196" s="3"/>
      <c r="F196" s="3"/>
      <c r="G196" s="5"/>
      <c r="H196" s="3"/>
      <c r="I196" s="5"/>
      <c r="J196" s="3"/>
      <c r="K196" s="5"/>
      <c r="L196" s="3"/>
      <c r="M196" s="5"/>
      <c r="N196" s="3"/>
      <c r="O196" s="5"/>
      <c r="P196" s="3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>
      <c r="A197" s="1"/>
      <c r="B197" s="1"/>
      <c r="C197" s="1"/>
      <c r="D197" s="1"/>
      <c r="E197" s="3"/>
      <c r="F197" s="3"/>
      <c r="G197" s="5"/>
      <c r="H197" s="3"/>
      <c r="I197" s="5"/>
      <c r="J197" s="3"/>
      <c r="K197" s="5"/>
      <c r="L197" s="3"/>
      <c r="M197" s="5"/>
      <c r="N197" s="3"/>
      <c r="O197" s="5"/>
      <c r="P197" s="3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>
      <c r="A198" s="1"/>
      <c r="B198" s="1"/>
      <c r="C198" s="1"/>
      <c r="D198" s="1"/>
      <c r="E198" s="3"/>
      <c r="F198" s="3"/>
      <c r="G198" s="5"/>
      <c r="H198" s="3"/>
      <c r="I198" s="5"/>
      <c r="J198" s="3"/>
      <c r="K198" s="5"/>
      <c r="L198" s="3"/>
      <c r="M198" s="5"/>
      <c r="N198" s="3"/>
      <c r="O198" s="5"/>
      <c r="P198" s="3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>
      <c r="A199" s="1"/>
      <c r="B199" s="1"/>
      <c r="C199" s="1"/>
      <c r="D199" s="1"/>
      <c r="E199" s="3"/>
      <c r="F199" s="3"/>
      <c r="G199" s="5"/>
      <c r="H199" s="3"/>
      <c r="I199" s="5"/>
      <c r="J199" s="3"/>
      <c r="K199" s="5"/>
      <c r="L199" s="3"/>
      <c r="M199" s="5"/>
      <c r="N199" s="3"/>
      <c r="O199" s="5"/>
      <c r="P199" s="3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>
      <c r="A200" s="1"/>
      <c r="B200" s="1"/>
      <c r="C200" s="1"/>
      <c r="D200" s="1"/>
      <c r="E200" s="3"/>
      <c r="F200" s="3"/>
      <c r="G200" s="5"/>
      <c r="H200" s="3"/>
      <c r="I200" s="5"/>
      <c r="J200" s="3"/>
      <c r="K200" s="5"/>
      <c r="L200" s="3"/>
      <c r="M200" s="5"/>
      <c r="N200" s="3"/>
      <c r="O200" s="5"/>
      <c r="P200" s="3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>
      <c r="A201" s="1"/>
      <c r="B201" s="1"/>
      <c r="C201" s="1"/>
      <c r="D201" s="1"/>
      <c r="E201" s="3"/>
      <c r="F201" s="3"/>
      <c r="G201" s="5"/>
      <c r="H201" s="3"/>
      <c r="I201" s="5"/>
      <c r="J201" s="3"/>
      <c r="K201" s="5"/>
      <c r="L201" s="3"/>
      <c r="M201" s="5"/>
      <c r="N201" s="3"/>
      <c r="O201" s="5"/>
      <c r="P201" s="3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>
      <c r="A202" s="1"/>
      <c r="B202" s="1"/>
      <c r="C202" s="1"/>
      <c r="D202" s="1"/>
      <c r="E202" s="3"/>
      <c r="F202" s="3"/>
      <c r="G202" s="5"/>
      <c r="H202" s="3"/>
      <c r="I202" s="5"/>
      <c r="J202" s="3"/>
      <c r="K202" s="5"/>
      <c r="L202" s="3"/>
      <c r="M202" s="5"/>
      <c r="N202" s="3"/>
      <c r="O202" s="5"/>
      <c r="P202" s="3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>
      <c r="A203" s="1"/>
      <c r="B203" s="1"/>
      <c r="C203" s="1"/>
      <c r="D203" s="1"/>
      <c r="E203" s="3"/>
      <c r="F203" s="3"/>
      <c r="G203" s="5"/>
      <c r="H203" s="3"/>
      <c r="I203" s="5"/>
      <c r="J203" s="3"/>
      <c r="K203" s="5"/>
      <c r="L203" s="3"/>
      <c r="M203" s="5"/>
      <c r="N203" s="3"/>
      <c r="O203" s="5"/>
      <c r="P203" s="3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>
      <c r="A204" s="1"/>
      <c r="B204" s="1"/>
      <c r="C204" s="1"/>
      <c r="D204" s="1"/>
      <c r="E204" s="3"/>
      <c r="F204" s="3"/>
      <c r="G204" s="5"/>
      <c r="H204" s="3"/>
      <c r="I204" s="5"/>
      <c r="J204" s="3"/>
      <c r="K204" s="5"/>
      <c r="L204" s="3"/>
      <c r="M204" s="5"/>
      <c r="N204" s="3"/>
      <c r="O204" s="5"/>
      <c r="P204" s="3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>
      <c r="A205" s="1"/>
      <c r="B205" s="1"/>
      <c r="C205" s="1"/>
      <c r="D205" s="1"/>
      <c r="E205" s="3"/>
      <c r="F205" s="3"/>
      <c r="G205" s="5"/>
      <c r="H205" s="3"/>
      <c r="I205" s="5"/>
      <c r="J205" s="3"/>
      <c r="K205" s="5"/>
      <c r="L205" s="3"/>
      <c r="M205" s="5"/>
      <c r="N205" s="3"/>
      <c r="O205" s="5"/>
      <c r="P205" s="3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>
      <c r="A206" s="1"/>
      <c r="B206" s="1"/>
      <c r="C206" s="1"/>
      <c r="D206" s="1"/>
      <c r="E206" s="3"/>
      <c r="F206" s="3"/>
      <c r="G206" s="5"/>
      <c r="H206" s="3"/>
      <c r="I206" s="5"/>
      <c r="J206" s="3"/>
      <c r="K206" s="5"/>
      <c r="L206" s="3"/>
      <c r="M206" s="5"/>
      <c r="N206" s="3"/>
      <c r="O206" s="5"/>
      <c r="P206" s="3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>
      <c r="A207" s="1"/>
      <c r="B207" s="1"/>
      <c r="C207" s="1"/>
      <c r="D207" s="1"/>
      <c r="E207" s="3"/>
      <c r="F207" s="3"/>
      <c r="G207" s="5"/>
      <c r="H207" s="3"/>
      <c r="I207" s="5"/>
      <c r="J207" s="3"/>
      <c r="K207" s="5"/>
      <c r="L207" s="3"/>
      <c r="M207" s="5"/>
      <c r="N207" s="3"/>
      <c r="O207" s="5"/>
      <c r="P207" s="3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>
      <c r="A208" s="1"/>
      <c r="B208" s="1"/>
      <c r="C208" s="1"/>
      <c r="D208" s="1"/>
      <c r="E208" s="3"/>
      <c r="F208" s="3"/>
      <c r="G208" s="5"/>
      <c r="H208" s="3"/>
      <c r="I208" s="5"/>
      <c r="J208" s="3"/>
      <c r="K208" s="5"/>
      <c r="L208" s="3"/>
      <c r="M208" s="5"/>
      <c r="N208" s="3"/>
      <c r="O208" s="5"/>
      <c r="P208" s="3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>
      <c r="A209" s="1"/>
      <c r="B209" s="1"/>
      <c r="C209" s="1"/>
      <c r="D209" s="1"/>
      <c r="E209" s="3"/>
      <c r="F209" s="3"/>
      <c r="G209" s="5"/>
      <c r="H209" s="3"/>
      <c r="I209" s="5"/>
      <c r="J209" s="3"/>
      <c r="K209" s="5"/>
      <c r="L209" s="3"/>
      <c r="M209" s="5"/>
      <c r="N209" s="3"/>
      <c r="O209" s="5"/>
      <c r="P209" s="3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>
      <c r="A210" s="1"/>
      <c r="B210" s="1"/>
      <c r="C210" s="1"/>
      <c r="D210" s="1"/>
      <c r="E210" s="3"/>
      <c r="F210" s="3"/>
      <c r="G210" s="5"/>
      <c r="H210" s="3"/>
      <c r="I210" s="5"/>
      <c r="J210" s="3"/>
      <c r="K210" s="5"/>
      <c r="L210" s="3"/>
      <c r="M210" s="5"/>
      <c r="N210" s="3"/>
      <c r="O210" s="5"/>
      <c r="P210" s="3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>
      <c r="A211" s="1"/>
      <c r="B211" s="1"/>
      <c r="C211" s="1"/>
      <c r="D211" s="1"/>
      <c r="E211" s="3"/>
      <c r="F211" s="3"/>
      <c r="G211" s="5"/>
      <c r="H211" s="3"/>
      <c r="I211" s="5"/>
      <c r="J211" s="3"/>
      <c r="K211" s="5"/>
      <c r="L211" s="3"/>
      <c r="M211" s="5"/>
      <c r="N211" s="3"/>
      <c r="O211" s="5"/>
      <c r="P211" s="3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>
      <c r="A212" s="1"/>
      <c r="B212" s="1"/>
      <c r="C212" s="1"/>
      <c r="D212" s="1"/>
      <c r="E212" s="3"/>
      <c r="F212" s="3"/>
      <c r="G212" s="5"/>
      <c r="H212" s="3"/>
      <c r="I212" s="5"/>
      <c r="J212" s="3"/>
      <c r="K212" s="5"/>
      <c r="L212" s="3"/>
      <c r="M212" s="5"/>
      <c r="N212" s="3"/>
      <c r="O212" s="5"/>
      <c r="P212" s="3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>
      <c r="A213" s="1"/>
      <c r="B213" s="1"/>
      <c r="C213" s="1"/>
      <c r="D213" s="1"/>
      <c r="E213" s="3"/>
      <c r="F213" s="3"/>
      <c r="G213" s="5"/>
      <c r="H213" s="3"/>
      <c r="I213" s="5"/>
      <c r="J213" s="3"/>
      <c r="K213" s="5"/>
      <c r="L213" s="3"/>
      <c r="M213" s="5"/>
      <c r="N213" s="3"/>
      <c r="O213" s="5"/>
      <c r="P213" s="3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>
      <c r="A214" s="1"/>
      <c r="B214" s="1"/>
      <c r="C214" s="1"/>
      <c r="D214" s="1"/>
      <c r="E214" s="3"/>
      <c r="F214" s="3"/>
      <c r="G214" s="5"/>
      <c r="H214" s="3"/>
      <c r="I214" s="5"/>
      <c r="J214" s="3"/>
      <c r="K214" s="5"/>
      <c r="L214" s="3"/>
      <c r="M214" s="5"/>
      <c r="N214" s="3"/>
      <c r="O214" s="5"/>
      <c r="P214" s="3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>
      <c r="A215" s="1"/>
      <c r="B215" s="1"/>
      <c r="C215" s="1"/>
      <c r="D215" s="1"/>
      <c r="E215" s="3"/>
      <c r="F215" s="3"/>
      <c r="G215" s="5"/>
      <c r="H215" s="3"/>
      <c r="I215" s="5"/>
      <c r="J215" s="3"/>
      <c r="K215" s="5"/>
      <c r="L215" s="3"/>
      <c r="M215" s="5"/>
      <c r="N215" s="3"/>
      <c r="O215" s="5"/>
      <c r="P215" s="3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>
      <c r="A216" s="1"/>
      <c r="B216" s="1"/>
      <c r="C216" s="1"/>
      <c r="D216" s="1"/>
      <c r="E216" s="3"/>
      <c r="F216" s="3"/>
      <c r="G216" s="5"/>
      <c r="H216" s="3"/>
      <c r="I216" s="5"/>
      <c r="J216" s="3"/>
      <c r="K216" s="5"/>
      <c r="L216" s="3"/>
      <c r="M216" s="5"/>
      <c r="N216" s="3"/>
      <c r="O216" s="5"/>
      <c r="P216" s="3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>
      <c r="A217" s="1"/>
      <c r="B217" s="1"/>
      <c r="C217" s="1"/>
      <c r="D217" s="1"/>
      <c r="E217" s="3"/>
      <c r="F217" s="3"/>
      <c r="G217" s="5"/>
      <c r="H217" s="3"/>
      <c r="I217" s="5"/>
      <c r="J217" s="3"/>
      <c r="K217" s="5"/>
      <c r="L217" s="3"/>
      <c r="M217" s="5"/>
      <c r="N217" s="3"/>
      <c r="O217" s="5"/>
      <c r="P217" s="3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>
      <c r="A218" s="1"/>
      <c r="B218" s="1"/>
      <c r="C218" s="1"/>
      <c r="D218" s="1"/>
      <c r="E218" s="3"/>
      <c r="F218" s="3"/>
      <c r="G218" s="5"/>
      <c r="H218" s="3"/>
      <c r="I218" s="5"/>
      <c r="J218" s="3"/>
      <c r="K218" s="5"/>
      <c r="L218" s="3"/>
      <c r="M218" s="5"/>
      <c r="N218" s="3"/>
      <c r="O218" s="5"/>
      <c r="P218" s="3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>
      <c r="A219" s="1"/>
      <c r="B219" s="1"/>
      <c r="C219" s="1"/>
      <c r="D219" s="1"/>
      <c r="E219" s="3"/>
      <c r="F219" s="3"/>
      <c r="G219" s="5"/>
      <c r="H219" s="3"/>
      <c r="I219" s="5"/>
      <c r="J219" s="3"/>
      <c r="K219" s="5"/>
      <c r="L219" s="3"/>
      <c r="M219" s="5"/>
      <c r="N219" s="3"/>
      <c r="O219" s="5"/>
      <c r="P219" s="3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>
      <c r="A220" s="1"/>
      <c r="B220" s="1"/>
      <c r="C220" s="1"/>
      <c r="D220" s="1"/>
      <c r="E220" s="3"/>
      <c r="F220" s="3"/>
      <c r="G220" s="5"/>
      <c r="H220" s="3"/>
      <c r="I220" s="5"/>
      <c r="J220" s="3"/>
      <c r="K220" s="5"/>
      <c r="L220" s="3"/>
      <c r="M220" s="5"/>
      <c r="N220" s="3"/>
      <c r="O220" s="5"/>
      <c r="P220" s="3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>
      <c r="A221" s="1"/>
      <c r="B221" s="1"/>
      <c r="C221" s="1"/>
      <c r="D221" s="1"/>
      <c r="E221" s="3"/>
      <c r="F221" s="3"/>
      <c r="G221" s="5"/>
      <c r="H221" s="3"/>
      <c r="I221" s="5"/>
      <c r="J221" s="3"/>
      <c r="K221" s="5"/>
      <c r="L221" s="3"/>
      <c r="M221" s="5"/>
      <c r="N221" s="3"/>
      <c r="O221" s="5"/>
      <c r="P221" s="3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>
      <c r="A222" s="1"/>
      <c r="B222" s="1"/>
      <c r="C222" s="1"/>
      <c r="D222" s="1"/>
      <c r="E222" s="3"/>
      <c r="F222" s="3"/>
      <c r="G222" s="5"/>
      <c r="H222" s="3"/>
      <c r="I222" s="5"/>
      <c r="J222" s="3"/>
      <c r="K222" s="5"/>
      <c r="L222" s="3"/>
      <c r="M222" s="5"/>
      <c r="N222" s="3"/>
      <c r="O222" s="5"/>
      <c r="P222" s="3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>
      <c r="A223" s="1"/>
      <c r="B223" s="1"/>
      <c r="C223" s="1"/>
      <c r="D223" s="1"/>
      <c r="E223" s="3"/>
      <c r="F223" s="3"/>
      <c r="G223" s="5"/>
      <c r="H223" s="3"/>
      <c r="I223" s="5"/>
      <c r="J223" s="3"/>
      <c r="K223" s="5"/>
      <c r="L223" s="3"/>
      <c r="M223" s="5"/>
      <c r="N223" s="3"/>
      <c r="O223" s="5"/>
      <c r="P223" s="3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>
      <c r="A224" s="1"/>
      <c r="B224" s="1"/>
      <c r="C224" s="1"/>
      <c r="D224" s="1"/>
      <c r="E224" s="3"/>
      <c r="F224" s="3"/>
      <c r="G224" s="5"/>
      <c r="H224" s="3"/>
      <c r="I224" s="5"/>
      <c r="J224" s="3"/>
      <c r="K224" s="5"/>
      <c r="L224" s="3"/>
      <c r="M224" s="5"/>
      <c r="N224" s="3"/>
      <c r="O224" s="5"/>
      <c r="P224" s="3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>
      <c r="A225" s="1"/>
      <c r="B225" s="1"/>
      <c r="C225" s="1"/>
      <c r="D225" s="1"/>
      <c r="E225" s="3"/>
      <c r="F225" s="3"/>
      <c r="G225" s="5"/>
      <c r="H225" s="3"/>
      <c r="I225" s="5"/>
      <c r="J225" s="3"/>
      <c r="K225" s="5"/>
      <c r="L225" s="3"/>
      <c r="M225" s="5"/>
      <c r="N225" s="3"/>
      <c r="O225" s="5"/>
      <c r="P225" s="3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>
      <c r="A226" s="1"/>
      <c r="B226" s="1"/>
      <c r="C226" s="1"/>
      <c r="D226" s="1"/>
      <c r="E226" s="3"/>
      <c r="F226" s="3"/>
      <c r="G226" s="5"/>
      <c r="H226" s="3"/>
      <c r="I226" s="5"/>
      <c r="J226" s="3"/>
      <c r="K226" s="5"/>
      <c r="L226" s="3"/>
      <c r="M226" s="5"/>
      <c r="N226" s="3"/>
      <c r="O226" s="5"/>
      <c r="P226" s="3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>
      <c r="A227" s="1"/>
      <c r="B227" s="1"/>
      <c r="C227" s="1"/>
      <c r="D227" s="1"/>
      <c r="E227" s="3"/>
      <c r="F227" s="3"/>
      <c r="G227" s="5"/>
      <c r="H227" s="3"/>
      <c r="I227" s="5"/>
      <c r="J227" s="3"/>
      <c r="K227" s="5"/>
      <c r="L227" s="3"/>
      <c r="M227" s="5"/>
      <c r="N227" s="3"/>
      <c r="O227" s="5"/>
      <c r="P227" s="3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>
      <c r="A228" s="1"/>
      <c r="B228" s="1"/>
      <c r="C228" s="1"/>
      <c r="D228" s="1"/>
      <c r="E228" s="3"/>
      <c r="F228" s="3"/>
      <c r="G228" s="5"/>
      <c r="H228" s="3"/>
      <c r="I228" s="5"/>
      <c r="J228" s="3"/>
      <c r="K228" s="5"/>
      <c r="L228" s="3"/>
      <c r="M228" s="5"/>
      <c r="N228" s="3"/>
      <c r="O228" s="5"/>
      <c r="P228" s="3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>
      <c r="A229" s="1"/>
      <c r="B229" s="1"/>
      <c r="C229" s="1"/>
      <c r="D229" s="1"/>
      <c r="E229" s="3"/>
      <c r="F229" s="3"/>
      <c r="G229" s="5"/>
      <c r="H229" s="3"/>
      <c r="I229" s="5"/>
      <c r="J229" s="3"/>
      <c r="K229" s="5"/>
      <c r="L229" s="3"/>
      <c r="M229" s="5"/>
      <c r="N229" s="3"/>
      <c r="O229" s="5"/>
      <c r="P229" s="3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>
      <c r="A230" s="1"/>
      <c r="B230" s="1"/>
      <c r="C230" s="1"/>
      <c r="D230" s="1"/>
      <c r="E230" s="3"/>
      <c r="F230" s="3"/>
      <c r="G230" s="5"/>
      <c r="H230" s="3"/>
      <c r="I230" s="5"/>
      <c r="J230" s="3"/>
      <c r="K230" s="5"/>
      <c r="L230" s="3"/>
      <c r="M230" s="5"/>
      <c r="N230" s="3"/>
      <c r="O230" s="5"/>
      <c r="P230" s="3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>
      <c r="A231" s="1"/>
      <c r="B231" s="1"/>
      <c r="C231" s="1"/>
      <c r="D231" s="1"/>
      <c r="E231" s="3"/>
      <c r="F231" s="3"/>
      <c r="G231" s="5"/>
      <c r="H231" s="3"/>
      <c r="I231" s="5"/>
      <c r="J231" s="3"/>
      <c r="K231" s="5"/>
      <c r="L231" s="3"/>
      <c r="M231" s="5"/>
      <c r="N231" s="3"/>
      <c r="O231" s="5"/>
      <c r="P231" s="3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>
      <c r="A232" s="1"/>
      <c r="B232" s="1"/>
      <c r="C232" s="1"/>
      <c r="D232" s="1"/>
      <c r="E232" s="3"/>
      <c r="F232" s="3"/>
      <c r="G232" s="5"/>
      <c r="H232" s="3"/>
      <c r="I232" s="5"/>
      <c r="J232" s="3"/>
      <c r="K232" s="5"/>
      <c r="L232" s="3"/>
      <c r="M232" s="5"/>
      <c r="N232" s="3"/>
      <c r="O232" s="5"/>
      <c r="P232" s="3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>
      <c r="A233" s="1"/>
      <c r="B233" s="1"/>
      <c r="C233" s="1"/>
      <c r="D233" s="1"/>
      <c r="E233" s="3"/>
      <c r="F233" s="3"/>
      <c r="G233" s="5"/>
      <c r="H233" s="3"/>
      <c r="I233" s="5"/>
      <c r="J233" s="3"/>
      <c r="K233" s="5"/>
      <c r="L233" s="3"/>
      <c r="M233" s="5"/>
      <c r="N233" s="3"/>
      <c r="O233" s="5"/>
      <c r="P233" s="3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>
      <c r="A234" s="1"/>
      <c r="B234" s="1"/>
      <c r="C234" s="1"/>
      <c r="D234" s="1"/>
      <c r="E234" s="3"/>
      <c r="F234" s="3"/>
      <c r="G234" s="5"/>
      <c r="H234" s="3"/>
      <c r="I234" s="5"/>
      <c r="J234" s="3"/>
      <c r="K234" s="5"/>
      <c r="L234" s="3"/>
      <c r="M234" s="5"/>
      <c r="N234" s="3"/>
      <c r="O234" s="5"/>
      <c r="P234" s="3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>
      <c r="A235" s="1"/>
      <c r="B235" s="1"/>
      <c r="C235" s="1"/>
      <c r="D235" s="1"/>
      <c r="E235" s="3"/>
      <c r="F235" s="3"/>
      <c r="G235" s="5"/>
      <c r="H235" s="3"/>
      <c r="I235" s="5"/>
      <c r="J235" s="3"/>
      <c r="K235" s="5"/>
      <c r="L235" s="3"/>
      <c r="M235" s="5"/>
      <c r="N235" s="3"/>
      <c r="O235" s="5"/>
      <c r="P235" s="3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>
      <c r="A236" s="1"/>
      <c r="B236" s="1"/>
      <c r="C236" s="1"/>
      <c r="D236" s="1"/>
      <c r="E236" s="3"/>
      <c r="F236" s="3"/>
      <c r="G236" s="5"/>
      <c r="H236" s="3"/>
      <c r="I236" s="5"/>
      <c r="J236" s="3"/>
      <c r="K236" s="5"/>
      <c r="L236" s="3"/>
      <c r="M236" s="5"/>
      <c r="N236" s="3"/>
      <c r="O236" s="5"/>
      <c r="P236" s="3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>
      <c r="A237" s="1"/>
      <c r="B237" s="1"/>
      <c r="C237" s="1"/>
      <c r="D237" s="1"/>
      <c r="E237" s="3"/>
      <c r="F237" s="3"/>
      <c r="G237" s="5"/>
      <c r="H237" s="3"/>
      <c r="I237" s="5"/>
      <c r="J237" s="3"/>
      <c r="K237" s="5"/>
      <c r="L237" s="3"/>
      <c r="M237" s="5"/>
      <c r="N237" s="3"/>
      <c r="O237" s="5"/>
      <c r="P237" s="3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>
      <c r="A238" s="1"/>
      <c r="B238" s="1"/>
      <c r="C238" s="1"/>
      <c r="D238" s="1"/>
      <c r="E238" s="3"/>
      <c r="F238" s="3"/>
      <c r="G238" s="5"/>
      <c r="H238" s="3"/>
      <c r="I238" s="5"/>
      <c r="J238" s="3"/>
      <c r="K238" s="5"/>
      <c r="L238" s="3"/>
      <c r="M238" s="5"/>
      <c r="N238" s="3"/>
      <c r="O238" s="5"/>
      <c r="P238" s="3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>
      <c r="A239" s="1"/>
      <c r="B239" s="1"/>
      <c r="C239" s="1"/>
      <c r="D239" s="1"/>
      <c r="E239" s="3"/>
      <c r="F239" s="3"/>
      <c r="G239" s="5"/>
      <c r="H239" s="3"/>
      <c r="I239" s="5"/>
      <c r="J239" s="3"/>
      <c r="K239" s="5"/>
      <c r="L239" s="3"/>
      <c r="M239" s="5"/>
      <c r="N239" s="3"/>
      <c r="O239" s="5"/>
      <c r="P239" s="3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>
      <c r="A240" s="1"/>
      <c r="B240" s="1"/>
      <c r="C240" s="1"/>
      <c r="D240" s="1"/>
      <c r="E240" s="3"/>
      <c r="F240" s="3"/>
      <c r="G240" s="5"/>
      <c r="H240" s="3"/>
      <c r="I240" s="5"/>
      <c r="J240" s="3"/>
      <c r="K240" s="5"/>
      <c r="L240" s="3"/>
      <c r="M240" s="5"/>
      <c r="N240" s="3"/>
      <c r="O240" s="5"/>
      <c r="P240" s="3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>
      <c r="A241" s="1"/>
      <c r="B241" s="1"/>
      <c r="C241" s="1"/>
      <c r="D241" s="1"/>
      <c r="E241" s="3"/>
      <c r="F241" s="3"/>
      <c r="G241" s="5"/>
      <c r="H241" s="3"/>
      <c r="I241" s="5"/>
      <c r="J241" s="3"/>
      <c r="K241" s="5"/>
      <c r="L241" s="3"/>
      <c r="M241" s="5"/>
      <c r="N241" s="3"/>
      <c r="O241" s="5"/>
      <c r="P241" s="3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>
      <c r="A242" s="1"/>
      <c r="B242" s="1"/>
      <c r="C242" s="1"/>
      <c r="D242" s="1"/>
      <c r="E242" s="3"/>
      <c r="F242" s="3"/>
      <c r="G242" s="5"/>
      <c r="H242" s="3"/>
      <c r="I242" s="5"/>
      <c r="J242" s="3"/>
      <c r="K242" s="5"/>
      <c r="L242" s="3"/>
      <c r="M242" s="5"/>
      <c r="N242" s="3"/>
      <c r="O242" s="5"/>
      <c r="P242" s="3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>
      <c r="A243" s="1"/>
      <c r="B243" s="1"/>
      <c r="C243" s="1"/>
      <c r="D243" s="1"/>
      <c r="E243" s="3"/>
      <c r="F243" s="3"/>
      <c r="G243" s="5"/>
      <c r="H243" s="3"/>
      <c r="I243" s="5"/>
      <c r="J243" s="3"/>
      <c r="K243" s="5"/>
      <c r="L243" s="3"/>
      <c r="M243" s="5"/>
      <c r="N243" s="3"/>
      <c r="O243" s="5"/>
      <c r="P243" s="3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>
      <c r="A244" s="1"/>
      <c r="B244" s="1"/>
      <c r="C244" s="1"/>
      <c r="D244" s="1"/>
      <c r="E244" s="3"/>
      <c r="F244" s="3"/>
      <c r="G244" s="5"/>
      <c r="H244" s="3"/>
      <c r="I244" s="5"/>
      <c r="J244" s="3"/>
      <c r="K244" s="5"/>
      <c r="L244" s="3"/>
      <c r="M244" s="5"/>
      <c r="N244" s="3"/>
      <c r="O244" s="5"/>
      <c r="P244" s="3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>
      <c r="A245" s="1"/>
      <c r="B245" s="1"/>
      <c r="C245" s="1"/>
      <c r="D245" s="1"/>
      <c r="E245" s="3"/>
      <c r="F245" s="3"/>
      <c r="G245" s="5"/>
      <c r="H245" s="3"/>
      <c r="I245" s="5"/>
      <c r="J245" s="3"/>
      <c r="K245" s="5"/>
      <c r="L245" s="3"/>
      <c r="M245" s="5"/>
      <c r="N245" s="3"/>
      <c r="O245" s="5"/>
      <c r="P245" s="3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>
      <c r="A246" s="1"/>
      <c r="B246" s="1"/>
      <c r="C246" s="1"/>
      <c r="D246" s="1"/>
      <c r="E246" s="3"/>
      <c r="F246" s="3"/>
      <c r="G246" s="5"/>
      <c r="H246" s="3"/>
      <c r="I246" s="5"/>
      <c r="J246" s="3"/>
      <c r="K246" s="5"/>
      <c r="L246" s="3"/>
      <c r="M246" s="5"/>
      <c r="N246" s="3"/>
      <c r="O246" s="5"/>
      <c r="P246" s="3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>
      <c r="A247" s="1"/>
      <c r="B247" s="1"/>
      <c r="C247" s="1"/>
      <c r="D247" s="1"/>
      <c r="E247" s="3"/>
      <c r="F247" s="3"/>
      <c r="G247" s="5"/>
      <c r="H247" s="3"/>
      <c r="I247" s="5"/>
      <c r="J247" s="3"/>
      <c r="K247" s="5"/>
      <c r="L247" s="3"/>
      <c r="M247" s="5"/>
      <c r="N247" s="3"/>
      <c r="O247" s="5"/>
      <c r="P247" s="3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>
      <c r="A248" s="1"/>
      <c r="B248" s="1"/>
      <c r="C248" s="1"/>
      <c r="D248" s="1"/>
      <c r="E248" s="3"/>
      <c r="F248" s="3"/>
      <c r="G248" s="5"/>
      <c r="H248" s="3"/>
      <c r="I248" s="5"/>
      <c r="J248" s="3"/>
      <c r="K248" s="5"/>
      <c r="L248" s="3"/>
      <c r="M248" s="5"/>
      <c r="N248" s="3"/>
      <c r="O248" s="5"/>
      <c r="P248" s="3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>
      <c r="A249" s="1"/>
      <c r="B249" s="1"/>
      <c r="C249" s="1"/>
      <c r="D249" s="1"/>
      <c r="E249" s="3"/>
      <c r="F249" s="3"/>
      <c r="G249" s="5"/>
      <c r="H249" s="3"/>
      <c r="I249" s="5"/>
      <c r="J249" s="3"/>
      <c r="K249" s="5"/>
      <c r="L249" s="3"/>
      <c r="M249" s="5"/>
      <c r="N249" s="3"/>
      <c r="O249" s="5"/>
      <c r="P249" s="3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>
      <c r="A250" s="1"/>
      <c r="B250" s="1"/>
      <c r="C250" s="1"/>
      <c r="D250" s="1"/>
      <c r="E250" s="3"/>
      <c r="F250" s="3"/>
      <c r="G250" s="5"/>
      <c r="H250" s="3"/>
      <c r="I250" s="5"/>
      <c r="J250" s="3"/>
      <c r="K250" s="5"/>
      <c r="L250" s="3"/>
      <c r="M250" s="5"/>
      <c r="N250" s="3"/>
      <c r="O250" s="5"/>
      <c r="P250" s="3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>
      <c r="A251" s="1"/>
      <c r="B251" s="1"/>
      <c r="C251" s="1"/>
      <c r="D251" s="1"/>
      <c r="E251" s="3"/>
      <c r="F251" s="3"/>
      <c r="G251" s="5"/>
      <c r="H251" s="3"/>
      <c r="I251" s="5"/>
      <c r="J251" s="3"/>
      <c r="K251" s="5"/>
      <c r="L251" s="3"/>
      <c r="M251" s="5"/>
      <c r="N251" s="3"/>
      <c r="O251" s="5"/>
      <c r="P251" s="3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>
      <c r="A252" s="1"/>
      <c r="B252" s="1"/>
      <c r="C252" s="1"/>
      <c r="D252" s="1"/>
      <c r="E252" s="3"/>
      <c r="F252" s="3"/>
      <c r="G252" s="5"/>
      <c r="H252" s="3"/>
      <c r="I252" s="5"/>
      <c r="J252" s="3"/>
      <c r="K252" s="5"/>
      <c r="L252" s="3"/>
      <c r="M252" s="5"/>
      <c r="N252" s="3"/>
      <c r="O252" s="5"/>
      <c r="P252" s="3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>
      <c r="A253" s="1"/>
      <c r="B253" s="1"/>
      <c r="C253" s="1"/>
      <c r="D253" s="1"/>
      <c r="E253" s="3"/>
      <c r="F253" s="3"/>
      <c r="G253" s="5"/>
      <c r="H253" s="3"/>
      <c r="I253" s="5"/>
      <c r="J253" s="3"/>
      <c r="K253" s="5"/>
      <c r="L253" s="3"/>
      <c r="M253" s="5"/>
      <c r="N253" s="3"/>
      <c r="O253" s="5"/>
      <c r="P253" s="3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>
      <c r="A254" s="1"/>
      <c r="B254" s="1"/>
      <c r="C254" s="1"/>
      <c r="D254" s="1"/>
      <c r="E254" s="3"/>
      <c r="F254" s="3"/>
      <c r="G254" s="5"/>
      <c r="H254" s="3"/>
      <c r="I254" s="5"/>
      <c r="J254" s="3"/>
      <c r="K254" s="5"/>
      <c r="L254" s="3"/>
      <c r="M254" s="5"/>
      <c r="N254" s="3"/>
      <c r="O254" s="5"/>
      <c r="P254" s="3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>
      <c r="A255" s="1"/>
      <c r="B255" s="1"/>
      <c r="C255" s="1"/>
      <c r="D255" s="1"/>
      <c r="E255" s="3"/>
      <c r="F255" s="3"/>
      <c r="G255" s="5"/>
      <c r="H255" s="3"/>
      <c r="I255" s="5"/>
      <c r="J255" s="3"/>
      <c r="K255" s="5"/>
      <c r="L255" s="3"/>
      <c r="M255" s="5"/>
      <c r="N255" s="3"/>
      <c r="O255" s="5"/>
      <c r="P255" s="3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>
      <c r="A256" s="1"/>
      <c r="B256" s="1"/>
      <c r="C256" s="1"/>
      <c r="D256" s="1"/>
      <c r="E256" s="3"/>
      <c r="F256" s="3"/>
      <c r="G256" s="5"/>
      <c r="H256" s="3"/>
      <c r="I256" s="5"/>
      <c r="J256" s="3"/>
      <c r="K256" s="5"/>
      <c r="L256" s="3"/>
      <c r="M256" s="5"/>
      <c r="N256" s="3"/>
      <c r="O256" s="5"/>
      <c r="P256" s="3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>
      <c r="A257" s="1"/>
      <c r="B257" s="1"/>
      <c r="C257" s="1"/>
      <c r="D257" s="1"/>
      <c r="E257" s="3"/>
      <c r="F257" s="3"/>
      <c r="G257" s="5"/>
      <c r="H257" s="3"/>
      <c r="I257" s="5"/>
      <c r="J257" s="3"/>
      <c r="K257" s="5"/>
      <c r="L257" s="3"/>
      <c r="M257" s="5"/>
      <c r="N257" s="3"/>
      <c r="O257" s="5"/>
      <c r="P257" s="3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>
      <c r="A258" s="1"/>
      <c r="B258" s="1"/>
      <c r="C258" s="1"/>
      <c r="D258" s="1"/>
      <c r="E258" s="3"/>
      <c r="F258" s="3"/>
      <c r="G258" s="5"/>
      <c r="H258" s="3"/>
      <c r="I258" s="5"/>
      <c r="J258" s="3"/>
      <c r="K258" s="5"/>
      <c r="L258" s="3"/>
      <c r="M258" s="5"/>
      <c r="N258" s="3"/>
      <c r="O258" s="5"/>
      <c r="P258" s="3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>
      <c r="A259" s="1"/>
      <c r="B259" s="1"/>
      <c r="C259" s="1"/>
      <c r="D259" s="1"/>
      <c r="E259" s="3"/>
      <c r="F259" s="3"/>
      <c r="G259" s="5"/>
      <c r="H259" s="3"/>
      <c r="I259" s="5"/>
      <c r="J259" s="3"/>
      <c r="K259" s="5"/>
      <c r="L259" s="3"/>
      <c r="M259" s="5"/>
      <c r="N259" s="3"/>
      <c r="O259" s="5"/>
      <c r="P259" s="3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>
      <c r="A260" s="1"/>
      <c r="B260" s="1"/>
      <c r="C260" s="1"/>
      <c r="D260" s="1"/>
      <c r="E260" s="3"/>
      <c r="F260" s="3"/>
      <c r="G260" s="5"/>
      <c r="H260" s="3"/>
      <c r="I260" s="5"/>
      <c r="J260" s="3"/>
      <c r="K260" s="5"/>
      <c r="L260" s="3"/>
      <c r="M260" s="5"/>
      <c r="N260" s="3"/>
      <c r="O260" s="5"/>
      <c r="P260" s="3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>
      <c r="A261" s="1"/>
      <c r="B261" s="1"/>
      <c r="C261" s="1"/>
      <c r="D261" s="1"/>
      <c r="E261" s="3"/>
      <c r="F261" s="3"/>
      <c r="G261" s="5"/>
      <c r="H261" s="3"/>
      <c r="I261" s="5"/>
      <c r="J261" s="3"/>
      <c r="K261" s="5"/>
      <c r="L261" s="3"/>
      <c r="M261" s="5"/>
      <c r="N261" s="3"/>
      <c r="O261" s="5"/>
      <c r="P261" s="3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>
      <c r="A262" s="1"/>
      <c r="B262" s="1"/>
      <c r="C262" s="1"/>
      <c r="D262" s="1"/>
      <c r="E262" s="3"/>
      <c r="F262" s="3"/>
      <c r="G262" s="5"/>
      <c r="H262" s="3"/>
      <c r="I262" s="5"/>
      <c r="J262" s="3"/>
      <c r="K262" s="5"/>
      <c r="L262" s="3"/>
      <c r="M262" s="5"/>
      <c r="N262" s="3"/>
      <c r="O262" s="5"/>
      <c r="P262" s="3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>
      <c r="A263" s="1"/>
      <c r="B263" s="1"/>
      <c r="C263" s="1"/>
      <c r="D263" s="1"/>
      <c r="E263" s="3"/>
      <c r="F263" s="3"/>
      <c r="G263" s="5"/>
      <c r="H263" s="3"/>
      <c r="I263" s="5"/>
      <c r="J263" s="3"/>
      <c r="K263" s="5"/>
      <c r="L263" s="3"/>
      <c r="M263" s="5"/>
      <c r="N263" s="3"/>
      <c r="O263" s="5"/>
      <c r="P263" s="3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>
      <c r="A264" s="1"/>
      <c r="B264" s="1"/>
      <c r="C264" s="1"/>
      <c r="D264" s="1"/>
      <c r="E264" s="3"/>
      <c r="F264" s="3"/>
      <c r="G264" s="5"/>
      <c r="H264" s="3"/>
      <c r="I264" s="5"/>
      <c r="J264" s="3"/>
      <c r="K264" s="5"/>
      <c r="L264" s="3"/>
      <c r="M264" s="5"/>
      <c r="N264" s="3"/>
      <c r="O264" s="5"/>
      <c r="P264" s="3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>
      <c r="A265" s="1"/>
      <c r="B265" s="1"/>
      <c r="C265" s="1"/>
      <c r="D265" s="1"/>
      <c r="E265" s="3"/>
      <c r="F265" s="3"/>
      <c r="G265" s="5"/>
      <c r="H265" s="3"/>
      <c r="I265" s="5"/>
      <c r="J265" s="3"/>
      <c r="K265" s="5"/>
      <c r="L265" s="3"/>
      <c r="M265" s="5"/>
      <c r="N265" s="3"/>
      <c r="O265" s="5"/>
      <c r="P265" s="3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>
      <c r="A266" s="1"/>
      <c r="B266" s="1"/>
      <c r="C266" s="1"/>
      <c r="D266" s="1"/>
      <c r="E266" s="3"/>
      <c r="F266" s="3"/>
      <c r="G266" s="5"/>
      <c r="H266" s="3"/>
      <c r="I266" s="5"/>
      <c r="J266" s="3"/>
      <c r="K266" s="5"/>
      <c r="L266" s="3"/>
      <c r="M266" s="5"/>
      <c r="N266" s="3"/>
      <c r="O266" s="5"/>
      <c r="P266" s="3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>
      <c r="A267" s="1"/>
      <c r="B267" s="1"/>
      <c r="C267" s="1"/>
      <c r="D267" s="1"/>
      <c r="E267" s="3"/>
      <c r="F267" s="3"/>
      <c r="G267" s="5"/>
      <c r="H267" s="3"/>
      <c r="I267" s="5"/>
      <c r="J267" s="3"/>
      <c r="K267" s="5"/>
      <c r="L267" s="3"/>
      <c r="M267" s="5"/>
      <c r="N267" s="3"/>
      <c r="O267" s="5"/>
      <c r="P267" s="3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>
      <c r="A268" s="1"/>
      <c r="B268" s="1"/>
      <c r="C268" s="1"/>
      <c r="D268" s="1"/>
      <c r="E268" s="3"/>
      <c r="F268" s="3"/>
      <c r="G268" s="5"/>
      <c r="H268" s="3"/>
      <c r="I268" s="5"/>
      <c r="J268" s="3"/>
      <c r="K268" s="5"/>
      <c r="L268" s="3"/>
      <c r="M268" s="5"/>
      <c r="N268" s="3"/>
      <c r="O268" s="5"/>
      <c r="P268" s="3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>
      <c r="A269" s="1"/>
      <c r="B269" s="1"/>
      <c r="C269" s="1"/>
      <c r="D269" s="1"/>
      <c r="E269" s="3"/>
      <c r="F269" s="3"/>
      <c r="G269" s="5"/>
      <c r="H269" s="3"/>
      <c r="I269" s="5"/>
      <c r="J269" s="3"/>
      <c r="K269" s="5"/>
      <c r="L269" s="3"/>
      <c r="M269" s="5"/>
      <c r="N269" s="3"/>
      <c r="O269" s="5"/>
      <c r="P269" s="3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>
      <c r="A270" s="1"/>
      <c r="B270" s="1"/>
      <c r="C270" s="1"/>
      <c r="D270" s="1"/>
      <c r="E270" s="3"/>
      <c r="F270" s="3"/>
      <c r="G270" s="5"/>
      <c r="H270" s="3"/>
      <c r="I270" s="5"/>
      <c r="J270" s="3"/>
      <c r="K270" s="5"/>
      <c r="L270" s="3"/>
      <c r="M270" s="5"/>
      <c r="N270" s="3"/>
      <c r="O270" s="5"/>
      <c r="P270" s="3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>
      <c r="A271" s="1"/>
      <c r="B271" s="1"/>
      <c r="C271" s="1"/>
      <c r="D271" s="1"/>
      <c r="E271" s="3"/>
      <c r="F271" s="3"/>
      <c r="G271" s="5"/>
      <c r="H271" s="3"/>
      <c r="I271" s="5"/>
      <c r="J271" s="3"/>
      <c r="K271" s="5"/>
      <c r="L271" s="3"/>
      <c r="M271" s="5"/>
      <c r="N271" s="3"/>
      <c r="O271" s="5"/>
      <c r="P271" s="3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>
      <c r="A272" s="1"/>
      <c r="B272" s="1"/>
      <c r="C272" s="1"/>
      <c r="D272" s="1"/>
      <c r="E272" s="3"/>
      <c r="F272" s="3"/>
      <c r="G272" s="5"/>
      <c r="H272" s="3"/>
      <c r="I272" s="5"/>
      <c r="J272" s="3"/>
      <c r="K272" s="5"/>
      <c r="L272" s="3"/>
      <c r="M272" s="5"/>
      <c r="N272" s="3"/>
      <c r="O272" s="5"/>
      <c r="P272" s="3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>
      <c r="A273" s="1"/>
      <c r="B273" s="1"/>
      <c r="C273" s="1"/>
      <c r="D273" s="1"/>
      <c r="E273" s="3"/>
      <c r="F273" s="3"/>
      <c r="G273" s="5"/>
      <c r="H273" s="3"/>
      <c r="I273" s="5"/>
      <c r="J273" s="3"/>
      <c r="K273" s="5"/>
      <c r="L273" s="3"/>
      <c r="M273" s="5"/>
      <c r="N273" s="3"/>
      <c r="O273" s="5"/>
      <c r="P273" s="3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>
      <c r="A274" s="1"/>
      <c r="B274" s="1"/>
      <c r="C274" s="1"/>
      <c r="D274" s="1"/>
      <c r="E274" s="3"/>
      <c r="F274" s="3"/>
      <c r="G274" s="5"/>
      <c r="H274" s="3"/>
      <c r="I274" s="5"/>
      <c r="J274" s="3"/>
      <c r="K274" s="5"/>
      <c r="L274" s="3"/>
      <c r="M274" s="5"/>
      <c r="N274" s="3"/>
      <c r="O274" s="5"/>
      <c r="P274" s="3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>
      <c r="A275" s="1"/>
      <c r="B275" s="1"/>
      <c r="C275" s="1"/>
      <c r="D275" s="1"/>
      <c r="E275" s="3"/>
      <c r="F275" s="3"/>
      <c r="G275" s="5"/>
      <c r="H275" s="3"/>
      <c r="I275" s="5"/>
      <c r="J275" s="3"/>
      <c r="K275" s="5"/>
      <c r="L275" s="3"/>
      <c r="M275" s="5"/>
      <c r="N275" s="3"/>
      <c r="O275" s="5"/>
      <c r="P275" s="3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>
      <c r="A276" s="1"/>
      <c r="B276" s="1"/>
      <c r="C276" s="1"/>
      <c r="D276" s="1"/>
      <c r="E276" s="3"/>
      <c r="F276" s="3"/>
      <c r="G276" s="5"/>
      <c r="H276" s="3"/>
      <c r="I276" s="5"/>
      <c r="J276" s="3"/>
      <c r="K276" s="5"/>
      <c r="L276" s="3"/>
      <c r="M276" s="5"/>
      <c r="N276" s="3"/>
      <c r="O276" s="5"/>
      <c r="P276" s="3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>
      <c r="A277" s="1"/>
      <c r="B277" s="1"/>
      <c r="C277" s="1"/>
      <c r="D277" s="1"/>
      <c r="E277" s="3"/>
      <c r="F277" s="3"/>
      <c r="G277" s="5"/>
      <c r="H277" s="3"/>
      <c r="I277" s="5"/>
      <c r="J277" s="3"/>
      <c r="K277" s="5"/>
      <c r="L277" s="3"/>
      <c r="M277" s="5"/>
      <c r="N277" s="3"/>
      <c r="O277" s="5"/>
      <c r="P277" s="3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>
      <c r="A278" s="1"/>
      <c r="B278" s="1"/>
      <c r="C278" s="1"/>
      <c r="D278" s="1"/>
      <c r="E278" s="3"/>
      <c r="F278" s="3"/>
      <c r="G278" s="5"/>
      <c r="H278" s="3"/>
      <c r="I278" s="5"/>
      <c r="J278" s="3"/>
      <c r="K278" s="5"/>
      <c r="L278" s="3"/>
      <c r="M278" s="5"/>
      <c r="N278" s="3"/>
      <c r="O278" s="5"/>
      <c r="P278" s="3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>
      <c r="A279" s="1"/>
      <c r="B279" s="1"/>
      <c r="C279" s="1"/>
      <c r="D279" s="1"/>
      <c r="E279" s="3"/>
      <c r="F279" s="3"/>
      <c r="G279" s="5"/>
      <c r="H279" s="3"/>
      <c r="I279" s="5"/>
      <c r="J279" s="3"/>
      <c r="K279" s="5"/>
      <c r="L279" s="3"/>
      <c r="M279" s="5"/>
      <c r="N279" s="3"/>
      <c r="O279" s="5"/>
      <c r="P279" s="3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>
      <c r="A280" s="1"/>
      <c r="B280" s="1"/>
      <c r="C280" s="1"/>
      <c r="D280" s="1"/>
      <c r="E280" s="3"/>
      <c r="F280" s="3"/>
      <c r="G280" s="5"/>
      <c r="H280" s="3"/>
      <c r="I280" s="5"/>
      <c r="J280" s="3"/>
      <c r="K280" s="5"/>
      <c r="L280" s="3"/>
      <c r="M280" s="5"/>
      <c r="N280" s="3"/>
      <c r="O280" s="5"/>
      <c r="P280" s="3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>
      <c r="A281" s="1"/>
      <c r="B281" s="1"/>
      <c r="C281" s="1"/>
      <c r="D281" s="1"/>
      <c r="E281" s="3"/>
      <c r="F281" s="3"/>
      <c r="G281" s="5"/>
      <c r="H281" s="3"/>
      <c r="I281" s="5"/>
      <c r="J281" s="3"/>
      <c r="K281" s="5"/>
      <c r="L281" s="3"/>
      <c r="M281" s="5"/>
      <c r="N281" s="3"/>
      <c r="O281" s="5"/>
      <c r="P281" s="3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>
      <c r="A282" s="1"/>
      <c r="B282" s="1"/>
      <c r="C282" s="1"/>
      <c r="D282" s="1"/>
      <c r="E282" s="3"/>
      <c r="F282" s="3"/>
      <c r="G282" s="5"/>
      <c r="H282" s="3"/>
      <c r="I282" s="5"/>
      <c r="J282" s="3"/>
      <c r="K282" s="5"/>
      <c r="L282" s="3"/>
      <c r="M282" s="5"/>
      <c r="N282" s="3"/>
      <c r="O282" s="5"/>
      <c r="P282" s="3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>
      <c r="A283" s="1"/>
      <c r="B283" s="1"/>
      <c r="C283" s="1"/>
      <c r="D283" s="1"/>
      <c r="E283" s="3"/>
      <c r="F283" s="3"/>
      <c r="G283" s="5"/>
      <c r="H283" s="3"/>
      <c r="I283" s="5"/>
      <c r="J283" s="3"/>
      <c r="K283" s="5"/>
      <c r="L283" s="3"/>
      <c r="M283" s="5"/>
      <c r="N283" s="3"/>
      <c r="O283" s="5"/>
      <c r="P283" s="3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>
      <c r="A284" s="1"/>
      <c r="B284" s="1"/>
      <c r="C284" s="1"/>
      <c r="D284" s="1"/>
      <c r="E284" s="3"/>
      <c r="F284" s="3"/>
      <c r="G284" s="5"/>
      <c r="H284" s="3"/>
      <c r="I284" s="5"/>
      <c r="J284" s="3"/>
      <c r="K284" s="5"/>
      <c r="L284" s="3"/>
      <c r="M284" s="5"/>
      <c r="N284" s="3"/>
      <c r="O284" s="5"/>
      <c r="P284" s="3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>
      <c r="A285" s="1"/>
      <c r="B285" s="1"/>
      <c r="C285" s="1"/>
      <c r="D285" s="1"/>
      <c r="E285" s="3"/>
      <c r="F285" s="3"/>
      <c r="G285" s="5"/>
      <c r="H285" s="3"/>
      <c r="I285" s="5"/>
      <c r="J285" s="3"/>
      <c r="K285" s="5"/>
      <c r="L285" s="3"/>
      <c r="M285" s="5"/>
      <c r="N285" s="3"/>
      <c r="O285" s="5"/>
      <c r="P285" s="3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>
      <c r="A286" s="1"/>
      <c r="B286" s="1"/>
      <c r="C286" s="1"/>
      <c r="D286" s="1"/>
      <c r="E286" s="3"/>
      <c r="F286" s="3"/>
      <c r="G286" s="5"/>
      <c r="H286" s="3"/>
      <c r="I286" s="5"/>
      <c r="J286" s="3"/>
      <c r="K286" s="5"/>
      <c r="L286" s="3"/>
      <c r="M286" s="5"/>
      <c r="N286" s="3"/>
      <c r="O286" s="5"/>
      <c r="P286" s="3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>
      <c r="A287" s="1"/>
      <c r="B287" s="1"/>
      <c r="C287" s="1"/>
      <c r="D287" s="1"/>
      <c r="E287" s="3"/>
      <c r="F287" s="3"/>
      <c r="G287" s="5"/>
      <c r="H287" s="3"/>
      <c r="I287" s="5"/>
      <c r="J287" s="3"/>
      <c r="K287" s="5"/>
      <c r="L287" s="3"/>
      <c r="M287" s="5"/>
      <c r="N287" s="3"/>
      <c r="O287" s="5"/>
      <c r="P287" s="3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>
      <c r="A288" s="1"/>
      <c r="B288" s="1"/>
      <c r="C288" s="1"/>
      <c r="D288" s="1"/>
      <c r="E288" s="3"/>
      <c r="F288" s="3"/>
      <c r="G288" s="5"/>
      <c r="H288" s="3"/>
      <c r="I288" s="5"/>
      <c r="J288" s="3"/>
      <c r="K288" s="5"/>
      <c r="L288" s="3"/>
      <c r="M288" s="5"/>
      <c r="N288" s="3"/>
      <c r="O288" s="5"/>
      <c r="P288" s="3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>
      <c r="A289" s="1"/>
      <c r="B289" s="1"/>
      <c r="C289" s="1"/>
      <c r="D289" s="1"/>
      <c r="E289" s="3"/>
      <c r="F289" s="3"/>
      <c r="G289" s="5"/>
      <c r="H289" s="3"/>
      <c r="I289" s="5"/>
      <c r="J289" s="3"/>
      <c r="K289" s="5"/>
      <c r="L289" s="3"/>
      <c r="M289" s="5"/>
      <c r="N289" s="3"/>
      <c r="O289" s="5"/>
      <c r="P289" s="3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>
      <c r="A290" s="1"/>
      <c r="B290" s="1"/>
      <c r="C290" s="1"/>
      <c r="D290" s="1"/>
      <c r="E290" s="3"/>
      <c r="F290" s="3"/>
      <c r="G290" s="5"/>
      <c r="H290" s="3"/>
      <c r="I290" s="5"/>
      <c r="J290" s="3"/>
      <c r="K290" s="5"/>
      <c r="L290" s="3"/>
      <c r="M290" s="5"/>
      <c r="N290" s="3"/>
      <c r="O290" s="5"/>
      <c r="P290" s="3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>
      <c r="A291" s="1"/>
      <c r="B291" s="1"/>
      <c r="C291" s="1"/>
      <c r="D291" s="1"/>
      <c r="E291" s="3"/>
      <c r="F291" s="3"/>
      <c r="G291" s="5"/>
      <c r="H291" s="3"/>
      <c r="I291" s="5"/>
      <c r="J291" s="3"/>
      <c r="K291" s="5"/>
      <c r="L291" s="3"/>
      <c r="M291" s="5"/>
      <c r="N291" s="3"/>
      <c r="O291" s="5"/>
      <c r="P291" s="3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>
      <c r="A292" s="1"/>
      <c r="B292" s="1"/>
      <c r="C292" s="1"/>
      <c r="D292" s="1"/>
      <c r="E292" s="3"/>
      <c r="F292" s="3"/>
      <c r="G292" s="5"/>
      <c r="H292" s="3"/>
      <c r="I292" s="5"/>
      <c r="J292" s="3"/>
      <c r="K292" s="5"/>
      <c r="L292" s="3"/>
      <c r="M292" s="5"/>
      <c r="N292" s="3"/>
      <c r="O292" s="5"/>
      <c r="P292" s="3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>
      <c r="A293" s="1"/>
      <c r="B293" s="1"/>
      <c r="C293" s="1"/>
      <c r="D293" s="1"/>
      <c r="E293" s="3"/>
      <c r="F293" s="3"/>
      <c r="G293" s="5"/>
      <c r="H293" s="3"/>
      <c r="I293" s="5"/>
      <c r="J293" s="3"/>
      <c r="K293" s="5"/>
      <c r="L293" s="3"/>
      <c r="M293" s="5"/>
      <c r="N293" s="3"/>
      <c r="O293" s="5"/>
      <c r="P293" s="3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>
      <c r="A294" s="1"/>
      <c r="B294" s="1"/>
      <c r="C294" s="1"/>
      <c r="D294" s="1"/>
      <c r="E294" s="3"/>
      <c r="F294" s="3"/>
      <c r="G294" s="5"/>
      <c r="H294" s="3"/>
      <c r="I294" s="5"/>
      <c r="J294" s="3"/>
      <c r="K294" s="5"/>
      <c r="L294" s="3"/>
      <c r="M294" s="5"/>
      <c r="N294" s="3"/>
      <c r="O294" s="5"/>
      <c r="P294" s="3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>
      <c r="A295" s="1"/>
      <c r="B295" s="1"/>
      <c r="C295" s="1"/>
      <c r="D295" s="1"/>
      <c r="E295" s="3"/>
      <c r="F295" s="3"/>
      <c r="G295" s="5"/>
      <c r="H295" s="3"/>
      <c r="I295" s="5"/>
      <c r="J295" s="3"/>
      <c r="K295" s="5"/>
      <c r="L295" s="3"/>
      <c r="M295" s="5"/>
      <c r="N295" s="3"/>
      <c r="O295" s="5"/>
      <c r="P295" s="3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>
      <c r="A296" s="1"/>
      <c r="B296" s="1"/>
      <c r="C296" s="1"/>
      <c r="D296" s="1"/>
      <c r="E296" s="3"/>
      <c r="F296" s="3"/>
      <c r="G296" s="5"/>
      <c r="H296" s="3"/>
      <c r="I296" s="5"/>
      <c r="J296" s="3"/>
      <c r="K296" s="5"/>
      <c r="L296" s="3"/>
      <c r="M296" s="5"/>
      <c r="N296" s="3"/>
      <c r="O296" s="5"/>
      <c r="P296" s="3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>
      <c r="A297" s="1"/>
      <c r="B297" s="1"/>
      <c r="C297" s="1"/>
      <c r="D297" s="1"/>
      <c r="E297" s="3"/>
      <c r="F297" s="3"/>
      <c r="G297" s="5"/>
      <c r="H297" s="3"/>
      <c r="I297" s="5"/>
      <c r="J297" s="3"/>
      <c r="K297" s="5"/>
      <c r="L297" s="3"/>
      <c r="M297" s="5"/>
      <c r="N297" s="3"/>
      <c r="O297" s="5"/>
      <c r="P297" s="3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>
      <c r="A298" s="1"/>
      <c r="B298" s="1"/>
      <c r="C298" s="1"/>
      <c r="D298" s="1"/>
      <c r="E298" s="3"/>
      <c r="F298" s="3"/>
      <c r="G298" s="5"/>
      <c r="H298" s="3"/>
      <c r="I298" s="5"/>
      <c r="J298" s="3"/>
      <c r="K298" s="5"/>
      <c r="L298" s="3"/>
      <c r="M298" s="5"/>
      <c r="N298" s="3"/>
      <c r="O298" s="5"/>
      <c r="P298" s="3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>
      <c r="A299" s="1"/>
      <c r="B299" s="1"/>
      <c r="C299" s="1"/>
      <c r="D299" s="1"/>
      <c r="E299" s="3"/>
      <c r="F299" s="3"/>
      <c r="G299" s="5"/>
      <c r="H299" s="3"/>
      <c r="I299" s="5"/>
      <c r="J299" s="3"/>
      <c r="K299" s="5"/>
      <c r="L299" s="3"/>
      <c r="M299" s="5"/>
      <c r="N299" s="3"/>
      <c r="O299" s="5"/>
      <c r="P299" s="3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>
      <c r="A300" s="1"/>
      <c r="B300" s="1"/>
      <c r="C300" s="1"/>
      <c r="D300" s="1"/>
      <c r="E300" s="3"/>
      <c r="F300" s="3"/>
      <c r="G300" s="5"/>
      <c r="H300" s="3"/>
      <c r="I300" s="5"/>
      <c r="J300" s="3"/>
      <c r="K300" s="5"/>
      <c r="L300" s="3"/>
      <c r="M300" s="5"/>
      <c r="N300" s="3"/>
      <c r="O300" s="5"/>
      <c r="P300" s="3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>
      <c r="A301" s="1"/>
      <c r="B301" s="1"/>
      <c r="C301" s="1"/>
      <c r="D301" s="1"/>
      <c r="E301" s="3"/>
      <c r="F301" s="3"/>
      <c r="G301" s="5"/>
      <c r="H301" s="3"/>
      <c r="I301" s="5"/>
      <c r="J301" s="3"/>
      <c r="K301" s="5"/>
      <c r="L301" s="3"/>
      <c r="M301" s="5"/>
      <c r="N301" s="3"/>
      <c r="O301" s="5"/>
      <c r="P301" s="3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>
      <c r="A302" s="1"/>
      <c r="B302" s="1"/>
      <c r="C302" s="1"/>
      <c r="D302" s="1"/>
      <c r="E302" s="3"/>
      <c r="F302" s="3"/>
      <c r="G302" s="5"/>
      <c r="H302" s="3"/>
      <c r="I302" s="5"/>
      <c r="J302" s="3"/>
      <c r="K302" s="5"/>
      <c r="L302" s="3"/>
      <c r="M302" s="5"/>
      <c r="N302" s="3"/>
      <c r="O302" s="5"/>
      <c r="P302" s="3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>
      <c r="A303" s="1"/>
      <c r="B303" s="1"/>
      <c r="C303" s="1"/>
      <c r="D303" s="1"/>
      <c r="E303" s="3"/>
      <c r="F303" s="3"/>
      <c r="G303" s="5"/>
      <c r="H303" s="3"/>
      <c r="I303" s="5"/>
      <c r="J303" s="3"/>
      <c r="K303" s="5"/>
      <c r="L303" s="3"/>
      <c r="M303" s="5"/>
      <c r="N303" s="3"/>
      <c r="O303" s="5"/>
      <c r="P303" s="3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>
      <c r="A304" s="1"/>
      <c r="B304" s="1"/>
      <c r="C304" s="1"/>
      <c r="D304" s="1"/>
      <c r="E304" s="3"/>
      <c r="F304" s="3"/>
      <c r="G304" s="5"/>
      <c r="H304" s="3"/>
      <c r="I304" s="5"/>
      <c r="J304" s="3"/>
      <c r="K304" s="5"/>
      <c r="L304" s="3"/>
      <c r="M304" s="5"/>
      <c r="N304" s="3"/>
      <c r="O304" s="5"/>
      <c r="P304" s="3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>
      <c r="A305" s="1"/>
      <c r="B305" s="1"/>
      <c r="C305" s="1"/>
      <c r="D305" s="1"/>
      <c r="E305" s="3"/>
      <c r="F305" s="3"/>
      <c r="G305" s="5"/>
      <c r="H305" s="3"/>
      <c r="I305" s="5"/>
      <c r="J305" s="3"/>
      <c r="K305" s="5"/>
      <c r="L305" s="3"/>
      <c r="M305" s="5"/>
      <c r="N305" s="3"/>
      <c r="O305" s="5"/>
      <c r="P305" s="3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>
      <c r="A306" s="1"/>
      <c r="B306" s="1"/>
      <c r="C306" s="1"/>
      <c r="D306" s="1"/>
      <c r="E306" s="3"/>
      <c r="F306" s="3"/>
      <c r="G306" s="5"/>
      <c r="H306" s="3"/>
      <c r="I306" s="5"/>
      <c r="J306" s="3"/>
      <c r="K306" s="5"/>
      <c r="L306" s="3"/>
      <c r="M306" s="5"/>
      <c r="N306" s="3"/>
      <c r="O306" s="5"/>
      <c r="P306" s="3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>
      <c r="A307" s="1"/>
      <c r="B307" s="1"/>
      <c r="C307" s="1"/>
      <c r="D307" s="1"/>
      <c r="E307" s="3"/>
      <c r="F307" s="3"/>
      <c r="G307" s="5"/>
      <c r="H307" s="3"/>
      <c r="I307" s="5"/>
      <c r="J307" s="3"/>
      <c r="K307" s="5"/>
      <c r="L307" s="3"/>
      <c r="M307" s="5"/>
      <c r="N307" s="3"/>
      <c r="O307" s="5"/>
      <c r="P307" s="3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>
      <c r="A308" s="1"/>
      <c r="B308" s="1"/>
      <c r="C308" s="1"/>
      <c r="D308" s="1"/>
      <c r="E308" s="3"/>
      <c r="F308" s="3"/>
      <c r="G308" s="5"/>
      <c r="H308" s="3"/>
      <c r="I308" s="5"/>
      <c r="J308" s="3"/>
      <c r="K308" s="5"/>
      <c r="L308" s="3"/>
      <c r="M308" s="5"/>
      <c r="N308" s="3"/>
      <c r="O308" s="5"/>
      <c r="P308" s="3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>
      <c r="A309" s="1"/>
      <c r="B309" s="1"/>
      <c r="C309" s="1"/>
      <c r="D309" s="1"/>
      <c r="E309" s="3"/>
      <c r="F309" s="3"/>
      <c r="G309" s="5"/>
      <c r="H309" s="3"/>
      <c r="I309" s="5"/>
      <c r="J309" s="3"/>
      <c r="K309" s="5"/>
      <c r="L309" s="3"/>
      <c r="M309" s="5"/>
      <c r="N309" s="3"/>
      <c r="O309" s="5"/>
      <c r="P309" s="3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>
      <c r="A310" s="1"/>
      <c r="B310" s="1"/>
      <c r="C310" s="1"/>
      <c r="D310" s="1"/>
      <c r="E310" s="3"/>
      <c r="F310" s="3"/>
      <c r="G310" s="5"/>
      <c r="H310" s="3"/>
      <c r="I310" s="5"/>
      <c r="J310" s="3"/>
      <c r="K310" s="5"/>
      <c r="L310" s="3"/>
      <c r="M310" s="5"/>
      <c r="N310" s="3"/>
      <c r="O310" s="5"/>
      <c r="P310" s="3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>
      <c r="A311" s="1"/>
      <c r="B311" s="1"/>
      <c r="C311" s="1"/>
      <c r="D311" s="1"/>
      <c r="E311" s="3"/>
      <c r="F311" s="3"/>
      <c r="G311" s="5"/>
      <c r="H311" s="3"/>
      <c r="I311" s="5"/>
      <c r="J311" s="3"/>
      <c r="K311" s="5"/>
      <c r="L311" s="3"/>
      <c r="M311" s="5"/>
      <c r="N311" s="3"/>
      <c r="O311" s="5"/>
      <c r="P311" s="3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>
      <c r="A312" s="1"/>
      <c r="B312" s="1"/>
      <c r="C312" s="1"/>
      <c r="D312" s="1"/>
      <c r="E312" s="3"/>
      <c r="F312" s="3"/>
      <c r="G312" s="5"/>
      <c r="H312" s="3"/>
      <c r="I312" s="5"/>
      <c r="J312" s="3"/>
      <c r="K312" s="5"/>
      <c r="L312" s="3"/>
      <c r="M312" s="5"/>
      <c r="N312" s="3"/>
      <c r="O312" s="5"/>
      <c r="P312" s="3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>
      <c r="A313" s="1"/>
      <c r="B313" s="1"/>
      <c r="C313" s="1"/>
      <c r="D313" s="1"/>
      <c r="E313" s="3"/>
      <c r="F313" s="3"/>
      <c r="G313" s="5"/>
      <c r="H313" s="3"/>
      <c r="I313" s="5"/>
      <c r="J313" s="3"/>
      <c r="K313" s="5"/>
      <c r="L313" s="3"/>
      <c r="M313" s="5"/>
      <c r="N313" s="3"/>
      <c r="O313" s="5"/>
      <c r="P313" s="3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>
      <c r="A314" s="1"/>
      <c r="B314" s="1"/>
      <c r="C314" s="1"/>
      <c r="D314" s="1"/>
      <c r="E314" s="3"/>
      <c r="F314" s="3"/>
      <c r="G314" s="5"/>
      <c r="H314" s="3"/>
      <c r="I314" s="5"/>
      <c r="J314" s="3"/>
      <c r="K314" s="5"/>
      <c r="L314" s="3"/>
      <c r="M314" s="5"/>
      <c r="N314" s="3"/>
      <c r="O314" s="5"/>
      <c r="P314" s="3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>
      <c r="A315" s="1"/>
      <c r="B315" s="1"/>
      <c r="C315" s="1"/>
      <c r="D315" s="1"/>
      <c r="E315" s="3"/>
      <c r="F315" s="3"/>
      <c r="G315" s="5"/>
      <c r="H315" s="3"/>
      <c r="I315" s="5"/>
      <c r="J315" s="3"/>
      <c r="K315" s="5"/>
      <c r="L315" s="3"/>
      <c r="M315" s="5"/>
      <c r="N315" s="3"/>
      <c r="O315" s="5"/>
      <c r="P315" s="3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>
      <c r="A316" s="1"/>
      <c r="B316" s="1"/>
      <c r="C316" s="1"/>
      <c r="D316" s="1"/>
      <c r="E316" s="3"/>
      <c r="F316" s="3"/>
      <c r="G316" s="5"/>
      <c r="H316" s="3"/>
      <c r="I316" s="5"/>
      <c r="J316" s="3"/>
      <c r="K316" s="5"/>
      <c r="L316" s="3"/>
      <c r="M316" s="5"/>
      <c r="N316" s="3"/>
      <c r="O316" s="5"/>
      <c r="P316" s="3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>
      <c r="A317" s="1"/>
      <c r="B317" s="1"/>
      <c r="C317" s="1"/>
      <c r="D317" s="1"/>
      <c r="E317" s="3"/>
      <c r="F317" s="3"/>
      <c r="G317" s="5"/>
      <c r="H317" s="3"/>
      <c r="I317" s="5"/>
      <c r="J317" s="3"/>
      <c r="K317" s="5"/>
      <c r="L317" s="3"/>
      <c r="M317" s="5"/>
      <c r="N317" s="3"/>
      <c r="O317" s="5"/>
      <c r="P317" s="3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>
      <c r="A318" s="1"/>
      <c r="B318" s="1"/>
      <c r="C318" s="1"/>
      <c r="D318" s="1"/>
      <c r="E318" s="3"/>
      <c r="F318" s="3"/>
      <c r="G318" s="5"/>
      <c r="H318" s="3"/>
      <c r="I318" s="5"/>
      <c r="J318" s="3"/>
      <c r="K318" s="5"/>
      <c r="L318" s="3"/>
      <c r="M318" s="5"/>
      <c r="N318" s="3"/>
      <c r="O318" s="5"/>
      <c r="P318" s="3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>
      <c r="A319" s="1"/>
      <c r="B319" s="1"/>
      <c r="C319" s="1"/>
      <c r="D319" s="1"/>
      <c r="E319" s="3"/>
      <c r="F319" s="3"/>
      <c r="G319" s="5"/>
      <c r="H319" s="3"/>
      <c r="I319" s="5"/>
      <c r="J319" s="3"/>
      <c r="K319" s="5"/>
      <c r="L319" s="3"/>
      <c r="M319" s="5"/>
      <c r="N319" s="3"/>
      <c r="O319" s="5"/>
      <c r="P319" s="3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>
      <c r="A320" s="1"/>
      <c r="B320" s="1"/>
      <c r="C320" s="1"/>
      <c r="D320" s="1"/>
      <c r="E320" s="3"/>
      <c r="F320" s="3"/>
      <c r="G320" s="5"/>
      <c r="H320" s="3"/>
      <c r="I320" s="5"/>
      <c r="J320" s="3"/>
      <c r="K320" s="5"/>
      <c r="L320" s="3"/>
      <c r="M320" s="5"/>
      <c r="N320" s="3"/>
      <c r="O320" s="5"/>
      <c r="P320" s="3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>
      <c r="A321" s="1"/>
      <c r="B321" s="1"/>
      <c r="C321" s="1"/>
      <c r="D321" s="1"/>
      <c r="E321" s="3"/>
      <c r="F321" s="3"/>
      <c r="G321" s="5"/>
      <c r="H321" s="3"/>
      <c r="I321" s="5"/>
      <c r="J321" s="3"/>
      <c r="K321" s="5"/>
      <c r="L321" s="3"/>
      <c r="M321" s="5"/>
      <c r="N321" s="3"/>
      <c r="O321" s="5"/>
      <c r="P321" s="3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>
      <c r="A322" s="1"/>
      <c r="B322" s="1"/>
      <c r="C322" s="1"/>
      <c r="D322" s="1"/>
      <c r="E322" s="3"/>
      <c r="F322" s="3"/>
      <c r="G322" s="5"/>
      <c r="H322" s="3"/>
      <c r="I322" s="5"/>
      <c r="J322" s="3"/>
      <c r="K322" s="5"/>
      <c r="L322" s="3"/>
      <c r="M322" s="5"/>
      <c r="N322" s="3"/>
      <c r="O322" s="5"/>
      <c r="P322" s="3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>
      <c r="A323" s="1"/>
      <c r="B323" s="1"/>
      <c r="C323" s="1"/>
      <c r="D323" s="1"/>
      <c r="E323" s="3"/>
      <c r="F323" s="3"/>
      <c r="G323" s="5"/>
      <c r="H323" s="3"/>
      <c r="I323" s="5"/>
      <c r="J323" s="3"/>
      <c r="K323" s="5"/>
      <c r="L323" s="3"/>
      <c r="M323" s="5"/>
      <c r="N323" s="3"/>
      <c r="O323" s="5"/>
      <c r="P323" s="3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>
      <c r="A324" s="1"/>
      <c r="B324" s="1"/>
      <c r="C324" s="1"/>
      <c r="D324" s="1"/>
      <c r="E324" s="3"/>
      <c r="F324" s="3"/>
      <c r="G324" s="5"/>
      <c r="H324" s="3"/>
      <c r="I324" s="5"/>
      <c r="J324" s="3"/>
      <c r="K324" s="5"/>
      <c r="L324" s="3"/>
      <c r="M324" s="5"/>
      <c r="N324" s="3"/>
      <c r="O324" s="5"/>
      <c r="P324" s="3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>
      <c r="A325" s="1"/>
      <c r="B325" s="1"/>
      <c r="C325" s="1"/>
      <c r="D325" s="1"/>
      <c r="E325" s="3"/>
      <c r="F325" s="3"/>
      <c r="G325" s="5"/>
      <c r="H325" s="3"/>
      <c r="I325" s="5"/>
      <c r="J325" s="3"/>
      <c r="K325" s="5"/>
      <c r="L325" s="3"/>
      <c r="M325" s="5"/>
      <c r="N325" s="3"/>
      <c r="O325" s="5"/>
      <c r="P325" s="3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>
      <c r="A326" s="1"/>
      <c r="B326" s="1"/>
      <c r="C326" s="1"/>
      <c r="D326" s="1"/>
      <c r="E326" s="3"/>
      <c r="F326" s="3"/>
      <c r="G326" s="5"/>
      <c r="H326" s="3"/>
      <c r="I326" s="5"/>
      <c r="J326" s="3"/>
      <c r="K326" s="5"/>
      <c r="L326" s="3"/>
      <c r="M326" s="5"/>
      <c r="N326" s="3"/>
      <c r="O326" s="5"/>
      <c r="P326" s="3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>
      <c r="A327" s="1"/>
      <c r="B327" s="1"/>
      <c r="C327" s="1"/>
      <c r="D327" s="1"/>
      <c r="E327" s="3"/>
      <c r="F327" s="3"/>
      <c r="G327" s="5"/>
      <c r="H327" s="3"/>
      <c r="I327" s="5"/>
      <c r="J327" s="3"/>
      <c r="K327" s="5"/>
      <c r="L327" s="3"/>
      <c r="M327" s="5"/>
      <c r="N327" s="3"/>
      <c r="O327" s="5"/>
      <c r="P327" s="3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>
      <c r="A328" s="1"/>
      <c r="B328" s="1"/>
      <c r="C328" s="1"/>
      <c r="D328" s="1"/>
      <c r="E328" s="3"/>
      <c r="F328" s="3"/>
      <c r="G328" s="5"/>
      <c r="H328" s="3"/>
      <c r="I328" s="5"/>
      <c r="J328" s="3"/>
      <c r="K328" s="5"/>
      <c r="L328" s="3"/>
      <c r="M328" s="5"/>
      <c r="N328" s="3"/>
      <c r="O328" s="5"/>
      <c r="P328" s="3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>
      <c r="A329" s="1"/>
      <c r="B329" s="1"/>
      <c r="C329" s="1"/>
      <c r="D329" s="1"/>
      <c r="E329" s="3"/>
      <c r="F329" s="3"/>
      <c r="G329" s="5"/>
      <c r="H329" s="3"/>
      <c r="I329" s="5"/>
      <c r="J329" s="3"/>
      <c r="K329" s="5"/>
      <c r="L329" s="3"/>
      <c r="M329" s="5"/>
      <c r="N329" s="3"/>
      <c r="O329" s="5"/>
      <c r="P329" s="3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>
      <c r="A330" s="1"/>
      <c r="B330" s="1"/>
      <c r="C330" s="1"/>
      <c r="D330" s="1"/>
      <c r="E330" s="3"/>
      <c r="F330" s="3"/>
      <c r="G330" s="5"/>
      <c r="H330" s="3"/>
      <c r="I330" s="5"/>
      <c r="J330" s="3"/>
      <c r="K330" s="5"/>
      <c r="L330" s="3"/>
      <c r="M330" s="5"/>
      <c r="N330" s="3"/>
      <c r="O330" s="5"/>
      <c r="P330" s="3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>
      <c r="A331" s="1"/>
      <c r="B331" s="1"/>
      <c r="C331" s="1"/>
      <c r="D331" s="1"/>
      <c r="E331" s="3"/>
      <c r="F331" s="3"/>
      <c r="G331" s="5"/>
      <c r="H331" s="3"/>
      <c r="I331" s="5"/>
      <c r="J331" s="3"/>
      <c r="K331" s="5"/>
      <c r="L331" s="3"/>
      <c r="M331" s="5"/>
      <c r="N331" s="3"/>
      <c r="O331" s="5"/>
      <c r="P331" s="3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>
      <c r="A332" s="1"/>
      <c r="B332" s="1"/>
      <c r="C332" s="1"/>
      <c r="D332" s="1"/>
      <c r="E332" s="3"/>
      <c r="F332" s="3"/>
      <c r="G332" s="5"/>
      <c r="H332" s="3"/>
      <c r="I332" s="5"/>
      <c r="J332" s="3"/>
      <c r="K332" s="5"/>
      <c r="L332" s="3"/>
      <c r="M332" s="5"/>
      <c r="N332" s="3"/>
      <c r="O332" s="5"/>
      <c r="P332" s="3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>
      <c r="A333" s="1"/>
      <c r="B333" s="1"/>
      <c r="C333" s="1"/>
      <c r="D333" s="1"/>
      <c r="E333" s="3"/>
      <c r="F333" s="3"/>
      <c r="G333" s="5"/>
      <c r="H333" s="3"/>
      <c r="I333" s="5"/>
      <c r="J333" s="3"/>
      <c r="K333" s="5"/>
      <c r="L333" s="3"/>
      <c r="M333" s="5"/>
      <c r="N333" s="3"/>
      <c r="O333" s="5"/>
      <c r="P333" s="3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>
      <c r="A334" s="1"/>
      <c r="B334" s="1"/>
      <c r="C334" s="1"/>
      <c r="D334" s="1"/>
      <c r="E334" s="3"/>
      <c r="F334" s="3"/>
      <c r="G334" s="5"/>
      <c r="H334" s="3"/>
      <c r="I334" s="5"/>
      <c r="J334" s="3"/>
      <c r="K334" s="5"/>
      <c r="L334" s="3"/>
      <c r="M334" s="5"/>
      <c r="N334" s="3"/>
      <c r="O334" s="5"/>
      <c r="P334" s="3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>
      <c r="A335" s="1"/>
      <c r="B335" s="1"/>
      <c r="C335" s="1"/>
      <c r="D335" s="1"/>
      <c r="E335" s="3"/>
      <c r="F335" s="3"/>
      <c r="G335" s="5"/>
      <c r="H335" s="3"/>
      <c r="I335" s="5"/>
      <c r="J335" s="3"/>
      <c r="K335" s="5"/>
      <c r="L335" s="3"/>
      <c r="M335" s="5"/>
      <c r="N335" s="3"/>
      <c r="O335" s="5"/>
      <c r="P335" s="3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>
      <c r="A336" s="1"/>
      <c r="B336" s="1"/>
      <c r="C336" s="1"/>
      <c r="D336" s="1"/>
      <c r="E336" s="3"/>
      <c r="F336" s="3"/>
      <c r="G336" s="5"/>
      <c r="H336" s="3"/>
      <c r="I336" s="5"/>
      <c r="J336" s="3"/>
      <c r="K336" s="5"/>
      <c r="L336" s="3"/>
      <c r="M336" s="5"/>
      <c r="N336" s="3"/>
      <c r="O336" s="5"/>
      <c r="P336" s="3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>
      <c r="A337" s="1"/>
      <c r="B337" s="1"/>
      <c r="C337" s="1"/>
      <c r="D337" s="1"/>
      <c r="E337" s="3"/>
      <c r="F337" s="3"/>
      <c r="G337" s="5"/>
      <c r="H337" s="3"/>
      <c r="I337" s="5"/>
      <c r="J337" s="3"/>
      <c r="K337" s="5"/>
      <c r="L337" s="3"/>
      <c r="M337" s="5"/>
      <c r="N337" s="3"/>
      <c r="O337" s="5"/>
      <c r="P337" s="3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>
      <c r="A338" s="1"/>
      <c r="B338" s="1"/>
      <c r="C338" s="1"/>
      <c r="D338" s="1"/>
      <c r="E338" s="3"/>
      <c r="F338" s="3"/>
      <c r="G338" s="5"/>
      <c r="H338" s="3"/>
      <c r="I338" s="5"/>
      <c r="J338" s="3"/>
      <c r="K338" s="5"/>
      <c r="L338" s="3"/>
      <c r="M338" s="5"/>
      <c r="N338" s="3"/>
      <c r="O338" s="5"/>
      <c r="P338" s="3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>
      <c r="A339" s="1"/>
      <c r="B339" s="1"/>
      <c r="C339" s="1"/>
      <c r="D339" s="1"/>
      <c r="E339" s="3"/>
      <c r="F339" s="3"/>
      <c r="G339" s="5"/>
      <c r="H339" s="3"/>
      <c r="I339" s="5"/>
      <c r="J339" s="3"/>
      <c r="K339" s="5"/>
      <c r="L339" s="3"/>
      <c r="M339" s="5"/>
      <c r="N339" s="3"/>
      <c r="O339" s="5"/>
      <c r="P339" s="3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>
      <c r="A340" s="1"/>
      <c r="B340" s="1"/>
      <c r="C340" s="1"/>
      <c r="D340" s="1"/>
      <c r="E340" s="3"/>
      <c r="F340" s="3"/>
      <c r="G340" s="5"/>
      <c r="H340" s="3"/>
      <c r="I340" s="5"/>
      <c r="J340" s="3"/>
      <c r="K340" s="5"/>
      <c r="L340" s="3"/>
      <c r="M340" s="5"/>
      <c r="N340" s="3"/>
      <c r="O340" s="5"/>
      <c r="P340" s="3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>
      <c r="A341" s="1"/>
      <c r="B341" s="1"/>
      <c r="C341" s="1"/>
      <c r="D341" s="1"/>
      <c r="E341" s="3"/>
      <c r="F341" s="3"/>
      <c r="G341" s="5"/>
      <c r="H341" s="3"/>
      <c r="I341" s="5"/>
      <c r="J341" s="3"/>
      <c r="K341" s="5"/>
      <c r="L341" s="3"/>
      <c r="M341" s="5"/>
      <c r="N341" s="3"/>
      <c r="O341" s="5"/>
      <c r="P341" s="3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>
      <c r="A342" s="1"/>
      <c r="B342" s="1"/>
      <c r="C342" s="1"/>
      <c r="D342" s="1"/>
      <c r="E342" s="3"/>
      <c r="F342" s="3"/>
      <c r="G342" s="5"/>
      <c r="H342" s="3"/>
      <c r="I342" s="5"/>
      <c r="J342" s="3"/>
      <c r="K342" s="5"/>
      <c r="L342" s="3"/>
      <c r="M342" s="5"/>
      <c r="N342" s="3"/>
      <c r="O342" s="5"/>
      <c r="P342" s="3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>
      <c r="A343" s="1"/>
      <c r="B343" s="1"/>
      <c r="C343" s="1"/>
      <c r="D343" s="1"/>
      <c r="E343" s="3"/>
      <c r="F343" s="3"/>
      <c r="G343" s="5"/>
      <c r="H343" s="3"/>
      <c r="I343" s="5"/>
      <c r="J343" s="3"/>
      <c r="K343" s="5"/>
      <c r="L343" s="3"/>
      <c r="M343" s="5"/>
      <c r="N343" s="3"/>
      <c r="O343" s="5"/>
      <c r="P343" s="3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>
      <c r="A344" s="1"/>
      <c r="B344" s="1"/>
      <c r="C344" s="1"/>
      <c r="D344" s="1"/>
      <c r="E344" s="3"/>
      <c r="F344" s="3"/>
      <c r="G344" s="5"/>
      <c r="H344" s="3"/>
      <c r="I344" s="5"/>
      <c r="J344" s="3"/>
      <c r="K344" s="5"/>
      <c r="L344" s="3"/>
      <c r="M344" s="5"/>
      <c r="N344" s="3"/>
      <c r="O344" s="5"/>
      <c r="P344" s="3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>
      <c r="A345" s="1"/>
      <c r="B345" s="1"/>
      <c r="C345" s="1"/>
      <c r="D345" s="1"/>
      <c r="E345" s="3"/>
      <c r="F345" s="3"/>
      <c r="G345" s="5"/>
      <c r="H345" s="3"/>
      <c r="I345" s="5"/>
      <c r="J345" s="3"/>
      <c r="K345" s="5"/>
      <c r="L345" s="3"/>
      <c r="M345" s="5"/>
      <c r="N345" s="3"/>
      <c r="O345" s="5"/>
      <c r="P345" s="3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>
      <c r="A346" s="1"/>
      <c r="B346" s="1"/>
      <c r="C346" s="1"/>
      <c r="D346" s="1"/>
      <c r="E346" s="3"/>
      <c r="F346" s="3"/>
      <c r="G346" s="5"/>
      <c r="H346" s="3"/>
      <c r="I346" s="5"/>
      <c r="J346" s="3"/>
      <c r="K346" s="5"/>
      <c r="L346" s="3"/>
      <c r="M346" s="5"/>
      <c r="N346" s="3"/>
      <c r="O346" s="5"/>
      <c r="P346" s="3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>
      <c r="A347" s="1"/>
      <c r="B347" s="1"/>
      <c r="C347" s="1"/>
      <c r="D347" s="1"/>
      <c r="E347" s="3"/>
      <c r="F347" s="3"/>
      <c r="G347" s="5"/>
      <c r="H347" s="3"/>
      <c r="I347" s="5"/>
      <c r="J347" s="3"/>
      <c r="K347" s="5"/>
      <c r="L347" s="3"/>
      <c r="M347" s="5"/>
      <c r="N347" s="3"/>
      <c r="O347" s="5"/>
      <c r="P347" s="3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>
      <c r="A348" s="1"/>
      <c r="B348" s="1"/>
      <c r="C348" s="1"/>
      <c r="D348" s="1"/>
      <c r="E348" s="3"/>
      <c r="F348" s="3"/>
      <c r="G348" s="5"/>
      <c r="H348" s="3"/>
      <c r="I348" s="5"/>
      <c r="J348" s="3"/>
      <c r="K348" s="5"/>
      <c r="L348" s="3"/>
      <c r="M348" s="5"/>
      <c r="N348" s="3"/>
      <c r="O348" s="5"/>
      <c r="P348" s="3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>
      <c r="A349" s="1"/>
      <c r="B349" s="1"/>
      <c r="C349" s="1"/>
      <c r="D349" s="1"/>
      <c r="E349" s="3"/>
      <c r="F349" s="3"/>
      <c r="G349" s="5"/>
      <c r="H349" s="3"/>
      <c r="I349" s="5"/>
      <c r="J349" s="3"/>
      <c r="K349" s="5"/>
      <c r="L349" s="3"/>
      <c r="M349" s="5"/>
      <c r="N349" s="3"/>
      <c r="O349" s="5"/>
      <c r="P349" s="3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>
      <c r="A350" s="1"/>
      <c r="B350" s="1"/>
      <c r="C350" s="1"/>
      <c r="D350" s="1"/>
      <c r="E350" s="3"/>
      <c r="F350" s="3"/>
      <c r="G350" s="5"/>
      <c r="H350" s="3"/>
      <c r="I350" s="5"/>
      <c r="J350" s="3"/>
      <c r="K350" s="5"/>
      <c r="L350" s="3"/>
      <c r="M350" s="5"/>
      <c r="N350" s="3"/>
      <c r="O350" s="5"/>
      <c r="P350" s="3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>
      <c r="A351" s="1"/>
      <c r="B351" s="1"/>
      <c r="C351" s="1"/>
      <c r="D351" s="1"/>
      <c r="E351" s="3"/>
      <c r="F351" s="3"/>
      <c r="G351" s="5"/>
      <c r="H351" s="3"/>
      <c r="I351" s="5"/>
      <c r="J351" s="3"/>
      <c r="K351" s="5"/>
      <c r="L351" s="3"/>
      <c r="M351" s="5"/>
      <c r="N351" s="3"/>
      <c r="O351" s="5"/>
      <c r="P351" s="3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>
      <c r="A352" s="1"/>
      <c r="B352" s="1"/>
      <c r="C352" s="1"/>
      <c r="D352" s="1"/>
      <c r="E352" s="3"/>
      <c r="F352" s="3"/>
      <c r="G352" s="5"/>
      <c r="H352" s="3"/>
      <c r="I352" s="5"/>
      <c r="J352" s="3"/>
      <c r="K352" s="5"/>
      <c r="L352" s="3"/>
      <c r="M352" s="5"/>
      <c r="N352" s="3"/>
      <c r="O352" s="5"/>
      <c r="P352" s="3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>
      <c r="A353" s="1"/>
      <c r="B353" s="1"/>
      <c r="C353" s="1"/>
      <c r="D353" s="1"/>
      <c r="E353" s="3"/>
      <c r="F353" s="3"/>
      <c r="G353" s="5"/>
      <c r="H353" s="3"/>
      <c r="I353" s="5"/>
      <c r="J353" s="3"/>
      <c r="K353" s="5"/>
      <c r="L353" s="3"/>
      <c r="M353" s="5"/>
      <c r="N353" s="3"/>
      <c r="O353" s="5"/>
      <c r="P353" s="3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>
      <c r="A354" s="1"/>
      <c r="B354" s="1"/>
      <c r="C354" s="1"/>
      <c r="D354" s="1"/>
      <c r="E354" s="3"/>
      <c r="F354" s="3"/>
      <c r="G354" s="5"/>
      <c r="H354" s="3"/>
      <c r="I354" s="5"/>
      <c r="J354" s="3"/>
      <c r="K354" s="5"/>
      <c r="L354" s="3"/>
      <c r="M354" s="5"/>
      <c r="N354" s="3"/>
      <c r="O354" s="5"/>
      <c r="P354" s="3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>
      <c r="A355" s="1"/>
      <c r="B355" s="1"/>
      <c r="C355" s="1"/>
      <c r="D355" s="1"/>
      <c r="E355" s="3"/>
      <c r="F355" s="3"/>
      <c r="G355" s="5"/>
      <c r="H355" s="3"/>
      <c r="I355" s="5"/>
      <c r="J355" s="3"/>
      <c r="K355" s="5"/>
      <c r="L355" s="3"/>
      <c r="M355" s="5"/>
      <c r="N355" s="3"/>
      <c r="O355" s="5"/>
      <c r="P355" s="3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>
      <c r="A356" s="1"/>
      <c r="B356" s="1"/>
      <c r="C356" s="1"/>
      <c r="D356" s="1"/>
      <c r="E356" s="3"/>
      <c r="F356" s="3"/>
      <c r="G356" s="5"/>
      <c r="H356" s="3"/>
      <c r="I356" s="5"/>
      <c r="J356" s="3"/>
      <c r="K356" s="5"/>
      <c r="L356" s="3"/>
      <c r="M356" s="5"/>
      <c r="N356" s="3"/>
      <c r="O356" s="5"/>
      <c r="P356" s="3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>
      <c r="A357" s="1"/>
      <c r="B357" s="1"/>
      <c r="C357" s="1"/>
      <c r="D357" s="1"/>
      <c r="E357" s="3"/>
      <c r="F357" s="3"/>
      <c r="G357" s="5"/>
      <c r="H357" s="3"/>
      <c r="I357" s="5"/>
      <c r="J357" s="3"/>
      <c r="K357" s="5"/>
      <c r="L357" s="3"/>
      <c r="M357" s="5"/>
      <c r="N357" s="3"/>
      <c r="O357" s="5"/>
      <c r="P357" s="3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>
      <c r="A358" s="1"/>
      <c r="B358" s="1"/>
      <c r="C358" s="1"/>
      <c r="D358" s="1"/>
      <c r="E358" s="3"/>
      <c r="F358" s="3"/>
      <c r="G358" s="5"/>
      <c r="H358" s="3"/>
      <c r="I358" s="5"/>
      <c r="J358" s="3"/>
      <c r="K358" s="5"/>
      <c r="L358" s="3"/>
      <c r="M358" s="5"/>
      <c r="N358" s="3"/>
      <c r="O358" s="5"/>
      <c r="P358" s="3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>
      <c r="A359" s="1"/>
      <c r="B359" s="1"/>
      <c r="C359" s="1"/>
      <c r="D359" s="1"/>
      <c r="E359" s="3"/>
      <c r="F359" s="3"/>
      <c r="G359" s="5"/>
      <c r="H359" s="3"/>
      <c r="I359" s="5"/>
      <c r="J359" s="3"/>
      <c r="K359" s="5"/>
      <c r="L359" s="3"/>
      <c r="M359" s="5"/>
      <c r="N359" s="3"/>
      <c r="O359" s="5"/>
      <c r="P359" s="3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>
      <c r="A360" s="1"/>
      <c r="B360" s="1"/>
      <c r="C360" s="1"/>
      <c r="D360" s="1"/>
      <c r="E360" s="3"/>
      <c r="F360" s="3"/>
      <c r="G360" s="5"/>
      <c r="H360" s="3"/>
      <c r="I360" s="5"/>
      <c r="J360" s="3"/>
      <c r="K360" s="5"/>
      <c r="L360" s="3"/>
      <c r="M360" s="5"/>
      <c r="N360" s="3"/>
      <c r="O360" s="5"/>
      <c r="P360" s="3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>
      <c r="A361" s="1"/>
      <c r="B361" s="1"/>
      <c r="C361" s="1"/>
      <c r="D361" s="1"/>
      <c r="E361" s="3"/>
      <c r="F361" s="3"/>
      <c r="G361" s="5"/>
      <c r="H361" s="3"/>
      <c r="I361" s="5"/>
      <c r="J361" s="3"/>
      <c r="K361" s="5"/>
      <c r="L361" s="3"/>
      <c r="M361" s="5"/>
      <c r="N361" s="3"/>
      <c r="O361" s="5"/>
      <c r="P361" s="3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>
      <c r="A362" s="1"/>
      <c r="B362" s="1"/>
      <c r="C362" s="1"/>
      <c r="D362" s="1"/>
      <c r="E362" s="3"/>
      <c r="F362" s="3"/>
      <c r="G362" s="5"/>
      <c r="H362" s="3"/>
      <c r="I362" s="5"/>
      <c r="J362" s="3"/>
      <c r="K362" s="5"/>
      <c r="L362" s="3"/>
      <c r="M362" s="5"/>
      <c r="N362" s="3"/>
      <c r="O362" s="5"/>
      <c r="P362" s="3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>
      <c r="A363" s="1"/>
      <c r="B363" s="1"/>
      <c r="C363" s="1"/>
      <c r="D363" s="1"/>
      <c r="E363" s="3"/>
      <c r="F363" s="3"/>
      <c r="G363" s="5"/>
      <c r="H363" s="3"/>
      <c r="I363" s="5"/>
      <c r="J363" s="3"/>
      <c r="K363" s="5"/>
      <c r="L363" s="3"/>
      <c r="M363" s="5"/>
      <c r="N363" s="3"/>
      <c r="O363" s="5"/>
      <c r="P363" s="3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>
      <c r="A364" s="1"/>
      <c r="B364" s="1"/>
      <c r="C364" s="1"/>
      <c r="D364" s="1"/>
      <c r="E364" s="3"/>
      <c r="F364" s="3"/>
      <c r="G364" s="5"/>
      <c r="H364" s="3"/>
      <c r="I364" s="5"/>
      <c r="J364" s="3"/>
      <c r="K364" s="5"/>
      <c r="L364" s="3"/>
      <c r="M364" s="5"/>
      <c r="N364" s="3"/>
      <c r="O364" s="5"/>
      <c r="P364" s="3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>
      <c r="A365" s="1"/>
      <c r="B365" s="1"/>
      <c r="C365" s="1"/>
      <c r="D365" s="1"/>
      <c r="E365" s="3"/>
      <c r="F365" s="3"/>
      <c r="G365" s="5"/>
      <c r="H365" s="3"/>
      <c r="I365" s="5"/>
      <c r="J365" s="3"/>
      <c r="K365" s="5"/>
      <c r="L365" s="3"/>
      <c r="M365" s="5"/>
      <c r="N365" s="3"/>
      <c r="O365" s="5"/>
      <c r="P365" s="3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>
      <c r="A366" s="1"/>
      <c r="B366" s="1"/>
      <c r="C366" s="1"/>
      <c r="D366" s="1"/>
      <c r="E366" s="3"/>
      <c r="F366" s="3"/>
      <c r="G366" s="5"/>
      <c r="H366" s="3"/>
      <c r="I366" s="5"/>
      <c r="J366" s="3"/>
      <c r="K366" s="5"/>
      <c r="L366" s="3"/>
      <c r="M366" s="5"/>
      <c r="N366" s="3"/>
      <c r="O366" s="5"/>
      <c r="P366" s="3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>
      <c r="A367" s="1"/>
      <c r="B367" s="1"/>
      <c r="C367" s="1"/>
      <c r="D367" s="1"/>
      <c r="E367" s="3"/>
      <c r="F367" s="3"/>
      <c r="G367" s="5"/>
      <c r="H367" s="3"/>
      <c r="I367" s="5"/>
      <c r="J367" s="3"/>
      <c r="K367" s="5"/>
      <c r="L367" s="3"/>
      <c r="M367" s="5"/>
      <c r="N367" s="3"/>
      <c r="O367" s="5"/>
      <c r="P367" s="3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>
      <c r="A368" s="1"/>
      <c r="B368" s="1"/>
      <c r="C368" s="1"/>
      <c r="D368" s="1"/>
      <c r="E368" s="3"/>
      <c r="F368" s="3"/>
      <c r="G368" s="5"/>
      <c r="H368" s="3"/>
      <c r="I368" s="5"/>
      <c r="J368" s="3"/>
      <c r="K368" s="5"/>
      <c r="L368" s="3"/>
      <c r="M368" s="5"/>
      <c r="N368" s="3"/>
      <c r="O368" s="5"/>
      <c r="P368" s="3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>
      <c r="A369" s="1"/>
      <c r="B369" s="1"/>
      <c r="C369" s="1"/>
      <c r="D369" s="1"/>
      <c r="E369" s="3"/>
      <c r="F369" s="3"/>
      <c r="G369" s="5"/>
      <c r="H369" s="3"/>
      <c r="I369" s="5"/>
      <c r="J369" s="3"/>
      <c r="K369" s="5"/>
      <c r="L369" s="3"/>
      <c r="M369" s="5"/>
      <c r="N369" s="3"/>
      <c r="O369" s="5"/>
      <c r="P369" s="3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>
      <c r="A370" s="1"/>
      <c r="B370" s="1"/>
      <c r="C370" s="1"/>
      <c r="D370" s="1"/>
      <c r="E370" s="3"/>
      <c r="F370" s="3"/>
      <c r="G370" s="5"/>
      <c r="H370" s="3"/>
      <c r="I370" s="5"/>
      <c r="J370" s="3"/>
      <c r="K370" s="5"/>
      <c r="L370" s="3"/>
      <c r="M370" s="5"/>
      <c r="N370" s="3"/>
      <c r="O370" s="5"/>
      <c r="P370" s="3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>
      <c r="A371" s="1"/>
      <c r="B371" s="1"/>
      <c r="C371" s="1"/>
      <c r="D371" s="1"/>
      <c r="E371" s="3"/>
      <c r="F371" s="3"/>
      <c r="G371" s="5"/>
      <c r="H371" s="3"/>
      <c r="I371" s="5"/>
      <c r="J371" s="3"/>
      <c r="K371" s="5"/>
      <c r="L371" s="3"/>
      <c r="M371" s="5"/>
      <c r="N371" s="3"/>
      <c r="O371" s="5"/>
      <c r="P371" s="3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>
      <c r="A372" s="1"/>
      <c r="B372" s="1"/>
      <c r="C372" s="1"/>
      <c r="D372" s="1"/>
      <c r="E372" s="3"/>
      <c r="F372" s="3"/>
      <c r="G372" s="5"/>
      <c r="H372" s="3"/>
      <c r="I372" s="5"/>
      <c r="J372" s="3"/>
      <c r="K372" s="5"/>
      <c r="L372" s="3"/>
      <c r="M372" s="5"/>
      <c r="N372" s="3"/>
      <c r="O372" s="5"/>
      <c r="P372" s="3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>
      <c r="A373" s="1"/>
      <c r="B373" s="1"/>
      <c r="C373" s="1"/>
      <c r="D373" s="1"/>
      <c r="E373" s="3"/>
      <c r="F373" s="3"/>
      <c r="G373" s="5"/>
      <c r="H373" s="3"/>
      <c r="I373" s="5"/>
      <c r="J373" s="3"/>
      <c r="K373" s="5"/>
      <c r="L373" s="3"/>
      <c r="M373" s="5"/>
      <c r="N373" s="3"/>
      <c r="O373" s="5"/>
      <c r="P373" s="3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>
      <c r="A374" s="1"/>
      <c r="B374" s="1"/>
      <c r="C374" s="1"/>
      <c r="D374" s="1"/>
      <c r="E374" s="3"/>
      <c r="F374" s="3"/>
      <c r="G374" s="5"/>
      <c r="H374" s="3"/>
      <c r="I374" s="5"/>
      <c r="J374" s="3"/>
      <c r="K374" s="5"/>
      <c r="L374" s="3"/>
      <c r="M374" s="5"/>
      <c r="N374" s="3"/>
      <c r="O374" s="5"/>
      <c r="P374" s="3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>
      <c r="A375" s="1"/>
      <c r="B375" s="1"/>
      <c r="C375" s="1"/>
      <c r="D375" s="1"/>
      <c r="E375" s="3"/>
      <c r="F375" s="3"/>
      <c r="G375" s="5"/>
      <c r="H375" s="3"/>
      <c r="I375" s="5"/>
      <c r="J375" s="3"/>
      <c r="K375" s="5"/>
      <c r="L375" s="3"/>
      <c r="M375" s="5"/>
      <c r="N375" s="3"/>
      <c r="O375" s="5"/>
      <c r="P375" s="3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>
      <c r="A376" s="1"/>
      <c r="B376" s="1"/>
      <c r="C376" s="1"/>
      <c r="D376" s="1"/>
      <c r="E376" s="3"/>
      <c r="F376" s="3"/>
      <c r="G376" s="5"/>
      <c r="H376" s="3"/>
      <c r="I376" s="5"/>
      <c r="J376" s="3"/>
      <c r="K376" s="5"/>
      <c r="L376" s="3"/>
      <c r="M376" s="5"/>
      <c r="N376" s="3"/>
      <c r="O376" s="5"/>
      <c r="P376" s="3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>
      <c r="A377" s="1"/>
      <c r="B377" s="1"/>
      <c r="C377" s="1"/>
      <c r="D377" s="1"/>
      <c r="E377" s="3"/>
      <c r="F377" s="3"/>
      <c r="G377" s="5"/>
      <c r="H377" s="3"/>
      <c r="I377" s="5"/>
      <c r="J377" s="3"/>
      <c r="K377" s="5"/>
      <c r="L377" s="3"/>
      <c r="M377" s="5"/>
      <c r="N377" s="3"/>
      <c r="O377" s="5"/>
      <c r="P377" s="3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>
      <c r="A378" s="1"/>
      <c r="B378" s="1"/>
      <c r="C378" s="1"/>
      <c r="D378" s="1"/>
      <c r="E378" s="3"/>
      <c r="F378" s="3"/>
      <c r="G378" s="5"/>
      <c r="H378" s="3"/>
      <c r="I378" s="5"/>
      <c r="J378" s="3"/>
      <c r="K378" s="5"/>
      <c r="L378" s="3"/>
      <c r="M378" s="5"/>
      <c r="N378" s="3"/>
      <c r="O378" s="5"/>
      <c r="P378" s="3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>
      <c r="A379" s="1"/>
      <c r="B379" s="1"/>
      <c r="C379" s="1"/>
      <c r="D379" s="1"/>
      <c r="E379" s="3"/>
      <c r="F379" s="3"/>
      <c r="G379" s="5"/>
      <c r="H379" s="3"/>
      <c r="I379" s="5"/>
      <c r="J379" s="3"/>
      <c r="K379" s="5"/>
      <c r="L379" s="3"/>
      <c r="M379" s="5"/>
      <c r="N379" s="3"/>
      <c r="O379" s="5"/>
      <c r="P379" s="3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>
      <c r="A380" s="1"/>
      <c r="B380" s="1"/>
      <c r="C380" s="1"/>
      <c r="D380" s="1"/>
      <c r="E380" s="3"/>
      <c r="F380" s="3"/>
      <c r="G380" s="5"/>
      <c r="H380" s="3"/>
      <c r="I380" s="5"/>
      <c r="J380" s="3"/>
      <c r="K380" s="5"/>
      <c r="L380" s="3"/>
      <c r="M380" s="5"/>
      <c r="N380" s="3"/>
      <c r="O380" s="5"/>
      <c r="P380" s="3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>
      <c r="A381" s="1"/>
      <c r="B381" s="1"/>
      <c r="C381" s="1"/>
      <c r="D381" s="1"/>
      <c r="E381" s="3"/>
      <c r="F381" s="3"/>
      <c r="G381" s="5"/>
      <c r="H381" s="3"/>
      <c r="I381" s="5"/>
      <c r="J381" s="3"/>
      <c r="K381" s="5"/>
      <c r="L381" s="3"/>
      <c r="M381" s="5"/>
      <c r="N381" s="3"/>
      <c r="O381" s="5"/>
      <c r="P381" s="3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>
      <c r="A382" s="1"/>
      <c r="B382" s="1"/>
      <c r="C382" s="1"/>
      <c r="D382" s="1"/>
      <c r="E382" s="3"/>
      <c r="F382" s="3"/>
      <c r="G382" s="5"/>
      <c r="H382" s="3"/>
      <c r="I382" s="5"/>
      <c r="J382" s="3"/>
      <c r="K382" s="5"/>
      <c r="L382" s="3"/>
      <c r="M382" s="5"/>
      <c r="N382" s="3"/>
      <c r="O382" s="5"/>
      <c r="P382" s="3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>
      <c r="A383" s="1"/>
      <c r="B383" s="1"/>
      <c r="C383" s="1"/>
      <c r="D383" s="1"/>
      <c r="E383" s="3"/>
      <c r="F383" s="3"/>
      <c r="G383" s="5"/>
      <c r="H383" s="3"/>
      <c r="I383" s="5"/>
      <c r="J383" s="3"/>
      <c r="K383" s="5"/>
      <c r="L383" s="3"/>
      <c r="M383" s="5"/>
      <c r="N383" s="3"/>
      <c r="O383" s="5"/>
      <c r="P383" s="3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>
      <c r="A384" s="1"/>
      <c r="B384" s="1"/>
      <c r="C384" s="1"/>
      <c r="D384" s="1"/>
      <c r="E384" s="3"/>
      <c r="F384" s="3"/>
      <c r="G384" s="5"/>
      <c r="H384" s="3"/>
      <c r="I384" s="5"/>
      <c r="J384" s="3"/>
      <c r="K384" s="5"/>
      <c r="L384" s="3"/>
      <c r="M384" s="5"/>
      <c r="N384" s="3"/>
      <c r="O384" s="5"/>
      <c r="P384" s="3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>
      <c r="A385" s="1"/>
      <c r="B385" s="1"/>
      <c r="C385" s="1"/>
      <c r="D385" s="1"/>
      <c r="E385" s="3"/>
      <c r="F385" s="3"/>
      <c r="G385" s="5"/>
      <c r="H385" s="3"/>
      <c r="I385" s="5"/>
      <c r="J385" s="3"/>
      <c r="K385" s="5"/>
      <c r="L385" s="3"/>
      <c r="M385" s="5"/>
      <c r="N385" s="3"/>
      <c r="O385" s="5"/>
      <c r="P385" s="3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>
      <c r="A386" s="1"/>
      <c r="B386" s="1"/>
      <c r="C386" s="1"/>
      <c r="D386" s="1"/>
      <c r="E386" s="3"/>
      <c r="F386" s="3"/>
      <c r="G386" s="5"/>
      <c r="H386" s="3"/>
      <c r="I386" s="5"/>
      <c r="J386" s="3"/>
      <c r="K386" s="5"/>
      <c r="L386" s="3"/>
      <c r="M386" s="5"/>
      <c r="N386" s="3"/>
      <c r="O386" s="5"/>
      <c r="P386" s="3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>
      <c r="A387" s="1"/>
      <c r="B387" s="1"/>
      <c r="C387" s="1"/>
      <c r="D387" s="1"/>
      <c r="E387" s="3"/>
      <c r="F387" s="3"/>
      <c r="G387" s="5"/>
      <c r="H387" s="3"/>
      <c r="I387" s="5"/>
      <c r="J387" s="3"/>
      <c r="K387" s="5"/>
      <c r="L387" s="3"/>
      <c r="M387" s="5"/>
      <c r="N387" s="3"/>
      <c r="O387" s="5"/>
      <c r="P387" s="3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>
      <c r="A388" s="1"/>
      <c r="B388" s="1"/>
      <c r="C388" s="1"/>
      <c r="D388" s="1"/>
      <c r="E388" s="3"/>
      <c r="F388" s="3"/>
      <c r="G388" s="5"/>
      <c r="H388" s="3"/>
      <c r="I388" s="5"/>
      <c r="J388" s="3"/>
      <c r="K388" s="5"/>
      <c r="L388" s="3"/>
      <c r="M388" s="5"/>
      <c r="N388" s="3"/>
      <c r="O388" s="5"/>
      <c r="P388" s="3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>
      <c r="A389" s="1"/>
      <c r="B389" s="1"/>
      <c r="C389" s="1"/>
      <c r="D389" s="1"/>
      <c r="E389" s="3"/>
      <c r="F389" s="3"/>
      <c r="G389" s="5"/>
      <c r="H389" s="3"/>
      <c r="I389" s="5"/>
      <c r="J389" s="3"/>
      <c r="K389" s="5"/>
      <c r="L389" s="3"/>
      <c r="M389" s="5"/>
      <c r="N389" s="3"/>
      <c r="O389" s="5"/>
      <c r="P389" s="3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>
      <c r="A390" s="1"/>
      <c r="B390" s="1"/>
      <c r="C390" s="1"/>
      <c r="D390" s="1"/>
      <c r="E390" s="3"/>
      <c r="F390" s="3"/>
      <c r="G390" s="5"/>
      <c r="H390" s="3"/>
      <c r="I390" s="5"/>
      <c r="J390" s="3"/>
      <c r="K390" s="5"/>
      <c r="L390" s="3"/>
      <c r="M390" s="5"/>
      <c r="N390" s="3"/>
      <c r="O390" s="5"/>
      <c r="P390" s="3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>
      <c r="A391" s="1"/>
      <c r="B391" s="1"/>
      <c r="C391" s="1"/>
      <c r="D391" s="1"/>
      <c r="E391" s="3"/>
      <c r="F391" s="3"/>
      <c r="G391" s="5"/>
      <c r="H391" s="3"/>
      <c r="I391" s="5"/>
      <c r="J391" s="3"/>
      <c r="K391" s="5"/>
      <c r="L391" s="3"/>
      <c r="M391" s="5"/>
      <c r="N391" s="3"/>
      <c r="O391" s="5"/>
      <c r="P391" s="3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>
      <c r="A392" s="1"/>
      <c r="B392" s="1"/>
      <c r="C392" s="1"/>
      <c r="D392" s="1"/>
      <c r="E392" s="3"/>
      <c r="F392" s="3"/>
      <c r="G392" s="5"/>
      <c r="H392" s="3"/>
      <c r="I392" s="5"/>
      <c r="J392" s="3"/>
      <c r="K392" s="5"/>
      <c r="L392" s="3"/>
      <c r="M392" s="5"/>
      <c r="N392" s="3"/>
      <c r="O392" s="5"/>
      <c r="P392" s="3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>
      <c r="A393" s="1"/>
      <c r="B393" s="1"/>
      <c r="C393" s="1"/>
      <c r="D393" s="1"/>
      <c r="E393" s="3"/>
      <c r="F393" s="3"/>
      <c r="G393" s="5"/>
      <c r="H393" s="3"/>
      <c r="I393" s="5"/>
      <c r="J393" s="3"/>
      <c r="K393" s="5"/>
      <c r="L393" s="3"/>
      <c r="M393" s="5"/>
      <c r="N393" s="3"/>
      <c r="O393" s="5"/>
      <c r="P393" s="3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>
      <c r="A394" s="1"/>
      <c r="B394" s="1"/>
      <c r="C394" s="1"/>
      <c r="D394" s="1"/>
      <c r="E394" s="3"/>
      <c r="F394" s="3"/>
      <c r="G394" s="5"/>
      <c r="H394" s="3"/>
      <c r="I394" s="5"/>
      <c r="J394" s="3"/>
      <c r="K394" s="5"/>
      <c r="L394" s="3"/>
      <c r="M394" s="5"/>
      <c r="N394" s="3"/>
      <c r="O394" s="5"/>
      <c r="P394" s="3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>
      <c r="A395" s="1"/>
      <c r="B395" s="1"/>
      <c r="C395" s="1"/>
      <c r="D395" s="1"/>
      <c r="E395" s="3"/>
      <c r="F395" s="3"/>
      <c r="G395" s="5"/>
      <c r="H395" s="3"/>
      <c r="I395" s="5"/>
      <c r="J395" s="3"/>
      <c r="K395" s="5"/>
      <c r="L395" s="3"/>
      <c r="M395" s="5"/>
      <c r="N395" s="3"/>
      <c r="O395" s="5"/>
      <c r="P395" s="3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>
      <c r="A396" s="1"/>
      <c r="B396" s="1"/>
      <c r="C396" s="1"/>
      <c r="D396" s="1"/>
      <c r="E396" s="3"/>
      <c r="F396" s="3"/>
      <c r="G396" s="5"/>
      <c r="H396" s="3"/>
      <c r="I396" s="5"/>
      <c r="J396" s="3"/>
      <c r="K396" s="5"/>
      <c r="L396" s="3"/>
      <c r="M396" s="5"/>
      <c r="N396" s="3"/>
      <c r="O396" s="5"/>
      <c r="P396" s="3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>
      <c r="A397" s="1"/>
      <c r="B397" s="1"/>
      <c r="C397" s="1"/>
      <c r="D397" s="1"/>
      <c r="E397" s="3"/>
      <c r="F397" s="3"/>
      <c r="G397" s="5"/>
      <c r="H397" s="3"/>
      <c r="I397" s="5"/>
      <c r="J397" s="3"/>
      <c r="K397" s="5"/>
      <c r="L397" s="3"/>
      <c r="M397" s="5"/>
      <c r="N397" s="3"/>
      <c r="O397" s="5"/>
      <c r="P397" s="3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>
      <c r="A398" s="1"/>
      <c r="B398" s="1"/>
      <c r="C398" s="1"/>
      <c r="D398" s="1"/>
      <c r="E398" s="3"/>
      <c r="F398" s="3"/>
      <c r="G398" s="5"/>
      <c r="H398" s="3"/>
      <c r="I398" s="5"/>
      <c r="J398" s="3"/>
      <c r="K398" s="5"/>
      <c r="L398" s="3"/>
      <c r="M398" s="5"/>
      <c r="N398" s="3"/>
      <c r="O398" s="5"/>
      <c r="P398" s="3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>
      <c r="A399" s="1"/>
      <c r="B399" s="1"/>
      <c r="C399" s="1"/>
      <c r="D399" s="1"/>
      <c r="E399" s="3"/>
      <c r="F399" s="3"/>
      <c r="G399" s="5"/>
      <c r="H399" s="3"/>
      <c r="I399" s="5"/>
      <c r="J399" s="3"/>
      <c r="K399" s="5"/>
      <c r="L399" s="3"/>
      <c r="M399" s="5"/>
      <c r="N399" s="3"/>
      <c r="O399" s="5"/>
      <c r="P399" s="3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>
      <c r="A400" s="1"/>
      <c r="B400" s="1"/>
      <c r="C400" s="1"/>
      <c r="D400" s="1"/>
      <c r="E400" s="3"/>
      <c r="F400" s="3"/>
      <c r="G400" s="5"/>
      <c r="H400" s="3"/>
      <c r="I400" s="5"/>
      <c r="J400" s="3"/>
      <c r="K400" s="5"/>
      <c r="L400" s="3"/>
      <c r="M400" s="5"/>
      <c r="N400" s="3"/>
      <c r="O400" s="5"/>
      <c r="P400" s="3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>
      <c r="A401" s="1"/>
      <c r="B401" s="1"/>
      <c r="C401" s="1"/>
      <c r="D401" s="1"/>
      <c r="E401" s="3"/>
      <c r="F401" s="3"/>
      <c r="G401" s="5"/>
      <c r="H401" s="3"/>
      <c r="I401" s="5"/>
      <c r="J401" s="3"/>
      <c r="K401" s="5"/>
      <c r="L401" s="3"/>
      <c r="M401" s="5"/>
      <c r="N401" s="3"/>
      <c r="O401" s="5"/>
      <c r="P401" s="3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>
      <c r="A402" s="1"/>
      <c r="B402" s="1"/>
      <c r="C402" s="1"/>
      <c r="D402" s="1"/>
      <c r="E402" s="3"/>
      <c r="F402" s="3"/>
      <c r="G402" s="5"/>
      <c r="H402" s="3"/>
      <c r="I402" s="5"/>
      <c r="J402" s="3"/>
      <c r="K402" s="5"/>
      <c r="L402" s="3"/>
      <c r="M402" s="5"/>
      <c r="N402" s="3"/>
      <c r="O402" s="5"/>
      <c r="P402" s="3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>
      <c r="A403" s="1"/>
      <c r="B403" s="1"/>
      <c r="C403" s="1"/>
      <c r="D403" s="1"/>
      <c r="E403" s="3"/>
      <c r="F403" s="3"/>
      <c r="G403" s="5"/>
      <c r="H403" s="3"/>
      <c r="I403" s="5"/>
      <c r="J403" s="3"/>
      <c r="K403" s="5"/>
      <c r="L403" s="3"/>
      <c r="M403" s="5"/>
      <c r="N403" s="3"/>
      <c r="O403" s="5"/>
      <c r="P403" s="3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>
      <c r="A404" s="1"/>
      <c r="B404" s="1"/>
      <c r="C404" s="1"/>
      <c r="D404" s="1"/>
      <c r="E404" s="3"/>
      <c r="F404" s="3"/>
      <c r="G404" s="5"/>
      <c r="H404" s="3"/>
      <c r="I404" s="5"/>
      <c r="J404" s="3"/>
      <c r="K404" s="5"/>
      <c r="L404" s="3"/>
      <c r="M404" s="5"/>
      <c r="N404" s="3"/>
      <c r="O404" s="5"/>
      <c r="P404" s="3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>
      <c r="A405" s="1"/>
      <c r="B405" s="1"/>
      <c r="C405" s="1"/>
      <c r="D405" s="1"/>
      <c r="E405" s="3"/>
      <c r="F405" s="3"/>
      <c r="G405" s="5"/>
      <c r="H405" s="3"/>
      <c r="I405" s="5"/>
      <c r="J405" s="3"/>
      <c r="K405" s="5"/>
      <c r="L405" s="3"/>
      <c r="M405" s="5"/>
      <c r="N405" s="3"/>
      <c r="O405" s="5"/>
      <c r="P405" s="3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>
      <c r="A406" s="1"/>
      <c r="B406" s="1"/>
      <c r="C406" s="1"/>
      <c r="D406" s="1"/>
      <c r="E406" s="3"/>
      <c r="F406" s="3"/>
      <c r="G406" s="5"/>
      <c r="H406" s="3"/>
      <c r="I406" s="5"/>
      <c r="J406" s="3"/>
      <c r="K406" s="5"/>
      <c r="L406" s="3"/>
      <c r="M406" s="5"/>
      <c r="N406" s="3"/>
      <c r="O406" s="5"/>
      <c r="P406" s="3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>
      <c r="A407" s="1"/>
      <c r="B407" s="1"/>
      <c r="C407" s="1"/>
      <c r="D407" s="1"/>
      <c r="E407" s="3"/>
      <c r="F407" s="3"/>
      <c r="G407" s="5"/>
      <c r="H407" s="3"/>
      <c r="I407" s="5"/>
      <c r="J407" s="3"/>
      <c r="K407" s="5"/>
      <c r="L407" s="3"/>
      <c r="M407" s="5"/>
      <c r="N407" s="3"/>
      <c r="O407" s="5"/>
      <c r="P407" s="3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>
      <c r="A408" s="1"/>
      <c r="B408" s="1"/>
      <c r="C408" s="1"/>
      <c r="D408" s="1"/>
      <c r="E408" s="3"/>
      <c r="F408" s="3"/>
      <c r="G408" s="5"/>
      <c r="H408" s="3"/>
      <c r="I408" s="5"/>
      <c r="J408" s="3"/>
      <c r="K408" s="5"/>
      <c r="L408" s="3"/>
      <c r="M408" s="5"/>
      <c r="N408" s="3"/>
      <c r="O408" s="5"/>
      <c r="P408" s="3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>
      <c r="A409" s="1"/>
      <c r="B409" s="1"/>
      <c r="C409" s="1"/>
      <c r="D409" s="1"/>
      <c r="E409" s="3"/>
      <c r="F409" s="3"/>
      <c r="G409" s="5"/>
      <c r="H409" s="3"/>
      <c r="I409" s="5"/>
      <c r="J409" s="3"/>
      <c r="K409" s="5"/>
      <c r="L409" s="3"/>
      <c r="M409" s="5"/>
      <c r="N409" s="3"/>
      <c r="O409" s="5"/>
      <c r="P409" s="3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>
      <c r="A410" s="1"/>
      <c r="B410" s="1"/>
      <c r="C410" s="1"/>
      <c r="D410" s="1"/>
      <c r="E410" s="3"/>
      <c r="F410" s="3"/>
      <c r="G410" s="5"/>
      <c r="H410" s="3"/>
      <c r="I410" s="5"/>
      <c r="J410" s="3"/>
      <c r="K410" s="5"/>
      <c r="L410" s="3"/>
      <c r="M410" s="5"/>
      <c r="N410" s="3"/>
      <c r="O410" s="5"/>
      <c r="P410" s="3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>
      <c r="A411" s="1"/>
      <c r="B411" s="1"/>
      <c r="C411" s="1"/>
      <c r="D411" s="1"/>
      <c r="E411" s="3"/>
      <c r="F411" s="3"/>
      <c r="G411" s="5"/>
      <c r="H411" s="3"/>
      <c r="I411" s="5"/>
      <c r="J411" s="3"/>
      <c r="K411" s="5"/>
      <c r="L411" s="3"/>
      <c r="M411" s="5"/>
      <c r="N411" s="3"/>
      <c r="O411" s="5"/>
      <c r="P411" s="3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>
      <c r="A412" s="1"/>
      <c r="B412" s="1"/>
      <c r="C412" s="1"/>
      <c r="D412" s="1"/>
      <c r="E412" s="3"/>
      <c r="F412" s="3"/>
      <c r="G412" s="5"/>
      <c r="H412" s="3"/>
      <c r="I412" s="5"/>
      <c r="J412" s="3"/>
      <c r="K412" s="5"/>
      <c r="L412" s="3"/>
      <c r="M412" s="5"/>
      <c r="N412" s="3"/>
      <c r="O412" s="5"/>
      <c r="P412" s="3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>
      <c r="A413" s="1"/>
      <c r="B413" s="1"/>
      <c r="C413" s="1"/>
      <c r="D413" s="1"/>
      <c r="E413" s="3"/>
      <c r="F413" s="3"/>
      <c r="G413" s="5"/>
      <c r="H413" s="3"/>
      <c r="I413" s="5"/>
      <c r="J413" s="3"/>
      <c r="K413" s="5"/>
      <c r="L413" s="3"/>
      <c r="M413" s="5"/>
      <c r="N413" s="3"/>
      <c r="O413" s="5"/>
      <c r="P413" s="3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>
      <c r="A414" s="1"/>
      <c r="B414" s="1"/>
      <c r="C414" s="1"/>
      <c r="D414" s="1"/>
      <c r="E414" s="3"/>
      <c r="F414" s="3"/>
      <c r="G414" s="5"/>
      <c r="H414" s="3"/>
      <c r="I414" s="5"/>
      <c r="J414" s="3"/>
      <c r="K414" s="5"/>
      <c r="L414" s="3"/>
      <c r="M414" s="5"/>
      <c r="N414" s="3"/>
      <c r="O414" s="5"/>
      <c r="P414" s="3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>
      <c r="A415" s="1"/>
      <c r="B415" s="1"/>
      <c r="C415" s="1"/>
      <c r="D415" s="1"/>
      <c r="E415" s="3"/>
      <c r="F415" s="3"/>
      <c r="G415" s="5"/>
      <c r="H415" s="3"/>
      <c r="I415" s="5"/>
      <c r="J415" s="3"/>
      <c r="K415" s="5"/>
      <c r="L415" s="3"/>
      <c r="M415" s="5"/>
      <c r="N415" s="3"/>
      <c r="O415" s="5"/>
      <c r="P415" s="3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>
      <c r="A416" s="1"/>
      <c r="B416" s="1"/>
      <c r="C416" s="1"/>
      <c r="D416" s="1"/>
      <c r="E416" s="3"/>
      <c r="F416" s="3"/>
      <c r="G416" s="5"/>
      <c r="H416" s="3"/>
      <c r="I416" s="5"/>
      <c r="J416" s="3"/>
      <c r="K416" s="5"/>
      <c r="L416" s="3"/>
      <c r="M416" s="5"/>
      <c r="N416" s="3"/>
      <c r="O416" s="5"/>
      <c r="P416" s="3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>
      <c r="A417" s="1"/>
      <c r="B417" s="1"/>
      <c r="C417" s="1"/>
      <c r="D417" s="1"/>
      <c r="E417" s="3"/>
      <c r="F417" s="3"/>
      <c r="G417" s="5"/>
      <c r="H417" s="3"/>
      <c r="I417" s="5"/>
      <c r="J417" s="3"/>
      <c r="K417" s="5"/>
      <c r="L417" s="3"/>
      <c r="M417" s="5"/>
      <c r="N417" s="3"/>
      <c r="O417" s="5"/>
      <c r="P417" s="3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>
      <c r="A418" s="1"/>
      <c r="B418" s="1"/>
      <c r="C418" s="1"/>
      <c r="D418" s="1"/>
      <c r="E418" s="3"/>
      <c r="F418" s="3"/>
      <c r="G418" s="5"/>
      <c r="H418" s="3"/>
      <c r="I418" s="5"/>
      <c r="J418" s="3"/>
      <c r="K418" s="5"/>
      <c r="L418" s="3"/>
      <c r="M418" s="5"/>
      <c r="N418" s="3"/>
      <c r="O418" s="5"/>
      <c r="P418" s="3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>
      <c r="A419" s="1"/>
      <c r="B419" s="1"/>
      <c r="C419" s="1"/>
      <c r="D419" s="1"/>
      <c r="E419" s="3"/>
      <c r="F419" s="3"/>
      <c r="G419" s="5"/>
      <c r="H419" s="3"/>
      <c r="I419" s="5"/>
      <c r="J419" s="3"/>
      <c r="K419" s="5"/>
      <c r="L419" s="3"/>
      <c r="M419" s="5"/>
      <c r="N419" s="3"/>
      <c r="O419" s="5"/>
      <c r="P419" s="3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>
      <c r="A420" s="1"/>
      <c r="B420" s="1"/>
      <c r="C420" s="1"/>
      <c r="D420" s="1"/>
      <c r="E420" s="3"/>
      <c r="F420" s="3"/>
      <c r="G420" s="5"/>
      <c r="H420" s="3"/>
      <c r="I420" s="5"/>
      <c r="J420" s="3"/>
      <c r="K420" s="5"/>
      <c r="L420" s="3"/>
      <c r="M420" s="5"/>
      <c r="N420" s="3"/>
      <c r="O420" s="5"/>
      <c r="P420" s="3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>
      <c r="A421" s="1"/>
      <c r="B421" s="1"/>
      <c r="C421" s="1"/>
      <c r="D421" s="1"/>
      <c r="E421" s="3"/>
      <c r="F421" s="3"/>
      <c r="G421" s="5"/>
      <c r="H421" s="3"/>
      <c r="I421" s="5"/>
      <c r="J421" s="3"/>
      <c r="K421" s="5"/>
      <c r="L421" s="3"/>
      <c r="M421" s="5"/>
      <c r="N421" s="3"/>
      <c r="O421" s="5"/>
      <c r="P421" s="3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>
      <c r="A422" s="1"/>
      <c r="B422" s="1"/>
      <c r="C422" s="1"/>
      <c r="D422" s="1"/>
      <c r="E422" s="3"/>
      <c r="F422" s="3"/>
      <c r="G422" s="5"/>
      <c r="H422" s="3"/>
      <c r="I422" s="5"/>
      <c r="J422" s="3"/>
      <c r="K422" s="5"/>
      <c r="L422" s="3"/>
      <c r="M422" s="5"/>
      <c r="N422" s="3"/>
      <c r="O422" s="5"/>
      <c r="P422" s="3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>
      <c r="A423" s="1"/>
      <c r="B423" s="1"/>
      <c r="C423" s="1"/>
      <c r="D423" s="1"/>
      <c r="E423" s="3"/>
      <c r="F423" s="3"/>
      <c r="G423" s="5"/>
      <c r="H423" s="3"/>
      <c r="I423" s="5"/>
      <c r="J423" s="3"/>
      <c r="K423" s="5"/>
      <c r="L423" s="3"/>
      <c r="M423" s="5"/>
      <c r="N423" s="3"/>
      <c r="O423" s="5"/>
      <c r="P423" s="3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>
      <c r="A424" s="1"/>
      <c r="B424" s="1"/>
      <c r="C424" s="1"/>
      <c r="D424" s="1"/>
      <c r="E424" s="3"/>
      <c r="F424" s="3"/>
      <c r="G424" s="5"/>
      <c r="H424" s="3"/>
      <c r="I424" s="5"/>
      <c r="J424" s="3"/>
      <c r="K424" s="5"/>
      <c r="L424" s="3"/>
      <c r="M424" s="5"/>
      <c r="N424" s="3"/>
      <c r="O424" s="5"/>
      <c r="P424" s="3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>
      <c r="A425" s="1"/>
      <c r="B425" s="1"/>
      <c r="C425" s="1"/>
      <c r="D425" s="1"/>
      <c r="E425" s="3"/>
      <c r="F425" s="3"/>
      <c r="G425" s="5"/>
      <c r="H425" s="3"/>
      <c r="I425" s="5"/>
      <c r="J425" s="3"/>
      <c r="K425" s="5"/>
      <c r="L425" s="3"/>
      <c r="M425" s="5"/>
      <c r="N425" s="3"/>
      <c r="O425" s="5"/>
      <c r="P425" s="3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>
      <c r="A426" s="1"/>
      <c r="B426" s="1"/>
      <c r="C426" s="1"/>
      <c r="D426" s="1"/>
      <c r="E426" s="3"/>
      <c r="F426" s="3"/>
      <c r="G426" s="5"/>
      <c r="H426" s="3"/>
      <c r="I426" s="5"/>
      <c r="J426" s="3"/>
      <c r="K426" s="5"/>
      <c r="L426" s="3"/>
      <c r="M426" s="5"/>
      <c r="N426" s="3"/>
      <c r="O426" s="5"/>
      <c r="P426" s="3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>
      <c r="A427" s="1"/>
      <c r="B427" s="1"/>
      <c r="C427" s="1"/>
      <c r="D427" s="1"/>
      <c r="E427" s="3"/>
      <c r="F427" s="3"/>
      <c r="G427" s="5"/>
      <c r="H427" s="3"/>
      <c r="I427" s="5"/>
      <c r="J427" s="3"/>
      <c r="K427" s="5"/>
      <c r="L427" s="3"/>
      <c r="M427" s="5"/>
      <c r="N427" s="3"/>
      <c r="O427" s="5"/>
      <c r="P427" s="3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>
      <c r="A428" s="1"/>
      <c r="B428" s="1"/>
      <c r="C428" s="1"/>
      <c r="D428" s="1"/>
      <c r="E428" s="3"/>
      <c r="F428" s="3"/>
      <c r="G428" s="5"/>
      <c r="H428" s="3"/>
      <c r="I428" s="5"/>
      <c r="J428" s="3"/>
      <c r="K428" s="5"/>
      <c r="L428" s="3"/>
      <c r="M428" s="5"/>
      <c r="N428" s="3"/>
      <c r="O428" s="5"/>
      <c r="P428" s="3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>
      <c r="A429" s="1"/>
      <c r="B429" s="1"/>
      <c r="C429" s="1"/>
      <c r="D429" s="1"/>
      <c r="E429" s="3"/>
      <c r="F429" s="3"/>
      <c r="G429" s="5"/>
      <c r="H429" s="3"/>
      <c r="I429" s="5"/>
      <c r="J429" s="3"/>
      <c r="K429" s="5"/>
      <c r="L429" s="3"/>
      <c r="M429" s="5"/>
      <c r="N429" s="3"/>
      <c r="O429" s="5"/>
      <c r="P429" s="3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>
      <c r="A430" s="1"/>
      <c r="B430" s="1"/>
      <c r="C430" s="1"/>
      <c r="D430" s="1"/>
      <c r="E430" s="3"/>
      <c r="F430" s="3"/>
      <c r="G430" s="5"/>
      <c r="H430" s="3"/>
      <c r="I430" s="5"/>
      <c r="J430" s="3"/>
      <c r="K430" s="5"/>
      <c r="L430" s="3"/>
      <c r="M430" s="5"/>
      <c r="N430" s="3"/>
      <c r="O430" s="5"/>
      <c r="P430" s="3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>
      <c r="A431" s="1"/>
      <c r="B431" s="1"/>
      <c r="C431" s="1"/>
      <c r="D431" s="1"/>
      <c r="E431" s="3"/>
      <c r="F431" s="3"/>
      <c r="G431" s="5"/>
      <c r="H431" s="3"/>
      <c r="I431" s="5"/>
      <c r="J431" s="3"/>
      <c r="K431" s="5"/>
      <c r="L431" s="3"/>
      <c r="M431" s="5"/>
      <c r="N431" s="3"/>
      <c r="O431" s="5"/>
      <c r="P431" s="3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>
      <c r="A432" s="1"/>
      <c r="B432" s="1"/>
      <c r="C432" s="1"/>
      <c r="D432" s="1"/>
      <c r="E432" s="3"/>
      <c r="F432" s="3"/>
      <c r="G432" s="5"/>
      <c r="H432" s="3"/>
      <c r="I432" s="5"/>
      <c r="J432" s="3"/>
      <c r="K432" s="5"/>
      <c r="L432" s="3"/>
      <c r="M432" s="5"/>
      <c r="N432" s="3"/>
      <c r="O432" s="5"/>
      <c r="P432" s="3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>
      <c r="A433" s="1"/>
      <c r="B433" s="1"/>
      <c r="C433" s="1"/>
      <c r="D433" s="1"/>
      <c r="E433" s="3"/>
      <c r="F433" s="3"/>
      <c r="G433" s="5"/>
      <c r="H433" s="3"/>
      <c r="I433" s="5"/>
      <c r="J433" s="3"/>
      <c r="K433" s="5"/>
      <c r="L433" s="3"/>
      <c r="M433" s="5"/>
      <c r="N433" s="3"/>
      <c r="O433" s="5"/>
      <c r="P433" s="3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>
      <c r="A434" s="1"/>
      <c r="B434" s="1"/>
      <c r="C434" s="1"/>
      <c r="D434" s="1"/>
      <c r="E434" s="3"/>
      <c r="F434" s="3"/>
      <c r="G434" s="5"/>
      <c r="H434" s="3"/>
      <c r="I434" s="5"/>
      <c r="J434" s="3"/>
      <c r="K434" s="5"/>
      <c r="L434" s="3"/>
      <c r="M434" s="5"/>
      <c r="N434" s="3"/>
      <c r="O434" s="5"/>
      <c r="P434" s="3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>
      <c r="A435" s="1"/>
      <c r="B435" s="1"/>
      <c r="C435" s="1"/>
      <c r="D435" s="1"/>
      <c r="E435" s="3"/>
      <c r="F435" s="3"/>
      <c r="G435" s="5"/>
      <c r="H435" s="3"/>
      <c r="I435" s="5"/>
      <c r="J435" s="3"/>
      <c r="K435" s="5"/>
      <c r="L435" s="3"/>
      <c r="M435" s="5"/>
      <c r="N435" s="3"/>
      <c r="O435" s="5"/>
      <c r="P435" s="3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>
      <c r="A436" s="1"/>
      <c r="B436" s="1"/>
      <c r="C436" s="1"/>
      <c r="D436" s="1"/>
      <c r="E436" s="3"/>
      <c r="F436" s="3"/>
      <c r="G436" s="5"/>
      <c r="H436" s="3"/>
      <c r="I436" s="5"/>
      <c r="J436" s="3"/>
      <c r="K436" s="5"/>
      <c r="L436" s="3"/>
      <c r="M436" s="5"/>
      <c r="N436" s="3"/>
      <c r="O436" s="5"/>
      <c r="P436" s="3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>
      <c r="A437" s="1"/>
      <c r="B437" s="1"/>
      <c r="C437" s="1"/>
      <c r="D437" s="1"/>
      <c r="E437" s="3"/>
      <c r="F437" s="3"/>
      <c r="G437" s="5"/>
      <c r="H437" s="3"/>
      <c r="I437" s="5"/>
      <c r="J437" s="3"/>
      <c r="K437" s="5"/>
      <c r="L437" s="3"/>
      <c r="M437" s="5"/>
      <c r="N437" s="3"/>
      <c r="O437" s="5"/>
      <c r="P437" s="3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>
      <c r="A438" s="1"/>
      <c r="B438" s="1"/>
      <c r="C438" s="1"/>
      <c r="D438" s="1"/>
      <c r="E438" s="3"/>
      <c r="F438" s="3"/>
      <c r="G438" s="5"/>
      <c r="H438" s="3"/>
      <c r="I438" s="5"/>
      <c r="J438" s="3"/>
      <c r="K438" s="5"/>
      <c r="L438" s="3"/>
      <c r="M438" s="5"/>
      <c r="N438" s="3"/>
      <c r="O438" s="5"/>
      <c r="P438" s="3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>
      <c r="A439" s="1"/>
      <c r="B439" s="1"/>
      <c r="C439" s="1"/>
      <c r="D439" s="1"/>
      <c r="E439" s="3"/>
      <c r="F439" s="3"/>
      <c r="G439" s="5"/>
      <c r="H439" s="3"/>
      <c r="I439" s="5"/>
      <c r="J439" s="3"/>
      <c r="K439" s="5"/>
      <c r="L439" s="3"/>
      <c r="M439" s="5"/>
      <c r="N439" s="3"/>
      <c r="O439" s="5"/>
      <c r="P439" s="3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>
      <c r="A440" s="1"/>
      <c r="B440" s="1"/>
      <c r="C440" s="1"/>
      <c r="D440" s="1"/>
      <c r="E440" s="3"/>
      <c r="F440" s="3"/>
      <c r="G440" s="5"/>
      <c r="H440" s="3"/>
      <c r="I440" s="5"/>
      <c r="J440" s="3"/>
      <c r="K440" s="5"/>
      <c r="L440" s="3"/>
      <c r="M440" s="5"/>
      <c r="N440" s="3"/>
      <c r="O440" s="5"/>
      <c r="P440" s="3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>
      <c r="A441" s="1"/>
      <c r="B441" s="1"/>
      <c r="C441" s="1"/>
      <c r="D441" s="1"/>
      <c r="E441" s="3"/>
      <c r="F441" s="3"/>
      <c r="G441" s="5"/>
      <c r="H441" s="3"/>
      <c r="I441" s="5"/>
      <c r="J441" s="3"/>
      <c r="K441" s="5"/>
      <c r="L441" s="3"/>
      <c r="M441" s="5"/>
      <c r="N441" s="3"/>
      <c r="O441" s="5"/>
      <c r="P441" s="3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>
      <c r="A442" s="1"/>
      <c r="B442" s="1"/>
      <c r="C442" s="1"/>
      <c r="D442" s="1"/>
      <c r="E442" s="3"/>
      <c r="F442" s="3"/>
      <c r="G442" s="5"/>
      <c r="H442" s="3"/>
      <c r="I442" s="5"/>
      <c r="J442" s="3"/>
      <c r="K442" s="5"/>
      <c r="L442" s="3"/>
      <c r="M442" s="5"/>
      <c r="N442" s="3"/>
      <c r="O442" s="5"/>
      <c r="P442" s="3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>
      <c r="A443" s="1"/>
      <c r="B443" s="1"/>
      <c r="C443" s="1"/>
      <c r="D443" s="1"/>
      <c r="E443" s="3"/>
      <c r="F443" s="3"/>
      <c r="G443" s="5"/>
      <c r="H443" s="3"/>
      <c r="I443" s="5"/>
      <c r="J443" s="3"/>
      <c r="K443" s="5"/>
      <c r="L443" s="3"/>
      <c r="M443" s="5"/>
      <c r="N443" s="3"/>
      <c r="O443" s="5"/>
      <c r="P443" s="3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>
      <c r="A444" s="1"/>
      <c r="B444" s="1"/>
      <c r="C444" s="1"/>
      <c r="D444" s="1"/>
      <c r="E444" s="3"/>
      <c r="F444" s="3"/>
      <c r="G444" s="5"/>
      <c r="H444" s="3"/>
      <c r="I444" s="5"/>
      <c r="J444" s="3"/>
      <c r="K444" s="5"/>
      <c r="L444" s="3"/>
      <c r="M444" s="5"/>
      <c r="N444" s="3"/>
      <c r="O444" s="5"/>
      <c r="P444" s="3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>
      <c r="A445" s="1"/>
      <c r="B445" s="1"/>
      <c r="C445" s="1"/>
      <c r="D445" s="1"/>
      <c r="E445" s="3"/>
      <c r="F445" s="3"/>
      <c r="G445" s="5"/>
      <c r="H445" s="3"/>
      <c r="I445" s="5"/>
      <c r="J445" s="3"/>
      <c r="K445" s="5"/>
      <c r="L445" s="3"/>
      <c r="M445" s="5"/>
      <c r="N445" s="3"/>
      <c r="O445" s="5"/>
      <c r="P445" s="3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>
      <c r="A446" s="1"/>
      <c r="B446" s="1"/>
      <c r="C446" s="1"/>
      <c r="D446" s="1"/>
      <c r="E446" s="3"/>
      <c r="F446" s="3"/>
      <c r="G446" s="5"/>
      <c r="H446" s="3"/>
      <c r="I446" s="5"/>
      <c r="J446" s="3"/>
      <c r="K446" s="5"/>
      <c r="L446" s="3"/>
      <c r="M446" s="5"/>
      <c r="N446" s="3"/>
      <c r="O446" s="5"/>
      <c r="P446" s="3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>
      <c r="A447" s="1"/>
      <c r="B447" s="1"/>
      <c r="C447" s="1"/>
      <c r="D447" s="1"/>
      <c r="E447" s="3"/>
      <c r="F447" s="3"/>
      <c r="G447" s="5"/>
      <c r="H447" s="3"/>
      <c r="I447" s="5"/>
      <c r="J447" s="3"/>
      <c r="K447" s="5"/>
      <c r="L447" s="3"/>
      <c r="M447" s="5"/>
      <c r="N447" s="3"/>
      <c r="O447" s="5"/>
      <c r="P447" s="3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>
      <c r="A448" s="1"/>
      <c r="B448" s="1"/>
      <c r="C448" s="1"/>
      <c r="D448" s="1"/>
      <c r="E448" s="3"/>
      <c r="F448" s="3"/>
      <c r="G448" s="5"/>
      <c r="H448" s="3"/>
      <c r="I448" s="5"/>
      <c r="J448" s="3"/>
      <c r="K448" s="5"/>
      <c r="L448" s="3"/>
      <c r="M448" s="5"/>
      <c r="N448" s="3"/>
      <c r="O448" s="5"/>
      <c r="P448" s="3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>
      <c r="A449" s="1"/>
      <c r="B449" s="1"/>
      <c r="C449" s="1"/>
      <c r="D449" s="1"/>
      <c r="E449" s="3"/>
      <c r="F449" s="3"/>
      <c r="G449" s="5"/>
      <c r="H449" s="3"/>
      <c r="I449" s="5"/>
      <c r="J449" s="3"/>
      <c r="K449" s="5"/>
      <c r="L449" s="3"/>
      <c r="M449" s="5"/>
      <c r="N449" s="3"/>
      <c r="O449" s="5"/>
      <c r="P449" s="3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>
      <c r="A450" s="1"/>
      <c r="B450" s="1"/>
      <c r="C450" s="1"/>
      <c r="D450" s="1"/>
      <c r="E450" s="3"/>
      <c r="F450" s="3"/>
      <c r="G450" s="5"/>
      <c r="H450" s="3"/>
      <c r="I450" s="5"/>
      <c r="J450" s="3"/>
      <c r="K450" s="5"/>
      <c r="L450" s="3"/>
      <c r="M450" s="5"/>
      <c r="N450" s="3"/>
      <c r="O450" s="5"/>
      <c r="P450" s="3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>
      <c r="A451" s="1"/>
      <c r="B451" s="1"/>
      <c r="C451" s="1"/>
      <c r="D451" s="1"/>
      <c r="E451" s="3"/>
      <c r="F451" s="3"/>
      <c r="G451" s="5"/>
      <c r="H451" s="3"/>
      <c r="I451" s="5"/>
      <c r="J451" s="3"/>
      <c r="K451" s="5"/>
      <c r="L451" s="3"/>
      <c r="M451" s="5"/>
      <c r="N451" s="3"/>
      <c r="O451" s="5"/>
      <c r="P451" s="3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>
      <c r="A452" s="1"/>
      <c r="B452" s="1"/>
      <c r="C452" s="1"/>
      <c r="D452" s="1"/>
      <c r="E452" s="3"/>
      <c r="F452" s="3"/>
      <c r="G452" s="5"/>
      <c r="H452" s="3"/>
      <c r="I452" s="5"/>
      <c r="J452" s="3"/>
      <c r="K452" s="5"/>
      <c r="L452" s="3"/>
      <c r="M452" s="5"/>
      <c r="N452" s="3"/>
      <c r="O452" s="5"/>
      <c r="P452" s="3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>
      <c r="A453" s="1"/>
      <c r="B453" s="1"/>
      <c r="C453" s="1"/>
      <c r="D453" s="1"/>
      <c r="E453" s="3"/>
      <c r="F453" s="3"/>
      <c r="G453" s="5"/>
      <c r="H453" s="3"/>
      <c r="I453" s="5"/>
      <c r="J453" s="3"/>
      <c r="K453" s="5"/>
      <c r="L453" s="3"/>
      <c r="M453" s="5"/>
      <c r="N453" s="3"/>
      <c r="O453" s="5"/>
      <c r="P453" s="3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>
      <c r="A454" s="1"/>
      <c r="B454" s="1"/>
      <c r="C454" s="1"/>
      <c r="D454" s="1"/>
      <c r="E454" s="3"/>
      <c r="F454" s="3"/>
      <c r="G454" s="5"/>
      <c r="H454" s="3"/>
      <c r="I454" s="5"/>
      <c r="J454" s="3"/>
      <c r="K454" s="5"/>
      <c r="L454" s="3"/>
      <c r="M454" s="5"/>
      <c r="N454" s="3"/>
      <c r="O454" s="5"/>
      <c r="P454" s="3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>
      <c r="A455" s="1"/>
      <c r="B455" s="1"/>
      <c r="C455" s="1"/>
      <c r="D455" s="1"/>
      <c r="E455" s="3"/>
      <c r="F455" s="3"/>
      <c r="G455" s="5"/>
      <c r="H455" s="3"/>
      <c r="I455" s="5"/>
      <c r="J455" s="3"/>
      <c r="K455" s="5"/>
      <c r="L455" s="3"/>
      <c r="M455" s="5"/>
      <c r="N455" s="3"/>
      <c r="O455" s="5"/>
      <c r="P455" s="3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>
      <c r="A456" s="1"/>
      <c r="B456" s="1"/>
      <c r="C456" s="1"/>
      <c r="D456" s="1"/>
      <c r="E456" s="3"/>
      <c r="F456" s="3"/>
      <c r="G456" s="5"/>
      <c r="H456" s="3"/>
      <c r="I456" s="5"/>
      <c r="J456" s="3"/>
      <c r="K456" s="5"/>
      <c r="L456" s="3"/>
      <c r="M456" s="5"/>
      <c r="N456" s="3"/>
      <c r="O456" s="5"/>
      <c r="P456" s="3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>
      <c r="A457" s="1"/>
      <c r="B457" s="1"/>
      <c r="C457" s="1"/>
      <c r="D457" s="1"/>
      <c r="E457" s="3"/>
      <c r="F457" s="3"/>
      <c r="G457" s="5"/>
      <c r="H457" s="3"/>
      <c r="I457" s="5"/>
      <c r="J457" s="3"/>
      <c r="K457" s="5"/>
      <c r="L457" s="3"/>
      <c r="M457" s="5"/>
      <c r="N457" s="3"/>
      <c r="O457" s="5"/>
      <c r="P457" s="3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>
      <c r="A458" s="1"/>
      <c r="B458" s="1"/>
      <c r="C458" s="1"/>
      <c r="D458" s="1"/>
      <c r="E458" s="3"/>
      <c r="F458" s="3"/>
      <c r="G458" s="5"/>
      <c r="H458" s="3"/>
      <c r="I458" s="5"/>
      <c r="J458" s="3"/>
      <c r="K458" s="5"/>
      <c r="L458" s="3"/>
      <c r="M458" s="5"/>
      <c r="N458" s="3"/>
      <c r="O458" s="5"/>
      <c r="P458" s="3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>
      <c r="A459" s="1"/>
      <c r="B459" s="1"/>
      <c r="C459" s="1"/>
      <c r="D459" s="1"/>
      <c r="E459" s="3"/>
      <c r="F459" s="3"/>
      <c r="G459" s="5"/>
      <c r="H459" s="3"/>
      <c r="I459" s="5"/>
      <c r="J459" s="3"/>
      <c r="K459" s="5"/>
      <c r="L459" s="3"/>
      <c r="M459" s="5"/>
      <c r="N459" s="3"/>
      <c r="O459" s="5"/>
      <c r="P459" s="3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>
      <c r="A460" s="1"/>
      <c r="B460" s="1"/>
      <c r="C460" s="1"/>
      <c r="D460" s="1"/>
      <c r="E460" s="3"/>
      <c r="F460" s="3"/>
      <c r="G460" s="5"/>
      <c r="H460" s="3"/>
      <c r="I460" s="5"/>
      <c r="J460" s="3"/>
      <c r="K460" s="5"/>
      <c r="L460" s="3"/>
      <c r="M460" s="5"/>
      <c r="N460" s="3"/>
      <c r="O460" s="5"/>
      <c r="P460" s="3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>
      <c r="A461" s="1"/>
      <c r="B461" s="1"/>
      <c r="C461" s="1"/>
      <c r="D461" s="1"/>
      <c r="E461" s="3"/>
      <c r="F461" s="3"/>
      <c r="G461" s="5"/>
      <c r="H461" s="3"/>
      <c r="I461" s="5"/>
      <c r="J461" s="3"/>
      <c r="K461" s="5"/>
      <c r="L461" s="3"/>
      <c r="M461" s="5"/>
      <c r="N461" s="3"/>
      <c r="O461" s="5"/>
      <c r="P461" s="3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>
      <c r="A462" s="1"/>
      <c r="B462" s="1"/>
      <c r="C462" s="1"/>
      <c r="D462" s="1"/>
      <c r="E462" s="3"/>
      <c r="F462" s="3"/>
      <c r="G462" s="5"/>
      <c r="H462" s="3"/>
      <c r="I462" s="5"/>
      <c r="J462" s="3"/>
      <c r="K462" s="5"/>
      <c r="L462" s="3"/>
      <c r="M462" s="5"/>
      <c r="N462" s="3"/>
      <c r="O462" s="5"/>
      <c r="P462" s="3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>
      <c r="A463" s="1"/>
      <c r="B463" s="1"/>
      <c r="C463" s="1"/>
      <c r="D463" s="1"/>
      <c r="E463" s="3"/>
      <c r="F463" s="3"/>
      <c r="G463" s="5"/>
      <c r="H463" s="3"/>
      <c r="I463" s="5"/>
      <c r="J463" s="3"/>
      <c r="K463" s="5"/>
      <c r="L463" s="3"/>
      <c r="M463" s="5"/>
      <c r="N463" s="3"/>
      <c r="O463" s="5"/>
      <c r="P463" s="3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>
      <c r="A464" s="1"/>
      <c r="B464" s="1"/>
      <c r="C464" s="1"/>
      <c r="D464" s="1"/>
      <c r="E464" s="3"/>
      <c r="F464" s="3"/>
      <c r="G464" s="5"/>
      <c r="H464" s="3"/>
      <c r="I464" s="5"/>
      <c r="J464" s="3"/>
      <c r="K464" s="5"/>
      <c r="L464" s="3"/>
      <c r="M464" s="5"/>
      <c r="N464" s="3"/>
      <c r="O464" s="5"/>
      <c r="P464" s="3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>
      <c r="A465" s="1"/>
      <c r="B465" s="1"/>
      <c r="C465" s="1"/>
      <c r="D465" s="1"/>
      <c r="E465" s="3"/>
      <c r="F465" s="3"/>
      <c r="G465" s="5"/>
      <c r="H465" s="3"/>
      <c r="I465" s="5"/>
      <c r="J465" s="3"/>
      <c r="K465" s="5"/>
      <c r="L465" s="3"/>
      <c r="M465" s="5"/>
      <c r="N465" s="3"/>
      <c r="O465" s="5"/>
      <c r="P465" s="3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>
      <c r="A466" s="1"/>
      <c r="B466" s="1"/>
      <c r="C466" s="1"/>
      <c r="D466" s="1"/>
      <c r="E466" s="3"/>
      <c r="F466" s="3"/>
      <c r="G466" s="5"/>
      <c r="H466" s="3"/>
      <c r="I466" s="5"/>
      <c r="J466" s="3"/>
      <c r="K466" s="5"/>
      <c r="L466" s="3"/>
      <c r="M466" s="5"/>
      <c r="N466" s="3"/>
      <c r="O466" s="5"/>
      <c r="P466" s="3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>
      <c r="A467" s="1"/>
      <c r="B467" s="1"/>
      <c r="C467" s="1"/>
      <c r="D467" s="1"/>
      <c r="E467" s="3"/>
      <c r="F467" s="3"/>
      <c r="G467" s="5"/>
      <c r="H467" s="3"/>
      <c r="I467" s="5"/>
      <c r="J467" s="3"/>
      <c r="K467" s="5"/>
      <c r="L467" s="3"/>
      <c r="M467" s="5"/>
      <c r="N467" s="3"/>
      <c r="O467" s="5"/>
      <c r="P467" s="3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>
      <c r="A468" s="1"/>
      <c r="B468" s="1"/>
      <c r="C468" s="1"/>
      <c r="D468" s="1"/>
      <c r="E468" s="3"/>
      <c r="F468" s="3"/>
      <c r="G468" s="5"/>
      <c r="H468" s="3"/>
      <c r="I468" s="5"/>
      <c r="J468" s="3"/>
      <c r="K468" s="5"/>
      <c r="L468" s="3"/>
      <c r="M468" s="5"/>
      <c r="N468" s="3"/>
      <c r="O468" s="5"/>
      <c r="P468" s="3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>
      <c r="A469" s="1"/>
      <c r="B469" s="1"/>
      <c r="C469" s="1"/>
      <c r="D469" s="1"/>
      <c r="E469" s="3"/>
      <c r="F469" s="3"/>
      <c r="G469" s="5"/>
      <c r="H469" s="3"/>
      <c r="I469" s="5"/>
      <c r="J469" s="3"/>
      <c r="K469" s="5"/>
      <c r="L469" s="3"/>
      <c r="M469" s="5"/>
      <c r="N469" s="3"/>
      <c r="O469" s="5"/>
      <c r="P469" s="3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>
      <c r="A470" s="1"/>
      <c r="B470" s="1"/>
      <c r="C470" s="1"/>
      <c r="D470" s="1"/>
      <c r="E470" s="3"/>
      <c r="F470" s="3"/>
      <c r="G470" s="5"/>
      <c r="H470" s="3"/>
      <c r="I470" s="5"/>
      <c r="J470" s="3"/>
      <c r="K470" s="5"/>
      <c r="L470" s="3"/>
      <c r="M470" s="5"/>
      <c r="N470" s="3"/>
      <c r="O470" s="5"/>
      <c r="P470" s="3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>
      <c r="A471" s="1"/>
      <c r="B471" s="1"/>
      <c r="C471" s="1"/>
      <c r="D471" s="1"/>
      <c r="E471" s="3"/>
      <c r="F471" s="3"/>
      <c r="G471" s="5"/>
      <c r="H471" s="3"/>
      <c r="I471" s="5"/>
      <c r="J471" s="3"/>
      <c r="K471" s="5"/>
      <c r="L471" s="3"/>
      <c r="M471" s="5"/>
      <c r="N471" s="3"/>
      <c r="O471" s="5"/>
      <c r="P471" s="3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>
      <c r="A472" s="1"/>
      <c r="B472" s="1"/>
      <c r="C472" s="1"/>
      <c r="D472" s="1"/>
      <c r="E472" s="3"/>
      <c r="F472" s="3"/>
      <c r="G472" s="5"/>
      <c r="H472" s="3"/>
      <c r="I472" s="5"/>
      <c r="J472" s="3"/>
      <c r="K472" s="5"/>
      <c r="L472" s="3"/>
      <c r="M472" s="5"/>
      <c r="N472" s="3"/>
      <c r="O472" s="5"/>
      <c r="P472" s="3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>
      <c r="A473" s="1"/>
      <c r="B473" s="1"/>
      <c r="C473" s="1"/>
      <c r="D473" s="1"/>
      <c r="E473" s="3"/>
      <c r="F473" s="3"/>
      <c r="G473" s="5"/>
      <c r="H473" s="3"/>
      <c r="I473" s="5"/>
      <c r="J473" s="3"/>
      <c r="K473" s="5"/>
      <c r="L473" s="3"/>
      <c r="M473" s="5"/>
      <c r="N473" s="3"/>
      <c r="O473" s="5"/>
      <c r="P473" s="3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>
      <c r="A474" s="1"/>
      <c r="B474" s="1"/>
      <c r="C474" s="1"/>
      <c r="D474" s="1"/>
      <c r="E474" s="3"/>
      <c r="F474" s="3"/>
      <c r="G474" s="5"/>
      <c r="H474" s="3"/>
      <c r="I474" s="5"/>
      <c r="J474" s="3"/>
      <c r="K474" s="5"/>
      <c r="L474" s="3"/>
      <c r="M474" s="5"/>
      <c r="N474" s="3"/>
      <c r="O474" s="5"/>
      <c r="P474" s="3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>
      <c r="A475" s="1"/>
      <c r="B475" s="1"/>
      <c r="C475" s="1"/>
      <c r="D475" s="1"/>
      <c r="E475" s="3"/>
      <c r="F475" s="3"/>
      <c r="G475" s="5"/>
      <c r="H475" s="3"/>
      <c r="I475" s="5"/>
      <c r="J475" s="3"/>
      <c r="K475" s="5"/>
      <c r="L475" s="3"/>
      <c r="M475" s="5"/>
      <c r="N475" s="3"/>
      <c r="O475" s="5"/>
      <c r="P475" s="3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>
      <c r="A476" s="1"/>
      <c r="B476" s="1"/>
      <c r="C476" s="1"/>
      <c r="D476" s="1"/>
      <c r="E476" s="3"/>
      <c r="F476" s="3"/>
      <c r="G476" s="5"/>
      <c r="H476" s="3"/>
      <c r="I476" s="5"/>
      <c r="J476" s="3"/>
      <c r="K476" s="5"/>
      <c r="L476" s="3"/>
      <c r="M476" s="5"/>
      <c r="N476" s="3"/>
      <c r="O476" s="5"/>
      <c r="P476" s="3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>
      <c r="A477" s="1"/>
      <c r="B477" s="1"/>
      <c r="C477" s="1"/>
      <c r="D477" s="1"/>
      <c r="E477" s="3"/>
      <c r="F477" s="3"/>
      <c r="G477" s="5"/>
      <c r="H477" s="3"/>
      <c r="I477" s="5"/>
      <c r="J477" s="3"/>
      <c r="K477" s="5"/>
      <c r="L477" s="3"/>
      <c r="M477" s="5"/>
      <c r="N477" s="3"/>
      <c r="O477" s="5"/>
      <c r="P477" s="3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>
      <c r="A478" s="1"/>
      <c r="B478" s="1"/>
      <c r="C478" s="1"/>
      <c r="D478" s="1"/>
      <c r="E478" s="3"/>
      <c r="F478" s="3"/>
      <c r="G478" s="5"/>
      <c r="H478" s="3"/>
      <c r="I478" s="5"/>
      <c r="J478" s="3"/>
      <c r="K478" s="5"/>
      <c r="L478" s="3"/>
      <c r="M478" s="5"/>
      <c r="N478" s="3"/>
      <c r="O478" s="5"/>
      <c r="P478" s="3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>
      <c r="A479" s="1"/>
      <c r="B479" s="1"/>
      <c r="C479" s="1"/>
      <c r="D479" s="1"/>
      <c r="E479" s="3"/>
      <c r="F479" s="3"/>
      <c r="G479" s="5"/>
      <c r="H479" s="3"/>
      <c r="I479" s="5"/>
      <c r="J479" s="3"/>
      <c r="K479" s="5"/>
      <c r="L479" s="3"/>
      <c r="M479" s="5"/>
      <c r="N479" s="3"/>
      <c r="O479" s="5"/>
      <c r="P479" s="3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>
      <c r="A480" s="1"/>
      <c r="B480" s="1"/>
      <c r="C480" s="1"/>
      <c r="D480" s="1"/>
      <c r="E480" s="3"/>
      <c r="F480" s="3"/>
      <c r="G480" s="5"/>
      <c r="H480" s="3"/>
      <c r="I480" s="5"/>
      <c r="J480" s="3"/>
      <c r="K480" s="5"/>
      <c r="L480" s="3"/>
      <c r="M480" s="5"/>
      <c r="N480" s="3"/>
      <c r="O480" s="5"/>
      <c r="P480" s="3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>
      <c r="A481" s="1"/>
      <c r="B481" s="1"/>
      <c r="C481" s="1"/>
      <c r="D481" s="1"/>
      <c r="E481" s="3"/>
      <c r="F481" s="3"/>
      <c r="G481" s="5"/>
      <c r="H481" s="3"/>
      <c r="I481" s="5"/>
      <c r="J481" s="3"/>
      <c r="K481" s="5"/>
      <c r="L481" s="3"/>
      <c r="M481" s="5"/>
      <c r="N481" s="3"/>
      <c r="O481" s="5"/>
      <c r="P481" s="3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>
      <c r="A482" s="1"/>
      <c r="B482" s="1"/>
      <c r="C482" s="1"/>
      <c r="D482" s="1"/>
      <c r="E482" s="3"/>
      <c r="F482" s="3"/>
      <c r="G482" s="5"/>
      <c r="H482" s="3"/>
      <c r="I482" s="5"/>
      <c r="J482" s="3"/>
      <c r="K482" s="5"/>
      <c r="L482" s="3"/>
      <c r="M482" s="5"/>
      <c r="N482" s="3"/>
      <c r="O482" s="5"/>
      <c r="P482" s="3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>
      <c r="A483" s="1"/>
      <c r="B483" s="1"/>
      <c r="C483" s="1"/>
      <c r="D483" s="1"/>
      <c r="E483" s="3"/>
      <c r="F483" s="3"/>
      <c r="G483" s="5"/>
      <c r="H483" s="3"/>
      <c r="I483" s="5"/>
      <c r="J483" s="3"/>
      <c r="K483" s="5"/>
      <c r="L483" s="3"/>
      <c r="M483" s="5"/>
      <c r="N483" s="3"/>
      <c r="O483" s="5"/>
      <c r="P483" s="3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>
      <c r="A484" s="1"/>
      <c r="B484" s="1"/>
      <c r="C484" s="1"/>
      <c r="D484" s="1"/>
      <c r="E484" s="3"/>
      <c r="F484" s="3"/>
      <c r="G484" s="5"/>
      <c r="H484" s="3"/>
      <c r="I484" s="5"/>
      <c r="J484" s="3"/>
      <c r="K484" s="5"/>
      <c r="L484" s="3"/>
      <c r="M484" s="5"/>
      <c r="N484" s="3"/>
      <c r="O484" s="5"/>
      <c r="P484" s="3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>
      <c r="A485" s="1"/>
      <c r="B485" s="1"/>
      <c r="C485" s="1"/>
      <c r="D485" s="1"/>
      <c r="E485" s="3"/>
      <c r="F485" s="3"/>
      <c r="G485" s="5"/>
      <c r="H485" s="3"/>
      <c r="I485" s="5"/>
      <c r="J485" s="3"/>
      <c r="K485" s="5"/>
      <c r="L485" s="3"/>
      <c r="M485" s="5"/>
      <c r="N485" s="3"/>
      <c r="O485" s="5"/>
      <c r="P485" s="3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>
      <c r="A486" s="1"/>
      <c r="B486" s="1"/>
      <c r="C486" s="1"/>
      <c r="D486" s="1"/>
      <c r="E486" s="3"/>
      <c r="F486" s="3"/>
      <c r="G486" s="5"/>
      <c r="H486" s="3"/>
      <c r="I486" s="5"/>
      <c r="J486" s="3"/>
      <c r="K486" s="5"/>
      <c r="L486" s="3"/>
      <c r="M486" s="5"/>
      <c r="N486" s="3"/>
      <c r="O486" s="5"/>
      <c r="P486" s="3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>
      <c r="A487" s="1"/>
      <c r="B487" s="1"/>
      <c r="C487" s="1"/>
      <c r="D487" s="1"/>
      <c r="E487" s="3"/>
      <c r="F487" s="3"/>
      <c r="G487" s="5"/>
      <c r="H487" s="3"/>
      <c r="I487" s="5"/>
      <c r="J487" s="3"/>
      <c r="K487" s="5"/>
      <c r="L487" s="3"/>
      <c r="M487" s="5"/>
      <c r="N487" s="3"/>
      <c r="O487" s="5"/>
      <c r="P487" s="3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>
      <c r="A488" s="1"/>
      <c r="B488" s="1"/>
      <c r="C488" s="1"/>
      <c r="D488" s="1"/>
      <c r="E488" s="3"/>
      <c r="F488" s="3"/>
      <c r="G488" s="5"/>
      <c r="H488" s="3"/>
      <c r="I488" s="5"/>
      <c r="J488" s="3"/>
      <c r="K488" s="5"/>
      <c r="L488" s="3"/>
      <c r="M488" s="5"/>
      <c r="N488" s="3"/>
      <c r="O488" s="5"/>
      <c r="P488" s="3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>
      <c r="A489" s="1"/>
      <c r="B489" s="1"/>
      <c r="C489" s="1"/>
      <c r="D489" s="1"/>
      <c r="E489" s="3"/>
      <c r="F489" s="3"/>
      <c r="G489" s="5"/>
      <c r="H489" s="3"/>
      <c r="I489" s="5"/>
      <c r="J489" s="3"/>
      <c r="K489" s="5"/>
      <c r="L489" s="3"/>
      <c r="M489" s="5"/>
      <c r="N489" s="3"/>
      <c r="O489" s="5"/>
      <c r="P489" s="3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>
      <c r="A490" s="1"/>
      <c r="B490" s="1"/>
      <c r="C490" s="1"/>
      <c r="D490" s="1"/>
      <c r="E490" s="3"/>
      <c r="F490" s="3"/>
      <c r="G490" s="5"/>
      <c r="H490" s="3"/>
      <c r="I490" s="5"/>
      <c r="J490" s="3"/>
      <c r="K490" s="5"/>
      <c r="L490" s="3"/>
      <c r="M490" s="5"/>
      <c r="N490" s="3"/>
      <c r="O490" s="5"/>
      <c r="P490" s="3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>
      <c r="A491" s="1"/>
      <c r="B491" s="1"/>
      <c r="C491" s="1"/>
      <c r="D491" s="1"/>
      <c r="E491" s="3"/>
      <c r="F491" s="3"/>
      <c r="G491" s="5"/>
      <c r="H491" s="3"/>
      <c r="I491" s="5"/>
      <c r="J491" s="3"/>
      <c r="K491" s="5"/>
      <c r="L491" s="3"/>
      <c r="M491" s="5"/>
      <c r="N491" s="3"/>
      <c r="O491" s="5"/>
      <c r="P491" s="3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>
      <c r="A492" s="1"/>
      <c r="B492" s="1"/>
      <c r="C492" s="1"/>
      <c r="D492" s="1"/>
      <c r="E492" s="3"/>
      <c r="F492" s="3"/>
      <c r="G492" s="5"/>
      <c r="H492" s="3"/>
      <c r="I492" s="5"/>
      <c r="J492" s="3"/>
      <c r="K492" s="5"/>
      <c r="L492" s="3"/>
      <c r="M492" s="5"/>
      <c r="N492" s="3"/>
      <c r="O492" s="5"/>
      <c r="P492" s="3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>
      <c r="A493" s="1"/>
      <c r="B493" s="1"/>
      <c r="C493" s="1"/>
      <c r="D493" s="1"/>
      <c r="E493" s="3"/>
      <c r="F493" s="3"/>
      <c r="G493" s="5"/>
      <c r="H493" s="3"/>
      <c r="I493" s="5"/>
      <c r="J493" s="3"/>
      <c r="K493" s="5"/>
      <c r="L493" s="3"/>
      <c r="M493" s="5"/>
      <c r="N493" s="3"/>
      <c r="O493" s="5"/>
      <c r="P493" s="3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>
      <c r="A494" s="1"/>
      <c r="B494" s="1"/>
      <c r="C494" s="1"/>
      <c r="D494" s="1"/>
      <c r="E494" s="3"/>
      <c r="F494" s="3"/>
      <c r="G494" s="5"/>
      <c r="H494" s="3"/>
      <c r="I494" s="5"/>
      <c r="J494" s="3"/>
      <c r="K494" s="5"/>
      <c r="L494" s="3"/>
      <c r="M494" s="5"/>
      <c r="N494" s="3"/>
      <c r="O494" s="5"/>
      <c r="P494" s="3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>
      <c r="A495" s="1"/>
      <c r="B495" s="1"/>
      <c r="C495" s="1"/>
      <c r="D495" s="1"/>
      <c r="E495" s="3"/>
      <c r="F495" s="3"/>
      <c r="G495" s="5"/>
      <c r="H495" s="3"/>
      <c r="I495" s="5"/>
      <c r="J495" s="3"/>
      <c r="K495" s="5"/>
      <c r="L495" s="3"/>
      <c r="M495" s="5"/>
      <c r="N495" s="3"/>
      <c r="O495" s="5"/>
      <c r="P495" s="3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>
      <c r="A496" s="1"/>
      <c r="B496" s="1"/>
      <c r="C496" s="1"/>
      <c r="D496" s="1"/>
      <c r="E496" s="3"/>
      <c r="F496" s="3"/>
      <c r="G496" s="5"/>
      <c r="H496" s="3"/>
      <c r="I496" s="5"/>
      <c r="J496" s="3"/>
      <c r="K496" s="5"/>
      <c r="L496" s="3"/>
      <c r="M496" s="5"/>
      <c r="N496" s="3"/>
      <c r="O496" s="5"/>
      <c r="P496" s="3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>
      <c r="A497" s="1"/>
      <c r="B497" s="1"/>
      <c r="C497" s="1"/>
      <c r="D497" s="1"/>
      <c r="E497" s="3"/>
      <c r="F497" s="3"/>
      <c r="G497" s="5"/>
      <c r="H497" s="3"/>
      <c r="I497" s="5"/>
      <c r="J497" s="3"/>
      <c r="K497" s="5"/>
      <c r="L497" s="3"/>
      <c r="M497" s="5"/>
      <c r="N497" s="3"/>
      <c r="O497" s="5"/>
      <c r="P497" s="3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>
      <c r="A498" s="1"/>
      <c r="B498" s="1"/>
      <c r="C498" s="1"/>
      <c r="D498" s="1"/>
      <c r="E498" s="3"/>
      <c r="F498" s="3"/>
      <c r="G498" s="5"/>
      <c r="H498" s="3"/>
      <c r="I498" s="5"/>
      <c r="J498" s="3"/>
      <c r="K498" s="5"/>
      <c r="L498" s="3"/>
      <c r="M498" s="5"/>
      <c r="N498" s="3"/>
      <c r="O498" s="5"/>
      <c r="P498" s="3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>
      <c r="A499" s="1"/>
      <c r="B499" s="1"/>
      <c r="C499" s="1"/>
      <c r="D499" s="1"/>
      <c r="E499" s="3"/>
      <c r="F499" s="3"/>
      <c r="G499" s="5"/>
      <c r="H499" s="3"/>
      <c r="I499" s="5"/>
      <c r="J499" s="3"/>
      <c r="K499" s="5"/>
      <c r="L499" s="3"/>
      <c r="M499" s="5"/>
      <c r="N499" s="3"/>
      <c r="O499" s="5"/>
      <c r="P499" s="3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>
      <c r="A500" s="1"/>
      <c r="B500" s="1"/>
      <c r="C500" s="1"/>
      <c r="D500" s="1"/>
      <c r="E500" s="3"/>
      <c r="F500" s="3"/>
      <c r="G500" s="5"/>
      <c r="H500" s="3"/>
      <c r="I500" s="5"/>
      <c r="J500" s="3"/>
      <c r="K500" s="5"/>
      <c r="L500" s="3"/>
      <c r="M500" s="5"/>
      <c r="N500" s="3"/>
      <c r="O500" s="5"/>
      <c r="P500" s="3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>
      <c r="A501" s="1"/>
      <c r="B501" s="1"/>
      <c r="C501" s="1"/>
      <c r="D501" s="1"/>
      <c r="E501" s="3"/>
      <c r="F501" s="3"/>
      <c r="G501" s="5"/>
      <c r="H501" s="3"/>
      <c r="I501" s="5"/>
      <c r="J501" s="3"/>
      <c r="K501" s="5"/>
      <c r="L501" s="3"/>
      <c r="M501" s="5"/>
      <c r="N501" s="3"/>
      <c r="O501" s="5"/>
      <c r="P501" s="3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>
      <c r="A502" s="1"/>
      <c r="B502" s="1"/>
      <c r="C502" s="1"/>
      <c r="D502" s="1"/>
      <c r="E502" s="3"/>
      <c r="F502" s="3"/>
      <c r="G502" s="5"/>
      <c r="H502" s="3"/>
      <c r="I502" s="5"/>
      <c r="J502" s="3"/>
      <c r="K502" s="5"/>
      <c r="L502" s="3"/>
      <c r="M502" s="5"/>
      <c r="N502" s="3"/>
      <c r="O502" s="5"/>
      <c r="P502" s="3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>
      <c r="A503" s="1"/>
      <c r="B503" s="1"/>
      <c r="C503" s="1"/>
      <c r="D503" s="1"/>
      <c r="E503" s="3"/>
      <c r="F503" s="3"/>
      <c r="G503" s="5"/>
      <c r="H503" s="3"/>
      <c r="I503" s="5"/>
      <c r="J503" s="3"/>
      <c r="K503" s="5"/>
      <c r="L503" s="3"/>
      <c r="M503" s="5"/>
      <c r="N503" s="3"/>
      <c r="O503" s="5"/>
      <c r="P503" s="3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>
      <c r="A504" s="1"/>
      <c r="B504" s="1"/>
      <c r="C504" s="1"/>
      <c r="D504" s="1"/>
      <c r="E504" s="3"/>
      <c r="F504" s="3"/>
      <c r="G504" s="5"/>
      <c r="H504" s="3"/>
      <c r="I504" s="5"/>
      <c r="J504" s="3"/>
      <c r="K504" s="5"/>
      <c r="L504" s="3"/>
      <c r="M504" s="5"/>
      <c r="N504" s="3"/>
      <c r="O504" s="5"/>
      <c r="P504" s="3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>
      <c r="A505" s="1"/>
      <c r="B505" s="1"/>
      <c r="C505" s="1"/>
      <c r="D505" s="1"/>
      <c r="E505" s="3"/>
      <c r="F505" s="3"/>
      <c r="G505" s="5"/>
      <c r="H505" s="3"/>
      <c r="I505" s="5"/>
      <c r="J505" s="3"/>
      <c r="K505" s="5"/>
      <c r="L505" s="3"/>
      <c r="M505" s="5"/>
      <c r="N505" s="3"/>
      <c r="O505" s="5"/>
      <c r="P505" s="3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>
      <c r="A506" s="1"/>
      <c r="B506" s="1"/>
      <c r="C506" s="1"/>
      <c r="D506" s="1"/>
      <c r="E506" s="3"/>
      <c r="F506" s="3"/>
      <c r="G506" s="5"/>
      <c r="H506" s="3"/>
      <c r="I506" s="5"/>
      <c r="J506" s="3"/>
      <c r="K506" s="5"/>
      <c r="L506" s="3"/>
      <c r="M506" s="5"/>
      <c r="N506" s="3"/>
      <c r="O506" s="5"/>
      <c r="P506" s="3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>
      <c r="A507" s="1"/>
      <c r="B507" s="1"/>
      <c r="C507" s="1"/>
      <c r="D507" s="1"/>
      <c r="E507" s="3"/>
      <c r="F507" s="3"/>
      <c r="G507" s="5"/>
      <c r="H507" s="3"/>
      <c r="I507" s="5"/>
      <c r="J507" s="3"/>
      <c r="K507" s="5"/>
      <c r="L507" s="3"/>
      <c r="M507" s="5"/>
      <c r="N507" s="3"/>
      <c r="O507" s="5"/>
      <c r="P507" s="3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>
      <c r="A508" s="1"/>
      <c r="B508" s="1"/>
      <c r="C508" s="1"/>
      <c r="D508" s="1"/>
      <c r="E508" s="3"/>
      <c r="F508" s="3"/>
      <c r="G508" s="5"/>
      <c r="H508" s="3"/>
      <c r="I508" s="5"/>
      <c r="J508" s="3"/>
      <c r="K508" s="5"/>
      <c r="L508" s="3"/>
      <c r="M508" s="5"/>
      <c r="N508" s="3"/>
      <c r="O508" s="5"/>
      <c r="P508" s="3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>
      <c r="A509" s="1"/>
      <c r="B509" s="1"/>
      <c r="C509" s="1"/>
      <c r="D509" s="1"/>
      <c r="E509" s="3"/>
      <c r="F509" s="3"/>
      <c r="G509" s="5"/>
      <c r="H509" s="3"/>
      <c r="I509" s="5"/>
      <c r="J509" s="3"/>
      <c r="K509" s="5"/>
      <c r="L509" s="3"/>
      <c r="M509" s="5"/>
      <c r="N509" s="3"/>
      <c r="O509" s="5"/>
      <c r="P509" s="3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>
      <c r="A510" s="1"/>
      <c r="B510" s="1"/>
      <c r="C510" s="1"/>
      <c r="D510" s="1"/>
      <c r="E510" s="3"/>
      <c r="F510" s="3"/>
      <c r="G510" s="5"/>
      <c r="H510" s="3"/>
      <c r="I510" s="5"/>
      <c r="J510" s="3"/>
      <c r="K510" s="5"/>
      <c r="L510" s="3"/>
      <c r="M510" s="5"/>
      <c r="N510" s="3"/>
      <c r="O510" s="5"/>
      <c r="P510" s="3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>
      <c r="A511" s="1"/>
      <c r="B511" s="1"/>
      <c r="C511" s="1"/>
      <c r="D511" s="1"/>
      <c r="E511" s="3"/>
      <c r="F511" s="3"/>
      <c r="G511" s="5"/>
      <c r="H511" s="3"/>
      <c r="I511" s="5"/>
      <c r="J511" s="3"/>
      <c r="K511" s="5"/>
      <c r="L511" s="3"/>
      <c r="M511" s="5"/>
      <c r="N511" s="3"/>
      <c r="O511" s="5"/>
      <c r="P511" s="3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>
      <c r="A512" s="1"/>
      <c r="B512" s="1"/>
      <c r="C512" s="1"/>
      <c r="D512" s="1"/>
      <c r="E512" s="3"/>
      <c r="F512" s="3"/>
      <c r="G512" s="5"/>
      <c r="H512" s="3"/>
      <c r="I512" s="5"/>
      <c r="J512" s="3"/>
      <c r="K512" s="5"/>
      <c r="L512" s="3"/>
      <c r="M512" s="5"/>
      <c r="N512" s="3"/>
      <c r="O512" s="5"/>
      <c r="P512" s="3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>
      <c r="A513" s="1"/>
      <c r="B513" s="1"/>
      <c r="C513" s="1"/>
      <c r="D513" s="1"/>
      <c r="E513" s="3"/>
      <c r="F513" s="3"/>
      <c r="G513" s="5"/>
      <c r="H513" s="3"/>
      <c r="I513" s="5"/>
      <c r="J513" s="3"/>
      <c r="K513" s="5"/>
      <c r="L513" s="3"/>
      <c r="M513" s="5"/>
      <c r="N513" s="3"/>
      <c r="O513" s="5"/>
      <c r="P513" s="3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>
      <c r="A514" s="1"/>
      <c r="B514" s="1"/>
      <c r="C514" s="1"/>
      <c r="D514" s="1"/>
      <c r="E514" s="3"/>
      <c r="F514" s="3"/>
      <c r="G514" s="5"/>
      <c r="H514" s="3"/>
      <c r="I514" s="5"/>
      <c r="J514" s="3"/>
      <c r="K514" s="5"/>
      <c r="L514" s="3"/>
      <c r="M514" s="5"/>
      <c r="N514" s="3"/>
      <c r="O514" s="5"/>
      <c r="P514" s="3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>
      <c r="A515" s="1"/>
      <c r="B515" s="1"/>
      <c r="C515" s="1"/>
      <c r="D515" s="1"/>
      <c r="E515" s="3"/>
      <c r="F515" s="3"/>
      <c r="G515" s="5"/>
      <c r="H515" s="3"/>
      <c r="I515" s="5"/>
      <c r="J515" s="3"/>
      <c r="K515" s="5"/>
      <c r="L515" s="3"/>
      <c r="M515" s="5"/>
      <c r="N515" s="3"/>
      <c r="O515" s="5"/>
      <c r="P515" s="3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>
      <c r="A516" s="1"/>
      <c r="B516" s="1"/>
      <c r="C516" s="1"/>
      <c r="D516" s="1"/>
      <c r="E516" s="3"/>
      <c r="F516" s="3"/>
      <c r="G516" s="5"/>
      <c r="H516" s="3"/>
      <c r="I516" s="5"/>
      <c r="J516" s="3"/>
      <c r="K516" s="5"/>
      <c r="L516" s="3"/>
      <c r="M516" s="5"/>
      <c r="N516" s="3"/>
      <c r="O516" s="5"/>
      <c r="P516" s="3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>
      <c r="A517" s="1"/>
      <c r="B517" s="1"/>
      <c r="C517" s="1"/>
      <c r="D517" s="1"/>
      <c r="E517" s="3"/>
      <c r="F517" s="3"/>
      <c r="G517" s="5"/>
      <c r="H517" s="3"/>
      <c r="I517" s="5"/>
      <c r="J517" s="3"/>
      <c r="K517" s="5"/>
      <c r="L517" s="3"/>
      <c r="M517" s="5"/>
      <c r="N517" s="3"/>
      <c r="O517" s="5"/>
      <c r="P517" s="3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>
      <c r="A518" s="1"/>
      <c r="B518" s="1"/>
      <c r="C518" s="1"/>
      <c r="D518" s="1"/>
      <c r="E518" s="3"/>
      <c r="F518" s="3"/>
      <c r="G518" s="5"/>
      <c r="H518" s="3"/>
      <c r="I518" s="5"/>
      <c r="J518" s="3"/>
      <c r="K518" s="5"/>
      <c r="L518" s="3"/>
      <c r="M518" s="5"/>
      <c r="N518" s="3"/>
      <c r="O518" s="5"/>
      <c r="P518" s="3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>
      <c r="A519" s="1"/>
      <c r="B519" s="1"/>
      <c r="C519" s="1"/>
      <c r="D519" s="1"/>
      <c r="E519" s="3"/>
      <c r="F519" s="3"/>
      <c r="G519" s="5"/>
      <c r="H519" s="3"/>
      <c r="I519" s="5"/>
      <c r="J519" s="3"/>
      <c r="K519" s="5"/>
      <c r="L519" s="3"/>
      <c r="M519" s="5"/>
      <c r="N519" s="3"/>
      <c r="O519" s="5"/>
      <c r="P519" s="3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>
      <c r="A520" s="1"/>
      <c r="B520" s="1"/>
      <c r="C520" s="1"/>
      <c r="D520" s="1"/>
      <c r="E520" s="3"/>
      <c r="F520" s="3"/>
      <c r="G520" s="5"/>
      <c r="H520" s="3"/>
      <c r="I520" s="5"/>
      <c r="J520" s="3"/>
      <c r="K520" s="5"/>
      <c r="L520" s="3"/>
      <c r="M520" s="5"/>
      <c r="N520" s="3"/>
      <c r="O520" s="5"/>
      <c r="P520" s="3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>
      <c r="A521" s="1"/>
      <c r="B521" s="1"/>
      <c r="C521" s="1"/>
      <c r="D521" s="1"/>
      <c r="E521" s="3"/>
      <c r="F521" s="3"/>
      <c r="G521" s="5"/>
      <c r="H521" s="3"/>
      <c r="I521" s="5"/>
      <c r="J521" s="3"/>
      <c r="K521" s="5"/>
      <c r="L521" s="3"/>
      <c r="M521" s="5"/>
      <c r="N521" s="3"/>
      <c r="O521" s="5"/>
      <c r="P521" s="3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>
      <c r="A522" s="1"/>
      <c r="B522" s="1"/>
      <c r="C522" s="1"/>
      <c r="D522" s="1"/>
      <c r="E522" s="3"/>
      <c r="F522" s="3"/>
      <c r="G522" s="5"/>
      <c r="H522" s="3"/>
      <c r="I522" s="5"/>
      <c r="J522" s="3"/>
      <c r="K522" s="5"/>
      <c r="L522" s="3"/>
      <c r="M522" s="5"/>
      <c r="N522" s="3"/>
      <c r="O522" s="5"/>
      <c r="P522" s="3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>
      <c r="A523" s="1"/>
      <c r="B523" s="1"/>
      <c r="C523" s="1"/>
      <c r="D523" s="1"/>
      <c r="E523" s="3"/>
      <c r="F523" s="3"/>
      <c r="G523" s="5"/>
      <c r="H523" s="3"/>
      <c r="I523" s="5"/>
      <c r="J523" s="3"/>
      <c r="K523" s="5"/>
      <c r="L523" s="3"/>
      <c r="M523" s="5"/>
      <c r="N523" s="3"/>
      <c r="O523" s="5"/>
      <c r="P523" s="3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>
      <c r="A524" s="1"/>
      <c r="B524" s="1"/>
      <c r="C524" s="1"/>
      <c r="D524" s="1"/>
      <c r="E524" s="3"/>
      <c r="F524" s="3"/>
      <c r="G524" s="5"/>
      <c r="H524" s="3"/>
      <c r="I524" s="5"/>
      <c r="J524" s="3"/>
      <c r="K524" s="5"/>
      <c r="L524" s="3"/>
      <c r="M524" s="5"/>
      <c r="N524" s="3"/>
      <c r="O524" s="5"/>
      <c r="P524" s="3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>
      <c r="A525" s="1"/>
      <c r="B525" s="1"/>
      <c r="C525" s="1"/>
      <c r="D525" s="1"/>
      <c r="E525" s="3"/>
      <c r="F525" s="3"/>
      <c r="G525" s="5"/>
      <c r="H525" s="3"/>
      <c r="I525" s="5"/>
      <c r="J525" s="3"/>
      <c r="K525" s="5"/>
      <c r="L525" s="3"/>
      <c r="M525" s="5"/>
      <c r="N525" s="3"/>
      <c r="O525" s="5"/>
      <c r="P525" s="3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>
      <c r="A526" s="1"/>
      <c r="B526" s="1"/>
      <c r="C526" s="1"/>
      <c r="D526" s="1"/>
      <c r="E526" s="3"/>
      <c r="F526" s="3"/>
      <c r="G526" s="5"/>
      <c r="H526" s="3"/>
      <c r="I526" s="5"/>
      <c r="J526" s="3"/>
      <c r="K526" s="5"/>
      <c r="L526" s="3"/>
      <c r="M526" s="5"/>
      <c r="N526" s="3"/>
      <c r="O526" s="5"/>
      <c r="P526" s="3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>
      <c r="A527" s="1"/>
      <c r="B527" s="1"/>
      <c r="C527" s="1"/>
      <c r="D527" s="1"/>
      <c r="E527" s="3"/>
      <c r="F527" s="3"/>
      <c r="G527" s="5"/>
      <c r="H527" s="3"/>
      <c r="I527" s="5"/>
      <c r="J527" s="3"/>
      <c r="K527" s="5"/>
      <c r="L527" s="3"/>
      <c r="M527" s="5"/>
      <c r="N527" s="3"/>
      <c r="O527" s="5"/>
      <c r="P527" s="3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>
      <c r="A528" s="1"/>
      <c r="B528" s="1"/>
      <c r="C528" s="1"/>
      <c r="D528" s="1"/>
      <c r="E528" s="3"/>
      <c r="F528" s="3"/>
      <c r="G528" s="5"/>
      <c r="H528" s="3"/>
      <c r="I528" s="5"/>
      <c r="J528" s="3"/>
      <c r="K528" s="5"/>
      <c r="L528" s="3"/>
      <c r="M528" s="5"/>
      <c r="N528" s="3"/>
      <c r="O528" s="5"/>
      <c r="P528" s="3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>
      <c r="A529" s="1"/>
      <c r="B529" s="1"/>
      <c r="C529" s="1"/>
      <c r="D529" s="1"/>
      <c r="E529" s="3"/>
      <c r="F529" s="3"/>
      <c r="G529" s="5"/>
      <c r="H529" s="3"/>
      <c r="I529" s="5"/>
      <c r="J529" s="3"/>
      <c r="K529" s="5"/>
      <c r="L529" s="3"/>
      <c r="M529" s="5"/>
      <c r="N529" s="3"/>
      <c r="O529" s="5"/>
      <c r="P529" s="3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>
      <c r="A530" s="1"/>
      <c r="B530" s="1"/>
      <c r="C530" s="1"/>
      <c r="D530" s="1"/>
      <c r="E530" s="3"/>
      <c r="F530" s="3"/>
      <c r="G530" s="5"/>
      <c r="H530" s="3"/>
      <c r="I530" s="5"/>
      <c r="J530" s="3"/>
      <c r="K530" s="5"/>
      <c r="L530" s="3"/>
      <c r="M530" s="5"/>
      <c r="N530" s="3"/>
      <c r="O530" s="5"/>
      <c r="P530" s="3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>
      <c r="A531" s="1"/>
      <c r="B531" s="1"/>
      <c r="C531" s="1"/>
      <c r="D531" s="1"/>
      <c r="E531" s="3"/>
      <c r="F531" s="3"/>
      <c r="G531" s="5"/>
      <c r="H531" s="3"/>
      <c r="I531" s="5"/>
      <c r="J531" s="3"/>
      <c r="K531" s="5"/>
      <c r="L531" s="3"/>
      <c r="M531" s="5"/>
      <c r="N531" s="3"/>
      <c r="O531" s="5"/>
      <c r="P531" s="3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>
      <c r="A532" s="1"/>
      <c r="B532" s="1"/>
      <c r="C532" s="1"/>
      <c r="D532" s="1"/>
      <c r="E532" s="3"/>
      <c r="F532" s="3"/>
      <c r="G532" s="5"/>
      <c r="H532" s="3"/>
      <c r="I532" s="5"/>
      <c r="J532" s="3"/>
      <c r="K532" s="5"/>
      <c r="L532" s="3"/>
      <c r="M532" s="5"/>
      <c r="N532" s="3"/>
      <c r="O532" s="5"/>
      <c r="P532" s="3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>
      <c r="A533" s="1"/>
      <c r="B533" s="1"/>
      <c r="C533" s="1"/>
      <c r="D533" s="1"/>
      <c r="E533" s="3"/>
      <c r="F533" s="3"/>
      <c r="G533" s="5"/>
      <c r="H533" s="3"/>
      <c r="I533" s="5"/>
      <c r="J533" s="3"/>
      <c r="K533" s="5"/>
      <c r="L533" s="3"/>
      <c r="M533" s="5"/>
      <c r="N533" s="3"/>
      <c r="O533" s="5"/>
      <c r="P533" s="3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>
      <c r="A534" s="1"/>
      <c r="B534" s="1"/>
      <c r="C534" s="1"/>
      <c r="D534" s="1"/>
      <c r="E534" s="3"/>
      <c r="F534" s="3"/>
      <c r="G534" s="5"/>
      <c r="H534" s="3"/>
      <c r="I534" s="5"/>
      <c r="J534" s="3"/>
      <c r="K534" s="5"/>
      <c r="L534" s="3"/>
      <c r="M534" s="5"/>
      <c r="N534" s="3"/>
      <c r="O534" s="5"/>
      <c r="P534" s="3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>
      <c r="A535" s="1"/>
      <c r="B535" s="1"/>
      <c r="C535" s="1"/>
      <c r="D535" s="1"/>
      <c r="E535" s="3"/>
      <c r="F535" s="3"/>
      <c r="G535" s="5"/>
      <c r="H535" s="3"/>
      <c r="I535" s="5"/>
      <c r="J535" s="3"/>
      <c r="K535" s="5"/>
      <c r="L535" s="3"/>
      <c r="M535" s="5"/>
      <c r="N535" s="3"/>
      <c r="O535" s="5"/>
      <c r="P535" s="3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>
      <c r="A536" s="1"/>
      <c r="B536" s="1"/>
      <c r="C536" s="1"/>
      <c r="D536" s="1"/>
      <c r="E536" s="3"/>
      <c r="F536" s="3"/>
      <c r="G536" s="5"/>
      <c r="H536" s="3"/>
      <c r="I536" s="5"/>
      <c r="J536" s="3"/>
      <c r="K536" s="5"/>
      <c r="L536" s="3"/>
      <c r="M536" s="5"/>
      <c r="N536" s="3"/>
      <c r="O536" s="5"/>
      <c r="P536" s="3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>
      <c r="A537" s="1"/>
      <c r="B537" s="1"/>
      <c r="C537" s="1"/>
      <c r="D537" s="1"/>
      <c r="E537" s="3"/>
      <c r="F537" s="3"/>
      <c r="G537" s="5"/>
      <c r="H537" s="3"/>
      <c r="I537" s="5"/>
      <c r="J537" s="3"/>
      <c r="K537" s="5"/>
      <c r="L537" s="3"/>
      <c r="M537" s="5"/>
      <c r="N537" s="3"/>
      <c r="O537" s="5"/>
      <c r="P537" s="3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>
      <c r="A538" s="1"/>
      <c r="B538" s="1"/>
      <c r="C538" s="1"/>
      <c r="D538" s="1"/>
      <c r="E538" s="3"/>
      <c r="F538" s="3"/>
      <c r="G538" s="5"/>
      <c r="H538" s="3"/>
      <c r="I538" s="5"/>
      <c r="J538" s="3"/>
      <c r="K538" s="5"/>
      <c r="L538" s="3"/>
      <c r="M538" s="5"/>
      <c r="N538" s="3"/>
      <c r="O538" s="5"/>
      <c r="P538" s="3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>
      <c r="A539" s="1"/>
      <c r="B539" s="1"/>
      <c r="C539" s="1"/>
      <c r="D539" s="1"/>
      <c r="E539" s="3"/>
      <c r="F539" s="3"/>
      <c r="G539" s="5"/>
      <c r="H539" s="3"/>
      <c r="I539" s="5"/>
      <c r="J539" s="3"/>
      <c r="K539" s="5"/>
      <c r="L539" s="3"/>
      <c r="M539" s="5"/>
      <c r="N539" s="3"/>
      <c r="O539" s="5"/>
      <c r="P539" s="3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>
      <c r="A540" s="1"/>
      <c r="B540" s="1"/>
      <c r="C540" s="1"/>
      <c r="D540" s="1"/>
      <c r="E540" s="3"/>
      <c r="F540" s="3"/>
      <c r="G540" s="5"/>
      <c r="H540" s="3"/>
      <c r="I540" s="5"/>
      <c r="J540" s="3"/>
      <c r="K540" s="5"/>
      <c r="L540" s="3"/>
      <c r="M540" s="5"/>
      <c r="N540" s="3"/>
      <c r="O540" s="5"/>
      <c r="P540" s="3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>
      <c r="A541" s="1"/>
      <c r="B541" s="1"/>
      <c r="C541" s="1"/>
      <c r="D541" s="1"/>
      <c r="E541" s="3"/>
      <c r="F541" s="3"/>
      <c r="G541" s="5"/>
      <c r="H541" s="3"/>
      <c r="I541" s="5"/>
      <c r="J541" s="3"/>
      <c r="K541" s="5"/>
      <c r="L541" s="3"/>
      <c r="M541" s="5"/>
      <c r="N541" s="3"/>
      <c r="O541" s="5"/>
      <c r="P541" s="3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>
      <c r="A542" s="1"/>
      <c r="B542" s="1"/>
      <c r="C542" s="1"/>
      <c r="D542" s="1"/>
      <c r="E542" s="3"/>
      <c r="F542" s="3"/>
      <c r="G542" s="5"/>
      <c r="H542" s="3"/>
      <c r="I542" s="5"/>
      <c r="J542" s="3"/>
      <c r="K542" s="5"/>
      <c r="L542" s="3"/>
      <c r="M542" s="5"/>
      <c r="N542" s="3"/>
      <c r="O542" s="5"/>
      <c r="P542" s="3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>
      <c r="A543" s="1"/>
      <c r="B543" s="1"/>
      <c r="C543" s="1"/>
      <c r="D543" s="1"/>
      <c r="E543" s="3"/>
      <c r="F543" s="3"/>
      <c r="G543" s="5"/>
      <c r="H543" s="3"/>
      <c r="I543" s="5"/>
      <c r="J543" s="3"/>
      <c r="K543" s="5"/>
      <c r="L543" s="3"/>
      <c r="M543" s="5"/>
      <c r="N543" s="3"/>
      <c r="O543" s="5"/>
      <c r="P543" s="3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>
      <c r="A544" s="1"/>
      <c r="B544" s="1"/>
      <c r="C544" s="1"/>
      <c r="D544" s="1"/>
      <c r="E544" s="3"/>
      <c r="F544" s="3"/>
      <c r="G544" s="5"/>
      <c r="H544" s="3"/>
      <c r="I544" s="5"/>
      <c r="J544" s="3"/>
      <c r="K544" s="5"/>
      <c r="L544" s="3"/>
      <c r="M544" s="5"/>
      <c r="N544" s="3"/>
      <c r="O544" s="5"/>
      <c r="P544" s="3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>
      <c r="A545" s="1"/>
      <c r="B545" s="1"/>
      <c r="C545" s="1"/>
      <c r="D545" s="1"/>
      <c r="E545" s="3"/>
      <c r="F545" s="3"/>
      <c r="G545" s="5"/>
      <c r="H545" s="3"/>
      <c r="I545" s="5"/>
      <c r="J545" s="3"/>
      <c r="K545" s="5"/>
      <c r="L545" s="3"/>
      <c r="M545" s="5"/>
      <c r="N545" s="3"/>
      <c r="O545" s="5"/>
      <c r="P545" s="3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>
      <c r="A546" s="1"/>
      <c r="B546" s="1"/>
      <c r="C546" s="1"/>
      <c r="D546" s="1"/>
      <c r="E546" s="3"/>
      <c r="F546" s="3"/>
      <c r="G546" s="5"/>
      <c r="H546" s="3"/>
      <c r="I546" s="5"/>
      <c r="J546" s="3"/>
      <c r="K546" s="5"/>
      <c r="L546" s="3"/>
      <c r="M546" s="5"/>
      <c r="N546" s="3"/>
      <c r="O546" s="5"/>
      <c r="P546" s="3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>
      <c r="A547" s="1"/>
      <c r="B547" s="1"/>
      <c r="C547" s="1"/>
      <c r="D547" s="1"/>
      <c r="E547" s="3"/>
      <c r="F547" s="3"/>
      <c r="G547" s="5"/>
      <c r="H547" s="3"/>
      <c r="I547" s="5"/>
      <c r="J547" s="3"/>
      <c r="K547" s="5"/>
      <c r="L547" s="3"/>
      <c r="M547" s="5"/>
      <c r="N547" s="3"/>
      <c r="O547" s="5"/>
      <c r="P547" s="3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>
      <c r="A548" s="1"/>
      <c r="B548" s="1"/>
      <c r="C548" s="1"/>
      <c r="D548" s="1"/>
      <c r="E548" s="3"/>
      <c r="F548" s="3"/>
      <c r="G548" s="5"/>
      <c r="H548" s="3"/>
      <c r="I548" s="5"/>
      <c r="J548" s="3"/>
      <c r="K548" s="5"/>
      <c r="L548" s="3"/>
      <c r="M548" s="5"/>
      <c r="N548" s="3"/>
      <c r="O548" s="5"/>
      <c r="P548" s="3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>
      <c r="A549" s="1"/>
      <c r="B549" s="1"/>
      <c r="C549" s="1"/>
      <c r="D549" s="1"/>
      <c r="E549" s="3"/>
      <c r="F549" s="3"/>
      <c r="G549" s="5"/>
      <c r="H549" s="3"/>
      <c r="I549" s="5"/>
      <c r="J549" s="3"/>
      <c r="K549" s="5"/>
      <c r="L549" s="3"/>
      <c r="M549" s="5"/>
      <c r="N549" s="3"/>
      <c r="O549" s="5"/>
      <c r="P549" s="3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>
      <c r="A550" s="1"/>
      <c r="B550" s="1"/>
      <c r="C550" s="1"/>
      <c r="D550" s="1"/>
      <c r="E550" s="3"/>
      <c r="F550" s="3"/>
      <c r="G550" s="5"/>
      <c r="H550" s="3"/>
      <c r="I550" s="5"/>
      <c r="J550" s="3"/>
      <c r="K550" s="5"/>
      <c r="L550" s="3"/>
      <c r="M550" s="5"/>
      <c r="N550" s="3"/>
      <c r="O550" s="5"/>
      <c r="P550" s="3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>
      <c r="A551" s="1"/>
      <c r="B551" s="1"/>
      <c r="C551" s="1"/>
      <c r="D551" s="1"/>
      <c r="E551" s="3"/>
      <c r="F551" s="3"/>
      <c r="G551" s="5"/>
      <c r="H551" s="3"/>
      <c r="I551" s="5"/>
      <c r="J551" s="3"/>
      <c r="K551" s="5"/>
      <c r="L551" s="3"/>
      <c r="M551" s="5"/>
      <c r="N551" s="3"/>
      <c r="O551" s="5"/>
      <c r="P551" s="3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>
      <c r="A552" s="1"/>
      <c r="B552" s="1"/>
      <c r="C552" s="1"/>
      <c r="D552" s="1"/>
      <c r="E552" s="3"/>
      <c r="F552" s="3"/>
      <c r="G552" s="5"/>
      <c r="H552" s="3"/>
      <c r="I552" s="5"/>
      <c r="J552" s="3"/>
      <c r="K552" s="5"/>
      <c r="L552" s="3"/>
      <c r="M552" s="5"/>
      <c r="N552" s="3"/>
      <c r="O552" s="5"/>
      <c r="P552" s="3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>
      <c r="A553" s="1"/>
      <c r="B553" s="1"/>
      <c r="C553" s="1"/>
      <c r="D553" s="1"/>
      <c r="E553" s="3"/>
      <c r="F553" s="3"/>
      <c r="G553" s="5"/>
      <c r="H553" s="3"/>
      <c r="I553" s="5"/>
      <c r="J553" s="3"/>
      <c r="K553" s="5"/>
      <c r="L553" s="3"/>
      <c r="M553" s="5"/>
      <c r="N553" s="3"/>
      <c r="O553" s="5"/>
      <c r="P553" s="3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>
      <c r="A554" s="1"/>
      <c r="B554" s="1"/>
      <c r="C554" s="1"/>
      <c r="D554" s="1"/>
      <c r="E554" s="3"/>
      <c r="F554" s="3"/>
      <c r="G554" s="5"/>
      <c r="H554" s="3"/>
      <c r="I554" s="5"/>
      <c r="J554" s="3"/>
      <c r="K554" s="5"/>
      <c r="L554" s="3"/>
      <c r="M554" s="5"/>
      <c r="N554" s="3"/>
      <c r="O554" s="5"/>
      <c r="P554" s="3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>
      <c r="A555" s="1"/>
      <c r="B555" s="1"/>
      <c r="C555" s="1"/>
      <c r="D555" s="1"/>
      <c r="E555" s="3"/>
      <c r="F555" s="3"/>
      <c r="G555" s="5"/>
      <c r="H555" s="3"/>
      <c r="I555" s="5"/>
      <c r="J555" s="3"/>
      <c r="K555" s="5"/>
      <c r="L555" s="3"/>
      <c r="M555" s="5"/>
      <c r="N555" s="3"/>
      <c r="O555" s="5"/>
      <c r="P555" s="3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>
      <c r="A556" s="1"/>
      <c r="B556" s="1"/>
      <c r="C556" s="1"/>
      <c r="D556" s="1"/>
      <c r="E556" s="3"/>
      <c r="F556" s="3"/>
      <c r="G556" s="5"/>
      <c r="H556" s="3"/>
      <c r="I556" s="5"/>
      <c r="J556" s="3"/>
      <c r="K556" s="5"/>
      <c r="L556" s="3"/>
      <c r="M556" s="5"/>
      <c r="N556" s="3"/>
      <c r="O556" s="5"/>
      <c r="P556" s="3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>
      <c r="A557" s="1"/>
      <c r="B557" s="1"/>
      <c r="C557" s="1"/>
      <c r="D557" s="1"/>
      <c r="E557" s="3"/>
      <c r="F557" s="3"/>
      <c r="G557" s="5"/>
      <c r="H557" s="3"/>
      <c r="I557" s="5"/>
      <c r="J557" s="3"/>
      <c r="K557" s="5"/>
      <c r="L557" s="3"/>
      <c r="M557" s="5"/>
      <c r="N557" s="3"/>
      <c r="O557" s="5"/>
      <c r="P557" s="3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>
      <c r="A558" s="1"/>
      <c r="B558" s="1"/>
      <c r="C558" s="1"/>
      <c r="D558" s="1"/>
      <c r="E558" s="3"/>
      <c r="F558" s="3"/>
      <c r="G558" s="5"/>
      <c r="H558" s="3"/>
      <c r="I558" s="5"/>
      <c r="J558" s="3"/>
      <c r="K558" s="5"/>
      <c r="L558" s="3"/>
      <c r="M558" s="5"/>
      <c r="N558" s="3"/>
      <c r="O558" s="5"/>
      <c r="P558" s="3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>
      <c r="A559" s="1"/>
      <c r="B559" s="1"/>
      <c r="C559" s="1"/>
      <c r="D559" s="1"/>
      <c r="E559" s="3"/>
      <c r="F559" s="3"/>
      <c r="G559" s="5"/>
      <c r="H559" s="3"/>
      <c r="I559" s="5"/>
      <c r="J559" s="3"/>
      <c r="K559" s="5"/>
      <c r="L559" s="3"/>
      <c r="M559" s="5"/>
      <c r="N559" s="3"/>
      <c r="O559" s="5"/>
      <c r="P559" s="3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>
      <c r="A560" s="1"/>
      <c r="B560" s="1"/>
      <c r="C560" s="1"/>
      <c r="D560" s="1"/>
      <c r="E560" s="3"/>
      <c r="F560" s="3"/>
      <c r="G560" s="5"/>
      <c r="H560" s="3"/>
      <c r="I560" s="5"/>
      <c r="J560" s="3"/>
      <c r="K560" s="5"/>
      <c r="L560" s="3"/>
      <c r="M560" s="5"/>
      <c r="N560" s="3"/>
      <c r="O560" s="5"/>
      <c r="P560" s="3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>
      <c r="A561" s="1"/>
      <c r="B561" s="1"/>
      <c r="C561" s="1"/>
      <c r="D561" s="1"/>
      <c r="E561" s="3"/>
      <c r="F561" s="3"/>
      <c r="G561" s="5"/>
      <c r="H561" s="3"/>
      <c r="I561" s="5"/>
      <c r="J561" s="3"/>
      <c r="K561" s="5"/>
      <c r="L561" s="3"/>
      <c r="M561" s="5"/>
      <c r="N561" s="3"/>
      <c r="O561" s="5"/>
      <c r="P561" s="3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>
      <c r="A562" s="1"/>
      <c r="B562" s="1"/>
      <c r="C562" s="1"/>
      <c r="D562" s="1"/>
      <c r="E562" s="3"/>
      <c r="F562" s="3"/>
      <c r="G562" s="5"/>
      <c r="H562" s="3"/>
      <c r="I562" s="5"/>
      <c r="J562" s="3"/>
      <c r="K562" s="5"/>
      <c r="L562" s="3"/>
      <c r="M562" s="5"/>
      <c r="N562" s="3"/>
      <c r="O562" s="5"/>
      <c r="P562" s="3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>
      <c r="A563" s="1"/>
      <c r="B563" s="1"/>
      <c r="C563" s="1"/>
      <c r="D563" s="1"/>
      <c r="E563" s="3"/>
      <c r="F563" s="3"/>
      <c r="G563" s="5"/>
      <c r="H563" s="3"/>
      <c r="I563" s="5"/>
      <c r="J563" s="3"/>
      <c r="K563" s="5"/>
      <c r="L563" s="3"/>
      <c r="M563" s="5"/>
      <c r="N563" s="3"/>
      <c r="O563" s="5"/>
      <c r="P563" s="3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>
      <c r="A564" s="1"/>
      <c r="B564" s="1"/>
      <c r="C564" s="1"/>
      <c r="D564" s="1"/>
      <c r="E564" s="3"/>
      <c r="F564" s="3"/>
      <c r="G564" s="5"/>
      <c r="H564" s="3"/>
      <c r="I564" s="5"/>
      <c r="J564" s="3"/>
      <c r="K564" s="5"/>
      <c r="L564" s="3"/>
      <c r="M564" s="5"/>
      <c r="N564" s="3"/>
      <c r="O564" s="5"/>
      <c r="P564" s="3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>
      <c r="A565" s="1"/>
      <c r="B565" s="1"/>
      <c r="C565" s="1"/>
      <c r="D565" s="1"/>
      <c r="E565" s="3"/>
      <c r="F565" s="3"/>
      <c r="G565" s="5"/>
      <c r="H565" s="3"/>
      <c r="I565" s="5"/>
      <c r="J565" s="3"/>
      <c r="K565" s="5"/>
      <c r="L565" s="3"/>
      <c r="M565" s="5"/>
      <c r="N565" s="3"/>
      <c r="O565" s="5"/>
      <c r="P565" s="3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>
      <c r="A566" s="1"/>
      <c r="B566" s="1"/>
      <c r="C566" s="1"/>
      <c r="D566" s="1"/>
      <c r="E566" s="3"/>
      <c r="F566" s="3"/>
      <c r="G566" s="5"/>
      <c r="H566" s="3"/>
      <c r="I566" s="5"/>
      <c r="J566" s="3"/>
      <c r="K566" s="5"/>
      <c r="L566" s="3"/>
      <c r="M566" s="5"/>
      <c r="N566" s="3"/>
      <c r="O566" s="5"/>
      <c r="P566" s="3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>
      <c r="A567" s="1"/>
      <c r="B567" s="1"/>
      <c r="C567" s="1"/>
      <c r="D567" s="1"/>
      <c r="E567" s="3"/>
      <c r="F567" s="3"/>
      <c r="G567" s="5"/>
      <c r="H567" s="3"/>
      <c r="I567" s="5"/>
      <c r="J567" s="3"/>
      <c r="K567" s="5"/>
      <c r="L567" s="3"/>
      <c r="M567" s="5"/>
      <c r="N567" s="3"/>
      <c r="O567" s="5"/>
      <c r="P567" s="3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>
      <c r="A568" s="1"/>
      <c r="B568" s="1"/>
      <c r="C568" s="1"/>
      <c r="D568" s="1"/>
      <c r="E568" s="3"/>
      <c r="F568" s="3"/>
      <c r="G568" s="5"/>
      <c r="H568" s="3"/>
      <c r="I568" s="5"/>
      <c r="J568" s="3"/>
      <c r="K568" s="5"/>
      <c r="L568" s="3"/>
      <c r="M568" s="5"/>
      <c r="N568" s="3"/>
      <c r="O568" s="5"/>
      <c r="P568" s="3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>
      <c r="A569" s="1"/>
      <c r="B569" s="1"/>
      <c r="C569" s="1"/>
      <c r="D569" s="1"/>
      <c r="E569" s="3"/>
      <c r="F569" s="3"/>
      <c r="G569" s="5"/>
      <c r="H569" s="3"/>
      <c r="I569" s="5"/>
      <c r="J569" s="3"/>
      <c r="K569" s="5"/>
      <c r="L569" s="3"/>
      <c r="M569" s="5"/>
      <c r="N569" s="3"/>
      <c r="O569" s="5"/>
      <c r="P569" s="3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>
      <c r="A570" s="1"/>
      <c r="B570" s="1"/>
      <c r="C570" s="1"/>
      <c r="D570" s="1"/>
      <c r="E570" s="3"/>
      <c r="F570" s="3"/>
      <c r="G570" s="5"/>
      <c r="H570" s="3"/>
      <c r="I570" s="5"/>
      <c r="J570" s="3"/>
      <c r="K570" s="5"/>
      <c r="L570" s="3"/>
      <c r="M570" s="5"/>
      <c r="N570" s="3"/>
      <c r="O570" s="5"/>
      <c r="P570" s="3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>
      <c r="A571" s="1"/>
      <c r="B571" s="1"/>
      <c r="C571" s="1"/>
      <c r="D571" s="1"/>
      <c r="E571" s="3"/>
      <c r="F571" s="3"/>
      <c r="G571" s="5"/>
      <c r="H571" s="3"/>
      <c r="I571" s="5"/>
      <c r="J571" s="3"/>
      <c r="K571" s="5"/>
      <c r="L571" s="3"/>
      <c r="M571" s="5"/>
      <c r="N571" s="3"/>
      <c r="O571" s="5"/>
      <c r="P571" s="3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>
      <c r="A572" s="1"/>
      <c r="B572" s="1"/>
      <c r="C572" s="1"/>
      <c r="D572" s="1"/>
      <c r="E572" s="3"/>
      <c r="F572" s="3"/>
      <c r="G572" s="5"/>
      <c r="H572" s="3"/>
      <c r="I572" s="5"/>
      <c r="J572" s="3"/>
      <c r="K572" s="5"/>
      <c r="L572" s="3"/>
      <c r="M572" s="5"/>
      <c r="N572" s="3"/>
      <c r="O572" s="5"/>
      <c r="P572" s="3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>
      <c r="A573" s="1"/>
      <c r="B573" s="1"/>
      <c r="C573" s="1"/>
      <c r="D573" s="1"/>
      <c r="E573" s="3"/>
      <c r="F573" s="3"/>
      <c r="G573" s="5"/>
      <c r="H573" s="3"/>
      <c r="I573" s="5"/>
      <c r="J573" s="3"/>
      <c r="K573" s="5"/>
      <c r="L573" s="3"/>
      <c r="M573" s="5"/>
      <c r="N573" s="3"/>
      <c r="O573" s="5"/>
      <c r="P573" s="3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>
      <c r="A574" s="1"/>
      <c r="B574" s="1"/>
      <c r="C574" s="1"/>
      <c r="D574" s="1"/>
      <c r="E574" s="3"/>
      <c r="F574" s="3"/>
      <c r="G574" s="5"/>
      <c r="H574" s="3"/>
      <c r="I574" s="5"/>
      <c r="J574" s="3"/>
      <c r="K574" s="5"/>
      <c r="L574" s="3"/>
      <c r="M574" s="5"/>
      <c r="N574" s="3"/>
      <c r="O574" s="5"/>
      <c r="P574" s="3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>
      <c r="A575" s="1"/>
      <c r="B575" s="1"/>
      <c r="C575" s="1"/>
      <c r="D575" s="1"/>
      <c r="E575" s="3"/>
      <c r="F575" s="3"/>
      <c r="G575" s="5"/>
      <c r="H575" s="3"/>
      <c r="I575" s="5"/>
      <c r="J575" s="3"/>
      <c r="K575" s="5"/>
      <c r="L575" s="3"/>
      <c r="M575" s="5"/>
      <c r="N575" s="3"/>
      <c r="O575" s="5"/>
      <c r="P575" s="3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>
      <c r="A576" s="1"/>
      <c r="B576" s="1"/>
      <c r="C576" s="1"/>
      <c r="D576" s="1"/>
      <c r="E576" s="3"/>
      <c r="F576" s="3"/>
      <c r="G576" s="5"/>
      <c r="H576" s="3"/>
      <c r="I576" s="5"/>
      <c r="J576" s="3"/>
      <c r="K576" s="5"/>
      <c r="L576" s="3"/>
      <c r="M576" s="5"/>
      <c r="N576" s="3"/>
      <c r="O576" s="5"/>
      <c r="P576" s="3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>
      <c r="A577" s="1"/>
      <c r="B577" s="1"/>
      <c r="C577" s="1"/>
      <c r="D577" s="1"/>
      <c r="E577" s="3"/>
      <c r="F577" s="3"/>
      <c r="G577" s="5"/>
      <c r="H577" s="3"/>
      <c r="I577" s="5"/>
      <c r="J577" s="3"/>
      <c r="K577" s="5"/>
      <c r="L577" s="3"/>
      <c r="M577" s="5"/>
      <c r="N577" s="3"/>
      <c r="O577" s="5"/>
      <c r="P577" s="3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>
      <c r="A578" s="1"/>
      <c r="B578" s="1"/>
      <c r="C578" s="1"/>
      <c r="D578" s="1"/>
      <c r="E578" s="3"/>
      <c r="F578" s="3"/>
      <c r="G578" s="5"/>
      <c r="H578" s="3"/>
      <c r="I578" s="5"/>
      <c r="J578" s="3"/>
      <c r="K578" s="5"/>
      <c r="L578" s="3"/>
      <c r="M578" s="5"/>
      <c r="N578" s="3"/>
      <c r="O578" s="5"/>
      <c r="P578" s="3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>
      <c r="A579" s="1"/>
      <c r="B579" s="1"/>
      <c r="C579" s="1"/>
      <c r="D579" s="1"/>
      <c r="E579" s="3"/>
      <c r="F579" s="3"/>
      <c r="G579" s="5"/>
      <c r="H579" s="3"/>
      <c r="I579" s="5"/>
      <c r="J579" s="3"/>
      <c r="K579" s="5"/>
      <c r="L579" s="3"/>
      <c r="M579" s="5"/>
      <c r="N579" s="3"/>
      <c r="O579" s="5"/>
      <c r="P579" s="3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>
      <c r="A580" s="1"/>
      <c r="B580" s="1"/>
      <c r="C580" s="1"/>
      <c r="D580" s="1"/>
      <c r="E580" s="3"/>
      <c r="F580" s="3"/>
      <c r="G580" s="5"/>
      <c r="H580" s="3"/>
      <c r="I580" s="5"/>
      <c r="J580" s="3"/>
      <c r="K580" s="5"/>
      <c r="L580" s="3"/>
      <c r="M580" s="5"/>
      <c r="N580" s="3"/>
      <c r="O580" s="5"/>
      <c r="P580" s="3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>
      <c r="A581" s="1"/>
      <c r="B581" s="1"/>
      <c r="C581" s="1"/>
      <c r="D581" s="1"/>
      <c r="E581" s="3"/>
      <c r="F581" s="3"/>
      <c r="G581" s="5"/>
      <c r="H581" s="3"/>
      <c r="I581" s="5"/>
      <c r="J581" s="3"/>
      <c r="K581" s="5"/>
      <c r="L581" s="3"/>
      <c r="M581" s="5"/>
      <c r="N581" s="3"/>
      <c r="O581" s="5"/>
      <c r="P581" s="3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>
      <c r="A582" s="1"/>
      <c r="B582" s="1"/>
      <c r="C582" s="1"/>
      <c r="D582" s="1"/>
      <c r="E582" s="3"/>
      <c r="F582" s="3"/>
      <c r="G582" s="5"/>
      <c r="H582" s="3"/>
      <c r="I582" s="5"/>
      <c r="J582" s="3"/>
      <c r="K582" s="5"/>
      <c r="L582" s="3"/>
      <c r="M582" s="5"/>
      <c r="N582" s="3"/>
      <c r="O582" s="5"/>
      <c r="P582" s="3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>
      <c r="A583" s="1"/>
      <c r="B583" s="1"/>
      <c r="C583" s="1"/>
      <c r="D583" s="1"/>
      <c r="E583" s="3"/>
      <c r="F583" s="3"/>
      <c r="G583" s="5"/>
      <c r="H583" s="3"/>
      <c r="I583" s="5"/>
      <c r="J583" s="3"/>
      <c r="K583" s="5"/>
      <c r="L583" s="3"/>
      <c r="M583" s="5"/>
      <c r="N583" s="3"/>
      <c r="O583" s="5"/>
      <c r="P583" s="3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>
      <c r="A584" s="1"/>
      <c r="B584" s="1"/>
      <c r="C584" s="1"/>
      <c r="D584" s="1"/>
      <c r="E584" s="3"/>
      <c r="F584" s="3"/>
      <c r="G584" s="5"/>
      <c r="H584" s="3"/>
      <c r="I584" s="5"/>
      <c r="J584" s="3"/>
      <c r="K584" s="5"/>
      <c r="L584" s="3"/>
      <c r="M584" s="5"/>
      <c r="N584" s="3"/>
      <c r="O584" s="5"/>
      <c r="P584" s="3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>
      <c r="A585" s="1"/>
      <c r="B585" s="1"/>
      <c r="C585" s="1"/>
      <c r="D585" s="1"/>
      <c r="E585" s="3"/>
      <c r="F585" s="3"/>
      <c r="G585" s="5"/>
      <c r="H585" s="3"/>
      <c r="I585" s="5"/>
      <c r="J585" s="3"/>
      <c r="K585" s="5"/>
      <c r="L585" s="3"/>
      <c r="M585" s="5"/>
      <c r="N585" s="3"/>
      <c r="O585" s="5"/>
      <c r="P585" s="3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>
      <c r="A586" s="1"/>
      <c r="B586" s="1"/>
      <c r="C586" s="1"/>
      <c r="D586" s="1"/>
      <c r="E586" s="3"/>
      <c r="F586" s="3"/>
      <c r="G586" s="5"/>
      <c r="H586" s="3"/>
      <c r="I586" s="5"/>
      <c r="J586" s="3"/>
      <c r="K586" s="5"/>
      <c r="L586" s="3"/>
      <c r="M586" s="5"/>
      <c r="N586" s="3"/>
      <c r="O586" s="5"/>
      <c r="P586" s="3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>
      <c r="A587" s="1"/>
      <c r="B587" s="1"/>
      <c r="C587" s="1"/>
      <c r="D587" s="1"/>
      <c r="E587" s="3"/>
      <c r="F587" s="3"/>
      <c r="G587" s="5"/>
      <c r="H587" s="3"/>
      <c r="I587" s="5"/>
      <c r="J587" s="3"/>
      <c r="K587" s="5"/>
      <c r="L587" s="3"/>
      <c r="M587" s="5"/>
      <c r="N587" s="3"/>
      <c r="O587" s="5"/>
      <c r="P587" s="3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>
      <c r="A588" s="1"/>
      <c r="B588" s="1"/>
      <c r="C588" s="1"/>
      <c r="D588" s="1"/>
      <c r="E588" s="3"/>
      <c r="F588" s="3"/>
      <c r="G588" s="5"/>
      <c r="H588" s="3"/>
      <c r="I588" s="5"/>
      <c r="J588" s="3"/>
      <c r="K588" s="5"/>
      <c r="L588" s="3"/>
      <c r="M588" s="5"/>
      <c r="N588" s="3"/>
      <c r="O588" s="5"/>
      <c r="P588" s="3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>
      <c r="A589" s="1"/>
      <c r="B589" s="1"/>
      <c r="C589" s="1"/>
      <c r="D589" s="1"/>
      <c r="E589" s="3"/>
      <c r="F589" s="3"/>
      <c r="G589" s="5"/>
      <c r="H589" s="3"/>
      <c r="I589" s="5"/>
      <c r="J589" s="3"/>
      <c r="K589" s="5"/>
      <c r="L589" s="3"/>
      <c r="M589" s="5"/>
      <c r="N589" s="3"/>
      <c r="O589" s="5"/>
      <c r="P589" s="3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>
      <c r="A590" s="1"/>
      <c r="B590" s="1"/>
      <c r="C590" s="1"/>
      <c r="D590" s="1"/>
      <c r="E590" s="3"/>
      <c r="F590" s="3"/>
      <c r="G590" s="5"/>
      <c r="H590" s="3"/>
      <c r="I590" s="5"/>
      <c r="J590" s="3"/>
      <c r="K590" s="5"/>
      <c r="L590" s="3"/>
      <c r="M590" s="5"/>
      <c r="N590" s="3"/>
      <c r="O590" s="5"/>
      <c r="P590" s="3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>
      <c r="A591" s="1"/>
      <c r="B591" s="1"/>
      <c r="C591" s="1"/>
      <c r="D591" s="1"/>
      <c r="E591" s="3"/>
      <c r="F591" s="3"/>
      <c r="G591" s="5"/>
      <c r="H591" s="3"/>
      <c r="I591" s="5"/>
      <c r="J591" s="3"/>
      <c r="K591" s="5"/>
      <c r="L591" s="3"/>
      <c r="M591" s="5"/>
      <c r="N591" s="3"/>
      <c r="O591" s="5"/>
      <c r="P591" s="3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>
      <c r="A592" s="1"/>
      <c r="B592" s="1"/>
      <c r="C592" s="1"/>
      <c r="D592" s="1"/>
      <c r="E592" s="3"/>
      <c r="F592" s="3"/>
      <c r="G592" s="5"/>
      <c r="H592" s="3"/>
      <c r="I592" s="5"/>
      <c r="J592" s="3"/>
      <c r="K592" s="5"/>
      <c r="L592" s="3"/>
      <c r="M592" s="5"/>
      <c r="N592" s="3"/>
      <c r="O592" s="5"/>
      <c r="P592" s="3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>
      <c r="A593" s="1"/>
      <c r="B593" s="1"/>
      <c r="C593" s="1"/>
      <c r="D593" s="1"/>
      <c r="E593" s="3"/>
      <c r="F593" s="3"/>
      <c r="G593" s="5"/>
      <c r="H593" s="3"/>
      <c r="I593" s="5"/>
      <c r="J593" s="3"/>
      <c r="K593" s="5"/>
      <c r="L593" s="3"/>
      <c r="M593" s="5"/>
      <c r="N593" s="3"/>
      <c r="O593" s="5"/>
      <c r="P593" s="3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>
      <c r="A594" s="1"/>
      <c r="B594" s="1"/>
      <c r="C594" s="1"/>
      <c r="D594" s="1"/>
      <c r="E594" s="3"/>
      <c r="F594" s="3"/>
      <c r="G594" s="5"/>
      <c r="H594" s="3"/>
      <c r="I594" s="5"/>
      <c r="J594" s="3"/>
      <c r="K594" s="5"/>
      <c r="L594" s="3"/>
      <c r="M594" s="5"/>
      <c r="N594" s="3"/>
      <c r="O594" s="5"/>
      <c r="P594" s="3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>
      <c r="A595" s="1"/>
      <c r="B595" s="1"/>
      <c r="C595" s="1"/>
      <c r="D595" s="1"/>
      <c r="E595" s="3"/>
      <c r="F595" s="3"/>
      <c r="G595" s="5"/>
      <c r="H595" s="3"/>
      <c r="I595" s="5"/>
      <c r="J595" s="3"/>
      <c r="K595" s="5"/>
      <c r="L595" s="3"/>
      <c r="M595" s="5"/>
      <c r="N595" s="3"/>
      <c r="O595" s="5"/>
      <c r="P595" s="3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>
      <c r="A596" s="1"/>
      <c r="B596" s="1"/>
      <c r="C596" s="1"/>
      <c r="D596" s="1"/>
      <c r="E596" s="3"/>
      <c r="F596" s="3"/>
      <c r="G596" s="5"/>
      <c r="H596" s="3"/>
      <c r="I596" s="5"/>
      <c r="J596" s="3"/>
      <c r="K596" s="5"/>
      <c r="L596" s="3"/>
      <c r="M596" s="5"/>
      <c r="N596" s="3"/>
      <c r="O596" s="5"/>
      <c r="P596" s="3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>
      <c r="A597" s="1"/>
      <c r="B597" s="1"/>
      <c r="C597" s="1"/>
      <c r="D597" s="1"/>
      <c r="E597" s="3"/>
      <c r="F597" s="3"/>
      <c r="G597" s="5"/>
      <c r="H597" s="3"/>
      <c r="I597" s="5"/>
      <c r="J597" s="3"/>
      <c r="K597" s="5"/>
      <c r="L597" s="3"/>
      <c r="M597" s="5"/>
      <c r="N597" s="3"/>
      <c r="O597" s="5"/>
      <c r="P597" s="3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>
      <c r="A598" s="1"/>
      <c r="B598" s="1"/>
      <c r="C598" s="1"/>
      <c r="D598" s="1"/>
      <c r="E598" s="3"/>
      <c r="F598" s="3"/>
      <c r="G598" s="5"/>
      <c r="H598" s="3"/>
      <c r="I598" s="5"/>
      <c r="J598" s="3"/>
      <c r="K598" s="5"/>
      <c r="L598" s="3"/>
      <c r="M598" s="5"/>
      <c r="N598" s="3"/>
      <c r="O598" s="5"/>
      <c r="P598" s="3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>
      <c r="A599" s="1"/>
      <c r="B599" s="1"/>
      <c r="C599" s="1"/>
      <c r="D599" s="1"/>
      <c r="E599" s="3"/>
      <c r="F599" s="3"/>
      <c r="G599" s="5"/>
      <c r="H599" s="3"/>
      <c r="I599" s="5"/>
      <c r="J599" s="3"/>
      <c r="K599" s="5"/>
      <c r="L599" s="3"/>
      <c r="M599" s="5"/>
      <c r="N599" s="3"/>
      <c r="O599" s="5"/>
      <c r="P599" s="3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>
      <c r="A600" s="1"/>
      <c r="B600" s="1"/>
      <c r="C600" s="1"/>
      <c r="D600" s="1"/>
      <c r="E600" s="3"/>
      <c r="F600" s="3"/>
      <c r="G600" s="5"/>
      <c r="H600" s="3"/>
      <c r="I600" s="5"/>
      <c r="J600" s="3"/>
      <c r="K600" s="5"/>
      <c r="L600" s="3"/>
      <c r="M600" s="5"/>
      <c r="N600" s="3"/>
      <c r="O600" s="5"/>
      <c r="P600" s="3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>
      <c r="A601" s="1"/>
      <c r="B601" s="1"/>
      <c r="C601" s="1"/>
      <c r="D601" s="1"/>
      <c r="E601" s="3"/>
      <c r="F601" s="3"/>
      <c r="G601" s="5"/>
      <c r="H601" s="3"/>
      <c r="I601" s="5"/>
      <c r="J601" s="3"/>
      <c r="K601" s="5"/>
      <c r="L601" s="3"/>
      <c r="M601" s="5"/>
      <c r="N601" s="3"/>
      <c r="O601" s="5"/>
      <c r="P601" s="3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>
      <c r="A602" s="1"/>
      <c r="B602" s="1"/>
      <c r="C602" s="1"/>
      <c r="D602" s="1"/>
      <c r="E602" s="3"/>
      <c r="F602" s="3"/>
      <c r="G602" s="5"/>
      <c r="H602" s="3"/>
      <c r="I602" s="5"/>
      <c r="J602" s="3"/>
      <c r="K602" s="5"/>
      <c r="L602" s="3"/>
      <c r="M602" s="5"/>
      <c r="N602" s="3"/>
      <c r="O602" s="5"/>
      <c r="P602" s="3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>
      <c r="A603" s="1"/>
      <c r="B603" s="1"/>
      <c r="C603" s="1"/>
      <c r="D603" s="1"/>
      <c r="E603" s="3"/>
      <c r="F603" s="3"/>
      <c r="G603" s="5"/>
      <c r="H603" s="3"/>
      <c r="I603" s="5"/>
      <c r="J603" s="3"/>
      <c r="K603" s="5"/>
      <c r="L603" s="3"/>
      <c r="M603" s="5"/>
      <c r="N603" s="3"/>
      <c r="O603" s="5"/>
      <c r="P603" s="3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>
      <c r="A604" s="1"/>
      <c r="B604" s="1"/>
      <c r="C604" s="1"/>
      <c r="D604" s="1"/>
      <c r="E604" s="3"/>
      <c r="F604" s="3"/>
      <c r="G604" s="5"/>
      <c r="H604" s="3"/>
      <c r="I604" s="5"/>
      <c r="J604" s="3"/>
      <c r="K604" s="5"/>
      <c r="L604" s="3"/>
      <c r="M604" s="5"/>
      <c r="N604" s="3"/>
      <c r="O604" s="5"/>
      <c r="P604" s="3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>
      <c r="A605" s="1"/>
      <c r="B605" s="1"/>
      <c r="C605" s="1"/>
      <c r="D605" s="1"/>
      <c r="E605" s="3"/>
      <c r="F605" s="3"/>
      <c r="G605" s="5"/>
      <c r="H605" s="3"/>
      <c r="I605" s="5"/>
      <c r="J605" s="3"/>
      <c r="K605" s="5"/>
      <c r="L605" s="3"/>
      <c r="M605" s="5"/>
      <c r="N605" s="3"/>
      <c r="O605" s="5"/>
      <c r="P605" s="3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>
      <c r="A606" s="1"/>
      <c r="B606" s="1"/>
      <c r="C606" s="1"/>
      <c r="D606" s="1"/>
      <c r="E606" s="3"/>
      <c r="F606" s="3"/>
      <c r="G606" s="5"/>
      <c r="H606" s="3"/>
      <c r="I606" s="5"/>
      <c r="J606" s="3"/>
      <c r="K606" s="5"/>
      <c r="L606" s="3"/>
      <c r="M606" s="5"/>
      <c r="N606" s="3"/>
      <c r="O606" s="5"/>
      <c r="P606" s="3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>
      <c r="A607" s="1"/>
      <c r="B607" s="1"/>
      <c r="C607" s="1"/>
      <c r="D607" s="1"/>
      <c r="E607" s="3"/>
      <c r="F607" s="3"/>
      <c r="G607" s="5"/>
      <c r="H607" s="3"/>
      <c r="I607" s="5"/>
      <c r="J607" s="3"/>
      <c r="K607" s="5"/>
      <c r="L607" s="3"/>
      <c r="M607" s="5"/>
      <c r="N607" s="3"/>
      <c r="O607" s="5"/>
      <c r="P607" s="3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>
      <c r="A608" s="1"/>
      <c r="B608" s="1"/>
      <c r="C608" s="1"/>
      <c r="D608" s="1"/>
      <c r="E608" s="3"/>
      <c r="F608" s="3"/>
      <c r="G608" s="5"/>
      <c r="H608" s="3"/>
      <c r="I608" s="5"/>
      <c r="J608" s="3"/>
      <c r="K608" s="5"/>
      <c r="L608" s="3"/>
      <c r="M608" s="5"/>
      <c r="N608" s="3"/>
      <c r="O608" s="5"/>
      <c r="P608" s="3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>
      <c r="A609" s="1"/>
      <c r="B609" s="1"/>
      <c r="C609" s="1"/>
      <c r="D609" s="1"/>
      <c r="E609" s="3"/>
      <c r="F609" s="3"/>
      <c r="G609" s="5"/>
      <c r="H609" s="3"/>
      <c r="I609" s="5"/>
      <c r="J609" s="3"/>
      <c r="K609" s="5"/>
      <c r="L609" s="3"/>
      <c r="M609" s="5"/>
      <c r="N609" s="3"/>
      <c r="O609" s="5"/>
      <c r="P609" s="3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>
      <c r="A610" s="1"/>
      <c r="B610" s="1"/>
      <c r="C610" s="1"/>
      <c r="D610" s="1"/>
      <c r="E610" s="3"/>
      <c r="F610" s="3"/>
      <c r="G610" s="5"/>
      <c r="H610" s="3"/>
      <c r="I610" s="5"/>
      <c r="J610" s="3"/>
      <c r="K610" s="5"/>
      <c r="L610" s="3"/>
      <c r="M610" s="5"/>
      <c r="N610" s="3"/>
      <c r="O610" s="5"/>
      <c r="P610" s="3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>
      <c r="A611" s="1"/>
      <c r="B611" s="1"/>
      <c r="C611" s="1"/>
      <c r="D611" s="1"/>
      <c r="E611" s="3"/>
      <c r="F611" s="3"/>
      <c r="G611" s="5"/>
      <c r="H611" s="3"/>
      <c r="I611" s="5"/>
      <c r="J611" s="3"/>
      <c r="K611" s="5"/>
      <c r="L611" s="3"/>
      <c r="M611" s="5"/>
      <c r="N611" s="3"/>
      <c r="O611" s="5"/>
      <c r="P611" s="3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>
      <c r="A612" s="1"/>
      <c r="B612" s="1"/>
      <c r="C612" s="1"/>
      <c r="D612" s="1"/>
      <c r="E612" s="3"/>
      <c r="F612" s="3"/>
      <c r="G612" s="5"/>
      <c r="H612" s="3"/>
      <c r="I612" s="5"/>
      <c r="J612" s="3"/>
      <c r="K612" s="5"/>
      <c r="L612" s="3"/>
      <c r="M612" s="5"/>
      <c r="N612" s="3"/>
      <c r="O612" s="5"/>
      <c r="P612" s="3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>
      <c r="A613" s="1"/>
      <c r="B613" s="1"/>
      <c r="C613" s="1"/>
      <c r="D613" s="1"/>
      <c r="E613" s="3"/>
      <c r="F613" s="3"/>
      <c r="G613" s="5"/>
      <c r="H613" s="3"/>
      <c r="I613" s="5"/>
      <c r="J613" s="3"/>
      <c r="K613" s="5"/>
      <c r="L613" s="3"/>
      <c r="M613" s="5"/>
      <c r="N613" s="3"/>
      <c r="O613" s="5"/>
      <c r="P613" s="3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>
      <c r="A614" s="1"/>
      <c r="B614" s="1"/>
      <c r="C614" s="1"/>
      <c r="D614" s="1"/>
      <c r="E614" s="3"/>
      <c r="F614" s="3"/>
      <c r="G614" s="5"/>
      <c r="H614" s="3"/>
      <c r="I614" s="5"/>
      <c r="J614" s="3"/>
      <c r="K614" s="5"/>
      <c r="L614" s="3"/>
      <c r="M614" s="5"/>
      <c r="N614" s="3"/>
      <c r="O614" s="5"/>
      <c r="P614" s="3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>
      <c r="A615" s="1"/>
      <c r="B615" s="1"/>
      <c r="C615" s="1"/>
      <c r="D615" s="1"/>
      <c r="E615" s="3"/>
      <c r="F615" s="3"/>
      <c r="G615" s="5"/>
      <c r="H615" s="3"/>
      <c r="I615" s="5"/>
      <c r="J615" s="3"/>
      <c r="K615" s="5"/>
      <c r="L615" s="3"/>
      <c r="M615" s="5"/>
      <c r="N615" s="3"/>
      <c r="O615" s="5"/>
      <c r="P615" s="3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>
      <c r="A616" s="1"/>
      <c r="B616" s="1"/>
      <c r="C616" s="1"/>
      <c r="D616" s="1"/>
      <c r="E616" s="3"/>
      <c r="F616" s="3"/>
      <c r="G616" s="5"/>
      <c r="H616" s="3"/>
      <c r="I616" s="5"/>
      <c r="J616" s="3"/>
      <c r="K616" s="5"/>
      <c r="L616" s="3"/>
      <c r="M616" s="5"/>
      <c r="N616" s="3"/>
      <c r="O616" s="5"/>
      <c r="P616" s="3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>
      <c r="A617" s="1"/>
      <c r="B617" s="1"/>
      <c r="C617" s="1"/>
      <c r="D617" s="1"/>
      <c r="E617" s="3"/>
      <c r="F617" s="3"/>
      <c r="G617" s="5"/>
      <c r="H617" s="3"/>
      <c r="I617" s="5"/>
      <c r="J617" s="3"/>
      <c r="K617" s="5"/>
      <c r="L617" s="3"/>
      <c r="M617" s="5"/>
      <c r="N617" s="3"/>
      <c r="O617" s="5"/>
      <c r="P617" s="3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>
      <c r="A618" s="1"/>
      <c r="B618" s="1"/>
      <c r="C618" s="1"/>
      <c r="D618" s="1"/>
      <c r="E618" s="3"/>
      <c r="F618" s="3"/>
      <c r="G618" s="5"/>
      <c r="H618" s="3"/>
      <c r="I618" s="5"/>
      <c r="J618" s="3"/>
      <c r="K618" s="5"/>
      <c r="L618" s="3"/>
      <c r="M618" s="5"/>
      <c r="N618" s="3"/>
      <c r="O618" s="5"/>
      <c r="P618" s="3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>
      <c r="A619" s="1"/>
      <c r="B619" s="1"/>
      <c r="C619" s="1"/>
      <c r="D619" s="1"/>
      <c r="E619" s="3"/>
      <c r="F619" s="3"/>
      <c r="G619" s="5"/>
      <c r="H619" s="3"/>
      <c r="I619" s="5"/>
      <c r="J619" s="3"/>
      <c r="K619" s="5"/>
      <c r="L619" s="3"/>
      <c r="M619" s="5"/>
      <c r="N619" s="3"/>
      <c r="O619" s="5"/>
      <c r="P619" s="3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>
      <c r="A620" s="1"/>
      <c r="B620" s="1"/>
      <c r="C620" s="1"/>
      <c r="D620" s="1"/>
      <c r="E620" s="3"/>
      <c r="F620" s="3"/>
      <c r="G620" s="5"/>
      <c r="H620" s="3"/>
      <c r="I620" s="5"/>
      <c r="J620" s="3"/>
      <c r="K620" s="5"/>
      <c r="L620" s="3"/>
      <c r="M620" s="5"/>
      <c r="N620" s="3"/>
      <c r="O620" s="5"/>
      <c r="P620" s="3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>
      <c r="A621" s="1"/>
      <c r="B621" s="1"/>
      <c r="C621" s="1"/>
      <c r="D621" s="1"/>
      <c r="E621" s="3"/>
      <c r="F621" s="3"/>
      <c r="G621" s="5"/>
      <c r="H621" s="3"/>
      <c r="I621" s="5"/>
      <c r="J621" s="3"/>
      <c r="K621" s="5"/>
      <c r="L621" s="3"/>
      <c r="M621" s="5"/>
      <c r="N621" s="3"/>
      <c r="O621" s="5"/>
      <c r="P621" s="3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>
      <c r="A622" s="1"/>
      <c r="B622" s="1"/>
      <c r="C622" s="1"/>
      <c r="D622" s="1"/>
      <c r="E622" s="3"/>
      <c r="F622" s="3"/>
      <c r="G622" s="5"/>
      <c r="H622" s="3"/>
      <c r="I622" s="5"/>
      <c r="J622" s="3"/>
      <c r="K622" s="5"/>
      <c r="L622" s="3"/>
      <c r="M622" s="5"/>
      <c r="N622" s="3"/>
      <c r="O622" s="5"/>
      <c r="P622" s="3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>
      <c r="A623" s="1"/>
      <c r="B623" s="1"/>
      <c r="C623" s="1"/>
      <c r="D623" s="1"/>
      <c r="E623" s="3"/>
      <c r="F623" s="3"/>
      <c r="G623" s="5"/>
      <c r="H623" s="3"/>
      <c r="I623" s="5"/>
      <c r="J623" s="3"/>
      <c r="K623" s="5"/>
      <c r="L623" s="3"/>
      <c r="M623" s="5"/>
      <c r="N623" s="3"/>
      <c r="O623" s="5"/>
      <c r="P623" s="3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>
      <c r="A624" s="1"/>
      <c r="B624" s="1"/>
      <c r="C624" s="1"/>
      <c r="D624" s="1"/>
      <c r="E624" s="3"/>
      <c r="F624" s="3"/>
      <c r="G624" s="5"/>
      <c r="H624" s="3"/>
      <c r="I624" s="5"/>
      <c r="J624" s="3"/>
      <c r="K624" s="5"/>
      <c r="L624" s="3"/>
      <c r="M624" s="5"/>
      <c r="N624" s="3"/>
      <c r="O624" s="5"/>
      <c r="P624" s="3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>
      <c r="A625" s="1"/>
      <c r="B625" s="1"/>
      <c r="C625" s="1"/>
      <c r="D625" s="1"/>
      <c r="E625" s="3"/>
      <c r="F625" s="3"/>
      <c r="G625" s="5"/>
      <c r="H625" s="3"/>
      <c r="I625" s="5"/>
      <c r="J625" s="3"/>
      <c r="K625" s="5"/>
      <c r="L625" s="3"/>
      <c r="M625" s="5"/>
      <c r="N625" s="3"/>
      <c r="O625" s="5"/>
      <c r="P625" s="3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>
      <c r="A626" s="1"/>
      <c r="B626" s="1"/>
      <c r="C626" s="1"/>
      <c r="D626" s="1"/>
      <c r="E626" s="3"/>
      <c r="F626" s="3"/>
      <c r="G626" s="5"/>
      <c r="H626" s="3"/>
      <c r="I626" s="5"/>
      <c r="J626" s="3"/>
      <c r="K626" s="5"/>
      <c r="L626" s="3"/>
      <c r="M626" s="5"/>
      <c r="N626" s="3"/>
      <c r="O626" s="5"/>
      <c r="P626" s="3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>
      <c r="A627" s="1"/>
      <c r="B627" s="1"/>
      <c r="C627" s="1"/>
      <c r="D627" s="1"/>
      <c r="E627" s="3"/>
      <c r="F627" s="3"/>
      <c r="G627" s="5"/>
      <c r="H627" s="3"/>
      <c r="I627" s="5"/>
      <c r="J627" s="3"/>
      <c r="K627" s="5"/>
      <c r="L627" s="3"/>
      <c r="M627" s="5"/>
      <c r="N627" s="3"/>
      <c r="O627" s="5"/>
      <c r="P627" s="3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>
      <c r="A628" s="1"/>
      <c r="B628" s="1"/>
      <c r="C628" s="1"/>
      <c r="D628" s="1"/>
      <c r="E628" s="3"/>
      <c r="F628" s="3"/>
      <c r="G628" s="5"/>
      <c r="H628" s="3"/>
      <c r="I628" s="5"/>
      <c r="J628" s="3"/>
      <c r="K628" s="5"/>
      <c r="L628" s="3"/>
      <c r="M628" s="5"/>
      <c r="N628" s="3"/>
      <c r="O628" s="5"/>
      <c r="P628" s="3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>
      <c r="A629" s="1"/>
      <c r="B629" s="1"/>
      <c r="C629" s="1"/>
      <c r="D629" s="1"/>
      <c r="E629" s="3"/>
      <c r="F629" s="3"/>
      <c r="G629" s="5"/>
      <c r="H629" s="3"/>
      <c r="I629" s="5"/>
      <c r="J629" s="3"/>
      <c r="K629" s="5"/>
      <c r="L629" s="3"/>
      <c r="M629" s="5"/>
      <c r="N629" s="3"/>
      <c r="O629" s="5"/>
      <c r="P629" s="3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>
      <c r="A630" s="1"/>
      <c r="B630" s="1"/>
      <c r="C630" s="1"/>
      <c r="D630" s="1"/>
      <c r="E630" s="3"/>
      <c r="F630" s="3"/>
      <c r="G630" s="5"/>
      <c r="H630" s="3"/>
      <c r="I630" s="5"/>
      <c r="J630" s="3"/>
      <c r="K630" s="5"/>
      <c r="L630" s="3"/>
      <c r="M630" s="5"/>
      <c r="N630" s="3"/>
      <c r="O630" s="5"/>
      <c r="P630" s="3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>
      <c r="A631" s="1"/>
      <c r="B631" s="1"/>
      <c r="C631" s="1"/>
      <c r="D631" s="1"/>
      <c r="E631" s="3"/>
      <c r="F631" s="3"/>
      <c r="G631" s="5"/>
      <c r="H631" s="3"/>
      <c r="I631" s="5"/>
      <c r="J631" s="3"/>
      <c r="K631" s="5"/>
      <c r="L631" s="3"/>
      <c r="M631" s="5"/>
      <c r="N631" s="3"/>
      <c r="O631" s="5"/>
      <c r="P631" s="3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>
      <c r="A632" s="1"/>
      <c r="B632" s="1"/>
      <c r="C632" s="1"/>
      <c r="D632" s="1"/>
      <c r="E632" s="3"/>
      <c r="F632" s="3"/>
      <c r="G632" s="5"/>
      <c r="H632" s="3"/>
      <c r="I632" s="5"/>
      <c r="J632" s="3"/>
      <c r="K632" s="5"/>
      <c r="L632" s="3"/>
      <c r="M632" s="5"/>
      <c r="N632" s="3"/>
      <c r="O632" s="5"/>
      <c r="P632" s="3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>
      <c r="A633" s="1"/>
      <c r="B633" s="1"/>
      <c r="C633" s="1"/>
      <c r="D633" s="1"/>
      <c r="E633" s="3"/>
      <c r="F633" s="3"/>
      <c r="G633" s="5"/>
      <c r="H633" s="3"/>
      <c r="I633" s="5"/>
      <c r="J633" s="3"/>
      <c r="K633" s="5"/>
      <c r="L633" s="3"/>
      <c r="M633" s="5"/>
      <c r="N633" s="3"/>
      <c r="O633" s="5"/>
      <c r="P633" s="3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>
      <c r="A634" s="1"/>
      <c r="B634" s="1"/>
      <c r="C634" s="1"/>
      <c r="D634" s="1"/>
      <c r="E634" s="3"/>
      <c r="F634" s="3"/>
      <c r="G634" s="5"/>
      <c r="H634" s="3"/>
      <c r="I634" s="5"/>
      <c r="J634" s="3"/>
      <c r="K634" s="5"/>
      <c r="L634" s="3"/>
      <c r="M634" s="5"/>
      <c r="N634" s="3"/>
      <c r="O634" s="5"/>
      <c r="P634" s="3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>
      <c r="A635" s="1"/>
      <c r="B635" s="1"/>
      <c r="C635" s="1"/>
      <c r="D635" s="1"/>
      <c r="E635" s="3"/>
      <c r="F635" s="3"/>
      <c r="G635" s="5"/>
      <c r="H635" s="3"/>
      <c r="I635" s="5"/>
      <c r="J635" s="3"/>
      <c r="K635" s="5"/>
      <c r="L635" s="3"/>
      <c r="M635" s="5"/>
      <c r="N635" s="3"/>
      <c r="O635" s="5"/>
      <c r="P635" s="3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>
      <c r="A636" s="1"/>
      <c r="B636" s="1"/>
      <c r="C636" s="1"/>
      <c r="D636" s="1"/>
      <c r="E636" s="3"/>
      <c r="F636" s="3"/>
      <c r="G636" s="5"/>
      <c r="H636" s="3"/>
      <c r="I636" s="5"/>
      <c r="J636" s="3"/>
      <c r="K636" s="5"/>
      <c r="L636" s="3"/>
      <c r="M636" s="5"/>
      <c r="N636" s="3"/>
      <c r="O636" s="5"/>
      <c r="P636" s="3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>
      <c r="A637" s="1"/>
      <c r="B637" s="1"/>
      <c r="C637" s="1"/>
      <c r="D637" s="1"/>
      <c r="E637" s="3"/>
      <c r="F637" s="3"/>
      <c r="G637" s="5"/>
      <c r="H637" s="3"/>
      <c r="I637" s="5"/>
      <c r="J637" s="3"/>
      <c r="K637" s="5"/>
      <c r="L637" s="3"/>
      <c r="M637" s="5"/>
      <c r="N637" s="3"/>
      <c r="O637" s="5"/>
      <c r="P637" s="3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>
      <c r="A638" s="1"/>
      <c r="B638" s="1"/>
      <c r="C638" s="1"/>
      <c r="D638" s="1"/>
      <c r="E638" s="3"/>
      <c r="F638" s="3"/>
      <c r="G638" s="5"/>
      <c r="H638" s="3"/>
      <c r="I638" s="5"/>
      <c r="J638" s="3"/>
      <c r="K638" s="5"/>
      <c r="L638" s="3"/>
      <c r="M638" s="5"/>
      <c r="N638" s="3"/>
      <c r="O638" s="5"/>
      <c r="P638" s="3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>
      <c r="A639" s="1"/>
      <c r="B639" s="1"/>
      <c r="C639" s="1"/>
      <c r="D639" s="1"/>
      <c r="E639" s="3"/>
      <c r="F639" s="3"/>
      <c r="G639" s="5"/>
      <c r="H639" s="3"/>
      <c r="I639" s="5"/>
      <c r="J639" s="3"/>
      <c r="K639" s="5"/>
      <c r="L639" s="3"/>
      <c r="M639" s="5"/>
      <c r="N639" s="3"/>
      <c r="O639" s="5"/>
      <c r="P639" s="3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>
      <c r="A640" s="1"/>
      <c r="B640" s="1"/>
      <c r="C640" s="1"/>
      <c r="D640" s="1"/>
      <c r="E640" s="3"/>
      <c r="F640" s="3"/>
      <c r="G640" s="5"/>
      <c r="H640" s="3"/>
      <c r="I640" s="5"/>
      <c r="J640" s="3"/>
      <c r="K640" s="5"/>
      <c r="L640" s="3"/>
      <c r="M640" s="5"/>
      <c r="N640" s="3"/>
      <c r="O640" s="5"/>
      <c r="P640" s="3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>
      <c r="A641" s="1"/>
      <c r="B641" s="1"/>
      <c r="C641" s="1"/>
      <c r="D641" s="1"/>
      <c r="E641" s="3"/>
      <c r="F641" s="3"/>
      <c r="G641" s="5"/>
      <c r="H641" s="3"/>
      <c r="I641" s="5"/>
      <c r="J641" s="3"/>
      <c r="K641" s="5"/>
      <c r="L641" s="3"/>
      <c r="M641" s="5"/>
      <c r="N641" s="3"/>
      <c r="O641" s="5"/>
      <c r="P641" s="3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>
      <c r="A642" s="1"/>
      <c r="B642" s="1"/>
      <c r="C642" s="1"/>
      <c r="D642" s="1"/>
      <c r="E642" s="3"/>
      <c r="F642" s="3"/>
      <c r="G642" s="5"/>
      <c r="H642" s="3"/>
      <c r="I642" s="5"/>
      <c r="J642" s="3"/>
      <c r="K642" s="5"/>
      <c r="L642" s="3"/>
      <c r="M642" s="5"/>
      <c r="N642" s="3"/>
      <c r="O642" s="5"/>
      <c r="P642" s="3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>
      <c r="A643" s="1"/>
      <c r="B643" s="1"/>
      <c r="C643" s="1"/>
      <c r="D643" s="1"/>
      <c r="E643" s="3"/>
      <c r="F643" s="3"/>
      <c r="G643" s="5"/>
      <c r="H643" s="3"/>
      <c r="I643" s="5"/>
      <c r="J643" s="3"/>
      <c r="K643" s="5"/>
      <c r="L643" s="3"/>
      <c r="M643" s="5"/>
      <c r="N643" s="3"/>
      <c r="O643" s="5"/>
      <c r="P643" s="3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>
      <c r="A644" s="1"/>
      <c r="B644" s="1"/>
      <c r="C644" s="1"/>
      <c r="D644" s="1"/>
      <c r="E644" s="3"/>
      <c r="F644" s="3"/>
      <c r="G644" s="5"/>
      <c r="H644" s="3"/>
      <c r="I644" s="5"/>
      <c r="J644" s="3"/>
      <c r="K644" s="5"/>
      <c r="L644" s="3"/>
      <c r="M644" s="5"/>
      <c r="N644" s="3"/>
      <c r="O644" s="5"/>
      <c r="P644" s="3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>
      <c r="A645" s="1"/>
      <c r="B645" s="1"/>
      <c r="C645" s="1"/>
      <c r="D645" s="1"/>
      <c r="E645" s="3"/>
      <c r="F645" s="3"/>
      <c r="G645" s="5"/>
      <c r="H645" s="3"/>
      <c r="I645" s="5"/>
      <c r="J645" s="3"/>
      <c r="K645" s="5"/>
      <c r="L645" s="3"/>
      <c r="M645" s="5"/>
      <c r="N645" s="3"/>
      <c r="O645" s="5"/>
      <c r="P645" s="3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>
      <c r="A646" s="1"/>
      <c r="B646" s="1"/>
      <c r="C646" s="1"/>
      <c r="D646" s="1"/>
      <c r="E646" s="3"/>
      <c r="F646" s="3"/>
      <c r="G646" s="5"/>
      <c r="H646" s="3"/>
      <c r="I646" s="5"/>
      <c r="J646" s="3"/>
      <c r="K646" s="5"/>
      <c r="L646" s="3"/>
      <c r="M646" s="5"/>
      <c r="N646" s="3"/>
      <c r="O646" s="5"/>
      <c r="P646" s="3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>
      <c r="A647" s="1"/>
      <c r="B647" s="1"/>
      <c r="C647" s="1"/>
      <c r="D647" s="1"/>
      <c r="E647" s="3"/>
      <c r="F647" s="3"/>
      <c r="G647" s="5"/>
      <c r="H647" s="3"/>
      <c r="I647" s="5"/>
      <c r="J647" s="3"/>
      <c r="K647" s="5"/>
      <c r="L647" s="3"/>
      <c r="M647" s="5"/>
      <c r="N647" s="3"/>
      <c r="O647" s="5"/>
      <c r="P647" s="3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>
      <c r="A648" s="1"/>
      <c r="B648" s="1"/>
      <c r="C648" s="1"/>
      <c r="D648" s="1"/>
      <c r="E648" s="3"/>
      <c r="F648" s="3"/>
      <c r="G648" s="5"/>
      <c r="H648" s="3"/>
      <c r="I648" s="5"/>
      <c r="J648" s="3"/>
      <c r="K648" s="5"/>
      <c r="L648" s="3"/>
      <c r="M648" s="5"/>
      <c r="N648" s="3"/>
      <c r="O648" s="5"/>
      <c r="P648" s="3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>
      <c r="A649" s="1"/>
      <c r="B649" s="1"/>
      <c r="C649" s="1"/>
      <c r="D649" s="1"/>
      <c r="E649" s="3"/>
      <c r="F649" s="3"/>
      <c r="G649" s="5"/>
      <c r="H649" s="3"/>
      <c r="I649" s="5"/>
      <c r="J649" s="3"/>
      <c r="K649" s="5"/>
      <c r="L649" s="3"/>
      <c r="M649" s="5"/>
      <c r="N649" s="3"/>
      <c r="O649" s="5"/>
      <c r="P649" s="3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>
      <c r="A650" s="1"/>
      <c r="B650" s="1"/>
      <c r="C650" s="1"/>
      <c r="D650" s="1"/>
      <c r="E650" s="3"/>
      <c r="F650" s="3"/>
      <c r="G650" s="5"/>
      <c r="H650" s="3"/>
      <c r="I650" s="5"/>
      <c r="J650" s="3"/>
      <c r="K650" s="5"/>
      <c r="L650" s="3"/>
      <c r="M650" s="5"/>
      <c r="N650" s="3"/>
      <c r="O650" s="5"/>
      <c r="P650" s="3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>
      <c r="A651" s="1"/>
      <c r="B651" s="1"/>
      <c r="C651" s="1"/>
      <c r="D651" s="1"/>
      <c r="E651" s="3"/>
      <c r="F651" s="3"/>
      <c r="G651" s="5"/>
      <c r="H651" s="3"/>
      <c r="I651" s="5"/>
      <c r="J651" s="3"/>
      <c r="K651" s="5"/>
      <c r="L651" s="3"/>
      <c r="M651" s="5"/>
      <c r="N651" s="3"/>
      <c r="O651" s="5"/>
      <c r="P651" s="3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>
      <c r="A652" s="1"/>
      <c r="B652" s="1"/>
      <c r="C652" s="1"/>
      <c r="D652" s="1"/>
      <c r="E652" s="3"/>
      <c r="F652" s="3"/>
      <c r="G652" s="5"/>
      <c r="H652" s="3"/>
      <c r="I652" s="5"/>
      <c r="J652" s="3"/>
      <c r="K652" s="5"/>
      <c r="L652" s="3"/>
      <c r="M652" s="5"/>
      <c r="N652" s="3"/>
      <c r="O652" s="5"/>
      <c r="P652" s="3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>
      <c r="A653" s="1"/>
      <c r="B653" s="1"/>
      <c r="C653" s="1"/>
      <c r="D653" s="1"/>
      <c r="E653" s="3"/>
      <c r="F653" s="3"/>
      <c r="G653" s="5"/>
      <c r="H653" s="3"/>
      <c r="I653" s="5"/>
      <c r="J653" s="3"/>
      <c r="K653" s="5"/>
      <c r="L653" s="3"/>
      <c r="M653" s="5"/>
      <c r="N653" s="3"/>
      <c r="O653" s="5"/>
      <c r="P653" s="3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>
      <c r="A654" s="1"/>
      <c r="B654" s="1"/>
      <c r="C654" s="1"/>
      <c r="D654" s="1"/>
      <c r="E654" s="3"/>
      <c r="F654" s="3"/>
      <c r="G654" s="5"/>
      <c r="H654" s="3"/>
      <c r="I654" s="5"/>
      <c r="J654" s="3"/>
      <c r="K654" s="5"/>
      <c r="L654" s="3"/>
      <c r="M654" s="5"/>
      <c r="N654" s="3"/>
      <c r="O654" s="5"/>
      <c r="P654" s="3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>
      <c r="A655" s="1"/>
      <c r="B655" s="1"/>
      <c r="C655" s="1"/>
      <c r="D655" s="1"/>
      <c r="E655" s="3"/>
      <c r="F655" s="3"/>
      <c r="G655" s="5"/>
      <c r="H655" s="3"/>
      <c r="I655" s="5"/>
      <c r="J655" s="3"/>
      <c r="K655" s="5"/>
      <c r="L655" s="3"/>
      <c r="M655" s="5"/>
      <c r="N655" s="3"/>
      <c r="O655" s="5"/>
      <c r="P655" s="3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>
      <c r="A656" s="1"/>
      <c r="B656" s="1"/>
      <c r="C656" s="1"/>
      <c r="D656" s="1"/>
      <c r="E656" s="3"/>
      <c r="F656" s="3"/>
      <c r="G656" s="5"/>
      <c r="H656" s="3"/>
      <c r="I656" s="5"/>
      <c r="J656" s="3"/>
      <c r="K656" s="5"/>
      <c r="L656" s="3"/>
      <c r="M656" s="5"/>
      <c r="N656" s="3"/>
      <c r="O656" s="5"/>
      <c r="P656" s="3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>
      <c r="A657" s="1"/>
      <c r="B657" s="1"/>
      <c r="C657" s="1"/>
      <c r="D657" s="1"/>
      <c r="E657" s="3"/>
      <c r="F657" s="3"/>
      <c r="G657" s="5"/>
      <c r="H657" s="3"/>
      <c r="I657" s="5"/>
      <c r="J657" s="3"/>
      <c r="K657" s="5"/>
      <c r="L657" s="3"/>
      <c r="M657" s="5"/>
      <c r="N657" s="3"/>
      <c r="O657" s="5"/>
      <c r="P657" s="3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>
      <c r="A658" s="1"/>
      <c r="B658" s="1"/>
      <c r="C658" s="1"/>
      <c r="D658" s="1"/>
      <c r="E658" s="3"/>
      <c r="F658" s="3"/>
      <c r="G658" s="5"/>
      <c r="H658" s="3"/>
      <c r="I658" s="5"/>
      <c r="J658" s="3"/>
      <c r="K658" s="5"/>
      <c r="L658" s="3"/>
      <c r="M658" s="5"/>
      <c r="N658" s="3"/>
      <c r="O658" s="5"/>
      <c r="P658" s="3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>
      <c r="A659" s="1"/>
      <c r="B659" s="1"/>
      <c r="C659" s="1"/>
      <c r="D659" s="1"/>
      <c r="E659" s="3"/>
      <c r="F659" s="3"/>
      <c r="G659" s="5"/>
      <c r="H659" s="3"/>
      <c r="I659" s="5"/>
      <c r="J659" s="3"/>
      <c r="K659" s="5"/>
      <c r="L659" s="3"/>
      <c r="M659" s="5"/>
      <c r="N659" s="3"/>
      <c r="O659" s="5"/>
      <c r="P659" s="3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>
      <c r="A660" s="1"/>
      <c r="B660" s="1"/>
      <c r="C660" s="1"/>
      <c r="D660" s="1"/>
      <c r="E660" s="3"/>
      <c r="F660" s="3"/>
      <c r="G660" s="5"/>
      <c r="H660" s="3"/>
      <c r="I660" s="5"/>
      <c r="J660" s="3"/>
      <c r="K660" s="5"/>
      <c r="L660" s="3"/>
      <c r="M660" s="5"/>
      <c r="N660" s="3"/>
      <c r="O660" s="5"/>
      <c r="P660" s="3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>
      <c r="A661" s="1"/>
      <c r="B661" s="1"/>
      <c r="C661" s="1"/>
      <c r="D661" s="1"/>
      <c r="E661" s="3"/>
      <c r="F661" s="3"/>
      <c r="G661" s="5"/>
      <c r="H661" s="3"/>
      <c r="I661" s="5"/>
      <c r="J661" s="3"/>
      <c r="K661" s="5"/>
      <c r="L661" s="3"/>
      <c r="M661" s="5"/>
      <c r="N661" s="3"/>
      <c r="O661" s="5"/>
      <c r="P661" s="3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>
      <c r="A662" s="1"/>
      <c r="B662" s="1"/>
      <c r="C662" s="1"/>
      <c r="D662" s="1"/>
      <c r="E662" s="3"/>
      <c r="F662" s="3"/>
      <c r="G662" s="5"/>
      <c r="H662" s="3"/>
      <c r="I662" s="5"/>
      <c r="J662" s="3"/>
      <c r="K662" s="5"/>
      <c r="L662" s="3"/>
      <c r="M662" s="5"/>
      <c r="N662" s="3"/>
      <c r="O662" s="5"/>
      <c r="P662" s="3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>
      <c r="A663" s="1"/>
      <c r="B663" s="1"/>
      <c r="C663" s="1"/>
      <c r="D663" s="1"/>
      <c r="E663" s="3"/>
      <c r="F663" s="3"/>
      <c r="G663" s="5"/>
      <c r="H663" s="3"/>
      <c r="I663" s="5"/>
      <c r="J663" s="3"/>
      <c r="K663" s="5"/>
      <c r="L663" s="3"/>
      <c r="M663" s="5"/>
      <c r="N663" s="3"/>
      <c r="O663" s="5"/>
      <c r="P663" s="3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>
      <c r="A664" s="1"/>
      <c r="B664" s="1"/>
      <c r="C664" s="1"/>
      <c r="D664" s="1"/>
      <c r="E664" s="3"/>
      <c r="F664" s="3"/>
      <c r="G664" s="5"/>
      <c r="H664" s="3"/>
      <c r="I664" s="5"/>
      <c r="J664" s="3"/>
      <c r="K664" s="5"/>
      <c r="L664" s="3"/>
      <c r="M664" s="5"/>
      <c r="N664" s="3"/>
      <c r="O664" s="5"/>
      <c r="P664" s="3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>
      <c r="A665" s="1"/>
      <c r="B665" s="1"/>
      <c r="C665" s="1"/>
      <c r="D665" s="1"/>
      <c r="E665" s="3"/>
      <c r="F665" s="3"/>
      <c r="G665" s="5"/>
      <c r="H665" s="3"/>
      <c r="I665" s="5"/>
      <c r="J665" s="3"/>
      <c r="K665" s="5"/>
      <c r="L665" s="3"/>
      <c r="M665" s="5"/>
      <c r="N665" s="3"/>
      <c r="O665" s="5"/>
      <c r="P665" s="3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>
      <c r="A666" s="1"/>
      <c r="B666" s="1"/>
      <c r="C666" s="1"/>
      <c r="D666" s="1"/>
      <c r="E666" s="3"/>
      <c r="F666" s="3"/>
      <c r="G666" s="5"/>
      <c r="H666" s="3"/>
      <c r="I666" s="5"/>
      <c r="J666" s="3"/>
      <c r="K666" s="5"/>
      <c r="L666" s="3"/>
      <c r="M666" s="5"/>
      <c r="N666" s="3"/>
      <c r="O666" s="5"/>
      <c r="P666" s="3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>
      <c r="A667" s="1"/>
      <c r="B667" s="1"/>
      <c r="C667" s="1"/>
      <c r="D667" s="1"/>
      <c r="E667" s="3"/>
      <c r="F667" s="3"/>
      <c r="G667" s="5"/>
      <c r="H667" s="3"/>
      <c r="I667" s="5"/>
      <c r="J667" s="3"/>
      <c r="K667" s="5"/>
      <c r="L667" s="3"/>
      <c r="M667" s="5"/>
      <c r="N667" s="3"/>
      <c r="O667" s="5"/>
      <c r="P667" s="3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>
      <c r="A668" s="1"/>
      <c r="B668" s="1"/>
      <c r="C668" s="1"/>
      <c r="D668" s="1"/>
      <c r="E668" s="3"/>
      <c r="F668" s="3"/>
      <c r="G668" s="5"/>
      <c r="H668" s="3"/>
      <c r="I668" s="5"/>
      <c r="J668" s="3"/>
      <c r="K668" s="5"/>
      <c r="L668" s="3"/>
      <c r="M668" s="5"/>
      <c r="N668" s="3"/>
      <c r="O668" s="5"/>
      <c r="P668" s="3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>
      <c r="A669" s="1"/>
      <c r="B669" s="1"/>
      <c r="C669" s="1"/>
      <c r="D669" s="1"/>
      <c r="E669" s="3"/>
      <c r="F669" s="3"/>
      <c r="G669" s="5"/>
      <c r="H669" s="3"/>
      <c r="I669" s="5"/>
      <c r="J669" s="3"/>
      <c r="K669" s="5"/>
      <c r="L669" s="3"/>
      <c r="M669" s="5"/>
      <c r="N669" s="3"/>
      <c r="O669" s="5"/>
      <c r="P669" s="3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>
      <c r="A670" s="1"/>
      <c r="B670" s="1"/>
      <c r="C670" s="1"/>
      <c r="D670" s="1"/>
      <c r="E670" s="3"/>
      <c r="F670" s="3"/>
      <c r="G670" s="5"/>
      <c r="H670" s="3"/>
      <c r="I670" s="5"/>
      <c r="J670" s="3"/>
      <c r="K670" s="5"/>
      <c r="L670" s="3"/>
      <c r="M670" s="5"/>
      <c r="N670" s="3"/>
      <c r="O670" s="5"/>
      <c r="P670" s="3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>
      <c r="A671" s="1"/>
      <c r="B671" s="1"/>
      <c r="C671" s="1"/>
      <c r="D671" s="1"/>
      <c r="E671" s="3"/>
      <c r="F671" s="3"/>
      <c r="G671" s="5"/>
      <c r="H671" s="3"/>
      <c r="I671" s="5"/>
      <c r="J671" s="3"/>
      <c r="K671" s="5"/>
      <c r="L671" s="3"/>
      <c r="M671" s="5"/>
      <c r="N671" s="3"/>
      <c r="O671" s="5"/>
      <c r="P671" s="3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>
      <c r="A672" s="1"/>
      <c r="B672" s="1"/>
      <c r="C672" s="1"/>
      <c r="D672" s="1"/>
      <c r="E672" s="3"/>
      <c r="F672" s="3"/>
      <c r="G672" s="5"/>
      <c r="H672" s="3"/>
      <c r="I672" s="5"/>
      <c r="J672" s="3"/>
      <c r="K672" s="5"/>
      <c r="L672" s="3"/>
      <c r="M672" s="5"/>
      <c r="N672" s="3"/>
      <c r="O672" s="5"/>
      <c r="P672" s="3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>
      <c r="A673" s="1"/>
      <c r="B673" s="1"/>
      <c r="C673" s="1"/>
      <c r="D673" s="1"/>
      <c r="E673" s="3"/>
      <c r="F673" s="3"/>
      <c r="G673" s="5"/>
      <c r="H673" s="3"/>
      <c r="I673" s="5"/>
      <c r="J673" s="3"/>
      <c r="K673" s="5"/>
      <c r="L673" s="3"/>
      <c r="M673" s="5"/>
      <c r="N673" s="3"/>
      <c r="O673" s="5"/>
      <c r="P673" s="3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>
      <c r="A674" s="1"/>
      <c r="B674" s="1"/>
      <c r="C674" s="1"/>
      <c r="D674" s="1"/>
      <c r="E674" s="3"/>
      <c r="F674" s="3"/>
      <c r="G674" s="5"/>
      <c r="H674" s="3"/>
      <c r="I674" s="5"/>
      <c r="J674" s="3"/>
      <c r="K674" s="5"/>
      <c r="L674" s="3"/>
      <c r="M674" s="5"/>
      <c r="N674" s="3"/>
      <c r="O674" s="5"/>
      <c r="P674" s="3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>
      <c r="A675" s="1"/>
      <c r="B675" s="1"/>
      <c r="C675" s="1"/>
      <c r="D675" s="1"/>
      <c r="E675" s="3"/>
      <c r="F675" s="3"/>
      <c r="G675" s="5"/>
      <c r="H675" s="3"/>
      <c r="I675" s="5"/>
      <c r="J675" s="3"/>
      <c r="K675" s="5"/>
      <c r="L675" s="3"/>
      <c r="M675" s="5"/>
      <c r="N675" s="3"/>
      <c r="O675" s="5"/>
      <c r="P675" s="3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>
      <c r="A676" s="1"/>
      <c r="B676" s="1"/>
      <c r="C676" s="1"/>
      <c r="D676" s="1"/>
      <c r="E676" s="3"/>
      <c r="F676" s="3"/>
      <c r="G676" s="5"/>
      <c r="H676" s="3"/>
      <c r="I676" s="5"/>
      <c r="J676" s="3"/>
      <c r="K676" s="5"/>
      <c r="L676" s="3"/>
      <c r="M676" s="5"/>
      <c r="N676" s="3"/>
      <c r="O676" s="5"/>
      <c r="P676" s="3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>
      <c r="A677" s="1"/>
      <c r="B677" s="1"/>
      <c r="C677" s="1"/>
      <c r="D677" s="1"/>
      <c r="E677" s="3"/>
      <c r="F677" s="3"/>
      <c r="G677" s="5"/>
      <c r="H677" s="3"/>
      <c r="I677" s="5"/>
      <c r="J677" s="3"/>
      <c r="K677" s="5"/>
      <c r="L677" s="3"/>
      <c r="M677" s="5"/>
      <c r="N677" s="3"/>
      <c r="O677" s="5"/>
      <c r="P677" s="3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>
      <c r="A678" s="1"/>
      <c r="B678" s="1"/>
      <c r="C678" s="1"/>
      <c r="D678" s="1"/>
      <c r="E678" s="3"/>
      <c r="F678" s="3"/>
      <c r="G678" s="5"/>
      <c r="H678" s="3"/>
      <c r="I678" s="5"/>
      <c r="J678" s="3"/>
      <c r="K678" s="5"/>
      <c r="L678" s="3"/>
      <c r="M678" s="5"/>
      <c r="N678" s="3"/>
      <c r="O678" s="5"/>
      <c r="P678" s="3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>
      <c r="A679" s="1"/>
      <c r="B679" s="1"/>
      <c r="C679" s="1"/>
      <c r="D679" s="1"/>
      <c r="E679" s="3"/>
      <c r="F679" s="3"/>
      <c r="G679" s="5"/>
      <c r="H679" s="3"/>
      <c r="I679" s="5"/>
      <c r="J679" s="3"/>
      <c r="K679" s="5"/>
      <c r="L679" s="3"/>
      <c r="M679" s="5"/>
      <c r="N679" s="3"/>
      <c r="O679" s="5"/>
      <c r="P679" s="3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>
      <c r="A680" s="1"/>
      <c r="B680" s="1"/>
      <c r="C680" s="1"/>
      <c r="D680" s="1"/>
      <c r="E680" s="3"/>
      <c r="F680" s="3"/>
      <c r="G680" s="5"/>
      <c r="H680" s="3"/>
      <c r="I680" s="5"/>
      <c r="J680" s="3"/>
      <c r="K680" s="5"/>
      <c r="L680" s="3"/>
      <c r="M680" s="5"/>
      <c r="N680" s="3"/>
      <c r="O680" s="5"/>
      <c r="P680" s="3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>
      <c r="A681" s="1"/>
      <c r="B681" s="1"/>
      <c r="C681" s="1"/>
      <c r="D681" s="1"/>
      <c r="E681" s="3"/>
      <c r="F681" s="3"/>
      <c r="G681" s="5"/>
      <c r="H681" s="3"/>
      <c r="I681" s="5"/>
      <c r="J681" s="3"/>
      <c r="K681" s="5"/>
      <c r="L681" s="3"/>
      <c r="M681" s="5"/>
      <c r="N681" s="3"/>
      <c r="O681" s="5"/>
      <c r="P681" s="3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>
      <c r="A682" s="1"/>
      <c r="B682" s="1"/>
      <c r="C682" s="1"/>
      <c r="D682" s="1"/>
      <c r="E682" s="3"/>
      <c r="F682" s="3"/>
      <c r="G682" s="5"/>
      <c r="H682" s="3"/>
      <c r="I682" s="5"/>
      <c r="J682" s="3"/>
      <c r="K682" s="5"/>
      <c r="L682" s="3"/>
      <c r="M682" s="5"/>
      <c r="N682" s="3"/>
      <c r="O682" s="5"/>
      <c r="P682" s="3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>
      <c r="A683" s="1"/>
      <c r="B683" s="1"/>
      <c r="C683" s="1"/>
      <c r="D683" s="1"/>
      <c r="E683" s="3"/>
      <c r="F683" s="3"/>
      <c r="G683" s="5"/>
      <c r="H683" s="3"/>
      <c r="I683" s="5"/>
      <c r="J683" s="3"/>
      <c r="K683" s="5"/>
      <c r="L683" s="3"/>
      <c r="M683" s="5"/>
      <c r="N683" s="3"/>
      <c r="O683" s="5"/>
      <c r="P683" s="3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>
      <c r="A684" s="1"/>
      <c r="B684" s="1"/>
      <c r="C684" s="1"/>
      <c r="D684" s="1"/>
      <c r="E684" s="3"/>
      <c r="F684" s="3"/>
      <c r="G684" s="5"/>
      <c r="H684" s="3"/>
      <c r="I684" s="5"/>
      <c r="J684" s="3"/>
      <c r="K684" s="5"/>
      <c r="L684" s="3"/>
      <c r="M684" s="5"/>
      <c r="N684" s="3"/>
      <c r="O684" s="5"/>
      <c r="P684" s="3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>
      <c r="A685" s="1"/>
      <c r="B685" s="1"/>
      <c r="C685" s="1"/>
      <c r="D685" s="1"/>
      <c r="E685" s="3"/>
      <c r="F685" s="3"/>
      <c r="G685" s="5"/>
      <c r="H685" s="3"/>
      <c r="I685" s="5"/>
      <c r="J685" s="3"/>
      <c r="K685" s="5"/>
      <c r="L685" s="3"/>
      <c r="M685" s="5"/>
      <c r="N685" s="3"/>
      <c r="O685" s="5"/>
      <c r="P685" s="3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>
      <c r="A686" s="1"/>
      <c r="B686" s="1"/>
      <c r="C686" s="1"/>
      <c r="D686" s="1"/>
      <c r="E686" s="3"/>
      <c r="F686" s="3"/>
      <c r="G686" s="5"/>
      <c r="H686" s="3"/>
      <c r="I686" s="5"/>
      <c r="J686" s="3"/>
      <c r="K686" s="5"/>
      <c r="L686" s="3"/>
      <c r="M686" s="5"/>
      <c r="N686" s="3"/>
      <c r="O686" s="5"/>
      <c r="P686" s="3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>
      <c r="A687" s="1"/>
      <c r="B687" s="1"/>
      <c r="C687" s="1"/>
      <c r="D687" s="1"/>
      <c r="E687" s="3"/>
      <c r="F687" s="3"/>
      <c r="G687" s="5"/>
      <c r="H687" s="3"/>
      <c r="I687" s="5"/>
      <c r="J687" s="3"/>
      <c r="K687" s="5"/>
      <c r="L687" s="3"/>
      <c r="M687" s="5"/>
      <c r="N687" s="3"/>
      <c r="O687" s="5"/>
      <c r="P687" s="3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>
      <c r="A688" s="1"/>
      <c r="B688" s="1"/>
      <c r="C688" s="1"/>
      <c r="D688" s="1"/>
      <c r="E688" s="3"/>
      <c r="F688" s="3"/>
      <c r="G688" s="5"/>
      <c r="H688" s="3"/>
      <c r="I688" s="5"/>
      <c r="J688" s="3"/>
      <c r="K688" s="5"/>
      <c r="L688" s="3"/>
      <c r="M688" s="5"/>
      <c r="N688" s="3"/>
      <c r="O688" s="5"/>
      <c r="P688" s="3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>
      <c r="A689" s="1"/>
      <c r="B689" s="1"/>
      <c r="C689" s="1"/>
      <c r="D689" s="1"/>
      <c r="E689" s="3"/>
      <c r="F689" s="3"/>
      <c r="G689" s="5"/>
      <c r="H689" s="3"/>
      <c r="I689" s="5"/>
      <c r="J689" s="3"/>
      <c r="K689" s="5"/>
      <c r="L689" s="3"/>
      <c r="M689" s="5"/>
      <c r="N689" s="3"/>
      <c r="O689" s="5"/>
      <c r="P689" s="3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>
      <c r="A690" s="1"/>
      <c r="B690" s="1"/>
      <c r="C690" s="1"/>
      <c r="D690" s="1"/>
      <c r="E690" s="3"/>
      <c r="F690" s="3"/>
      <c r="G690" s="5"/>
      <c r="H690" s="3"/>
      <c r="I690" s="5"/>
      <c r="J690" s="3"/>
      <c r="K690" s="5"/>
      <c r="L690" s="3"/>
      <c r="M690" s="5"/>
      <c r="N690" s="3"/>
      <c r="O690" s="5"/>
      <c r="P690" s="3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>
      <c r="A691" s="1"/>
      <c r="B691" s="1"/>
      <c r="C691" s="1"/>
      <c r="D691" s="1"/>
      <c r="E691" s="3"/>
      <c r="F691" s="3"/>
      <c r="G691" s="5"/>
      <c r="H691" s="3"/>
      <c r="I691" s="5"/>
      <c r="J691" s="3"/>
      <c r="K691" s="5"/>
      <c r="L691" s="3"/>
      <c r="M691" s="5"/>
      <c r="N691" s="3"/>
      <c r="O691" s="5"/>
      <c r="P691" s="3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>
      <c r="A692" s="1"/>
      <c r="B692" s="1"/>
      <c r="C692" s="1"/>
      <c r="D692" s="1"/>
      <c r="E692" s="3"/>
      <c r="F692" s="3"/>
      <c r="G692" s="5"/>
      <c r="H692" s="3"/>
      <c r="I692" s="5"/>
      <c r="J692" s="3"/>
      <c r="K692" s="5"/>
      <c r="L692" s="3"/>
      <c r="M692" s="5"/>
      <c r="N692" s="3"/>
      <c r="O692" s="5"/>
      <c r="P692" s="3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>
      <c r="A693" s="1"/>
      <c r="B693" s="1"/>
      <c r="C693" s="1"/>
      <c r="D693" s="1"/>
      <c r="E693" s="3"/>
      <c r="F693" s="3"/>
      <c r="G693" s="5"/>
      <c r="H693" s="3"/>
      <c r="I693" s="5"/>
      <c r="J693" s="3"/>
      <c r="K693" s="5"/>
      <c r="L693" s="3"/>
      <c r="M693" s="5"/>
      <c r="N693" s="3"/>
      <c r="O693" s="5"/>
      <c r="P693" s="3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>
      <c r="A694" s="1"/>
      <c r="B694" s="1"/>
      <c r="C694" s="1"/>
      <c r="D694" s="1"/>
      <c r="E694" s="3"/>
      <c r="F694" s="3"/>
      <c r="G694" s="5"/>
      <c r="H694" s="3"/>
      <c r="I694" s="5"/>
      <c r="J694" s="3"/>
      <c r="K694" s="5"/>
      <c r="L694" s="3"/>
      <c r="M694" s="5"/>
      <c r="N694" s="3"/>
      <c r="O694" s="5"/>
      <c r="P694" s="3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>
      <c r="A695" s="1"/>
      <c r="B695" s="1"/>
      <c r="C695" s="1"/>
      <c r="D695" s="1"/>
      <c r="E695" s="3"/>
      <c r="F695" s="3"/>
      <c r="G695" s="5"/>
      <c r="H695" s="3"/>
      <c r="I695" s="5"/>
      <c r="J695" s="3"/>
      <c r="K695" s="5"/>
      <c r="L695" s="3"/>
      <c r="M695" s="5"/>
      <c r="N695" s="3"/>
      <c r="O695" s="5"/>
      <c r="P695" s="3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>
      <c r="A696" s="1"/>
      <c r="B696" s="1"/>
      <c r="C696" s="1"/>
      <c r="D696" s="1"/>
      <c r="E696" s="3"/>
      <c r="F696" s="3"/>
      <c r="G696" s="5"/>
      <c r="H696" s="3"/>
      <c r="I696" s="5"/>
      <c r="J696" s="3"/>
      <c r="K696" s="5"/>
      <c r="L696" s="3"/>
      <c r="M696" s="5"/>
      <c r="N696" s="3"/>
      <c r="O696" s="5"/>
      <c r="P696" s="3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>
      <c r="A697" s="1"/>
      <c r="B697" s="1"/>
      <c r="C697" s="1"/>
      <c r="D697" s="1"/>
      <c r="E697" s="3"/>
      <c r="F697" s="3"/>
      <c r="G697" s="5"/>
      <c r="H697" s="3"/>
      <c r="I697" s="5"/>
      <c r="J697" s="3"/>
      <c r="K697" s="5"/>
      <c r="L697" s="3"/>
      <c r="M697" s="5"/>
      <c r="N697" s="3"/>
      <c r="O697" s="5"/>
      <c r="P697" s="3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>
      <c r="A698" s="1"/>
      <c r="B698" s="1"/>
      <c r="C698" s="1"/>
      <c r="D698" s="1"/>
      <c r="E698" s="3"/>
      <c r="F698" s="3"/>
      <c r="G698" s="5"/>
      <c r="H698" s="3"/>
      <c r="I698" s="5"/>
      <c r="J698" s="3"/>
      <c r="K698" s="5"/>
      <c r="L698" s="3"/>
      <c r="M698" s="5"/>
      <c r="N698" s="3"/>
      <c r="O698" s="5"/>
      <c r="P698" s="3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>
      <c r="A699" s="1"/>
      <c r="B699" s="1"/>
      <c r="C699" s="1"/>
      <c r="D699" s="1"/>
      <c r="E699" s="3"/>
      <c r="F699" s="3"/>
      <c r="G699" s="5"/>
      <c r="H699" s="3"/>
      <c r="I699" s="5"/>
      <c r="J699" s="3"/>
      <c r="K699" s="5"/>
      <c r="L699" s="3"/>
      <c r="M699" s="5"/>
      <c r="N699" s="3"/>
      <c r="O699" s="5"/>
      <c r="P699" s="3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>
      <c r="A700" s="1"/>
      <c r="B700" s="1"/>
      <c r="C700" s="1"/>
      <c r="D700" s="1"/>
      <c r="E700" s="3"/>
      <c r="F700" s="3"/>
      <c r="G700" s="5"/>
      <c r="H700" s="3"/>
      <c r="I700" s="5"/>
      <c r="J700" s="3"/>
      <c r="K700" s="5"/>
      <c r="L700" s="3"/>
      <c r="M700" s="5"/>
      <c r="N700" s="3"/>
      <c r="O700" s="5"/>
      <c r="P700" s="3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>
      <c r="A701" s="1"/>
      <c r="B701" s="1"/>
      <c r="C701" s="1"/>
      <c r="D701" s="1"/>
      <c r="E701" s="3"/>
      <c r="F701" s="3"/>
      <c r="G701" s="5"/>
      <c r="H701" s="3"/>
      <c r="I701" s="5"/>
      <c r="J701" s="3"/>
      <c r="K701" s="5"/>
      <c r="L701" s="3"/>
      <c r="M701" s="5"/>
      <c r="N701" s="3"/>
      <c r="O701" s="5"/>
      <c r="P701" s="3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>
      <c r="A702" s="1"/>
      <c r="B702" s="1"/>
      <c r="C702" s="1"/>
      <c r="D702" s="1"/>
      <c r="E702" s="3"/>
      <c r="F702" s="3"/>
      <c r="G702" s="5"/>
      <c r="H702" s="3"/>
      <c r="I702" s="5"/>
      <c r="J702" s="3"/>
      <c r="K702" s="5"/>
      <c r="L702" s="3"/>
      <c r="M702" s="5"/>
      <c r="N702" s="3"/>
      <c r="O702" s="5"/>
      <c r="P702" s="3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>
      <c r="A703" s="1"/>
      <c r="B703" s="1"/>
      <c r="C703" s="1"/>
      <c r="D703" s="1"/>
      <c r="E703" s="3"/>
      <c r="F703" s="3"/>
      <c r="G703" s="5"/>
      <c r="H703" s="3"/>
      <c r="I703" s="5"/>
      <c r="J703" s="3"/>
      <c r="K703" s="5"/>
      <c r="L703" s="3"/>
      <c r="M703" s="5"/>
      <c r="N703" s="3"/>
      <c r="O703" s="5"/>
      <c r="P703" s="3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>
      <c r="A704" s="1"/>
      <c r="B704" s="1"/>
      <c r="C704" s="1"/>
      <c r="D704" s="1"/>
      <c r="E704" s="3"/>
      <c r="F704" s="3"/>
      <c r="G704" s="5"/>
      <c r="H704" s="3"/>
      <c r="I704" s="5"/>
      <c r="J704" s="3"/>
      <c r="K704" s="5"/>
      <c r="L704" s="3"/>
      <c r="M704" s="5"/>
      <c r="N704" s="3"/>
      <c r="O704" s="5"/>
      <c r="P704" s="3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>
      <c r="A705" s="1"/>
      <c r="B705" s="1"/>
      <c r="C705" s="1"/>
      <c r="D705" s="1"/>
      <c r="E705" s="3"/>
      <c r="F705" s="3"/>
      <c r="G705" s="5"/>
      <c r="H705" s="3"/>
      <c r="I705" s="5"/>
      <c r="J705" s="3"/>
      <c r="K705" s="5"/>
      <c r="L705" s="3"/>
      <c r="M705" s="5"/>
      <c r="N705" s="3"/>
      <c r="O705" s="5"/>
      <c r="P705" s="3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>
      <c r="A706" s="1"/>
      <c r="B706" s="1"/>
      <c r="C706" s="1"/>
      <c r="D706" s="1"/>
      <c r="E706" s="3"/>
      <c r="F706" s="3"/>
      <c r="G706" s="5"/>
      <c r="H706" s="3"/>
      <c r="I706" s="5"/>
      <c r="J706" s="3"/>
      <c r="K706" s="5"/>
      <c r="L706" s="3"/>
      <c r="M706" s="5"/>
      <c r="N706" s="3"/>
      <c r="O706" s="5"/>
      <c r="P706" s="3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>
      <c r="A707" s="1"/>
      <c r="B707" s="1"/>
      <c r="C707" s="1"/>
      <c r="D707" s="1"/>
      <c r="E707" s="3"/>
      <c r="F707" s="3"/>
      <c r="G707" s="5"/>
      <c r="H707" s="3"/>
      <c r="I707" s="5"/>
      <c r="J707" s="3"/>
      <c r="K707" s="5"/>
      <c r="L707" s="3"/>
      <c r="M707" s="5"/>
      <c r="N707" s="3"/>
      <c r="O707" s="5"/>
      <c r="P707" s="3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>
      <c r="A708" s="1"/>
      <c r="B708" s="1"/>
      <c r="C708" s="1"/>
      <c r="D708" s="1"/>
      <c r="E708" s="3"/>
      <c r="F708" s="3"/>
      <c r="G708" s="5"/>
      <c r="H708" s="3"/>
      <c r="I708" s="5"/>
      <c r="J708" s="3"/>
      <c r="K708" s="5"/>
      <c r="L708" s="3"/>
      <c r="M708" s="5"/>
      <c r="N708" s="3"/>
      <c r="O708" s="5"/>
      <c r="P708" s="3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>
      <c r="A709" s="1"/>
      <c r="B709" s="1"/>
      <c r="C709" s="1"/>
      <c r="D709" s="1"/>
      <c r="E709" s="3"/>
      <c r="F709" s="3"/>
      <c r="G709" s="5"/>
      <c r="H709" s="3"/>
      <c r="I709" s="5"/>
      <c r="J709" s="3"/>
      <c r="K709" s="5"/>
      <c r="L709" s="3"/>
      <c r="M709" s="5"/>
      <c r="N709" s="3"/>
      <c r="O709" s="5"/>
      <c r="P709" s="3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>
      <c r="A710" s="1"/>
      <c r="B710" s="1"/>
      <c r="C710" s="1"/>
      <c r="D710" s="1"/>
      <c r="E710" s="3"/>
      <c r="F710" s="3"/>
      <c r="G710" s="5"/>
      <c r="H710" s="3"/>
      <c r="I710" s="5"/>
      <c r="J710" s="3"/>
      <c r="K710" s="5"/>
      <c r="L710" s="3"/>
      <c r="M710" s="5"/>
      <c r="N710" s="3"/>
      <c r="O710" s="5"/>
      <c r="P710" s="3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>
      <c r="A711" s="1"/>
      <c r="B711" s="1"/>
      <c r="C711" s="1"/>
      <c r="D711" s="1"/>
      <c r="E711" s="3"/>
      <c r="F711" s="3"/>
      <c r="G711" s="5"/>
      <c r="H711" s="3"/>
      <c r="I711" s="5"/>
      <c r="J711" s="3"/>
      <c r="K711" s="5"/>
      <c r="L711" s="3"/>
      <c r="M711" s="5"/>
      <c r="N711" s="3"/>
      <c r="O711" s="5"/>
      <c r="P711" s="3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>
      <c r="A712" s="1"/>
      <c r="B712" s="1"/>
      <c r="C712" s="1"/>
      <c r="D712" s="1"/>
      <c r="E712" s="3"/>
      <c r="F712" s="3"/>
      <c r="G712" s="5"/>
      <c r="H712" s="3"/>
      <c r="I712" s="5"/>
      <c r="J712" s="3"/>
      <c r="K712" s="5"/>
      <c r="L712" s="3"/>
      <c r="M712" s="5"/>
      <c r="N712" s="3"/>
      <c r="O712" s="5"/>
      <c r="P712" s="3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>
      <c r="A713" s="1"/>
      <c r="B713" s="1"/>
      <c r="C713" s="1"/>
      <c r="D713" s="1"/>
      <c r="E713" s="3"/>
      <c r="F713" s="3"/>
      <c r="G713" s="5"/>
      <c r="H713" s="3"/>
      <c r="I713" s="5"/>
      <c r="J713" s="3"/>
      <c r="K713" s="5"/>
      <c r="L713" s="3"/>
      <c r="M713" s="5"/>
      <c r="N713" s="3"/>
      <c r="O713" s="5"/>
      <c r="P713" s="3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>
      <c r="A714" s="1"/>
      <c r="B714" s="1"/>
      <c r="C714" s="1"/>
      <c r="D714" s="1"/>
      <c r="E714" s="3"/>
      <c r="F714" s="3"/>
      <c r="G714" s="5"/>
      <c r="H714" s="3"/>
      <c r="I714" s="5"/>
      <c r="J714" s="3"/>
      <c r="K714" s="5"/>
      <c r="L714" s="3"/>
      <c r="M714" s="5"/>
      <c r="N714" s="3"/>
      <c r="O714" s="5"/>
      <c r="P714" s="3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>
      <c r="A715" s="1"/>
      <c r="B715" s="1"/>
      <c r="C715" s="1"/>
      <c r="D715" s="1"/>
      <c r="E715" s="3"/>
      <c r="F715" s="3"/>
      <c r="G715" s="5"/>
      <c r="H715" s="3"/>
      <c r="I715" s="5"/>
      <c r="J715" s="3"/>
      <c r="K715" s="5"/>
      <c r="L715" s="3"/>
      <c r="M715" s="5"/>
      <c r="N715" s="3"/>
      <c r="O715" s="5"/>
      <c r="P715" s="3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>
      <c r="A716" s="1"/>
      <c r="B716" s="1"/>
      <c r="C716" s="1"/>
      <c r="D716" s="1"/>
      <c r="E716" s="3"/>
      <c r="F716" s="3"/>
      <c r="G716" s="5"/>
      <c r="H716" s="3"/>
      <c r="I716" s="5"/>
      <c r="J716" s="3"/>
      <c r="K716" s="5"/>
      <c r="L716" s="3"/>
      <c r="M716" s="5"/>
      <c r="N716" s="3"/>
      <c r="O716" s="5"/>
      <c r="P716" s="3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>
      <c r="A717" s="1"/>
      <c r="B717" s="1"/>
      <c r="C717" s="1"/>
      <c r="D717" s="1"/>
      <c r="E717" s="3"/>
      <c r="F717" s="3"/>
      <c r="G717" s="5"/>
      <c r="H717" s="3"/>
      <c r="I717" s="5"/>
      <c r="J717" s="3"/>
      <c r="K717" s="5"/>
      <c r="L717" s="3"/>
      <c r="M717" s="5"/>
      <c r="N717" s="3"/>
      <c r="O717" s="5"/>
      <c r="P717" s="3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>
      <c r="A718" s="1"/>
      <c r="B718" s="1"/>
      <c r="C718" s="1"/>
      <c r="D718" s="1"/>
      <c r="E718" s="3"/>
      <c r="F718" s="3"/>
      <c r="G718" s="5"/>
      <c r="H718" s="3"/>
      <c r="I718" s="5"/>
      <c r="J718" s="3"/>
      <c r="K718" s="5"/>
      <c r="L718" s="3"/>
      <c r="M718" s="5"/>
      <c r="N718" s="3"/>
      <c r="O718" s="5"/>
      <c r="P718" s="3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>
      <c r="A719" s="1"/>
      <c r="B719" s="1"/>
      <c r="C719" s="1"/>
      <c r="D719" s="1"/>
      <c r="E719" s="3"/>
      <c r="F719" s="3"/>
      <c r="G719" s="5"/>
      <c r="H719" s="3"/>
      <c r="I719" s="5"/>
      <c r="J719" s="3"/>
      <c r="K719" s="5"/>
      <c r="L719" s="3"/>
      <c r="M719" s="5"/>
      <c r="N719" s="3"/>
      <c r="O719" s="5"/>
      <c r="P719" s="3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>
      <c r="A720" s="1"/>
      <c r="B720" s="1"/>
      <c r="C720" s="1"/>
      <c r="D720" s="1"/>
      <c r="E720" s="3"/>
      <c r="F720" s="3"/>
      <c r="G720" s="5"/>
      <c r="H720" s="3"/>
      <c r="I720" s="5"/>
      <c r="J720" s="3"/>
      <c r="K720" s="5"/>
      <c r="L720" s="3"/>
      <c r="M720" s="5"/>
      <c r="N720" s="3"/>
      <c r="O720" s="5"/>
      <c r="P720" s="3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>
      <c r="A721" s="1"/>
      <c r="B721" s="1"/>
      <c r="C721" s="1"/>
      <c r="D721" s="1"/>
      <c r="E721" s="3"/>
      <c r="F721" s="3"/>
      <c r="G721" s="5"/>
      <c r="H721" s="3"/>
      <c r="I721" s="5"/>
      <c r="J721" s="3"/>
      <c r="K721" s="5"/>
      <c r="L721" s="3"/>
      <c r="M721" s="5"/>
      <c r="N721" s="3"/>
      <c r="O721" s="5"/>
      <c r="P721" s="3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>
      <c r="A722" s="1"/>
      <c r="B722" s="1"/>
      <c r="C722" s="1"/>
      <c r="D722" s="1"/>
      <c r="E722" s="3"/>
      <c r="F722" s="3"/>
      <c r="G722" s="5"/>
      <c r="H722" s="3"/>
      <c r="I722" s="5"/>
      <c r="J722" s="3"/>
      <c r="K722" s="5"/>
      <c r="L722" s="3"/>
      <c r="M722" s="5"/>
      <c r="N722" s="3"/>
      <c r="O722" s="5"/>
      <c r="P722" s="3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>
      <c r="A723" s="1"/>
      <c r="B723" s="1"/>
      <c r="C723" s="1"/>
      <c r="D723" s="1"/>
      <c r="E723" s="3"/>
      <c r="F723" s="3"/>
      <c r="G723" s="5"/>
      <c r="H723" s="3"/>
      <c r="I723" s="5"/>
      <c r="J723" s="3"/>
      <c r="K723" s="5"/>
      <c r="L723" s="3"/>
      <c r="M723" s="5"/>
      <c r="N723" s="3"/>
      <c r="O723" s="5"/>
      <c r="P723" s="3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>
      <c r="A724" s="1"/>
      <c r="B724" s="1"/>
      <c r="C724" s="1"/>
      <c r="D724" s="1"/>
      <c r="E724" s="3"/>
      <c r="F724" s="3"/>
      <c r="G724" s="5"/>
      <c r="H724" s="3"/>
      <c r="I724" s="5"/>
      <c r="J724" s="3"/>
      <c r="K724" s="5"/>
      <c r="L724" s="3"/>
      <c r="M724" s="5"/>
      <c r="N724" s="3"/>
      <c r="O724" s="5"/>
      <c r="P724" s="3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>
      <c r="A725" s="1"/>
      <c r="B725" s="1"/>
      <c r="C725" s="1"/>
      <c r="D725" s="1"/>
      <c r="E725" s="3"/>
      <c r="F725" s="3"/>
      <c r="G725" s="5"/>
      <c r="H725" s="3"/>
      <c r="I725" s="5"/>
      <c r="J725" s="3"/>
      <c r="K725" s="5"/>
      <c r="L725" s="3"/>
      <c r="M725" s="5"/>
      <c r="N725" s="3"/>
      <c r="O725" s="5"/>
      <c r="P725" s="3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>
      <c r="A726" s="1"/>
      <c r="B726" s="1"/>
      <c r="C726" s="1"/>
      <c r="D726" s="1"/>
      <c r="E726" s="3"/>
      <c r="F726" s="3"/>
      <c r="G726" s="5"/>
      <c r="H726" s="3"/>
      <c r="I726" s="5"/>
      <c r="J726" s="3"/>
      <c r="K726" s="5"/>
      <c r="L726" s="3"/>
      <c r="M726" s="5"/>
      <c r="N726" s="3"/>
      <c r="O726" s="5"/>
      <c r="P726" s="3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>
      <c r="A727" s="1"/>
      <c r="B727" s="1"/>
      <c r="C727" s="1"/>
      <c r="D727" s="1"/>
      <c r="E727" s="3"/>
      <c r="F727" s="3"/>
      <c r="G727" s="5"/>
      <c r="H727" s="3"/>
      <c r="I727" s="5"/>
      <c r="J727" s="3"/>
      <c r="K727" s="5"/>
      <c r="L727" s="3"/>
      <c r="M727" s="5"/>
      <c r="N727" s="3"/>
      <c r="O727" s="5"/>
      <c r="P727" s="3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>
      <c r="A728" s="1"/>
      <c r="B728" s="1"/>
      <c r="C728" s="1"/>
      <c r="D728" s="1"/>
      <c r="E728" s="3"/>
      <c r="F728" s="3"/>
      <c r="G728" s="5"/>
      <c r="H728" s="3"/>
      <c r="I728" s="5"/>
      <c r="J728" s="3"/>
      <c r="K728" s="5"/>
      <c r="L728" s="3"/>
      <c r="M728" s="5"/>
      <c r="N728" s="3"/>
      <c r="O728" s="5"/>
      <c r="P728" s="3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>
      <c r="A729" s="1"/>
      <c r="B729" s="1"/>
      <c r="C729" s="1"/>
      <c r="D729" s="1"/>
      <c r="E729" s="3"/>
      <c r="F729" s="3"/>
      <c r="G729" s="5"/>
      <c r="H729" s="3"/>
      <c r="I729" s="5"/>
      <c r="J729" s="3"/>
      <c r="K729" s="5"/>
      <c r="L729" s="3"/>
      <c r="M729" s="5"/>
      <c r="N729" s="3"/>
      <c r="O729" s="5"/>
      <c r="P729" s="3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>
      <c r="A730" s="1"/>
      <c r="B730" s="1"/>
      <c r="C730" s="1"/>
      <c r="D730" s="1"/>
      <c r="E730" s="3"/>
      <c r="F730" s="3"/>
      <c r="G730" s="5"/>
      <c r="H730" s="3"/>
      <c r="I730" s="5"/>
      <c r="J730" s="3"/>
      <c r="K730" s="5"/>
      <c r="L730" s="3"/>
      <c r="M730" s="5"/>
      <c r="N730" s="3"/>
      <c r="O730" s="5"/>
      <c r="P730" s="3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>
      <c r="A731" s="1"/>
      <c r="B731" s="1"/>
      <c r="C731" s="1"/>
      <c r="D731" s="1"/>
      <c r="E731" s="3"/>
      <c r="F731" s="3"/>
      <c r="G731" s="5"/>
      <c r="H731" s="3"/>
      <c r="I731" s="5"/>
      <c r="J731" s="3"/>
      <c r="K731" s="5"/>
      <c r="L731" s="3"/>
      <c r="M731" s="5"/>
      <c r="N731" s="3"/>
      <c r="O731" s="5"/>
      <c r="P731" s="3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>
      <c r="A732" s="1"/>
      <c r="B732" s="1"/>
      <c r="C732" s="1"/>
      <c r="D732" s="1"/>
      <c r="E732" s="3"/>
      <c r="F732" s="3"/>
      <c r="G732" s="5"/>
      <c r="H732" s="3"/>
      <c r="I732" s="5"/>
      <c r="J732" s="3"/>
      <c r="K732" s="5"/>
      <c r="L732" s="3"/>
      <c r="M732" s="5"/>
      <c r="N732" s="3"/>
      <c r="O732" s="5"/>
      <c r="P732" s="3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>
      <c r="A733" s="1"/>
      <c r="B733" s="1"/>
      <c r="C733" s="1"/>
      <c r="D733" s="1"/>
      <c r="E733" s="3"/>
      <c r="F733" s="3"/>
      <c r="G733" s="5"/>
      <c r="H733" s="3"/>
      <c r="I733" s="5"/>
      <c r="J733" s="3"/>
      <c r="K733" s="5"/>
      <c r="L733" s="3"/>
      <c r="M733" s="5"/>
      <c r="N733" s="3"/>
      <c r="O733" s="5"/>
      <c r="P733" s="3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>
      <c r="A734" s="1"/>
      <c r="B734" s="1"/>
      <c r="C734" s="1"/>
      <c r="D734" s="1"/>
      <c r="E734" s="3"/>
      <c r="F734" s="3"/>
      <c r="G734" s="5"/>
      <c r="H734" s="3"/>
      <c r="I734" s="5"/>
      <c r="J734" s="3"/>
      <c r="K734" s="5"/>
      <c r="L734" s="3"/>
      <c r="M734" s="5"/>
      <c r="N734" s="3"/>
      <c r="O734" s="5"/>
      <c r="P734" s="3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>
      <c r="A735" s="1"/>
      <c r="B735" s="1"/>
      <c r="C735" s="1"/>
      <c r="D735" s="1"/>
      <c r="E735" s="3"/>
      <c r="F735" s="3"/>
      <c r="G735" s="5"/>
      <c r="H735" s="3"/>
      <c r="I735" s="5"/>
      <c r="J735" s="3"/>
      <c r="K735" s="5"/>
      <c r="L735" s="3"/>
      <c r="M735" s="5"/>
      <c r="N735" s="3"/>
      <c r="O735" s="5"/>
      <c r="P735" s="3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>
      <c r="A736" s="1"/>
      <c r="B736" s="1"/>
      <c r="C736" s="1"/>
      <c r="D736" s="1"/>
      <c r="E736" s="3"/>
      <c r="F736" s="3"/>
      <c r="G736" s="5"/>
      <c r="H736" s="3"/>
      <c r="I736" s="5"/>
      <c r="J736" s="3"/>
      <c r="K736" s="5"/>
      <c r="L736" s="3"/>
      <c r="M736" s="5"/>
      <c r="N736" s="3"/>
      <c r="O736" s="5"/>
      <c r="P736" s="3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>
      <c r="A737" s="1"/>
      <c r="B737" s="1"/>
      <c r="C737" s="1"/>
      <c r="D737" s="1"/>
      <c r="E737" s="3"/>
      <c r="F737" s="3"/>
      <c r="G737" s="5"/>
      <c r="H737" s="3"/>
      <c r="I737" s="5"/>
      <c r="J737" s="3"/>
      <c r="K737" s="5"/>
      <c r="L737" s="3"/>
      <c r="M737" s="5"/>
      <c r="N737" s="3"/>
      <c r="O737" s="5"/>
      <c r="P737" s="3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>
      <c r="A738" s="1"/>
      <c r="B738" s="1"/>
      <c r="C738" s="1"/>
      <c r="D738" s="1"/>
      <c r="E738" s="3"/>
      <c r="F738" s="3"/>
      <c r="G738" s="5"/>
      <c r="H738" s="3"/>
      <c r="I738" s="5"/>
      <c r="J738" s="3"/>
      <c r="K738" s="5"/>
      <c r="L738" s="3"/>
      <c r="M738" s="5"/>
      <c r="N738" s="3"/>
      <c r="O738" s="5"/>
      <c r="P738" s="3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>
      <c r="A739" s="1"/>
      <c r="B739" s="1"/>
      <c r="C739" s="1"/>
      <c r="D739" s="1"/>
      <c r="E739" s="3"/>
      <c r="F739" s="3"/>
      <c r="G739" s="5"/>
      <c r="H739" s="3"/>
      <c r="I739" s="5"/>
      <c r="J739" s="3"/>
      <c r="K739" s="5"/>
      <c r="L739" s="3"/>
      <c r="M739" s="5"/>
      <c r="N739" s="3"/>
      <c r="O739" s="5"/>
      <c r="P739" s="3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>
      <c r="A740" s="1"/>
      <c r="B740" s="1"/>
      <c r="C740" s="1"/>
      <c r="D740" s="1"/>
      <c r="E740" s="3"/>
      <c r="F740" s="3"/>
      <c r="G740" s="5"/>
      <c r="H740" s="3"/>
      <c r="I740" s="5"/>
      <c r="J740" s="3"/>
      <c r="K740" s="5"/>
      <c r="L740" s="3"/>
      <c r="M740" s="5"/>
      <c r="N740" s="3"/>
      <c r="O740" s="5"/>
      <c r="P740" s="3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>
      <c r="A741" s="1"/>
      <c r="B741" s="1"/>
      <c r="C741" s="1"/>
      <c r="D741" s="1"/>
      <c r="E741" s="3"/>
      <c r="F741" s="3"/>
      <c r="G741" s="5"/>
      <c r="H741" s="3"/>
      <c r="I741" s="5"/>
      <c r="J741" s="3"/>
      <c r="K741" s="5"/>
      <c r="L741" s="3"/>
      <c r="M741" s="5"/>
      <c r="N741" s="3"/>
      <c r="O741" s="5"/>
      <c r="P741" s="3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>
      <c r="A742" s="1"/>
      <c r="B742" s="1"/>
      <c r="C742" s="1"/>
      <c r="D742" s="1"/>
      <c r="E742" s="3"/>
      <c r="F742" s="3"/>
      <c r="G742" s="5"/>
      <c r="H742" s="3"/>
      <c r="I742" s="5"/>
      <c r="J742" s="3"/>
      <c r="K742" s="5"/>
      <c r="L742" s="3"/>
      <c r="M742" s="5"/>
      <c r="N742" s="3"/>
      <c r="O742" s="5"/>
      <c r="P742" s="3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>
      <c r="A743" s="1"/>
      <c r="B743" s="1"/>
      <c r="C743" s="1"/>
      <c r="D743" s="1"/>
      <c r="E743" s="3"/>
      <c r="F743" s="3"/>
      <c r="G743" s="5"/>
      <c r="H743" s="3"/>
      <c r="I743" s="5"/>
      <c r="J743" s="3"/>
      <c r="K743" s="5"/>
      <c r="L743" s="3"/>
      <c r="M743" s="5"/>
      <c r="N743" s="3"/>
      <c r="O743" s="5"/>
      <c r="P743" s="3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>
      <c r="A744" s="1"/>
      <c r="B744" s="1"/>
      <c r="C744" s="1"/>
      <c r="D744" s="1"/>
      <c r="E744" s="3"/>
      <c r="F744" s="3"/>
      <c r="G744" s="5"/>
      <c r="H744" s="3"/>
      <c r="I744" s="5"/>
      <c r="J744" s="3"/>
      <c r="K744" s="5"/>
      <c r="L744" s="3"/>
      <c r="M744" s="5"/>
      <c r="N744" s="3"/>
      <c r="O744" s="5"/>
      <c r="P744" s="3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>
      <c r="A745" s="1"/>
      <c r="B745" s="1"/>
      <c r="C745" s="1"/>
      <c r="D745" s="1"/>
      <c r="E745" s="3"/>
      <c r="F745" s="3"/>
      <c r="G745" s="5"/>
      <c r="H745" s="3"/>
      <c r="I745" s="5"/>
      <c r="J745" s="3"/>
      <c r="K745" s="5"/>
      <c r="L745" s="3"/>
      <c r="M745" s="5"/>
      <c r="N745" s="3"/>
      <c r="O745" s="5"/>
      <c r="P745" s="3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>
      <c r="A746" s="1"/>
      <c r="B746" s="1"/>
      <c r="C746" s="1"/>
      <c r="D746" s="1"/>
      <c r="E746" s="3"/>
      <c r="F746" s="3"/>
      <c r="G746" s="5"/>
      <c r="H746" s="3"/>
      <c r="I746" s="5"/>
      <c r="J746" s="3"/>
      <c r="K746" s="5"/>
      <c r="L746" s="3"/>
      <c r="M746" s="5"/>
      <c r="N746" s="3"/>
      <c r="O746" s="5"/>
      <c r="P746" s="3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>
      <c r="A747" s="1"/>
      <c r="B747" s="1"/>
      <c r="C747" s="1"/>
      <c r="D747" s="1"/>
      <c r="E747" s="3"/>
      <c r="F747" s="3"/>
      <c r="G747" s="5"/>
      <c r="H747" s="3"/>
      <c r="I747" s="5"/>
      <c r="J747" s="3"/>
      <c r="K747" s="5"/>
      <c r="L747" s="3"/>
      <c r="M747" s="5"/>
      <c r="N747" s="3"/>
      <c r="O747" s="5"/>
      <c r="P747" s="3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>
      <c r="A748" s="1"/>
      <c r="B748" s="1"/>
      <c r="C748" s="1"/>
      <c r="D748" s="1"/>
      <c r="E748" s="3"/>
      <c r="F748" s="3"/>
      <c r="G748" s="5"/>
      <c r="H748" s="3"/>
      <c r="I748" s="5"/>
      <c r="J748" s="3"/>
      <c r="K748" s="5"/>
      <c r="L748" s="3"/>
      <c r="M748" s="5"/>
      <c r="N748" s="3"/>
      <c r="O748" s="5"/>
      <c r="P748" s="3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>
      <c r="A749" s="1"/>
      <c r="B749" s="1"/>
      <c r="C749" s="1"/>
      <c r="D749" s="1"/>
      <c r="E749" s="3"/>
      <c r="F749" s="3"/>
      <c r="G749" s="5"/>
      <c r="H749" s="3"/>
      <c r="I749" s="5"/>
      <c r="J749" s="3"/>
      <c r="K749" s="5"/>
      <c r="L749" s="3"/>
      <c r="M749" s="5"/>
      <c r="N749" s="3"/>
      <c r="O749" s="5"/>
      <c r="P749" s="3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>
      <c r="A750" s="1"/>
      <c r="B750" s="1"/>
      <c r="C750" s="1"/>
      <c r="D750" s="1"/>
      <c r="E750" s="3"/>
      <c r="F750" s="3"/>
      <c r="G750" s="5"/>
      <c r="H750" s="3"/>
      <c r="I750" s="5"/>
      <c r="J750" s="3"/>
      <c r="K750" s="5"/>
      <c r="L750" s="3"/>
      <c r="M750" s="5"/>
      <c r="N750" s="3"/>
      <c r="O750" s="5"/>
      <c r="P750" s="3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>
      <c r="A751" s="1"/>
      <c r="B751" s="1"/>
      <c r="C751" s="1"/>
      <c r="D751" s="1"/>
      <c r="E751" s="3"/>
      <c r="F751" s="3"/>
      <c r="G751" s="5"/>
      <c r="H751" s="3"/>
      <c r="I751" s="5"/>
      <c r="J751" s="3"/>
      <c r="K751" s="5"/>
      <c r="L751" s="3"/>
      <c r="M751" s="5"/>
      <c r="N751" s="3"/>
      <c r="O751" s="5"/>
      <c r="P751" s="3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>
      <c r="A752" s="1"/>
      <c r="B752" s="1"/>
      <c r="C752" s="1"/>
      <c r="D752" s="1"/>
      <c r="E752" s="3"/>
      <c r="F752" s="3"/>
      <c r="G752" s="5"/>
      <c r="H752" s="3"/>
      <c r="I752" s="5"/>
      <c r="J752" s="3"/>
      <c r="K752" s="5"/>
      <c r="L752" s="3"/>
      <c r="M752" s="5"/>
      <c r="N752" s="3"/>
      <c r="O752" s="5"/>
      <c r="P752" s="3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>
      <c r="A753" s="1"/>
      <c r="B753" s="1"/>
      <c r="C753" s="1"/>
      <c r="D753" s="1"/>
      <c r="E753" s="3"/>
      <c r="F753" s="3"/>
      <c r="G753" s="5"/>
      <c r="H753" s="3"/>
      <c r="I753" s="5"/>
      <c r="J753" s="3"/>
      <c r="K753" s="5"/>
      <c r="L753" s="3"/>
      <c r="M753" s="5"/>
      <c r="N753" s="3"/>
      <c r="O753" s="5"/>
      <c r="P753" s="3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>
      <c r="A754" s="1"/>
      <c r="B754" s="1"/>
      <c r="C754" s="1"/>
      <c r="D754" s="1"/>
      <c r="E754" s="3"/>
      <c r="F754" s="3"/>
      <c r="G754" s="5"/>
      <c r="H754" s="3"/>
      <c r="I754" s="5"/>
      <c r="J754" s="3"/>
      <c r="K754" s="5"/>
      <c r="L754" s="3"/>
      <c r="M754" s="5"/>
      <c r="N754" s="3"/>
      <c r="O754" s="5"/>
      <c r="P754" s="3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>
      <c r="A755" s="1"/>
      <c r="B755" s="1"/>
      <c r="C755" s="1"/>
      <c r="D755" s="1"/>
      <c r="E755" s="3"/>
      <c r="F755" s="3"/>
      <c r="G755" s="5"/>
      <c r="H755" s="3"/>
      <c r="I755" s="5"/>
      <c r="J755" s="3"/>
      <c r="K755" s="5"/>
      <c r="L755" s="3"/>
      <c r="M755" s="5"/>
      <c r="N755" s="3"/>
      <c r="O755" s="5"/>
      <c r="P755" s="3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>
      <c r="A756" s="1"/>
      <c r="B756" s="1"/>
      <c r="C756" s="1"/>
      <c r="D756" s="1"/>
      <c r="E756" s="3"/>
      <c r="F756" s="3"/>
      <c r="G756" s="5"/>
      <c r="H756" s="3"/>
      <c r="I756" s="5"/>
      <c r="J756" s="3"/>
      <c r="K756" s="5"/>
      <c r="L756" s="3"/>
      <c r="M756" s="5"/>
      <c r="N756" s="3"/>
      <c r="O756" s="5"/>
      <c r="P756" s="3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>
      <c r="A757" s="1"/>
      <c r="B757" s="1"/>
      <c r="C757" s="1"/>
      <c r="D757" s="1"/>
      <c r="E757" s="3"/>
      <c r="F757" s="3"/>
      <c r="G757" s="5"/>
      <c r="H757" s="3"/>
      <c r="I757" s="5"/>
      <c r="J757" s="3"/>
      <c r="K757" s="5"/>
      <c r="L757" s="3"/>
      <c r="M757" s="5"/>
      <c r="N757" s="3"/>
      <c r="O757" s="5"/>
      <c r="P757" s="3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>
      <c r="A758" s="1"/>
      <c r="B758" s="1"/>
      <c r="C758" s="1"/>
      <c r="D758" s="1"/>
      <c r="E758" s="3"/>
      <c r="F758" s="3"/>
      <c r="G758" s="5"/>
      <c r="H758" s="3"/>
      <c r="I758" s="5"/>
      <c r="J758" s="3"/>
      <c r="K758" s="5"/>
      <c r="L758" s="3"/>
      <c r="M758" s="5"/>
      <c r="N758" s="3"/>
      <c r="O758" s="5"/>
      <c r="P758" s="3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>
      <c r="A759" s="1"/>
      <c r="B759" s="1"/>
      <c r="C759" s="1"/>
      <c r="D759" s="1"/>
      <c r="E759" s="3"/>
      <c r="F759" s="3"/>
      <c r="G759" s="5"/>
      <c r="H759" s="3"/>
      <c r="I759" s="5"/>
      <c r="J759" s="3"/>
      <c r="K759" s="5"/>
      <c r="L759" s="3"/>
      <c r="M759" s="5"/>
      <c r="N759" s="3"/>
      <c r="O759" s="5"/>
      <c r="P759" s="3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>
      <c r="A760" s="1"/>
      <c r="B760" s="1"/>
      <c r="C760" s="1"/>
      <c r="D760" s="1"/>
      <c r="E760" s="3"/>
      <c r="F760" s="3"/>
      <c r="G760" s="5"/>
      <c r="H760" s="3"/>
      <c r="I760" s="5"/>
      <c r="J760" s="3"/>
      <c r="K760" s="5"/>
      <c r="L760" s="3"/>
      <c r="M760" s="5"/>
      <c r="N760" s="3"/>
      <c r="O760" s="5"/>
      <c r="P760" s="3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>
      <c r="A761" s="1"/>
      <c r="B761" s="1"/>
      <c r="C761" s="1"/>
      <c r="D761" s="1"/>
      <c r="E761" s="3"/>
      <c r="F761" s="3"/>
      <c r="G761" s="5"/>
      <c r="H761" s="3"/>
      <c r="I761" s="5"/>
      <c r="J761" s="3"/>
      <c r="K761" s="5"/>
      <c r="L761" s="3"/>
      <c r="M761" s="5"/>
      <c r="N761" s="3"/>
      <c r="O761" s="5"/>
      <c r="P761" s="3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>
      <c r="A762" s="1"/>
      <c r="B762" s="1"/>
      <c r="C762" s="1"/>
      <c r="D762" s="1"/>
      <c r="E762" s="3"/>
      <c r="F762" s="3"/>
      <c r="G762" s="5"/>
      <c r="H762" s="3"/>
      <c r="I762" s="5"/>
      <c r="J762" s="3"/>
      <c r="K762" s="5"/>
      <c r="L762" s="3"/>
      <c r="M762" s="5"/>
      <c r="N762" s="3"/>
      <c r="O762" s="5"/>
      <c r="P762" s="3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>
      <c r="A763" s="1"/>
      <c r="B763" s="1"/>
      <c r="C763" s="1"/>
      <c r="D763" s="1"/>
      <c r="E763" s="3"/>
      <c r="F763" s="3"/>
      <c r="G763" s="5"/>
      <c r="H763" s="3"/>
      <c r="I763" s="5"/>
      <c r="J763" s="3"/>
      <c r="K763" s="5"/>
      <c r="L763" s="3"/>
      <c r="M763" s="5"/>
      <c r="N763" s="3"/>
      <c r="O763" s="5"/>
      <c r="P763" s="3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>
      <c r="A764" s="1"/>
      <c r="B764" s="1"/>
      <c r="C764" s="1"/>
      <c r="D764" s="1"/>
      <c r="E764" s="3"/>
      <c r="F764" s="3"/>
      <c r="G764" s="5"/>
      <c r="H764" s="3"/>
      <c r="I764" s="5"/>
      <c r="J764" s="3"/>
      <c r="K764" s="5"/>
      <c r="L764" s="3"/>
      <c r="M764" s="5"/>
      <c r="N764" s="3"/>
      <c r="O764" s="5"/>
      <c r="P764" s="3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>
      <c r="A765" s="1"/>
      <c r="B765" s="1"/>
      <c r="C765" s="1"/>
      <c r="D765" s="1"/>
      <c r="E765" s="3"/>
      <c r="F765" s="3"/>
      <c r="G765" s="5"/>
      <c r="H765" s="3"/>
      <c r="I765" s="5"/>
      <c r="J765" s="3"/>
      <c r="K765" s="5"/>
      <c r="L765" s="3"/>
      <c r="M765" s="5"/>
      <c r="N765" s="3"/>
      <c r="O765" s="5"/>
      <c r="P765" s="3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>
      <c r="A766" s="1"/>
      <c r="B766" s="1"/>
      <c r="C766" s="1"/>
      <c r="D766" s="1"/>
      <c r="E766" s="3"/>
      <c r="F766" s="3"/>
      <c r="G766" s="5"/>
      <c r="H766" s="3"/>
      <c r="I766" s="5"/>
      <c r="J766" s="3"/>
      <c r="K766" s="5"/>
      <c r="L766" s="3"/>
      <c r="M766" s="5"/>
      <c r="N766" s="3"/>
      <c r="O766" s="5"/>
      <c r="P766" s="3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>
      <c r="A767" s="1"/>
      <c r="B767" s="1"/>
      <c r="C767" s="1"/>
      <c r="D767" s="1"/>
      <c r="E767" s="3"/>
      <c r="F767" s="3"/>
      <c r="G767" s="5"/>
      <c r="H767" s="3"/>
      <c r="I767" s="5"/>
      <c r="J767" s="3"/>
      <c r="K767" s="5"/>
      <c r="L767" s="3"/>
      <c r="M767" s="5"/>
      <c r="N767" s="3"/>
      <c r="O767" s="5"/>
      <c r="P767" s="3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>
      <c r="A768" s="1"/>
      <c r="B768" s="1"/>
      <c r="C768" s="1"/>
      <c r="D768" s="1"/>
      <c r="E768" s="3"/>
      <c r="F768" s="3"/>
      <c r="G768" s="5"/>
      <c r="H768" s="3"/>
      <c r="I768" s="5"/>
      <c r="J768" s="3"/>
      <c r="K768" s="5"/>
      <c r="L768" s="3"/>
      <c r="M768" s="5"/>
      <c r="N768" s="3"/>
      <c r="O768" s="5"/>
      <c r="P768" s="3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>
      <c r="A769" s="1"/>
      <c r="B769" s="1"/>
      <c r="C769" s="1"/>
      <c r="D769" s="1"/>
      <c r="E769" s="3"/>
      <c r="F769" s="3"/>
      <c r="G769" s="5"/>
      <c r="H769" s="3"/>
      <c r="I769" s="5"/>
      <c r="J769" s="3"/>
      <c r="K769" s="5"/>
      <c r="L769" s="3"/>
      <c r="M769" s="5"/>
      <c r="N769" s="3"/>
      <c r="O769" s="5"/>
      <c r="P769" s="3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>
      <c r="A770" s="1"/>
      <c r="B770" s="1"/>
      <c r="C770" s="1"/>
      <c r="D770" s="1"/>
      <c r="E770" s="3"/>
      <c r="F770" s="3"/>
      <c r="G770" s="5"/>
      <c r="H770" s="3"/>
      <c r="I770" s="5"/>
      <c r="J770" s="3"/>
      <c r="K770" s="5"/>
      <c r="L770" s="3"/>
      <c r="M770" s="5"/>
      <c r="N770" s="3"/>
      <c r="O770" s="5"/>
      <c r="P770" s="3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>
      <c r="A771" s="1"/>
      <c r="B771" s="1"/>
      <c r="C771" s="1"/>
      <c r="D771" s="1"/>
      <c r="E771" s="3"/>
      <c r="F771" s="3"/>
      <c r="G771" s="5"/>
      <c r="H771" s="3"/>
      <c r="I771" s="5"/>
      <c r="J771" s="3"/>
      <c r="K771" s="5"/>
      <c r="L771" s="3"/>
      <c r="M771" s="5"/>
      <c r="N771" s="3"/>
      <c r="O771" s="5"/>
      <c r="P771" s="3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>
      <c r="A772" s="1"/>
      <c r="B772" s="1"/>
      <c r="C772" s="1"/>
      <c r="D772" s="1"/>
      <c r="E772" s="3"/>
      <c r="F772" s="3"/>
      <c r="G772" s="5"/>
      <c r="H772" s="3"/>
      <c r="I772" s="5"/>
      <c r="J772" s="3"/>
      <c r="K772" s="5"/>
      <c r="L772" s="3"/>
      <c r="M772" s="5"/>
      <c r="N772" s="3"/>
      <c r="O772" s="5"/>
      <c r="P772" s="3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>
      <c r="A773" s="1"/>
      <c r="B773" s="1"/>
      <c r="C773" s="1"/>
      <c r="D773" s="1"/>
      <c r="E773" s="3"/>
      <c r="F773" s="3"/>
      <c r="G773" s="5"/>
      <c r="H773" s="3"/>
      <c r="I773" s="5"/>
      <c r="J773" s="3"/>
      <c r="K773" s="5"/>
      <c r="L773" s="3"/>
      <c r="M773" s="5"/>
      <c r="N773" s="3"/>
      <c r="O773" s="5"/>
      <c r="P773" s="3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>
      <c r="A774" s="1"/>
      <c r="B774" s="1"/>
      <c r="C774" s="1"/>
      <c r="D774" s="1"/>
      <c r="E774" s="3"/>
      <c r="F774" s="3"/>
      <c r="G774" s="5"/>
      <c r="H774" s="3"/>
      <c r="I774" s="5"/>
      <c r="J774" s="3"/>
      <c r="K774" s="5"/>
      <c r="L774" s="3"/>
      <c r="M774" s="5"/>
      <c r="N774" s="3"/>
      <c r="O774" s="5"/>
      <c r="P774" s="3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>
      <c r="A775" s="1"/>
      <c r="B775" s="1"/>
      <c r="C775" s="1"/>
      <c r="D775" s="1"/>
      <c r="E775" s="3"/>
      <c r="F775" s="3"/>
      <c r="G775" s="5"/>
      <c r="H775" s="3"/>
      <c r="I775" s="5"/>
      <c r="J775" s="3"/>
      <c r="K775" s="5"/>
      <c r="L775" s="3"/>
      <c r="M775" s="5"/>
      <c r="N775" s="3"/>
      <c r="O775" s="5"/>
      <c r="P775" s="3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>
      <c r="A776" s="1"/>
      <c r="B776" s="1"/>
      <c r="C776" s="1"/>
      <c r="D776" s="1"/>
      <c r="E776" s="3"/>
      <c r="F776" s="3"/>
      <c r="G776" s="5"/>
      <c r="H776" s="3"/>
      <c r="I776" s="5"/>
      <c r="J776" s="3"/>
      <c r="K776" s="5"/>
      <c r="L776" s="3"/>
      <c r="M776" s="5"/>
      <c r="N776" s="3"/>
      <c r="O776" s="5"/>
      <c r="P776" s="3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>
      <c r="A777" s="1"/>
      <c r="B777" s="1"/>
      <c r="C777" s="1"/>
      <c r="D777" s="1"/>
      <c r="E777" s="3"/>
      <c r="F777" s="3"/>
      <c r="G777" s="5"/>
      <c r="H777" s="3"/>
      <c r="I777" s="5"/>
      <c r="J777" s="3"/>
      <c r="K777" s="5"/>
      <c r="L777" s="3"/>
      <c r="M777" s="5"/>
      <c r="N777" s="3"/>
      <c r="O777" s="5"/>
      <c r="P777" s="3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>
      <c r="A778" s="1"/>
      <c r="B778" s="1"/>
      <c r="C778" s="1"/>
      <c r="D778" s="1"/>
      <c r="E778" s="3"/>
      <c r="F778" s="3"/>
      <c r="G778" s="5"/>
      <c r="H778" s="3"/>
      <c r="I778" s="5"/>
      <c r="J778" s="3"/>
      <c r="K778" s="5"/>
      <c r="L778" s="3"/>
      <c r="M778" s="5"/>
      <c r="N778" s="3"/>
      <c r="O778" s="5"/>
      <c r="P778" s="3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>
      <c r="A779" s="1"/>
      <c r="B779" s="1"/>
      <c r="C779" s="1"/>
      <c r="D779" s="1"/>
      <c r="E779" s="3"/>
      <c r="F779" s="3"/>
      <c r="G779" s="5"/>
      <c r="H779" s="3"/>
      <c r="I779" s="5"/>
      <c r="J779" s="3"/>
      <c r="K779" s="5"/>
      <c r="L779" s="3"/>
      <c r="M779" s="5"/>
      <c r="N779" s="3"/>
      <c r="O779" s="5"/>
      <c r="P779" s="3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>
      <c r="A780" s="1"/>
      <c r="B780" s="1"/>
      <c r="C780" s="1"/>
      <c r="D780" s="1"/>
      <c r="E780" s="3"/>
      <c r="F780" s="3"/>
      <c r="G780" s="5"/>
      <c r="H780" s="3"/>
      <c r="I780" s="5"/>
      <c r="J780" s="3"/>
      <c r="K780" s="5"/>
      <c r="L780" s="3"/>
      <c r="M780" s="5"/>
      <c r="N780" s="3"/>
      <c r="O780" s="5"/>
      <c r="P780" s="3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>
      <c r="A781" s="1"/>
      <c r="B781" s="1"/>
      <c r="C781" s="1"/>
      <c r="D781" s="1"/>
      <c r="E781" s="3"/>
      <c r="F781" s="3"/>
      <c r="G781" s="5"/>
      <c r="H781" s="3"/>
      <c r="I781" s="5"/>
      <c r="J781" s="3"/>
      <c r="K781" s="5"/>
      <c r="L781" s="3"/>
      <c r="M781" s="5"/>
      <c r="N781" s="3"/>
      <c r="O781" s="5"/>
      <c r="P781" s="3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>
      <c r="A782" s="1"/>
      <c r="B782" s="1"/>
      <c r="C782" s="1"/>
      <c r="D782" s="1"/>
      <c r="E782" s="3"/>
      <c r="F782" s="3"/>
      <c r="G782" s="5"/>
      <c r="H782" s="3"/>
      <c r="I782" s="5"/>
      <c r="J782" s="3"/>
      <c r="K782" s="5"/>
      <c r="L782" s="3"/>
      <c r="M782" s="5"/>
      <c r="N782" s="3"/>
      <c r="O782" s="5"/>
      <c r="P782" s="3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>
      <c r="A783" s="1"/>
      <c r="B783" s="1"/>
      <c r="C783" s="1"/>
      <c r="D783" s="1"/>
      <c r="E783" s="3"/>
      <c r="F783" s="3"/>
      <c r="G783" s="5"/>
      <c r="H783" s="3"/>
      <c r="I783" s="5"/>
      <c r="J783" s="3"/>
      <c r="K783" s="5"/>
      <c r="L783" s="3"/>
      <c r="M783" s="5"/>
      <c r="N783" s="3"/>
      <c r="O783" s="5"/>
      <c r="P783" s="3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>
      <c r="A784" s="1"/>
      <c r="B784" s="1"/>
      <c r="C784" s="1"/>
      <c r="D784" s="1"/>
      <c r="E784" s="3"/>
      <c r="F784" s="3"/>
      <c r="G784" s="5"/>
      <c r="H784" s="3"/>
      <c r="I784" s="5"/>
      <c r="J784" s="3"/>
      <c r="K784" s="5"/>
      <c r="L784" s="3"/>
      <c r="M784" s="5"/>
      <c r="N784" s="3"/>
      <c r="O784" s="5"/>
      <c r="P784" s="3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>
      <c r="A785" s="1"/>
      <c r="B785" s="1"/>
      <c r="C785" s="1"/>
      <c r="D785" s="1"/>
      <c r="E785" s="3"/>
      <c r="F785" s="3"/>
      <c r="G785" s="5"/>
      <c r="H785" s="3"/>
      <c r="I785" s="5"/>
      <c r="J785" s="3"/>
      <c r="K785" s="5"/>
      <c r="L785" s="3"/>
      <c r="M785" s="5"/>
      <c r="N785" s="3"/>
      <c r="O785" s="5"/>
      <c r="P785" s="3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>
      <c r="A786" s="1"/>
      <c r="B786" s="1"/>
      <c r="C786" s="1"/>
      <c r="D786" s="1"/>
      <c r="E786" s="3"/>
      <c r="F786" s="3"/>
      <c r="G786" s="5"/>
      <c r="H786" s="3"/>
      <c r="I786" s="5"/>
      <c r="J786" s="3"/>
      <c r="K786" s="5"/>
      <c r="L786" s="3"/>
      <c r="M786" s="5"/>
      <c r="N786" s="3"/>
      <c r="O786" s="5"/>
      <c r="P786" s="3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>
      <c r="A787" s="1"/>
      <c r="B787" s="1"/>
      <c r="C787" s="1"/>
      <c r="D787" s="1"/>
      <c r="E787" s="3"/>
      <c r="F787" s="3"/>
      <c r="G787" s="5"/>
      <c r="H787" s="3"/>
      <c r="I787" s="5"/>
      <c r="J787" s="3"/>
      <c r="K787" s="5"/>
      <c r="L787" s="3"/>
      <c r="M787" s="5"/>
      <c r="N787" s="3"/>
      <c r="O787" s="5"/>
      <c r="P787" s="3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>
      <c r="A788" s="1"/>
      <c r="B788" s="1"/>
      <c r="C788" s="1"/>
      <c r="D788" s="1"/>
      <c r="E788" s="3"/>
      <c r="F788" s="3"/>
      <c r="G788" s="5"/>
      <c r="H788" s="3"/>
      <c r="I788" s="5"/>
      <c r="J788" s="3"/>
      <c r="K788" s="5"/>
      <c r="L788" s="3"/>
      <c r="M788" s="5"/>
      <c r="N788" s="3"/>
      <c r="O788" s="5"/>
      <c r="P788" s="3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>
      <c r="A789" s="1"/>
      <c r="B789" s="1"/>
      <c r="C789" s="1"/>
      <c r="D789" s="1"/>
      <c r="E789" s="3"/>
      <c r="F789" s="3"/>
      <c r="G789" s="5"/>
      <c r="H789" s="3"/>
      <c r="I789" s="5"/>
      <c r="J789" s="3"/>
      <c r="K789" s="5"/>
      <c r="L789" s="3"/>
      <c r="M789" s="5"/>
      <c r="N789" s="3"/>
      <c r="O789" s="5"/>
      <c r="P789" s="3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>
      <c r="A790" s="1"/>
      <c r="B790" s="1"/>
      <c r="C790" s="1"/>
      <c r="D790" s="1"/>
      <c r="E790" s="3"/>
      <c r="F790" s="3"/>
      <c r="G790" s="5"/>
      <c r="H790" s="3"/>
      <c r="I790" s="5"/>
      <c r="J790" s="3"/>
      <c r="K790" s="5"/>
      <c r="L790" s="3"/>
      <c r="M790" s="5"/>
      <c r="N790" s="3"/>
      <c r="O790" s="5"/>
      <c r="P790" s="3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>
      <c r="A791" s="1"/>
      <c r="B791" s="1"/>
      <c r="C791" s="1"/>
      <c r="D791" s="1"/>
      <c r="E791" s="3"/>
      <c r="F791" s="3"/>
      <c r="G791" s="5"/>
      <c r="H791" s="3"/>
      <c r="I791" s="5"/>
      <c r="J791" s="3"/>
      <c r="K791" s="5"/>
      <c r="L791" s="3"/>
      <c r="M791" s="5"/>
      <c r="N791" s="3"/>
      <c r="O791" s="5"/>
      <c r="P791" s="3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>
      <c r="A792" s="1"/>
      <c r="B792" s="1"/>
      <c r="C792" s="1"/>
      <c r="D792" s="1"/>
      <c r="E792" s="3"/>
      <c r="F792" s="3"/>
      <c r="G792" s="5"/>
      <c r="H792" s="3"/>
      <c r="I792" s="5"/>
      <c r="J792" s="3"/>
      <c r="K792" s="5"/>
      <c r="L792" s="3"/>
      <c r="M792" s="5"/>
      <c r="N792" s="3"/>
      <c r="O792" s="5"/>
      <c r="P792" s="3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>
      <c r="A793" s="1"/>
      <c r="B793" s="1"/>
      <c r="C793" s="1"/>
      <c r="D793" s="1"/>
      <c r="E793" s="3"/>
      <c r="F793" s="3"/>
      <c r="G793" s="5"/>
      <c r="H793" s="3"/>
      <c r="I793" s="5"/>
      <c r="J793" s="3"/>
      <c r="K793" s="5"/>
      <c r="L793" s="3"/>
      <c r="M793" s="5"/>
      <c r="N793" s="3"/>
      <c r="O793" s="5"/>
      <c r="P793" s="3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>
      <c r="A794" s="1"/>
      <c r="B794" s="1"/>
      <c r="C794" s="1"/>
      <c r="D794" s="1"/>
      <c r="E794" s="3"/>
      <c r="F794" s="3"/>
      <c r="G794" s="5"/>
      <c r="H794" s="3"/>
      <c r="I794" s="5"/>
      <c r="J794" s="3"/>
      <c r="K794" s="5"/>
      <c r="L794" s="3"/>
      <c r="M794" s="5"/>
      <c r="N794" s="3"/>
      <c r="O794" s="5"/>
      <c r="P794" s="3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>
      <c r="A795" s="1"/>
      <c r="B795" s="1"/>
      <c r="C795" s="1"/>
      <c r="D795" s="1"/>
      <c r="E795" s="3"/>
      <c r="F795" s="3"/>
      <c r="G795" s="5"/>
      <c r="H795" s="3"/>
      <c r="I795" s="5"/>
      <c r="J795" s="3"/>
      <c r="K795" s="5"/>
      <c r="L795" s="3"/>
      <c r="M795" s="5"/>
      <c r="N795" s="3"/>
      <c r="O795" s="5"/>
      <c r="P795" s="3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>
      <c r="A796" s="1"/>
      <c r="B796" s="1"/>
      <c r="C796" s="1"/>
      <c r="D796" s="1"/>
      <c r="E796" s="3"/>
      <c r="F796" s="3"/>
      <c r="G796" s="5"/>
      <c r="H796" s="3"/>
      <c r="I796" s="5"/>
      <c r="J796" s="3"/>
      <c r="K796" s="5"/>
      <c r="L796" s="3"/>
      <c r="M796" s="5"/>
      <c r="N796" s="3"/>
      <c r="O796" s="5"/>
      <c r="P796" s="3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>
      <c r="A797" s="1"/>
      <c r="B797" s="1"/>
      <c r="C797" s="1"/>
      <c r="D797" s="1"/>
      <c r="E797" s="3"/>
      <c r="F797" s="3"/>
      <c r="G797" s="5"/>
      <c r="H797" s="3"/>
      <c r="I797" s="5"/>
      <c r="J797" s="3"/>
      <c r="K797" s="5"/>
      <c r="L797" s="3"/>
      <c r="M797" s="5"/>
      <c r="N797" s="3"/>
      <c r="O797" s="5"/>
      <c r="P797" s="3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>
      <c r="A798" s="1"/>
      <c r="B798" s="1"/>
      <c r="C798" s="1"/>
      <c r="D798" s="1"/>
      <c r="E798" s="3"/>
      <c r="F798" s="3"/>
      <c r="G798" s="5"/>
      <c r="H798" s="3"/>
      <c r="I798" s="5"/>
      <c r="J798" s="3"/>
      <c r="K798" s="5"/>
      <c r="L798" s="3"/>
      <c r="M798" s="5"/>
      <c r="N798" s="3"/>
      <c r="O798" s="5"/>
      <c r="P798" s="3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>
      <c r="A799" s="1"/>
      <c r="B799" s="1"/>
      <c r="C799" s="1"/>
      <c r="D799" s="1"/>
      <c r="E799" s="3"/>
      <c r="F799" s="3"/>
      <c r="G799" s="5"/>
      <c r="H799" s="3"/>
      <c r="I799" s="5"/>
      <c r="J799" s="3"/>
      <c r="K799" s="5"/>
      <c r="L799" s="3"/>
      <c r="M799" s="5"/>
      <c r="N799" s="3"/>
      <c r="O799" s="5"/>
      <c r="P799" s="3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>
      <c r="A800" s="1"/>
      <c r="B800" s="1"/>
      <c r="C800" s="1"/>
      <c r="D800" s="1"/>
      <c r="E800" s="3"/>
      <c r="F800" s="3"/>
      <c r="G800" s="5"/>
      <c r="H800" s="3"/>
      <c r="I800" s="5"/>
      <c r="J800" s="3"/>
      <c r="K800" s="5"/>
      <c r="L800" s="3"/>
      <c r="M800" s="5"/>
      <c r="N800" s="3"/>
      <c r="O800" s="5"/>
      <c r="P800" s="3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>
      <c r="A801" s="1"/>
      <c r="B801" s="1"/>
      <c r="C801" s="1"/>
      <c r="D801" s="1"/>
      <c r="E801" s="3"/>
      <c r="F801" s="3"/>
      <c r="G801" s="5"/>
      <c r="H801" s="3"/>
      <c r="I801" s="5"/>
      <c r="J801" s="3"/>
      <c r="K801" s="5"/>
      <c r="L801" s="3"/>
      <c r="M801" s="5"/>
      <c r="N801" s="3"/>
      <c r="O801" s="5"/>
      <c r="P801" s="3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>
      <c r="A802" s="1"/>
      <c r="B802" s="1"/>
      <c r="C802" s="1"/>
      <c r="D802" s="1"/>
      <c r="E802" s="3"/>
      <c r="F802" s="3"/>
      <c r="G802" s="5"/>
      <c r="H802" s="3"/>
      <c r="I802" s="5"/>
      <c r="J802" s="3"/>
      <c r="K802" s="5"/>
      <c r="L802" s="3"/>
      <c r="M802" s="5"/>
      <c r="N802" s="3"/>
      <c r="O802" s="5"/>
      <c r="P802" s="3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>
      <c r="A803" s="1"/>
      <c r="B803" s="1"/>
      <c r="C803" s="1"/>
      <c r="D803" s="1"/>
      <c r="E803" s="3"/>
      <c r="F803" s="3"/>
      <c r="G803" s="5"/>
      <c r="H803" s="3"/>
      <c r="I803" s="5"/>
      <c r="J803" s="3"/>
      <c r="K803" s="5"/>
      <c r="L803" s="3"/>
      <c r="M803" s="5"/>
      <c r="N803" s="3"/>
      <c r="O803" s="5"/>
      <c r="P803" s="3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>
      <c r="A804" s="1"/>
      <c r="B804" s="1"/>
      <c r="C804" s="1"/>
      <c r="D804" s="1"/>
      <c r="E804" s="3"/>
      <c r="F804" s="3"/>
      <c r="G804" s="5"/>
      <c r="H804" s="3"/>
      <c r="I804" s="5"/>
      <c r="J804" s="3"/>
      <c r="K804" s="5"/>
      <c r="L804" s="3"/>
      <c r="M804" s="5"/>
      <c r="N804" s="3"/>
      <c r="O804" s="5"/>
      <c r="P804" s="3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>
      <c r="A805" s="1"/>
      <c r="B805" s="1"/>
      <c r="C805" s="1"/>
      <c r="D805" s="1"/>
      <c r="E805" s="3"/>
      <c r="F805" s="3"/>
      <c r="G805" s="5"/>
      <c r="H805" s="3"/>
      <c r="I805" s="5"/>
      <c r="J805" s="3"/>
      <c r="K805" s="5"/>
      <c r="L805" s="3"/>
      <c r="M805" s="5"/>
      <c r="N805" s="3"/>
      <c r="O805" s="5"/>
      <c r="P805" s="3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>
      <c r="A806" s="1"/>
      <c r="B806" s="1"/>
      <c r="C806" s="1"/>
      <c r="D806" s="1"/>
      <c r="E806" s="3"/>
      <c r="F806" s="3"/>
      <c r="G806" s="5"/>
      <c r="H806" s="3"/>
      <c r="I806" s="5"/>
      <c r="J806" s="3"/>
      <c r="K806" s="5"/>
      <c r="L806" s="3"/>
      <c r="M806" s="5"/>
      <c r="N806" s="3"/>
      <c r="O806" s="5"/>
      <c r="P806" s="3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>
      <c r="A807" s="1"/>
      <c r="B807" s="1"/>
      <c r="C807" s="1"/>
      <c r="D807" s="1"/>
      <c r="E807" s="3"/>
      <c r="F807" s="3"/>
      <c r="G807" s="5"/>
      <c r="H807" s="3"/>
      <c r="I807" s="5"/>
      <c r="J807" s="3"/>
      <c r="K807" s="5"/>
      <c r="L807" s="3"/>
      <c r="M807" s="5"/>
      <c r="N807" s="3"/>
      <c r="O807" s="5"/>
      <c r="P807" s="3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>
      <c r="A808" s="1"/>
      <c r="B808" s="1"/>
      <c r="C808" s="1"/>
      <c r="D808" s="1"/>
      <c r="E808" s="3"/>
      <c r="F808" s="3"/>
      <c r="G808" s="5"/>
      <c r="H808" s="3"/>
      <c r="I808" s="5"/>
      <c r="J808" s="3"/>
      <c r="K808" s="5"/>
      <c r="L808" s="3"/>
      <c r="M808" s="5"/>
      <c r="N808" s="3"/>
      <c r="O808" s="5"/>
      <c r="P808" s="3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>
      <c r="A809" s="1"/>
      <c r="B809" s="1"/>
      <c r="C809" s="1"/>
      <c r="D809" s="1"/>
      <c r="E809" s="3"/>
      <c r="F809" s="3"/>
      <c r="G809" s="5"/>
      <c r="H809" s="3"/>
      <c r="I809" s="5"/>
      <c r="J809" s="3"/>
      <c r="K809" s="5"/>
      <c r="L809" s="3"/>
      <c r="M809" s="5"/>
      <c r="N809" s="3"/>
      <c r="O809" s="5"/>
      <c r="P809" s="3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>
      <c r="A810" s="1"/>
      <c r="B810" s="1"/>
      <c r="C810" s="1"/>
      <c r="D810" s="1"/>
      <c r="E810" s="3"/>
      <c r="F810" s="3"/>
      <c r="G810" s="5"/>
      <c r="H810" s="3"/>
      <c r="I810" s="5"/>
      <c r="J810" s="3"/>
      <c r="K810" s="5"/>
      <c r="L810" s="3"/>
      <c r="M810" s="5"/>
      <c r="N810" s="3"/>
      <c r="O810" s="5"/>
      <c r="P810" s="3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>
      <c r="A811" s="1"/>
      <c r="B811" s="1"/>
      <c r="C811" s="1"/>
      <c r="D811" s="1"/>
      <c r="E811" s="3"/>
      <c r="F811" s="3"/>
      <c r="G811" s="5"/>
      <c r="H811" s="3"/>
      <c r="I811" s="5"/>
      <c r="J811" s="3"/>
      <c r="K811" s="5"/>
      <c r="L811" s="3"/>
      <c r="M811" s="5"/>
      <c r="N811" s="3"/>
      <c r="O811" s="5"/>
      <c r="P811" s="3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>
      <c r="A812" s="1"/>
      <c r="B812" s="1"/>
      <c r="C812" s="1"/>
      <c r="D812" s="1"/>
      <c r="E812" s="3"/>
      <c r="F812" s="3"/>
      <c r="G812" s="5"/>
      <c r="H812" s="3"/>
      <c r="I812" s="5"/>
      <c r="J812" s="3"/>
      <c r="K812" s="5"/>
      <c r="L812" s="3"/>
      <c r="M812" s="5"/>
      <c r="N812" s="3"/>
      <c r="O812" s="5"/>
      <c r="P812" s="3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>
      <c r="A813" s="1"/>
      <c r="B813" s="1"/>
      <c r="C813" s="1"/>
      <c r="D813" s="1"/>
      <c r="E813" s="3"/>
      <c r="F813" s="3"/>
      <c r="G813" s="5"/>
      <c r="H813" s="3"/>
      <c r="I813" s="5"/>
      <c r="J813" s="3"/>
      <c r="K813" s="5"/>
      <c r="L813" s="3"/>
      <c r="M813" s="5"/>
      <c r="N813" s="3"/>
      <c r="O813" s="5"/>
      <c r="P813" s="3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>
      <c r="A814" s="1"/>
      <c r="B814" s="1"/>
      <c r="C814" s="1"/>
      <c r="D814" s="1"/>
      <c r="E814" s="3"/>
      <c r="F814" s="3"/>
      <c r="G814" s="5"/>
      <c r="H814" s="3"/>
      <c r="I814" s="5"/>
      <c r="J814" s="3"/>
      <c r="K814" s="5"/>
      <c r="L814" s="3"/>
      <c r="M814" s="5"/>
      <c r="N814" s="3"/>
      <c r="O814" s="5"/>
      <c r="P814" s="3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>
      <c r="A815" s="1"/>
      <c r="B815" s="1"/>
      <c r="C815" s="1"/>
      <c r="D815" s="1"/>
      <c r="E815" s="3"/>
      <c r="F815" s="3"/>
      <c r="G815" s="5"/>
      <c r="H815" s="3"/>
      <c r="I815" s="5"/>
      <c r="J815" s="3"/>
      <c r="K815" s="5"/>
      <c r="L815" s="3"/>
      <c r="M815" s="5"/>
      <c r="N815" s="3"/>
      <c r="O815" s="5"/>
      <c r="P815" s="3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>
      <c r="A816" s="1"/>
      <c r="B816" s="1"/>
      <c r="C816" s="1"/>
      <c r="D816" s="1"/>
      <c r="E816" s="3"/>
      <c r="F816" s="3"/>
      <c r="G816" s="5"/>
      <c r="H816" s="3"/>
      <c r="I816" s="5"/>
      <c r="J816" s="3"/>
      <c r="K816" s="5"/>
      <c r="L816" s="3"/>
      <c r="M816" s="5"/>
      <c r="N816" s="3"/>
      <c r="O816" s="5"/>
      <c r="P816" s="3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>
      <c r="A817" s="1"/>
      <c r="B817" s="1"/>
      <c r="C817" s="1"/>
      <c r="D817" s="1"/>
      <c r="E817" s="3"/>
      <c r="F817" s="3"/>
      <c r="G817" s="5"/>
      <c r="H817" s="3"/>
      <c r="I817" s="5"/>
      <c r="J817" s="3"/>
      <c r="K817" s="5"/>
      <c r="L817" s="3"/>
      <c r="M817" s="5"/>
      <c r="N817" s="3"/>
      <c r="O817" s="5"/>
      <c r="P817" s="3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>
      <c r="A818" s="1"/>
      <c r="B818" s="1"/>
      <c r="C818" s="1"/>
      <c r="D818" s="1"/>
      <c r="E818" s="3"/>
      <c r="F818" s="3"/>
      <c r="G818" s="5"/>
      <c r="H818" s="3"/>
      <c r="I818" s="5"/>
      <c r="J818" s="3"/>
      <c r="K818" s="5"/>
      <c r="L818" s="3"/>
      <c r="M818" s="5"/>
      <c r="N818" s="3"/>
      <c r="O818" s="5"/>
      <c r="P818" s="3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>
      <c r="A819" s="1"/>
      <c r="B819" s="1"/>
      <c r="C819" s="1"/>
      <c r="D819" s="1"/>
      <c r="E819" s="3"/>
      <c r="F819" s="3"/>
      <c r="G819" s="5"/>
      <c r="H819" s="3"/>
      <c r="I819" s="5"/>
      <c r="J819" s="3"/>
      <c r="K819" s="5"/>
      <c r="L819" s="3"/>
      <c r="M819" s="5"/>
      <c r="N819" s="3"/>
      <c r="O819" s="5"/>
      <c r="P819" s="3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>
      <c r="A820" s="1"/>
      <c r="B820" s="1"/>
      <c r="C820" s="1"/>
      <c r="D820" s="1"/>
      <c r="E820" s="3"/>
      <c r="F820" s="3"/>
      <c r="G820" s="5"/>
      <c r="H820" s="3"/>
      <c r="I820" s="5"/>
      <c r="J820" s="3"/>
      <c r="K820" s="5"/>
      <c r="L820" s="3"/>
      <c r="M820" s="5"/>
      <c r="N820" s="3"/>
      <c r="O820" s="5"/>
      <c r="P820" s="3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>
      <c r="A821" s="1"/>
      <c r="B821" s="1"/>
      <c r="C821" s="1"/>
      <c r="D821" s="1"/>
      <c r="E821" s="3"/>
      <c r="F821" s="3"/>
      <c r="G821" s="5"/>
      <c r="H821" s="3"/>
      <c r="I821" s="5"/>
      <c r="J821" s="3"/>
      <c r="K821" s="5"/>
      <c r="L821" s="3"/>
      <c r="M821" s="5"/>
      <c r="N821" s="3"/>
      <c r="O821" s="5"/>
      <c r="P821" s="3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>
      <c r="A822" s="1"/>
      <c r="B822" s="1"/>
      <c r="C822" s="1"/>
      <c r="D822" s="1"/>
      <c r="E822" s="3"/>
      <c r="F822" s="3"/>
      <c r="G822" s="5"/>
      <c r="H822" s="3"/>
      <c r="I822" s="5"/>
      <c r="J822" s="3"/>
      <c r="K822" s="5"/>
      <c r="L822" s="3"/>
      <c r="M822" s="5"/>
      <c r="N822" s="3"/>
      <c r="O822" s="5"/>
      <c r="P822" s="3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>
      <c r="A823" s="1"/>
      <c r="B823" s="1"/>
      <c r="C823" s="1"/>
      <c r="D823" s="1"/>
      <c r="E823" s="3"/>
      <c r="F823" s="3"/>
      <c r="G823" s="5"/>
      <c r="H823" s="3"/>
      <c r="I823" s="5"/>
      <c r="J823" s="3"/>
      <c r="K823" s="5"/>
      <c r="L823" s="3"/>
      <c r="M823" s="5"/>
      <c r="N823" s="3"/>
      <c r="O823" s="5"/>
      <c r="P823" s="3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>
      <c r="A824" s="1"/>
      <c r="B824" s="1"/>
      <c r="C824" s="1"/>
      <c r="D824" s="1"/>
      <c r="E824" s="3"/>
      <c r="F824" s="3"/>
      <c r="G824" s="5"/>
      <c r="H824" s="3"/>
      <c r="I824" s="5"/>
      <c r="J824" s="3"/>
      <c r="K824" s="5"/>
      <c r="L824" s="3"/>
      <c r="M824" s="5"/>
      <c r="N824" s="3"/>
      <c r="O824" s="5"/>
      <c r="P824" s="3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>
      <c r="A825" s="1"/>
      <c r="B825" s="1"/>
      <c r="C825" s="1"/>
      <c r="D825" s="1"/>
      <c r="E825" s="3"/>
      <c r="F825" s="3"/>
      <c r="G825" s="5"/>
      <c r="H825" s="3"/>
      <c r="I825" s="5"/>
      <c r="J825" s="3"/>
      <c r="K825" s="5"/>
      <c r="L825" s="3"/>
      <c r="M825" s="5"/>
      <c r="N825" s="3"/>
      <c r="O825" s="5"/>
      <c r="P825" s="3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>
      <c r="A826" s="1"/>
      <c r="B826" s="1"/>
      <c r="C826" s="1"/>
      <c r="D826" s="1"/>
      <c r="E826" s="3"/>
      <c r="F826" s="3"/>
      <c r="G826" s="5"/>
      <c r="H826" s="3"/>
      <c r="I826" s="5"/>
      <c r="J826" s="3"/>
      <c r="K826" s="5"/>
      <c r="L826" s="3"/>
      <c r="M826" s="5"/>
      <c r="N826" s="3"/>
      <c r="O826" s="5"/>
      <c r="P826" s="3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>
      <c r="A827" s="1"/>
      <c r="B827" s="1"/>
      <c r="C827" s="1"/>
      <c r="D827" s="1"/>
      <c r="E827" s="3"/>
      <c r="F827" s="3"/>
      <c r="G827" s="5"/>
      <c r="H827" s="3"/>
      <c r="I827" s="5"/>
      <c r="J827" s="3"/>
      <c r="K827" s="5"/>
      <c r="L827" s="3"/>
      <c r="M827" s="5"/>
      <c r="N827" s="3"/>
      <c r="O827" s="5"/>
      <c r="P827" s="3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>
      <c r="A828" s="1"/>
      <c r="B828" s="1"/>
      <c r="C828" s="1"/>
      <c r="D828" s="1"/>
      <c r="E828" s="3"/>
      <c r="F828" s="3"/>
      <c r="G828" s="5"/>
      <c r="H828" s="3"/>
      <c r="I828" s="5"/>
      <c r="J828" s="3"/>
      <c r="K828" s="5"/>
      <c r="L828" s="3"/>
      <c r="M828" s="5"/>
      <c r="N828" s="3"/>
      <c r="O828" s="5"/>
      <c r="P828" s="3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>
      <c r="A829" s="1"/>
      <c r="B829" s="1"/>
      <c r="C829" s="1"/>
      <c r="D829" s="1"/>
      <c r="E829" s="3"/>
      <c r="F829" s="3"/>
      <c r="G829" s="5"/>
      <c r="H829" s="3"/>
      <c r="I829" s="5"/>
      <c r="J829" s="3"/>
      <c r="K829" s="5"/>
      <c r="L829" s="3"/>
      <c r="M829" s="5"/>
      <c r="N829" s="3"/>
      <c r="O829" s="5"/>
      <c r="P829" s="3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>
      <c r="A830" s="1"/>
      <c r="B830" s="1"/>
      <c r="C830" s="1"/>
      <c r="D830" s="1"/>
      <c r="E830" s="3"/>
      <c r="F830" s="3"/>
      <c r="G830" s="5"/>
      <c r="H830" s="3"/>
      <c r="I830" s="5"/>
      <c r="J830" s="3"/>
      <c r="K830" s="5"/>
      <c r="L830" s="3"/>
      <c r="M830" s="5"/>
      <c r="N830" s="3"/>
      <c r="O830" s="5"/>
      <c r="P830" s="3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>
      <c r="A831" s="1"/>
      <c r="B831" s="1"/>
      <c r="C831" s="1"/>
      <c r="D831" s="1"/>
      <c r="E831" s="3"/>
      <c r="F831" s="3"/>
      <c r="G831" s="5"/>
      <c r="H831" s="3"/>
      <c r="I831" s="5"/>
      <c r="J831" s="3"/>
      <c r="K831" s="5"/>
      <c r="L831" s="3"/>
      <c r="M831" s="5"/>
      <c r="N831" s="3"/>
      <c r="O831" s="5"/>
      <c r="P831" s="3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>
      <c r="A832" s="1"/>
      <c r="B832" s="1"/>
      <c r="C832" s="1"/>
      <c r="D832" s="1"/>
      <c r="E832" s="3"/>
      <c r="F832" s="3"/>
      <c r="G832" s="5"/>
      <c r="H832" s="3"/>
      <c r="I832" s="5"/>
      <c r="J832" s="3"/>
      <c r="K832" s="5"/>
      <c r="L832" s="3"/>
      <c r="M832" s="5"/>
      <c r="N832" s="3"/>
      <c r="O832" s="5"/>
      <c r="P832" s="3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>
      <c r="A833" s="1"/>
      <c r="B833" s="1"/>
      <c r="C833" s="1"/>
      <c r="D833" s="1"/>
      <c r="E833" s="3"/>
      <c r="F833" s="3"/>
      <c r="G833" s="5"/>
      <c r="H833" s="3"/>
      <c r="I833" s="5"/>
      <c r="J833" s="3"/>
      <c r="K833" s="5"/>
      <c r="L833" s="3"/>
      <c r="M833" s="5"/>
      <c r="N833" s="3"/>
      <c r="O833" s="5"/>
      <c r="P833" s="3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>
      <c r="A834" s="1"/>
      <c r="B834" s="1"/>
      <c r="C834" s="1"/>
      <c r="D834" s="1"/>
      <c r="E834" s="3"/>
      <c r="F834" s="3"/>
      <c r="G834" s="5"/>
      <c r="H834" s="3"/>
      <c r="I834" s="5"/>
      <c r="J834" s="3"/>
      <c r="K834" s="5"/>
      <c r="L834" s="3"/>
      <c r="M834" s="5"/>
      <c r="N834" s="3"/>
      <c r="O834" s="5"/>
      <c r="P834" s="3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>
      <c r="A835" s="1"/>
      <c r="B835" s="1"/>
      <c r="C835" s="1"/>
      <c r="D835" s="1"/>
      <c r="E835" s="3"/>
      <c r="F835" s="3"/>
      <c r="G835" s="5"/>
      <c r="H835" s="3"/>
      <c r="I835" s="5"/>
      <c r="J835" s="3"/>
      <c r="K835" s="5"/>
      <c r="L835" s="3"/>
      <c r="M835" s="5"/>
      <c r="N835" s="3"/>
      <c r="O835" s="5"/>
      <c r="P835" s="3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>
      <c r="A836" s="1"/>
      <c r="B836" s="1"/>
      <c r="C836" s="1"/>
      <c r="D836" s="1"/>
      <c r="E836" s="3"/>
      <c r="F836" s="3"/>
      <c r="G836" s="5"/>
      <c r="H836" s="3"/>
      <c r="I836" s="5"/>
      <c r="J836" s="3"/>
      <c r="K836" s="5"/>
      <c r="L836" s="3"/>
      <c r="M836" s="5"/>
      <c r="N836" s="3"/>
      <c r="O836" s="5"/>
      <c r="P836" s="3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>
      <c r="A837" s="1"/>
      <c r="B837" s="1"/>
      <c r="C837" s="1"/>
      <c r="D837" s="1"/>
      <c r="E837" s="3"/>
      <c r="F837" s="3"/>
      <c r="G837" s="5"/>
      <c r="H837" s="3"/>
      <c r="I837" s="5"/>
      <c r="J837" s="3"/>
      <c r="K837" s="5"/>
      <c r="L837" s="3"/>
      <c r="M837" s="5"/>
      <c r="N837" s="3"/>
      <c r="O837" s="5"/>
      <c r="P837" s="3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>
      <c r="A838" s="1"/>
      <c r="B838" s="1"/>
      <c r="C838" s="1"/>
      <c r="D838" s="1"/>
      <c r="E838" s="3"/>
      <c r="F838" s="3"/>
      <c r="G838" s="5"/>
      <c r="H838" s="3"/>
      <c r="I838" s="5"/>
      <c r="J838" s="3"/>
      <c r="K838" s="5"/>
      <c r="L838" s="3"/>
      <c r="M838" s="5"/>
      <c r="N838" s="3"/>
      <c r="O838" s="5"/>
      <c r="P838" s="3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>
      <c r="A839" s="1"/>
      <c r="B839" s="1"/>
      <c r="C839" s="1"/>
      <c r="D839" s="1"/>
      <c r="E839" s="3"/>
      <c r="F839" s="3"/>
      <c r="G839" s="5"/>
      <c r="H839" s="3"/>
      <c r="I839" s="5"/>
      <c r="J839" s="3"/>
      <c r="K839" s="5"/>
      <c r="L839" s="3"/>
      <c r="M839" s="5"/>
      <c r="N839" s="3"/>
      <c r="O839" s="5"/>
      <c r="P839" s="3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>
      <c r="A840" s="1"/>
      <c r="B840" s="1"/>
      <c r="C840" s="1"/>
      <c r="D840" s="1"/>
      <c r="E840" s="3"/>
      <c r="F840" s="3"/>
      <c r="G840" s="5"/>
      <c r="H840" s="3"/>
      <c r="I840" s="5"/>
      <c r="J840" s="3"/>
      <c r="K840" s="5"/>
      <c r="L840" s="3"/>
      <c r="M840" s="5"/>
      <c r="N840" s="3"/>
      <c r="O840" s="5"/>
      <c r="P840" s="3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>
      <c r="A841" s="1"/>
      <c r="B841" s="1"/>
      <c r="C841" s="1"/>
      <c r="D841" s="1"/>
      <c r="E841" s="3"/>
      <c r="F841" s="3"/>
      <c r="G841" s="5"/>
      <c r="H841" s="3"/>
      <c r="I841" s="5"/>
      <c r="J841" s="3"/>
      <c r="K841" s="5"/>
      <c r="L841" s="3"/>
      <c r="M841" s="5"/>
      <c r="N841" s="3"/>
      <c r="O841" s="5"/>
      <c r="P841" s="3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>
      <c r="A842" s="1"/>
      <c r="B842" s="1"/>
      <c r="C842" s="1"/>
      <c r="D842" s="1"/>
      <c r="E842" s="3"/>
      <c r="F842" s="3"/>
      <c r="G842" s="5"/>
      <c r="H842" s="3"/>
      <c r="I842" s="5"/>
      <c r="J842" s="3"/>
      <c r="K842" s="5"/>
      <c r="L842" s="3"/>
      <c r="M842" s="5"/>
      <c r="N842" s="3"/>
      <c r="O842" s="5"/>
      <c r="P842" s="3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>
      <c r="A843" s="1"/>
      <c r="B843" s="1"/>
      <c r="C843" s="1"/>
      <c r="D843" s="1"/>
      <c r="E843" s="3"/>
      <c r="F843" s="3"/>
      <c r="G843" s="5"/>
      <c r="H843" s="3"/>
      <c r="I843" s="5"/>
      <c r="J843" s="3"/>
      <c r="K843" s="5"/>
      <c r="L843" s="3"/>
      <c r="M843" s="5"/>
      <c r="N843" s="3"/>
      <c r="O843" s="5"/>
      <c r="P843" s="3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>
      <c r="A844" s="1"/>
      <c r="B844" s="1"/>
      <c r="C844" s="1"/>
      <c r="D844" s="1"/>
      <c r="E844" s="3"/>
      <c r="F844" s="3"/>
      <c r="G844" s="5"/>
      <c r="H844" s="3"/>
      <c r="I844" s="5"/>
      <c r="J844" s="3"/>
      <c r="K844" s="5"/>
      <c r="L844" s="3"/>
      <c r="M844" s="5"/>
      <c r="N844" s="3"/>
      <c r="O844" s="5"/>
      <c r="P844" s="3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>
      <c r="A845" s="1"/>
      <c r="B845" s="1"/>
      <c r="C845" s="1"/>
      <c r="D845" s="1"/>
      <c r="E845" s="3"/>
      <c r="F845" s="3"/>
      <c r="G845" s="5"/>
      <c r="H845" s="3"/>
      <c r="I845" s="5"/>
      <c r="J845" s="3"/>
      <c r="K845" s="5"/>
      <c r="L845" s="3"/>
      <c r="M845" s="5"/>
      <c r="N845" s="3"/>
      <c r="O845" s="5"/>
      <c r="P845" s="3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>
      <c r="A846" s="1"/>
      <c r="B846" s="1"/>
      <c r="C846" s="1"/>
      <c r="D846" s="1"/>
      <c r="E846" s="3"/>
      <c r="F846" s="3"/>
      <c r="G846" s="5"/>
      <c r="H846" s="3"/>
      <c r="I846" s="5"/>
      <c r="J846" s="3"/>
      <c r="K846" s="5"/>
      <c r="L846" s="3"/>
      <c r="M846" s="5"/>
      <c r="N846" s="3"/>
      <c r="O846" s="5"/>
      <c r="P846" s="3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>
      <c r="A847" s="1"/>
      <c r="B847" s="1"/>
      <c r="C847" s="1"/>
      <c r="D847" s="1"/>
      <c r="E847" s="3"/>
      <c r="F847" s="3"/>
      <c r="G847" s="5"/>
      <c r="H847" s="3"/>
      <c r="I847" s="5"/>
      <c r="J847" s="3"/>
      <c r="K847" s="5"/>
      <c r="L847" s="3"/>
      <c r="M847" s="5"/>
      <c r="N847" s="3"/>
      <c r="O847" s="5"/>
      <c r="P847" s="3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>
      <c r="A848" s="1"/>
      <c r="B848" s="1"/>
      <c r="C848" s="1"/>
      <c r="D848" s="1"/>
      <c r="E848" s="3"/>
      <c r="F848" s="3"/>
      <c r="G848" s="5"/>
      <c r="H848" s="3"/>
      <c r="I848" s="5"/>
      <c r="J848" s="3"/>
      <c r="K848" s="5"/>
      <c r="L848" s="3"/>
      <c r="M848" s="5"/>
      <c r="N848" s="3"/>
      <c r="O848" s="5"/>
      <c r="P848" s="3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>
      <c r="A849" s="1"/>
      <c r="B849" s="1"/>
      <c r="C849" s="1"/>
      <c r="D849" s="1"/>
      <c r="E849" s="3"/>
      <c r="F849" s="3"/>
      <c r="G849" s="5"/>
      <c r="H849" s="3"/>
      <c r="I849" s="5"/>
      <c r="J849" s="3"/>
      <c r="K849" s="5"/>
      <c r="L849" s="3"/>
      <c r="M849" s="5"/>
      <c r="N849" s="3"/>
      <c r="O849" s="5"/>
      <c r="P849" s="3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>
      <c r="A850" s="1"/>
      <c r="B850" s="1"/>
      <c r="C850" s="1"/>
      <c r="D850" s="1"/>
      <c r="E850" s="3"/>
      <c r="F850" s="3"/>
      <c r="G850" s="5"/>
      <c r="H850" s="3"/>
      <c r="I850" s="5"/>
      <c r="J850" s="3"/>
      <c r="K850" s="5"/>
      <c r="L850" s="3"/>
      <c r="M850" s="5"/>
      <c r="N850" s="3"/>
      <c r="O850" s="5"/>
      <c r="P850" s="3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>
      <c r="A851" s="1"/>
      <c r="B851" s="1"/>
      <c r="C851" s="1"/>
      <c r="D851" s="1"/>
      <c r="E851" s="3"/>
      <c r="F851" s="3"/>
      <c r="G851" s="5"/>
      <c r="H851" s="3"/>
      <c r="I851" s="5"/>
      <c r="J851" s="3"/>
      <c r="K851" s="5"/>
      <c r="L851" s="3"/>
      <c r="M851" s="5"/>
      <c r="N851" s="3"/>
      <c r="O851" s="5"/>
      <c r="P851" s="3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>
      <c r="A852" s="1"/>
      <c r="B852" s="1"/>
      <c r="C852" s="1"/>
      <c r="D852" s="1"/>
      <c r="E852" s="3"/>
      <c r="F852" s="3"/>
      <c r="G852" s="5"/>
      <c r="H852" s="3"/>
      <c r="I852" s="5"/>
      <c r="J852" s="3"/>
      <c r="K852" s="5"/>
      <c r="L852" s="3"/>
      <c r="M852" s="5"/>
      <c r="N852" s="3"/>
      <c r="O852" s="5"/>
      <c r="P852" s="3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>
      <c r="A853" s="1"/>
      <c r="B853" s="1"/>
      <c r="C853" s="1"/>
      <c r="D853" s="1"/>
      <c r="E853" s="3"/>
      <c r="F853" s="3"/>
      <c r="G853" s="5"/>
      <c r="H853" s="3"/>
      <c r="I853" s="5"/>
      <c r="J853" s="3"/>
      <c r="K853" s="5"/>
      <c r="L853" s="3"/>
      <c r="M853" s="5"/>
      <c r="N853" s="3"/>
      <c r="O853" s="5"/>
      <c r="P853" s="3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>
      <c r="A854" s="1"/>
      <c r="B854" s="1"/>
      <c r="C854" s="1"/>
      <c r="D854" s="1"/>
      <c r="E854" s="3"/>
      <c r="F854" s="3"/>
      <c r="G854" s="5"/>
      <c r="H854" s="3"/>
      <c r="I854" s="5"/>
      <c r="J854" s="3"/>
      <c r="K854" s="5"/>
      <c r="L854" s="3"/>
      <c r="M854" s="5"/>
      <c r="N854" s="3"/>
      <c r="O854" s="5"/>
      <c r="P854" s="3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>
      <c r="A855" s="1"/>
      <c r="B855" s="1"/>
      <c r="C855" s="1"/>
      <c r="D855" s="1"/>
      <c r="E855" s="3"/>
      <c r="F855" s="3"/>
      <c r="G855" s="5"/>
      <c r="H855" s="3"/>
      <c r="I855" s="5"/>
      <c r="J855" s="3"/>
      <c r="K855" s="5"/>
      <c r="L855" s="3"/>
      <c r="M855" s="5"/>
      <c r="N855" s="3"/>
      <c r="O855" s="5"/>
      <c r="P855" s="3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>
      <c r="A856" s="1"/>
      <c r="B856" s="1"/>
      <c r="C856" s="1"/>
      <c r="D856" s="1"/>
      <c r="E856" s="3"/>
      <c r="F856" s="3"/>
      <c r="G856" s="5"/>
      <c r="H856" s="3"/>
      <c r="I856" s="5"/>
      <c r="J856" s="3"/>
      <c r="K856" s="5"/>
      <c r="L856" s="3"/>
      <c r="M856" s="5"/>
      <c r="N856" s="3"/>
      <c r="O856" s="5"/>
      <c r="P856" s="3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>
      <c r="A857" s="1"/>
      <c r="B857" s="1"/>
      <c r="C857" s="1"/>
      <c r="D857" s="1"/>
      <c r="E857" s="3"/>
      <c r="F857" s="3"/>
      <c r="G857" s="5"/>
      <c r="H857" s="3"/>
      <c r="I857" s="5"/>
      <c r="J857" s="3"/>
      <c r="K857" s="5"/>
      <c r="L857" s="3"/>
      <c r="M857" s="5"/>
      <c r="N857" s="3"/>
      <c r="O857" s="5"/>
      <c r="P857" s="3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>
      <c r="A858" s="1"/>
      <c r="B858" s="1"/>
      <c r="C858" s="1"/>
      <c r="D858" s="1"/>
      <c r="E858" s="3"/>
      <c r="F858" s="3"/>
      <c r="G858" s="5"/>
      <c r="H858" s="3"/>
      <c r="I858" s="5"/>
      <c r="J858" s="3"/>
      <c r="K858" s="5"/>
      <c r="L858" s="3"/>
      <c r="M858" s="5"/>
      <c r="N858" s="3"/>
      <c r="O858" s="5"/>
      <c r="P858" s="3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>
      <c r="A859" s="1"/>
      <c r="B859" s="1"/>
      <c r="C859" s="1"/>
      <c r="D859" s="1"/>
      <c r="E859" s="3"/>
      <c r="F859" s="3"/>
      <c r="G859" s="5"/>
      <c r="H859" s="3"/>
      <c r="I859" s="5"/>
      <c r="J859" s="3"/>
      <c r="K859" s="5"/>
      <c r="L859" s="3"/>
      <c r="M859" s="5"/>
      <c r="N859" s="3"/>
      <c r="O859" s="5"/>
      <c r="P859" s="3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>
      <c r="A860" s="1"/>
      <c r="B860" s="1"/>
      <c r="C860" s="1"/>
      <c r="D860" s="1"/>
      <c r="E860" s="3"/>
      <c r="F860" s="3"/>
      <c r="G860" s="5"/>
      <c r="H860" s="3"/>
      <c r="I860" s="5"/>
      <c r="J860" s="3"/>
      <c r="K860" s="5"/>
      <c r="L860" s="3"/>
      <c r="M860" s="5"/>
      <c r="N860" s="3"/>
      <c r="O860" s="5"/>
      <c r="P860" s="3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>
      <c r="A861" s="1"/>
      <c r="B861" s="1"/>
      <c r="C861" s="1"/>
      <c r="D861" s="1"/>
      <c r="E861" s="3"/>
      <c r="F861" s="3"/>
      <c r="G861" s="5"/>
      <c r="H861" s="3"/>
      <c r="I861" s="5"/>
      <c r="J861" s="3"/>
      <c r="K861" s="5"/>
      <c r="L861" s="3"/>
      <c r="M861" s="5"/>
      <c r="N861" s="3"/>
      <c r="O861" s="5"/>
      <c r="P861" s="3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>
      <c r="A862" s="1"/>
      <c r="B862" s="1"/>
      <c r="C862" s="1"/>
      <c r="D862" s="1"/>
      <c r="E862" s="3"/>
      <c r="F862" s="3"/>
      <c r="G862" s="5"/>
      <c r="H862" s="3"/>
      <c r="I862" s="5"/>
      <c r="J862" s="3"/>
      <c r="K862" s="5"/>
      <c r="L862" s="3"/>
      <c r="M862" s="5"/>
      <c r="N862" s="3"/>
      <c r="O862" s="5"/>
      <c r="P862" s="3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>
      <c r="A863" s="1"/>
      <c r="B863" s="1"/>
      <c r="C863" s="1"/>
      <c r="D863" s="1"/>
      <c r="E863" s="3"/>
      <c r="F863" s="3"/>
      <c r="G863" s="5"/>
      <c r="H863" s="3"/>
      <c r="I863" s="5"/>
      <c r="J863" s="3"/>
      <c r="K863" s="5"/>
      <c r="L863" s="3"/>
      <c r="M863" s="5"/>
      <c r="N863" s="3"/>
      <c r="O863" s="5"/>
      <c r="P863" s="3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>
      <c r="A864" s="1"/>
      <c r="B864" s="1"/>
      <c r="C864" s="1"/>
      <c r="D864" s="1"/>
      <c r="E864" s="3"/>
      <c r="F864" s="3"/>
      <c r="G864" s="5"/>
      <c r="H864" s="3"/>
      <c r="I864" s="5"/>
      <c r="J864" s="3"/>
      <c r="K864" s="5"/>
      <c r="L864" s="3"/>
      <c r="M864" s="5"/>
      <c r="N864" s="3"/>
      <c r="O864" s="5"/>
      <c r="P864" s="3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>
      <c r="A865" s="1"/>
      <c r="B865" s="1"/>
      <c r="C865" s="1"/>
      <c r="D865" s="1"/>
      <c r="E865" s="3"/>
      <c r="F865" s="3"/>
      <c r="G865" s="5"/>
      <c r="H865" s="3"/>
      <c r="I865" s="5"/>
      <c r="J865" s="3"/>
      <c r="K865" s="5"/>
      <c r="L865" s="3"/>
      <c r="M865" s="5"/>
      <c r="N865" s="3"/>
      <c r="O865" s="5"/>
      <c r="P865" s="3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>
      <c r="A866" s="1"/>
      <c r="B866" s="1"/>
      <c r="C866" s="1"/>
      <c r="D866" s="1"/>
      <c r="E866" s="3"/>
      <c r="F866" s="3"/>
      <c r="G866" s="5"/>
      <c r="H866" s="3"/>
      <c r="I866" s="5"/>
      <c r="J866" s="3"/>
      <c r="K866" s="5"/>
      <c r="L866" s="3"/>
      <c r="M866" s="5"/>
      <c r="N866" s="3"/>
      <c r="O866" s="5"/>
      <c r="P866" s="3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>
      <c r="A867" s="1"/>
      <c r="B867" s="1"/>
      <c r="C867" s="1"/>
      <c r="D867" s="1"/>
      <c r="E867" s="3"/>
      <c r="F867" s="3"/>
      <c r="G867" s="5"/>
      <c r="H867" s="3"/>
      <c r="I867" s="5"/>
      <c r="J867" s="3"/>
      <c r="K867" s="5"/>
      <c r="L867" s="3"/>
      <c r="M867" s="5"/>
      <c r="N867" s="3"/>
      <c r="O867" s="5"/>
      <c r="P867" s="3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>
      <c r="A868" s="1"/>
      <c r="B868" s="1"/>
      <c r="C868" s="1"/>
      <c r="D868" s="1"/>
      <c r="E868" s="3"/>
      <c r="F868" s="3"/>
      <c r="G868" s="5"/>
      <c r="H868" s="3"/>
      <c r="I868" s="5"/>
      <c r="J868" s="3"/>
      <c r="K868" s="5"/>
      <c r="L868" s="3"/>
      <c r="M868" s="5"/>
      <c r="N868" s="3"/>
      <c r="O868" s="5"/>
      <c r="P868" s="3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>
      <c r="A869" s="1"/>
      <c r="B869" s="1"/>
      <c r="C869" s="1"/>
      <c r="D869" s="1"/>
      <c r="E869" s="3"/>
      <c r="F869" s="3"/>
      <c r="G869" s="5"/>
      <c r="H869" s="3"/>
      <c r="I869" s="5"/>
      <c r="J869" s="3"/>
      <c r="K869" s="5"/>
      <c r="L869" s="3"/>
      <c r="M869" s="5"/>
      <c r="N869" s="3"/>
      <c r="O869" s="5"/>
      <c r="P869" s="3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>
      <c r="A870" s="1"/>
      <c r="B870" s="1"/>
      <c r="C870" s="1"/>
      <c r="D870" s="1"/>
      <c r="E870" s="3"/>
      <c r="F870" s="3"/>
      <c r="G870" s="5"/>
      <c r="H870" s="3"/>
      <c r="I870" s="5"/>
      <c r="J870" s="3"/>
      <c r="K870" s="5"/>
      <c r="L870" s="3"/>
      <c r="M870" s="5"/>
      <c r="N870" s="3"/>
      <c r="O870" s="5"/>
      <c r="P870" s="3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>
      <c r="A871" s="1"/>
      <c r="B871" s="1"/>
      <c r="C871" s="1"/>
      <c r="D871" s="1"/>
      <c r="E871" s="3"/>
      <c r="F871" s="3"/>
      <c r="G871" s="5"/>
      <c r="H871" s="3"/>
      <c r="I871" s="5"/>
      <c r="J871" s="3"/>
      <c r="K871" s="5"/>
      <c r="L871" s="3"/>
      <c r="M871" s="5"/>
      <c r="N871" s="3"/>
      <c r="O871" s="5"/>
      <c r="P871" s="3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>
      <c r="A872" s="1"/>
      <c r="B872" s="1"/>
      <c r="C872" s="1"/>
      <c r="D872" s="1"/>
      <c r="E872" s="3"/>
      <c r="F872" s="3"/>
      <c r="G872" s="5"/>
      <c r="H872" s="3"/>
      <c r="I872" s="5"/>
      <c r="J872" s="3"/>
      <c r="K872" s="5"/>
      <c r="L872" s="3"/>
      <c r="M872" s="5"/>
      <c r="N872" s="3"/>
      <c r="O872" s="5"/>
      <c r="P872" s="3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>
      <c r="A873" s="1"/>
      <c r="B873" s="1"/>
      <c r="C873" s="1"/>
      <c r="D873" s="1"/>
      <c r="E873" s="3"/>
      <c r="F873" s="3"/>
      <c r="G873" s="5"/>
      <c r="H873" s="3"/>
      <c r="I873" s="5"/>
      <c r="J873" s="3"/>
      <c r="K873" s="5"/>
      <c r="L873" s="3"/>
      <c r="M873" s="5"/>
      <c r="N873" s="3"/>
      <c r="O873" s="5"/>
      <c r="P873" s="3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>
      <c r="A874" s="1"/>
      <c r="B874" s="1"/>
      <c r="C874" s="1"/>
      <c r="D874" s="1"/>
      <c r="E874" s="3"/>
      <c r="F874" s="3"/>
      <c r="G874" s="5"/>
      <c r="H874" s="3"/>
      <c r="I874" s="5"/>
      <c r="J874" s="3"/>
      <c r="K874" s="5"/>
      <c r="L874" s="3"/>
      <c r="M874" s="5"/>
      <c r="N874" s="3"/>
      <c r="O874" s="5"/>
      <c r="P874" s="3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>
      <c r="A875" s="1"/>
      <c r="B875" s="1"/>
      <c r="C875" s="1"/>
      <c r="D875" s="1"/>
      <c r="E875" s="3"/>
      <c r="F875" s="3"/>
      <c r="G875" s="5"/>
      <c r="H875" s="3"/>
      <c r="I875" s="5"/>
      <c r="J875" s="3"/>
      <c r="K875" s="5"/>
      <c r="L875" s="3"/>
      <c r="M875" s="5"/>
      <c r="N875" s="3"/>
      <c r="O875" s="5"/>
      <c r="P875" s="3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>
      <c r="A876" s="1"/>
      <c r="B876" s="1"/>
      <c r="C876" s="1"/>
      <c r="D876" s="1"/>
      <c r="E876" s="3"/>
      <c r="F876" s="3"/>
      <c r="G876" s="5"/>
      <c r="H876" s="3"/>
      <c r="I876" s="5"/>
      <c r="J876" s="3"/>
      <c r="K876" s="5"/>
      <c r="L876" s="3"/>
      <c r="M876" s="5"/>
      <c r="N876" s="3"/>
      <c r="O876" s="5"/>
      <c r="P876" s="3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>
      <c r="A877" s="1"/>
      <c r="B877" s="1"/>
      <c r="C877" s="1"/>
      <c r="D877" s="1"/>
      <c r="E877" s="3"/>
      <c r="F877" s="3"/>
      <c r="G877" s="5"/>
      <c r="H877" s="3"/>
      <c r="I877" s="5"/>
      <c r="J877" s="3"/>
      <c r="K877" s="5"/>
      <c r="L877" s="3"/>
      <c r="M877" s="5"/>
      <c r="N877" s="3"/>
      <c r="O877" s="5"/>
      <c r="P877" s="3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>
      <c r="A878" s="1"/>
      <c r="B878" s="1"/>
      <c r="C878" s="1"/>
      <c r="D878" s="1"/>
      <c r="E878" s="3"/>
      <c r="F878" s="3"/>
      <c r="G878" s="5"/>
      <c r="H878" s="3"/>
      <c r="I878" s="5"/>
      <c r="J878" s="3"/>
      <c r="K878" s="5"/>
      <c r="L878" s="3"/>
      <c r="M878" s="5"/>
      <c r="N878" s="3"/>
      <c r="O878" s="5"/>
      <c r="P878" s="3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>
      <c r="A879" s="1"/>
      <c r="B879" s="1"/>
      <c r="C879" s="1"/>
      <c r="D879" s="1"/>
      <c r="E879" s="3"/>
      <c r="F879" s="3"/>
      <c r="G879" s="5"/>
      <c r="H879" s="3"/>
      <c r="I879" s="5"/>
      <c r="J879" s="3"/>
      <c r="K879" s="5"/>
      <c r="L879" s="3"/>
      <c r="M879" s="5"/>
      <c r="N879" s="3"/>
      <c r="O879" s="5"/>
      <c r="P879" s="3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>
      <c r="A880" s="1"/>
      <c r="B880" s="1"/>
      <c r="C880" s="1"/>
      <c r="D880" s="1"/>
      <c r="E880" s="3"/>
      <c r="F880" s="3"/>
      <c r="G880" s="5"/>
      <c r="H880" s="3"/>
      <c r="I880" s="5"/>
      <c r="J880" s="3"/>
      <c r="K880" s="5"/>
      <c r="L880" s="3"/>
      <c r="M880" s="5"/>
      <c r="N880" s="3"/>
      <c r="O880" s="5"/>
      <c r="P880" s="3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>
      <c r="A881" s="1"/>
      <c r="B881" s="1"/>
      <c r="C881" s="1"/>
      <c r="D881" s="1"/>
      <c r="E881" s="3"/>
      <c r="F881" s="3"/>
      <c r="G881" s="5"/>
      <c r="H881" s="3"/>
      <c r="I881" s="5"/>
      <c r="J881" s="3"/>
      <c r="K881" s="5"/>
      <c r="L881" s="3"/>
      <c r="M881" s="5"/>
      <c r="N881" s="3"/>
      <c r="O881" s="5"/>
      <c r="P881" s="3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>
      <c r="A882" s="1"/>
      <c r="B882" s="1"/>
      <c r="C882" s="1"/>
      <c r="D882" s="1"/>
      <c r="E882" s="3"/>
      <c r="F882" s="3"/>
      <c r="G882" s="5"/>
      <c r="H882" s="3"/>
      <c r="I882" s="5"/>
      <c r="J882" s="3"/>
      <c r="K882" s="5"/>
      <c r="L882" s="3"/>
      <c r="M882" s="5"/>
      <c r="N882" s="3"/>
      <c r="O882" s="5"/>
      <c r="P882" s="3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>
      <c r="A883" s="1"/>
      <c r="B883" s="1"/>
      <c r="C883" s="1"/>
      <c r="D883" s="1"/>
      <c r="E883" s="3"/>
      <c r="F883" s="3"/>
      <c r="G883" s="5"/>
      <c r="H883" s="3"/>
      <c r="I883" s="5"/>
      <c r="J883" s="3"/>
      <c r="K883" s="5"/>
      <c r="L883" s="3"/>
      <c r="M883" s="5"/>
      <c r="N883" s="3"/>
      <c r="O883" s="5"/>
      <c r="P883" s="3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>
      <c r="A884" s="1"/>
      <c r="B884" s="1"/>
      <c r="C884" s="1"/>
      <c r="D884" s="1"/>
      <c r="E884" s="3"/>
      <c r="F884" s="3"/>
      <c r="G884" s="5"/>
      <c r="H884" s="3"/>
      <c r="I884" s="5"/>
      <c r="J884" s="3"/>
      <c r="K884" s="5"/>
      <c r="L884" s="3"/>
      <c r="M884" s="5"/>
      <c r="N884" s="3"/>
      <c r="O884" s="5"/>
      <c r="P884" s="3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>
      <c r="A885" s="1"/>
      <c r="B885" s="1"/>
      <c r="C885" s="1"/>
      <c r="D885" s="1"/>
      <c r="E885" s="3"/>
      <c r="F885" s="3"/>
      <c r="G885" s="5"/>
      <c r="H885" s="3"/>
      <c r="I885" s="5"/>
      <c r="J885" s="3"/>
      <c r="K885" s="5"/>
      <c r="L885" s="3"/>
      <c r="M885" s="5"/>
      <c r="N885" s="3"/>
      <c r="O885" s="5"/>
      <c r="P885" s="3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>
      <c r="A886" s="1"/>
      <c r="B886" s="1"/>
      <c r="C886" s="1"/>
      <c r="D886" s="1"/>
      <c r="E886" s="3"/>
      <c r="F886" s="3"/>
      <c r="G886" s="5"/>
      <c r="H886" s="3"/>
      <c r="I886" s="5"/>
      <c r="J886" s="3"/>
      <c r="K886" s="5"/>
      <c r="L886" s="3"/>
      <c r="M886" s="5"/>
      <c r="N886" s="3"/>
      <c r="O886" s="5"/>
      <c r="P886" s="3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>
      <c r="A887" s="1"/>
      <c r="B887" s="1"/>
      <c r="C887" s="1"/>
      <c r="D887" s="1"/>
      <c r="E887" s="3"/>
      <c r="F887" s="3"/>
      <c r="G887" s="5"/>
      <c r="H887" s="3"/>
      <c r="I887" s="5"/>
      <c r="J887" s="3"/>
      <c r="K887" s="5"/>
      <c r="L887" s="3"/>
      <c r="M887" s="5"/>
      <c r="N887" s="3"/>
      <c r="O887" s="5"/>
      <c r="P887" s="3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>
      <c r="A888" s="1"/>
      <c r="B888" s="1"/>
      <c r="C888" s="1"/>
      <c r="D888" s="1"/>
      <c r="E888" s="3"/>
      <c r="F888" s="3"/>
      <c r="G888" s="5"/>
      <c r="H888" s="3"/>
      <c r="I888" s="5"/>
      <c r="J888" s="3"/>
      <c r="K888" s="5"/>
      <c r="L888" s="3"/>
      <c r="M888" s="5"/>
      <c r="N888" s="3"/>
      <c r="O888" s="5"/>
      <c r="P888" s="3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>
      <c r="A889" s="1"/>
      <c r="B889" s="1"/>
      <c r="C889" s="1"/>
      <c r="D889" s="1"/>
      <c r="E889" s="3"/>
      <c r="F889" s="3"/>
      <c r="G889" s="5"/>
      <c r="H889" s="3"/>
      <c r="I889" s="5"/>
      <c r="J889" s="3"/>
      <c r="K889" s="5"/>
      <c r="L889" s="3"/>
      <c r="M889" s="5"/>
      <c r="N889" s="3"/>
      <c r="O889" s="5"/>
      <c r="P889" s="3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>
      <c r="A890" s="1"/>
      <c r="B890" s="1"/>
      <c r="C890" s="1"/>
      <c r="D890" s="1"/>
      <c r="E890" s="3"/>
      <c r="F890" s="3"/>
      <c r="G890" s="5"/>
      <c r="H890" s="3"/>
      <c r="I890" s="5"/>
      <c r="J890" s="3"/>
      <c r="K890" s="5"/>
      <c r="L890" s="3"/>
      <c r="M890" s="5"/>
      <c r="N890" s="3"/>
      <c r="O890" s="5"/>
      <c r="P890" s="3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>
      <c r="A891" s="1"/>
      <c r="B891" s="1"/>
      <c r="C891" s="1"/>
      <c r="D891" s="1"/>
      <c r="E891" s="3"/>
      <c r="F891" s="3"/>
      <c r="G891" s="5"/>
      <c r="H891" s="3"/>
      <c r="I891" s="5"/>
      <c r="J891" s="3"/>
      <c r="K891" s="5"/>
      <c r="L891" s="3"/>
      <c r="M891" s="5"/>
      <c r="N891" s="3"/>
      <c r="O891" s="5"/>
      <c r="P891" s="3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>
      <c r="A892" s="1"/>
      <c r="B892" s="1"/>
      <c r="C892" s="1"/>
      <c r="D892" s="1"/>
      <c r="E892" s="3"/>
      <c r="F892" s="3"/>
      <c r="G892" s="5"/>
      <c r="H892" s="3"/>
      <c r="I892" s="5"/>
      <c r="J892" s="3"/>
      <c r="K892" s="5"/>
      <c r="L892" s="3"/>
      <c r="M892" s="5"/>
      <c r="N892" s="3"/>
      <c r="O892" s="5"/>
      <c r="P892" s="3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>
      <c r="A893" s="1"/>
      <c r="B893" s="1"/>
      <c r="C893" s="1"/>
      <c r="D893" s="1"/>
      <c r="E893" s="3"/>
      <c r="F893" s="3"/>
      <c r="G893" s="5"/>
      <c r="H893" s="3"/>
      <c r="I893" s="5"/>
      <c r="J893" s="3"/>
      <c r="K893" s="5"/>
      <c r="L893" s="3"/>
      <c r="M893" s="5"/>
      <c r="N893" s="3"/>
      <c r="O893" s="5"/>
      <c r="P893" s="3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>
      <c r="A894" s="1"/>
      <c r="B894" s="1"/>
      <c r="C894" s="1"/>
      <c r="D894" s="1"/>
      <c r="E894" s="3"/>
      <c r="F894" s="3"/>
      <c r="G894" s="5"/>
      <c r="H894" s="3"/>
      <c r="I894" s="5"/>
      <c r="J894" s="3"/>
      <c r="K894" s="5"/>
      <c r="L894" s="3"/>
      <c r="M894" s="5"/>
      <c r="N894" s="3"/>
      <c r="O894" s="5"/>
      <c r="P894" s="3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>
      <c r="A895" s="1"/>
      <c r="B895" s="1"/>
      <c r="C895" s="1"/>
      <c r="D895" s="1"/>
      <c r="E895" s="3"/>
      <c r="F895" s="3"/>
      <c r="G895" s="5"/>
      <c r="H895" s="3"/>
      <c r="I895" s="5"/>
      <c r="J895" s="3"/>
      <c r="K895" s="5"/>
      <c r="L895" s="3"/>
      <c r="M895" s="5"/>
      <c r="N895" s="3"/>
      <c r="O895" s="5"/>
      <c r="P895" s="3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>
      <c r="A896" s="1"/>
      <c r="B896" s="1"/>
      <c r="C896" s="1"/>
      <c r="D896" s="1"/>
      <c r="E896" s="3"/>
      <c r="F896" s="3"/>
      <c r="G896" s="5"/>
      <c r="H896" s="3"/>
      <c r="I896" s="5"/>
      <c r="J896" s="3"/>
      <c r="K896" s="5"/>
      <c r="L896" s="3"/>
      <c r="M896" s="5"/>
      <c r="N896" s="3"/>
      <c r="O896" s="5"/>
      <c r="P896" s="3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>
      <c r="A897" s="1"/>
      <c r="B897" s="1"/>
      <c r="C897" s="1"/>
      <c r="D897" s="1"/>
      <c r="E897" s="3"/>
      <c r="F897" s="3"/>
      <c r="G897" s="5"/>
      <c r="H897" s="3"/>
      <c r="I897" s="5"/>
      <c r="J897" s="3"/>
      <c r="K897" s="5"/>
      <c r="L897" s="3"/>
      <c r="M897" s="5"/>
      <c r="N897" s="3"/>
      <c r="O897" s="5"/>
      <c r="P897" s="3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>
      <c r="A898" s="1"/>
      <c r="B898" s="1"/>
      <c r="C898" s="1"/>
      <c r="D898" s="1"/>
      <c r="E898" s="3"/>
      <c r="F898" s="3"/>
      <c r="G898" s="5"/>
      <c r="H898" s="3"/>
      <c r="I898" s="5"/>
      <c r="J898" s="3"/>
      <c r="K898" s="5"/>
      <c r="L898" s="3"/>
      <c r="M898" s="5"/>
      <c r="N898" s="3"/>
      <c r="O898" s="5"/>
      <c r="P898" s="3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>
      <c r="A899" s="1"/>
      <c r="B899" s="1"/>
      <c r="C899" s="1"/>
      <c r="D899" s="1"/>
      <c r="E899" s="3"/>
      <c r="F899" s="3"/>
      <c r="G899" s="5"/>
      <c r="H899" s="3"/>
      <c r="I899" s="5"/>
      <c r="J899" s="3"/>
      <c r="K899" s="5"/>
      <c r="L899" s="3"/>
      <c r="M899" s="5"/>
      <c r="N899" s="3"/>
      <c r="O899" s="5"/>
      <c r="P899" s="3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>
      <c r="A900" s="1"/>
      <c r="B900" s="1"/>
      <c r="C900" s="1"/>
      <c r="D900" s="1"/>
      <c r="E900" s="3"/>
      <c r="F900" s="3"/>
      <c r="G900" s="5"/>
      <c r="H900" s="3"/>
      <c r="I900" s="5"/>
      <c r="J900" s="3"/>
      <c r="K900" s="5"/>
      <c r="L900" s="3"/>
      <c r="M900" s="5"/>
      <c r="N900" s="3"/>
      <c r="O900" s="5"/>
      <c r="P900" s="3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>
      <c r="A901" s="1"/>
      <c r="B901" s="1"/>
      <c r="C901" s="1"/>
      <c r="D901" s="1"/>
      <c r="E901" s="3"/>
      <c r="F901" s="3"/>
      <c r="G901" s="5"/>
      <c r="H901" s="3"/>
      <c r="I901" s="5"/>
      <c r="J901" s="3"/>
      <c r="K901" s="5"/>
      <c r="L901" s="3"/>
      <c r="M901" s="5"/>
      <c r="N901" s="3"/>
      <c r="O901" s="5"/>
      <c r="P901" s="3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>
      <c r="A902" s="1"/>
      <c r="B902" s="1"/>
      <c r="C902" s="1"/>
      <c r="D902" s="1"/>
      <c r="E902" s="3"/>
      <c r="F902" s="3"/>
      <c r="G902" s="5"/>
      <c r="H902" s="3"/>
      <c r="I902" s="5"/>
      <c r="J902" s="3"/>
      <c r="K902" s="5"/>
      <c r="L902" s="3"/>
      <c r="M902" s="5"/>
      <c r="N902" s="3"/>
      <c r="O902" s="5"/>
      <c r="P902" s="3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>
      <c r="A903" s="1"/>
      <c r="B903" s="1"/>
      <c r="C903" s="1"/>
      <c r="D903" s="1"/>
      <c r="E903" s="3"/>
      <c r="F903" s="3"/>
      <c r="G903" s="5"/>
      <c r="H903" s="3"/>
      <c r="I903" s="5"/>
      <c r="J903" s="3"/>
      <c r="K903" s="5"/>
      <c r="L903" s="3"/>
      <c r="M903" s="5"/>
      <c r="N903" s="3"/>
      <c r="O903" s="5"/>
      <c r="P903" s="3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>
      <c r="A904" s="1"/>
      <c r="B904" s="1"/>
      <c r="C904" s="1"/>
      <c r="D904" s="1"/>
      <c r="E904" s="3"/>
      <c r="F904" s="3"/>
      <c r="G904" s="5"/>
      <c r="H904" s="3"/>
      <c r="I904" s="5"/>
      <c r="J904" s="3"/>
      <c r="K904" s="5"/>
      <c r="L904" s="3"/>
      <c r="M904" s="5"/>
      <c r="N904" s="3"/>
      <c r="O904" s="5"/>
      <c r="P904" s="3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>
      <c r="A905" s="1"/>
      <c r="B905" s="1"/>
      <c r="C905" s="1"/>
      <c r="D905" s="1"/>
      <c r="E905" s="3"/>
      <c r="F905" s="3"/>
      <c r="G905" s="5"/>
      <c r="H905" s="3"/>
      <c r="I905" s="5"/>
      <c r="J905" s="3"/>
      <c r="K905" s="5"/>
      <c r="L905" s="3"/>
      <c r="M905" s="5"/>
      <c r="N905" s="3"/>
      <c r="O905" s="5"/>
      <c r="P905" s="3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>
      <c r="A906" s="1"/>
      <c r="B906" s="1"/>
      <c r="C906" s="1"/>
      <c r="D906" s="1"/>
      <c r="E906" s="3"/>
      <c r="F906" s="3"/>
      <c r="G906" s="5"/>
      <c r="H906" s="3"/>
      <c r="I906" s="5"/>
      <c r="J906" s="3"/>
      <c r="K906" s="5"/>
      <c r="L906" s="3"/>
      <c r="M906" s="5"/>
      <c r="N906" s="3"/>
      <c r="O906" s="5"/>
      <c r="P906" s="3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>
      <c r="A907" s="1"/>
      <c r="B907" s="1"/>
      <c r="C907" s="1"/>
      <c r="D907" s="1"/>
      <c r="E907" s="3"/>
      <c r="F907" s="3"/>
      <c r="G907" s="5"/>
      <c r="H907" s="3"/>
      <c r="I907" s="5"/>
      <c r="J907" s="3"/>
      <c r="K907" s="5"/>
      <c r="L907" s="3"/>
      <c r="M907" s="5"/>
      <c r="N907" s="3"/>
      <c r="O907" s="5"/>
      <c r="P907" s="3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>
      <c r="A908" s="1"/>
      <c r="B908" s="1"/>
      <c r="C908" s="1"/>
      <c r="D908" s="1"/>
      <c r="E908" s="3"/>
      <c r="F908" s="3"/>
      <c r="G908" s="5"/>
      <c r="H908" s="3"/>
      <c r="I908" s="5"/>
      <c r="J908" s="3"/>
      <c r="K908" s="5"/>
      <c r="L908" s="3"/>
      <c r="M908" s="5"/>
      <c r="N908" s="3"/>
      <c r="O908" s="5"/>
      <c r="P908" s="3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>
      <c r="A909" s="1"/>
      <c r="B909" s="1"/>
      <c r="C909" s="1"/>
      <c r="D909" s="1"/>
      <c r="E909" s="3"/>
      <c r="F909" s="3"/>
      <c r="G909" s="5"/>
      <c r="H909" s="3"/>
      <c r="I909" s="5"/>
      <c r="J909" s="3"/>
      <c r="K909" s="5"/>
      <c r="L909" s="3"/>
      <c r="M909" s="5"/>
      <c r="N909" s="3"/>
      <c r="O909" s="5"/>
      <c r="P909" s="3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>
      <c r="A910" s="1"/>
      <c r="B910" s="1"/>
      <c r="C910" s="1"/>
      <c r="D910" s="1"/>
      <c r="E910" s="3"/>
      <c r="F910" s="3"/>
      <c r="G910" s="5"/>
      <c r="H910" s="3"/>
      <c r="I910" s="5"/>
      <c r="J910" s="3"/>
      <c r="K910" s="5"/>
      <c r="L910" s="3"/>
      <c r="M910" s="5"/>
      <c r="N910" s="3"/>
      <c r="O910" s="5"/>
      <c r="P910" s="3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>
      <c r="A911" s="1"/>
      <c r="B911" s="1"/>
      <c r="C911" s="1"/>
      <c r="D911" s="1"/>
      <c r="E911" s="3"/>
      <c r="F911" s="3"/>
      <c r="G911" s="5"/>
      <c r="H911" s="3"/>
      <c r="I911" s="5"/>
      <c r="J911" s="3"/>
      <c r="K911" s="5"/>
      <c r="L911" s="3"/>
      <c r="M911" s="5"/>
      <c r="N911" s="3"/>
      <c r="O911" s="5"/>
      <c r="P911" s="3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>
      <c r="A912" s="1"/>
      <c r="B912" s="1"/>
      <c r="C912" s="1"/>
      <c r="D912" s="1"/>
      <c r="E912" s="3"/>
      <c r="F912" s="3"/>
      <c r="G912" s="5"/>
      <c r="H912" s="3"/>
      <c r="I912" s="5"/>
      <c r="J912" s="3"/>
      <c r="K912" s="5"/>
      <c r="L912" s="3"/>
      <c r="M912" s="5"/>
      <c r="N912" s="3"/>
      <c r="O912" s="5"/>
      <c r="P912" s="3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>
      <c r="A913" s="1"/>
      <c r="B913" s="1"/>
      <c r="C913" s="1"/>
      <c r="D913" s="1"/>
      <c r="E913" s="3"/>
      <c r="F913" s="3"/>
      <c r="G913" s="5"/>
      <c r="H913" s="3"/>
      <c r="I913" s="5"/>
      <c r="J913" s="3"/>
      <c r="K913" s="5"/>
      <c r="L913" s="3"/>
      <c r="M913" s="5"/>
      <c r="N913" s="3"/>
      <c r="O913" s="5"/>
      <c r="P913" s="3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>
      <c r="A914" s="1"/>
      <c r="B914" s="1"/>
      <c r="C914" s="1"/>
      <c r="D914" s="1"/>
      <c r="E914" s="3"/>
      <c r="F914" s="3"/>
      <c r="G914" s="5"/>
      <c r="H914" s="3"/>
      <c r="I914" s="5"/>
      <c r="J914" s="3"/>
      <c r="K914" s="5"/>
      <c r="L914" s="3"/>
      <c r="M914" s="5"/>
      <c r="N914" s="3"/>
      <c r="O914" s="5"/>
      <c r="P914" s="3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>
      <c r="A915" s="1"/>
      <c r="B915" s="1"/>
      <c r="C915" s="1"/>
      <c r="D915" s="1"/>
      <c r="E915" s="3"/>
      <c r="F915" s="3"/>
      <c r="G915" s="5"/>
      <c r="H915" s="3"/>
      <c r="I915" s="5"/>
      <c r="J915" s="3"/>
      <c r="K915" s="5"/>
      <c r="L915" s="3"/>
      <c r="M915" s="5"/>
      <c r="N915" s="3"/>
      <c r="O915" s="5"/>
      <c r="P915" s="3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>
      <c r="A916" s="1"/>
      <c r="B916" s="1"/>
      <c r="C916" s="1"/>
      <c r="D916" s="1"/>
      <c r="E916" s="3"/>
      <c r="F916" s="3"/>
      <c r="G916" s="5"/>
      <c r="H916" s="3"/>
      <c r="I916" s="5"/>
      <c r="J916" s="3"/>
      <c r="K916" s="5"/>
      <c r="L916" s="3"/>
      <c r="M916" s="5"/>
      <c r="N916" s="3"/>
      <c r="O916" s="5"/>
      <c r="P916" s="3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>
      <c r="A917" s="1"/>
      <c r="B917" s="1"/>
      <c r="C917" s="1"/>
      <c r="D917" s="1"/>
      <c r="E917" s="3"/>
      <c r="F917" s="3"/>
      <c r="G917" s="5"/>
      <c r="H917" s="3"/>
      <c r="I917" s="5"/>
      <c r="J917" s="3"/>
      <c r="K917" s="5"/>
      <c r="L917" s="3"/>
      <c r="M917" s="5"/>
      <c r="N917" s="3"/>
      <c r="O917" s="5"/>
      <c r="P917" s="3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>
      <c r="A918" s="1"/>
      <c r="B918" s="1"/>
      <c r="C918" s="1"/>
      <c r="D918" s="1"/>
      <c r="E918" s="3"/>
      <c r="F918" s="3"/>
      <c r="G918" s="5"/>
      <c r="H918" s="3"/>
      <c r="I918" s="5"/>
      <c r="J918" s="3"/>
      <c r="K918" s="5"/>
      <c r="L918" s="3"/>
      <c r="M918" s="5"/>
      <c r="N918" s="3"/>
      <c r="O918" s="5"/>
      <c r="P918" s="3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>
      <c r="A919" s="1"/>
      <c r="B919" s="1"/>
      <c r="C919" s="1"/>
      <c r="D919" s="1"/>
      <c r="E919" s="3"/>
      <c r="F919" s="3"/>
      <c r="G919" s="5"/>
      <c r="H919" s="3"/>
      <c r="I919" s="5"/>
      <c r="J919" s="3"/>
      <c r="K919" s="5"/>
      <c r="L919" s="3"/>
      <c r="M919" s="5"/>
      <c r="N919" s="3"/>
      <c r="O919" s="5"/>
      <c r="P919" s="3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>
      <c r="A920" s="1"/>
      <c r="B920" s="1"/>
      <c r="C920" s="1"/>
      <c r="D920" s="1"/>
      <c r="E920" s="3"/>
      <c r="F920" s="3"/>
      <c r="G920" s="5"/>
      <c r="H920" s="3"/>
      <c r="I920" s="5"/>
      <c r="J920" s="3"/>
      <c r="K920" s="5"/>
      <c r="L920" s="3"/>
      <c r="M920" s="5"/>
      <c r="N920" s="3"/>
      <c r="O920" s="5"/>
      <c r="P920" s="3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>
      <c r="A921" s="1"/>
      <c r="B921" s="1"/>
      <c r="C921" s="1"/>
      <c r="D921" s="1"/>
      <c r="E921" s="3"/>
      <c r="F921" s="3"/>
      <c r="G921" s="5"/>
      <c r="H921" s="3"/>
      <c r="I921" s="5"/>
      <c r="J921" s="3"/>
      <c r="K921" s="5"/>
      <c r="L921" s="3"/>
      <c r="M921" s="5"/>
      <c r="N921" s="3"/>
      <c r="O921" s="5"/>
      <c r="P921" s="3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>
      <c r="A922" s="1"/>
      <c r="B922" s="1"/>
      <c r="C922" s="1"/>
      <c r="D922" s="1"/>
      <c r="E922" s="3"/>
      <c r="F922" s="3"/>
      <c r="G922" s="5"/>
      <c r="H922" s="3"/>
      <c r="I922" s="5"/>
      <c r="J922" s="3"/>
      <c r="K922" s="5"/>
      <c r="L922" s="3"/>
      <c r="M922" s="5"/>
      <c r="N922" s="3"/>
      <c r="O922" s="5"/>
      <c r="P922" s="3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>
      <c r="A923" s="1"/>
      <c r="B923" s="1"/>
      <c r="C923" s="1"/>
      <c r="D923" s="1"/>
      <c r="E923" s="3"/>
      <c r="F923" s="3"/>
      <c r="G923" s="5"/>
      <c r="H923" s="3"/>
      <c r="I923" s="5"/>
      <c r="J923" s="3"/>
      <c r="K923" s="5"/>
      <c r="L923" s="3"/>
      <c r="M923" s="5"/>
      <c r="N923" s="3"/>
      <c r="O923" s="5"/>
      <c r="P923" s="3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>
      <c r="A924" s="1"/>
      <c r="B924" s="1"/>
      <c r="C924" s="1"/>
      <c r="D924" s="1"/>
      <c r="E924" s="3"/>
      <c r="F924" s="3"/>
      <c r="G924" s="5"/>
      <c r="H924" s="3"/>
      <c r="I924" s="5"/>
      <c r="J924" s="3"/>
      <c r="K924" s="5"/>
      <c r="L924" s="3"/>
      <c r="M924" s="5"/>
      <c r="N924" s="3"/>
      <c r="O924" s="5"/>
      <c r="P924" s="3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>
      <c r="A925" s="1"/>
      <c r="B925" s="1"/>
      <c r="C925" s="1"/>
      <c r="D925" s="1"/>
      <c r="E925" s="3"/>
      <c r="F925" s="3"/>
      <c r="G925" s="5"/>
      <c r="H925" s="3"/>
      <c r="I925" s="5"/>
      <c r="J925" s="3"/>
      <c r="K925" s="5"/>
      <c r="L925" s="3"/>
      <c r="M925" s="5"/>
      <c r="N925" s="3"/>
      <c r="O925" s="5"/>
      <c r="P925" s="3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>
      <c r="A926" s="1"/>
      <c r="B926" s="1"/>
      <c r="C926" s="1"/>
      <c r="D926" s="1"/>
      <c r="E926" s="3"/>
      <c r="F926" s="3"/>
      <c r="G926" s="5"/>
      <c r="H926" s="3"/>
      <c r="I926" s="5"/>
      <c r="J926" s="3"/>
      <c r="K926" s="5"/>
      <c r="L926" s="3"/>
      <c r="M926" s="5"/>
      <c r="N926" s="3"/>
      <c r="O926" s="5"/>
      <c r="P926" s="3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>
      <c r="A927" s="1"/>
      <c r="B927" s="1"/>
      <c r="C927" s="1"/>
      <c r="D927" s="1"/>
      <c r="E927" s="3"/>
      <c r="F927" s="3"/>
      <c r="G927" s="5"/>
      <c r="H927" s="3"/>
      <c r="I927" s="5"/>
      <c r="J927" s="3"/>
      <c r="K927" s="5"/>
      <c r="L927" s="3"/>
      <c r="M927" s="5"/>
      <c r="N927" s="3"/>
      <c r="O927" s="5"/>
      <c r="P927" s="3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>
      <c r="A928" s="1"/>
      <c r="B928" s="1"/>
      <c r="C928" s="1"/>
      <c r="D928" s="1"/>
      <c r="E928" s="3"/>
      <c r="F928" s="3"/>
      <c r="G928" s="5"/>
      <c r="H928" s="3"/>
      <c r="I928" s="5"/>
      <c r="J928" s="3"/>
      <c r="K928" s="5"/>
      <c r="L928" s="3"/>
      <c r="M928" s="5"/>
      <c r="N928" s="3"/>
      <c r="O928" s="5"/>
      <c r="P928" s="3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>
      <c r="A929" s="1"/>
      <c r="B929" s="1"/>
      <c r="C929" s="1"/>
      <c r="D929" s="1"/>
      <c r="E929" s="3"/>
      <c r="F929" s="3"/>
      <c r="G929" s="5"/>
      <c r="H929" s="3"/>
      <c r="I929" s="5"/>
      <c r="J929" s="3"/>
      <c r="K929" s="5"/>
      <c r="L929" s="3"/>
      <c r="M929" s="5"/>
      <c r="N929" s="3"/>
      <c r="O929" s="5"/>
      <c r="P929" s="3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>
      <c r="A930" s="1"/>
      <c r="B930" s="1"/>
      <c r="C930" s="1"/>
      <c r="D930" s="1"/>
      <c r="E930" s="3"/>
      <c r="F930" s="3"/>
      <c r="G930" s="5"/>
      <c r="H930" s="3"/>
      <c r="I930" s="5"/>
      <c r="J930" s="3"/>
      <c r="K930" s="5"/>
      <c r="L930" s="3"/>
      <c r="M930" s="5"/>
      <c r="N930" s="3"/>
      <c r="O930" s="5"/>
      <c r="P930" s="3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>
      <c r="A931" s="1"/>
      <c r="B931" s="1"/>
      <c r="C931" s="1"/>
      <c r="D931" s="1"/>
      <c r="E931" s="3"/>
      <c r="F931" s="3"/>
      <c r="G931" s="5"/>
      <c r="H931" s="3"/>
      <c r="I931" s="5"/>
      <c r="J931" s="3"/>
      <c r="K931" s="5"/>
      <c r="L931" s="3"/>
      <c r="M931" s="5"/>
      <c r="N931" s="3"/>
      <c r="O931" s="5"/>
      <c r="P931" s="3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>
      <c r="A932" s="1"/>
      <c r="B932" s="1"/>
      <c r="C932" s="1"/>
      <c r="D932" s="1"/>
      <c r="E932" s="3"/>
      <c r="F932" s="3"/>
      <c r="G932" s="5"/>
      <c r="H932" s="3"/>
      <c r="I932" s="5"/>
      <c r="J932" s="3"/>
      <c r="K932" s="5"/>
      <c r="L932" s="3"/>
      <c r="M932" s="5"/>
      <c r="N932" s="3"/>
      <c r="O932" s="5"/>
      <c r="P932" s="3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>
      <c r="A933" s="1"/>
      <c r="B933" s="1"/>
      <c r="C933" s="1"/>
      <c r="D933" s="1"/>
      <c r="E933" s="3"/>
      <c r="F933" s="3"/>
      <c r="G933" s="5"/>
      <c r="H933" s="3"/>
      <c r="I933" s="5"/>
      <c r="J933" s="3"/>
      <c r="K933" s="5"/>
      <c r="L933" s="3"/>
      <c r="M933" s="5"/>
      <c r="N933" s="3"/>
      <c r="O933" s="5"/>
      <c r="P933" s="3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>
      <c r="A934" s="1"/>
      <c r="B934" s="1"/>
      <c r="C934" s="1"/>
      <c r="D934" s="1"/>
      <c r="E934" s="3"/>
      <c r="F934" s="3"/>
      <c r="G934" s="5"/>
      <c r="H934" s="3"/>
      <c r="I934" s="5"/>
      <c r="J934" s="3"/>
      <c r="K934" s="5"/>
      <c r="L934" s="3"/>
      <c r="M934" s="5"/>
      <c r="N934" s="3"/>
      <c r="O934" s="5"/>
      <c r="P934" s="3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>
      <c r="A935" s="1"/>
      <c r="B935" s="1"/>
      <c r="C935" s="1"/>
      <c r="D935" s="1"/>
      <c r="E935" s="3"/>
      <c r="F935" s="3"/>
      <c r="G935" s="5"/>
      <c r="H935" s="3"/>
      <c r="I935" s="5"/>
      <c r="J935" s="3"/>
      <c r="K935" s="5"/>
      <c r="L935" s="3"/>
      <c r="M935" s="5"/>
      <c r="N935" s="3"/>
      <c r="O935" s="5"/>
      <c r="P935" s="3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>
      <c r="A936" s="1"/>
      <c r="B936" s="1"/>
      <c r="C936" s="1"/>
      <c r="D936" s="1"/>
      <c r="E936" s="3"/>
      <c r="F936" s="3"/>
      <c r="G936" s="5"/>
      <c r="H936" s="3"/>
      <c r="I936" s="5"/>
      <c r="J936" s="3"/>
      <c r="K936" s="5"/>
      <c r="L936" s="3"/>
      <c r="M936" s="5"/>
      <c r="N936" s="3"/>
      <c r="O936" s="5"/>
      <c r="P936" s="3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>
      <c r="A937" s="1"/>
      <c r="B937" s="1"/>
      <c r="C937" s="1"/>
      <c r="D937" s="1"/>
      <c r="E937" s="3"/>
      <c r="F937" s="3"/>
      <c r="G937" s="5"/>
      <c r="H937" s="3"/>
      <c r="I937" s="5"/>
      <c r="J937" s="3"/>
      <c r="K937" s="5"/>
      <c r="L937" s="3"/>
      <c r="M937" s="5"/>
      <c r="N937" s="3"/>
      <c r="O937" s="5"/>
      <c r="P937" s="3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>
      <c r="A938" s="1"/>
      <c r="B938" s="1"/>
      <c r="C938" s="1"/>
      <c r="D938" s="1"/>
      <c r="E938" s="3"/>
      <c r="F938" s="3"/>
      <c r="G938" s="5"/>
      <c r="H938" s="3"/>
      <c r="I938" s="5"/>
      <c r="J938" s="3"/>
      <c r="K938" s="5"/>
      <c r="L938" s="3"/>
      <c r="M938" s="5"/>
      <c r="N938" s="3"/>
      <c r="O938" s="5"/>
      <c r="P938" s="3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>
      <c r="A939" s="1"/>
      <c r="B939" s="1"/>
      <c r="C939" s="1"/>
      <c r="D939" s="1"/>
      <c r="E939" s="3"/>
      <c r="F939" s="3"/>
      <c r="G939" s="5"/>
      <c r="H939" s="3"/>
      <c r="I939" s="5"/>
      <c r="J939" s="3"/>
      <c r="K939" s="5"/>
      <c r="L939" s="3"/>
      <c r="M939" s="5"/>
      <c r="N939" s="3"/>
      <c r="O939" s="5"/>
      <c r="P939" s="3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>
      <c r="A940" s="1"/>
      <c r="B940" s="1"/>
      <c r="C940" s="1"/>
      <c r="D940" s="1"/>
      <c r="E940" s="3"/>
      <c r="F940" s="3"/>
      <c r="G940" s="5"/>
      <c r="H940" s="3"/>
      <c r="I940" s="5"/>
      <c r="J940" s="3"/>
      <c r="K940" s="5"/>
      <c r="L940" s="3"/>
      <c r="M940" s="5"/>
      <c r="N940" s="3"/>
      <c r="O940" s="5"/>
      <c r="P940" s="3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>
      <c r="A941" s="1"/>
      <c r="B941" s="1"/>
      <c r="C941" s="1"/>
      <c r="D941" s="1"/>
      <c r="E941" s="3"/>
      <c r="F941" s="3"/>
      <c r="G941" s="5"/>
      <c r="H941" s="3"/>
      <c r="I941" s="5"/>
      <c r="J941" s="3"/>
      <c r="K941" s="5"/>
      <c r="L941" s="3"/>
      <c r="M941" s="5"/>
      <c r="N941" s="3"/>
      <c r="O941" s="5"/>
      <c r="P941" s="3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>
      <c r="A942" s="1"/>
      <c r="B942" s="1"/>
      <c r="C942" s="1"/>
      <c r="D942" s="1"/>
      <c r="E942" s="3"/>
      <c r="F942" s="3"/>
      <c r="G942" s="5"/>
      <c r="H942" s="3"/>
      <c r="I942" s="5"/>
      <c r="J942" s="3"/>
      <c r="K942" s="5"/>
      <c r="L942" s="3"/>
      <c r="M942" s="5"/>
      <c r="N942" s="3"/>
      <c r="O942" s="5"/>
      <c r="P942" s="3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>
      <c r="A943" s="1"/>
      <c r="B943" s="1"/>
      <c r="C943" s="1"/>
      <c r="D943" s="1"/>
      <c r="E943" s="3"/>
      <c r="F943" s="3"/>
      <c r="G943" s="5"/>
      <c r="H943" s="3"/>
      <c r="I943" s="5"/>
      <c r="J943" s="3"/>
      <c r="K943" s="5"/>
      <c r="L943" s="3"/>
      <c r="M943" s="5"/>
      <c r="N943" s="3"/>
      <c r="O943" s="5"/>
      <c r="P943" s="3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>
      <c r="A944" s="1"/>
      <c r="B944" s="1"/>
      <c r="C944" s="1"/>
      <c r="D944" s="1"/>
      <c r="E944" s="3"/>
      <c r="F944" s="3"/>
      <c r="G944" s="5"/>
      <c r="H944" s="3"/>
      <c r="I944" s="5"/>
      <c r="J944" s="3"/>
      <c r="K944" s="5"/>
      <c r="L944" s="3"/>
      <c r="M944" s="5"/>
      <c r="N944" s="3"/>
      <c r="O944" s="5"/>
      <c r="P944" s="3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>
      <c r="A945" s="1"/>
      <c r="B945" s="1"/>
      <c r="C945" s="1"/>
      <c r="D945" s="1"/>
      <c r="E945" s="3"/>
      <c r="F945" s="3"/>
      <c r="G945" s="5"/>
      <c r="H945" s="3"/>
      <c r="I945" s="5"/>
      <c r="J945" s="3"/>
      <c r="K945" s="5"/>
      <c r="L945" s="3"/>
      <c r="M945" s="5"/>
      <c r="N945" s="3"/>
      <c r="O945" s="5"/>
      <c r="P945" s="3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>
      <c r="A946" s="1"/>
      <c r="B946" s="1"/>
      <c r="C946" s="1"/>
      <c r="D946" s="1"/>
      <c r="E946" s="3"/>
      <c r="F946" s="3"/>
      <c r="G946" s="5"/>
      <c r="H946" s="3"/>
      <c r="I946" s="5"/>
      <c r="J946" s="3"/>
      <c r="K946" s="5"/>
      <c r="L946" s="3"/>
      <c r="M946" s="5"/>
      <c r="N946" s="3"/>
      <c r="O946" s="5"/>
      <c r="P946" s="3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>
      <c r="A947" s="1"/>
      <c r="B947" s="1"/>
      <c r="C947" s="1"/>
      <c r="D947" s="1"/>
      <c r="E947" s="3"/>
      <c r="F947" s="3"/>
      <c r="G947" s="5"/>
      <c r="H947" s="3"/>
      <c r="I947" s="5"/>
      <c r="J947" s="3"/>
      <c r="K947" s="5"/>
      <c r="L947" s="3"/>
      <c r="M947" s="5"/>
      <c r="N947" s="3"/>
      <c r="O947" s="5"/>
      <c r="P947" s="3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>
      <c r="A948" s="1"/>
      <c r="B948" s="1"/>
      <c r="C948" s="1"/>
      <c r="D948" s="1"/>
      <c r="E948" s="3"/>
      <c r="F948" s="3"/>
      <c r="G948" s="5"/>
      <c r="H948" s="3"/>
      <c r="I948" s="5"/>
      <c r="J948" s="3"/>
      <c r="K948" s="5"/>
      <c r="L948" s="3"/>
      <c r="M948" s="5"/>
      <c r="N948" s="3"/>
      <c r="O948" s="5"/>
      <c r="P948" s="3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>
      <c r="A949" s="1"/>
      <c r="B949" s="1"/>
      <c r="C949" s="1"/>
      <c r="D949" s="1"/>
      <c r="E949" s="3"/>
      <c r="F949" s="3"/>
      <c r="G949" s="5"/>
      <c r="H949" s="3"/>
      <c r="I949" s="5"/>
      <c r="J949" s="3"/>
      <c r="K949" s="5"/>
      <c r="L949" s="3"/>
      <c r="M949" s="5"/>
      <c r="N949" s="3"/>
      <c r="O949" s="5"/>
      <c r="P949" s="3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>
      <c r="A950" s="1"/>
      <c r="B950" s="1"/>
      <c r="C950" s="1"/>
      <c r="D950" s="1"/>
      <c r="E950" s="3"/>
      <c r="F950" s="3"/>
      <c r="G950" s="5"/>
      <c r="H950" s="3"/>
      <c r="I950" s="5"/>
      <c r="J950" s="3"/>
      <c r="K950" s="5"/>
      <c r="L950" s="3"/>
      <c r="M950" s="5"/>
      <c r="N950" s="3"/>
      <c r="O950" s="5"/>
      <c r="P950" s="3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>
      <c r="A951" s="1"/>
      <c r="B951" s="1"/>
      <c r="C951" s="1"/>
      <c r="D951" s="1"/>
      <c r="E951" s="3"/>
      <c r="F951" s="3"/>
      <c r="G951" s="5"/>
      <c r="H951" s="3"/>
      <c r="I951" s="5"/>
      <c r="J951" s="3"/>
      <c r="K951" s="5"/>
      <c r="L951" s="3"/>
      <c r="M951" s="5"/>
      <c r="N951" s="3"/>
      <c r="O951" s="5"/>
      <c r="P951" s="3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>
      <c r="A952" s="1"/>
      <c r="B952" s="1"/>
      <c r="C952" s="1"/>
      <c r="D952" s="1"/>
      <c r="E952" s="3"/>
      <c r="F952" s="3"/>
      <c r="G952" s="5"/>
      <c r="H952" s="3"/>
      <c r="I952" s="5"/>
      <c r="J952" s="3"/>
      <c r="K952" s="5"/>
      <c r="L952" s="3"/>
      <c r="M952" s="5"/>
      <c r="N952" s="3"/>
      <c r="O952" s="5"/>
      <c r="P952" s="3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>
      <c r="A953" s="1"/>
      <c r="B953" s="1"/>
      <c r="C953" s="1"/>
      <c r="D953" s="1"/>
      <c r="E953" s="3"/>
      <c r="F953" s="3"/>
      <c r="G953" s="5"/>
      <c r="H953" s="3"/>
      <c r="I953" s="5"/>
      <c r="J953" s="3"/>
      <c r="K953" s="5"/>
      <c r="L953" s="3"/>
      <c r="M953" s="5"/>
      <c r="N953" s="3"/>
      <c r="O953" s="5"/>
      <c r="P953" s="3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>
      <c r="A954" s="1"/>
      <c r="B954" s="1"/>
      <c r="C954" s="1"/>
      <c r="D954" s="1"/>
      <c r="E954" s="3"/>
      <c r="F954" s="3"/>
      <c r="G954" s="5"/>
      <c r="H954" s="3"/>
      <c r="I954" s="5"/>
      <c r="J954" s="3"/>
      <c r="K954" s="5"/>
      <c r="L954" s="3"/>
      <c r="M954" s="5"/>
      <c r="N954" s="3"/>
      <c r="O954" s="5"/>
      <c r="P954" s="3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>
      <c r="A955" s="1"/>
      <c r="B955" s="1"/>
      <c r="C955" s="1"/>
      <c r="D955" s="1"/>
      <c r="E955" s="3"/>
      <c r="F955" s="3"/>
      <c r="G955" s="5"/>
      <c r="H955" s="3"/>
      <c r="I955" s="5"/>
      <c r="J955" s="3"/>
      <c r="K955" s="5"/>
      <c r="L955" s="3"/>
      <c r="M955" s="5"/>
      <c r="N955" s="3"/>
      <c r="O955" s="5"/>
      <c r="P955" s="3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>
      <c r="A956" s="1"/>
      <c r="B956" s="1"/>
      <c r="C956" s="1"/>
      <c r="D956" s="1"/>
      <c r="E956" s="3"/>
      <c r="F956" s="3"/>
      <c r="G956" s="5"/>
      <c r="H956" s="3"/>
      <c r="I956" s="5"/>
      <c r="J956" s="3"/>
      <c r="K956" s="5"/>
      <c r="L956" s="3"/>
      <c r="M956" s="5"/>
      <c r="N956" s="3"/>
      <c r="O956" s="5"/>
      <c r="P956" s="3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>
      <c r="A957" s="1"/>
      <c r="B957" s="1"/>
      <c r="C957" s="1"/>
      <c r="D957" s="1"/>
      <c r="E957" s="3"/>
      <c r="F957" s="3"/>
      <c r="G957" s="5"/>
      <c r="H957" s="3"/>
      <c r="I957" s="5"/>
      <c r="J957" s="3"/>
      <c r="K957" s="5"/>
      <c r="L957" s="3"/>
      <c r="M957" s="5"/>
      <c r="N957" s="3"/>
      <c r="O957" s="5"/>
      <c r="P957" s="3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>
      <c r="A958" s="1"/>
      <c r="B958" s="1"/>
      <c r="C958" s="1"/>
      <c r="D958" s="1"/>
      <c r="E958" s="3"/>
      <c r="F958" s="3"/>
      <c r="G958" s="5"/>
      <c r="H958" s="3"/>
      <c r="I958" s="5"/>
      <c r="J958" s="3"/>
      <c r="K958" s="5"/>
      <c r="L958" s="3"/>
      <c r="M958" s="5"/>
      <c r="N958" s="3"/>
      <c r="O958" s="5"/>
      <c r="P958" s="3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>
      <c r="A959" s="1"/>
      <c r="B959" s="1"/>
      <c r="C959" s="1"/>
      <c r="D959" s="1"/>
      <c r="E959" s="3"/>
      <c r="F959" s="3"/>
      <c r="G959" s="5"/>
      <c r="H959" s="3"/>
      <c r="I959" s="5"/>
      <c r="J959" s="3"/>
      <c r="K959" s="5"/>
      <c r="L959" s="3"/>
      <c r="M959" s="5"/>
      <c r="N959" s="3"/>
      <c r="O959" s="5"/>
      <c r="P959" s="3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>
      <c r="A960" s="1"/>
      <c r="B960" s="1"/>
      <c r="C960" s="1"/>
      <c r="D960" s="1"/>
      <c r="E960" s="3"/>
      <c r="F960" s="3"/>
      <c r="G960" s="5"/>
      <c r="H960" s="3"/>
      <c r="I960" s="5"/>
      <c r="J960" s="3"/>
      <c r="K960" s="5"/>
      <c r="L960" s="3"/>
      <c r="M960" s="5"/>
      <c r="N960" s="3"/>
      <c r="O960" s="5"/>
      <c r="P960" s="3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>
      <c r="A961" s="1"/>
      <c r="B961" s="1"/>
      <c r="C961" s="1"/>
      <c r="D961" s="1"/>
      <c r="E961" s="3"/>
      <c r="F961" s="3"/>
      <c r="G961" s="5"/>
      <c r="H961" s="3"/>
      <c r="I961" s="5"/>
      <c r="J961" s="3"/>
      <c r="K961" s="5"/>
      <c r="L961" s="3"/>
      <c r="M961" s="5"/>
      <c r="N961" s="3"/>
      <c r="O961" s="5"/>
      <c r="P961" s="3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>
      <c r="A962" s="1"/>
      <c r="B962" s="1"/>
      <c r="C962" s="1"/>
      <c r="D962" s="1"/>
      <c r="E962" s="3"/>
      <c r="F962" s="3"/>
      <c r="G962" s="5"/>
      <c r="H962" s="3"/>
      <c r="I962" s="5"/>
      <c r="J962" s="3"/>
      <c r="K962" s="5"/>
      <c r="L962" s="3"/>
      <c r="M962" s="5"/>
      <c r="N962" s="3"/>
      <c r="O962" s="5"/>
      <c r="P962" s="3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>
      <c r="A963" s="1"/>
      <c r="B963" s="1"/>
      <c r="C963" s="1"/>
      <c r="D963" s="1"/>
      <c r="E963" s="3"/>
      <c r="F963" s="3"/>
      <c r="G963" s="5"/>
      <c r="H963" s="3"/>
      <c r="I963" s="5"/>
      <c r="J963" s="3"/>
      <c r="K963" s="5"/>
      <c r="L963" s="3"/>
      <c r="M963" s="5"/>
      <c r="N963" s="3"/>
      <c r="O963" s="5"/>
      <c r="P963" s="3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>
      <c r="A964" s="1"/>
      <c r="B964" s="1"/>
      <c r="C964" s="1"/>
      <c r="D964" s="1"/>
      <c r="E964" s="3"/>
      <c r="F964" s="3"/>
      <c r="G964" s="5"/>
      <c r="H964" s="3"/>
      <c r="I964" s="5"/>
      <c r="J964" s="3"/>
      <c r="K964" s="5"/>
      <c r="L964" s="3"/>
      <c r="M964" s="5"/>
      <c r="N964" s="3"/>
      <c r="O964" s="5"/>
      <c r="P964" s="3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>
      <c r="A965" s="1"/>
      <c r="B965" s="1"/>
      <c r="C965" s="1"/>
      <c r="D965" s="1"/>
      <c r="E965" s="3"/>
      <c r="F965" s="3"/>
      <c r="G965" s="5"/>
      <c r="H965" s="3"/>
      <c r="I965" s="5"/>
      <c r="J965" s="3"/>
      <c r="K965" s="5"/>
      <c r="L965" s="3"/>
      <c r="M965" s="5"/>
      <c r="N965" s="3"/>
      <c r="O965" s="5"/>
      <c r="P965" s="3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>
      <c r="A966" s="1"/>
      <c r="B966" s="1"/>
      <c r="C966" s="1"/>
      <c r="D966" s="1"/>
      <c r="E966" s="3"/>
      <c r="F966" s="3"/>
      <c r="G966" s="5"/>
      <c r="H966" s="3"/>
      <c r="I966" s="5"/>
      <c r="J966" s="3"/>
      <c r="K966" s="5"/>
      <c r="L966" s="3"/>
      <c r="M966" s="5"/>
      <c r="N966" s="3"/>
      <c r="O966" s="5"/>
      <c r="P966" s="3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>
      <c r="A967" s="1"/>
      <c r="B967" s="1"/>
      <c r="C967" s="1"/>
      <c r="D967" s="1"/>
      <c r="E967" s="3"/>
      <c r="F967" s="3"/>
      <c r="G967" s="5"/>
      <c r="H967" s="3"/>
      <c r="I967" s="5"/>
      <c r="J967" s="3"/>
      <c r="K967" s="5"/>
      <c r="L967" s="3"/>
      <c r="M967" s="5"/>
      <c r="N967" s="3"/>
      <c r="O967" s="5"/>
      <c r="P967" s="3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>
      <c r="A968" s="1"/>
      <c r="B968" s="1"/>
      <c r="C968" s="1"/>
      <c r="D968" s="1"/>
      <c r="E968" s="3"/>
      <c r="F968" s="3"/>
      <c r="G968" s="5"/>
      <c r="H968" s="3"/>
      <c r="I968" s="5"/>
      <c r="J968" s="3"/>
      <c r="K968" s="5"/>
      <c r="L968" s="3"/>
      <c r="M968" s="5"/>
      <c r="N968" s="3"/>
      <c r="O968" s="5"/>
      <c r="P968" s="3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>
      <c r="A969" s="1"/>
      <c r="B969" s="1"/>
      <c r="C969" s="1"/>
      <c r="D969" s="1"/>
      <c r="E969" s="3"/>
      <c r="F969" s="3"/>
      <c r="G969" s="5"/>
      <c r="H969" s="3"/>
      <c r="I969" s="5"/>
      <c r="J969" s="3"/>
      <c r="K969" s="5"/>
      <c r="L969" s="3"/>
      <c r="M969" s="5"/>
      <c r="N969" s="3"/>
      <c r="O969" s="5"/>
      <c r="P969" s="3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>
      <c r="A970" s="1"/>
      <c r="B970" s="1"/>
      <c r="C970" s="1"/>
      <c r="D970" s="1"/>
      <c r="E970" s="3"/>
      <c r="F970" s="3"/>
      <c r="G970" s="5"/>
      <c r="H970" s="3"/>
      <c r="I970" s="5"/>
      <c r="J970" s="3"/>
      <c r="K970" s="5"/>
      <c r="L970" s="3"/>
      <c r="M970" s="5"/>
      <c r="N970" s="3"/>
      <c r="O970" s="5"/>
      <c r="P970" s="3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>
      <c r="A971" s="1"/>
      <c r="B971" s="1"/>
      <c r="C971" s="1"/>
      <c r="D971" s="1"/>
      <c r="E971" s="3"/>
      <c r="F971" s="3"/>
      <c r="G971" s="5"/>
      <c r="H971" s="3"/>
      <c r="I971" s="5"/>
      <c r="J971" s="3"/>
      <c r="K971" s="5"/>
      <c r="L971" s="3"/>
      <c r="M971" s="5"/>
      <c r="N971" s="3"/>
      <c r="O971" s="5"/>
      <c r="P971" s="3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>
      <c r="A972" s="1"/>
      <c r="B972" s="1"/>
      <c r="C972" s="1"/>
      <c r="D972" s="1"/>
      <c r="E972" s="3"/>
      <c r="F972" s="3"/>
      <c r="G972" s="5"/>
      <c r="H972" s="3"/>
      <c r="I972" s="5"/>
      <c r="J972" s="3"/>
      <c r="K972" s="5"/>
      <c r="L972" s="3"/>
      <c r="M972" s="5"/>
      <c r="N972" s="3"/>
      <c r="O972" s="5"/>
      <c r="P972" s="3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>
      <c r="A973" s="1"/>
      <c r="B973" s="1"/>
      <c r="C973" s="1"/>
      <c r="D973" s="1"/>
      <c r="E973" s="3"/>
      <c r="F973" s="3"/>
      <c r="G973" s="5"/>
      <c r="H973" s="3"/>
      <c r="I973" s="5"/>
      <c r="J973" s="3"/>
      <c r="K973" s="5"/>
      <c r="L973" s="3"/>
      <c r="M973" s="5"/>
      <c r="N973" s="3"/>
      <c r="O973" s="5"/>
      <c r="P973" s="3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>
      <c r="A974" s="1"/>
      <c r="B974" s="1"/>
      <c r="C974" s="1"/>
      <c r="D974" s="1"/>
      <c r="E974" s="3"/>
      <c r="F974" s="3"/>
      <c r="G974" s="5"/>
      <c r="H974" s="3"/>
      <c r="I974" s="5"/>
      <c r="J974" s="3"/>
      <c r="K974" s="5"/>
      <c r="L974" s="3"/>
      <c r="M974" s="5"/>
      <c r="N974" s="3"/>
      <c r="O974" s="5"/>
      <c r="P974" s="3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>
      <c r="A975" s="1"/>
      <c r="B975" s="1"/>
      <c r="C975" s="1"/>
      <c r="D975" s="1"/>
      <c r="E975" s="3"/>
      <c r="F975" s="3"/>
      <c r="G975" s="5"/>
      <c r="H975" s="3"/>
      <c r="I975" s="5"/>
      <c r="J975" s="3"/>
      <c r="K975" s="5"/>
      <c r="L975" s="3"/>
      <c r="M975" s="5"/>
      <c r="N975" s="3"/>
      <c r="O975" s="5"/>
      <c r="P975" s="3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>
      <c r="A976" s="1"/>
      <c r="B976" s="1"/>
      <c r="C976" s="1"/>
      <c r="D976" s="1"/>
      <c r="E976" s="3"/>
      <c r="F976" s="3"/>
      <c r="G976" s="5"/>
      <c r="H976" s="3"/>
      <c r="I976" s="5"/>
      <c r="J976" s="3"/>
      <c r="K976" s="5"/>
      <c r="L976" s="3"/>
      <c r="M976" s="5"/>
      <c r="N976" s="3"/>
      <c r="O976" s="5"/>
      <c r="P976" s="3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>
      <c r="A977" s="1"/>
      <c r="B977" s="1"/>
      <c r="C977" s="1"/>
      <c r="D977" s="1"/>
      <c r="E977" s="3"/>
      <c r="F977" s="3"/>
      <c r="G977" s="5"/>
      <c r="H977" s="3"/>
      <c r="I977" s="5"/>
      <c r="J977" s="3"/>
      <c r="K977" s="5"/>
      <c r="L977" s="3"/>
      <c r="M977" s="5"/>
      <c r="N977" s="3"/>
      <c r="O977" s="5"/>
      <c r="P977" s="3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>
      <c r="A978" s="1"/>
      <c r="B978" s="1"/>
      <c r="C978" s="1"/>
      <c r="D978" s="1"/>
      <c r="E978" s="3"/>
      <c r="F978" s="3"/>
      <c r="G978" s="5"/>
      <c r="H978" s="3"/>
      <c r="I978" s="5"/>
      <c r="J978" s="3"/>
      <c r="K978" s="5"/>
      <c r="L978" s="3"/>
      <c r="M978" s="5"/>
      <c r="N978" s="3"/>
      <c r="O978" s="5"/>
      <c r="P978" s="3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>
      <c r="A979" s="1"/>
      <c r="B979" s="1"/>
      <c r="C979" s="1"/>
      <c r="D979" s="1"/>
      <c r="E979" s="3"/>
      <c r="F979" s="3"/>
      <c r="G979" s="5"/>
      <c r="H979" s="3"/>
      <c r="I979" s="5"/>
      <c r="J979" s="3"/>
      <c r="K979" s="5"/>
      <c r="L979" s="3"/>
      <c r="M979" s="5"/>
      <c r="N979" s="3"/>
      <c r="O979" s="5"/>
      <c r="P979" s="3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>
      <c r="A980" s="1"/>
      <c r="B980" s="1"/>
      <c r="C980" s="1"/>
      <c r="D980" s="1"/>
      <c r="E980" s="3"/>
      <c r="F980" s="3"/>
      <c r="G980" s="5"/>
      <c r="H980" s="3"/>
      <c r="I980" s="5"/>
      <c r="J980" s="3"/>
      <c r="K980" s="5"/>
      <c r="L980" s="3"/>
      <c r="M980" s="5"/>
      <c r="N980" s="3"/>
      <c r="O980" s="5"/>
      <c r="P980" s="3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>
      <c r="A981" s="1"/>
      <c r="B981" s="1"/>
      <c r="C981" s="1"/>
      <c r="D981" s="1"/>
      <c r="E981" s="3"/>
      <c r="F981" s="3"/>
      <c r="G981" s="5"/>
      <c r="H981" s="3"/>
      <c r="I981" s="5"/>
      <c r="J981" s="3"/>
      <c r="K981" s="5"/>
      <c r="L981" s="3"/>
      <c r="M981" s="5"/>
      <c r="N981" s="3"/>
      <c r="O981" s="5"/>
      <c r="P981" s="3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>
      <c r="A982" s="1"/>
      <c r="B982" s="1"/>
      <c r="C982" s="1"/>
      <c r="D982" s="1"/>
      <c r="E982" s="3"/>
      <c r="F982" s="3"/>
      <c r="G982" s="5"/>
      <c r="H982" s="3"/>
      <c r="I982" s="5"/>
      <c r="J982" s="3"/>
      <c r="K982" s="5"/>
      <c r="L982" s="3"/>
      <c r="M982" s="5"/>
      <c r="N982" s="3"/>
      <c r="O982" s="5"/>
      <c r="P982" s="3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>
      <c r="A983" s="1"/>
      <c r="B983" s="1"/>
      <c r="C983" s="1"/>
      <c r="D983" s="1"/>
      <c r="E983" s="3"/>
      <c r="F983" s="3"/>
      <c r="G983" s="5"/>
      <c r="H983" s="3"/>
      <c r="I983" s="5"/>
      <c r="J983" s="3"/>
      <c r="K983" s="5"/>
      <c r="L983" s="3"/>
      <c r="M983" s="5"/>
      <c r="N983" s="3"/>
      <c r="O983" s="5"/>
      <c r="P983" s="3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>
      <c r="A984" s="1"/>
      <c r="B984" s="1"/>
      <c r="C984" s="1"/>
      <c r="D984" s="1"/>
      <c r="E984" s="3"/>
      <c r="F984" s="3"/>
      <c r="G984" s="5"/>
      <c r="H984" s="3"/>
      <c r="I984" s="5"/>
      <c r="J984" s="3"/>
      <c r="K984" s="5"/>
      <c r="L984" s="3"/>
      <c r="M984" s="5"/>
      <c r="N984" s="3"/>
      <c r="O984" s="5"/>
      <c r="P984" s="3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>
      <c r="A985" s="1"/>
      <c r="B985" s="1"/>
      <c r="C985" s="1"/>
      <c r="D985" s="1"/>
      <c r="E985" s="3"/>
      <c r="F985" s="3"/>
      <c r="G985" s="5"/>
      <c r="H985" s="3"/>
      <c r="I985" s="5"/>
      <c r="J985" s="3"/>
      <c r="K985" s="5"/>
      <c r="L985" s="3"/>
      <c r="M985" s="5"/>
      <c r="N985" s="3"/>
      <c r="O985" s="5"/>
      <c r="P985" s="3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>
      <c r="A986" s="1"/>
      <c r="B986" s="1"/>
      <c r="C986" s="1"/>
      <c r="D986" s="1"/>
      <c r="E986" s="3"/>
      <c r="F986" s="3"/>
      <c r="G986" s="5"/>
      <c r="H986" s="3"/>
      <c r="I986" s="5"/>
      <c r="J986" s="3"/>
      <c r="K986" s="5"/>
      <c r="L986" s="3"/>
      <c r="M986" s="5"/>
      <c r="N986" s="3"/>
      <c r="O986" s="5"/>
      <c r="P986" s="3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>
      <c r="A987" s="1"/>
      <c r="B987" s="1"/>
      <c r="C987" s="1"/>
      <c r="D987" s="1"/>
      <c r="E987" s="3"/>
      <c r="F987" s="3"/>
      <c r="G987" s="5"/>
      <c r="H987" s="3"/>
      <c r="I987" s="5"/>
      <c r="J987" s="3"/>
      <c r="K987" s="5"/>
      <c r="L987" s="3"/>
      <c r="M987" s="5"/>
      <c r="N987" s="3"/>
      <c r="O987" s="5"/>
      <c r="P987" s="3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>
      <c r="A988" s="1"/>
      <c r="B988" s="1"/>
      <c r="C988" s="1"/>
      <c r="D988" s="1"/>
      <c r="E988" s="3"/>
      <c r="F988" s="3"/>
      <c r="G988" s="5"/>
      <c r="H988" s="3"/>
      <c r="I988" s="5"/>
      <c r="J988" s="3"/>
      <c r="K988" s="5"/>
      <c r="L988" s="3"/>
      <c r="M988" s="5"/>
      <c r="N988" s="3"/>
      <c r="O988" s="5"/>
      <c r="P988" s="3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>
      <c r="A989" s="1"/>
      <c r="B989" s="1"/>
      <c r="C989" s="1"/>
      <c r="D989" s="1"/>
      <c r="E989" s="3"/>
      <c r="F989" s="3"/>
      <c r="G989" s="5"/>
      <c r="H989" s="3"/>
      <c r="I989" s="5"/>
      <c r="J989" s="3"/>
      <c r="K989" s="5"/>
      <c r="L989" s="3"/>
      <c r="M989" s="5"/>
      <c r="N989" s="3"/>
      <c r="O989" s="5"/>
      <c r="P989" s="3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>
      <c r="A990" s="1"/>
      <c r="B990" s="1"/>
      <c r="C990" s="1"/>
      <c r="D990" s="1"/>
      <c r="E990" s="3"/>
      <c r="F990" s="3"/>
      <c r="G990" s="5"/>
      <c r="H990" s="3"/>
      <c r="I990" s="5"/>
      <c r="J990" s="3"/>
      <c r="K990" s="5"/>
      <c r="L990" s="3"/>
      <c r="M990" s="5"/>
      <c r="N990" s="3"/>
      <c r="O990" s="5"/>
      <c r="P990" s="3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>
      <c r="A991" s="1"/>
      <c r="B991" s="1"/>
      <c r="C991" s="1"/>
      <c r="D991" s="1"/>
      <c r="E991" s="3"/>
      <c r="F991" s="3"/>
      <c r="G991" s="5"/>
      <c r="H991" s="3"/>
      <c r="I991" s="5"/>
      <c r="J991" s="3"/>
      <c r="K991" s="5"/>
      <c r="L991" s="3"/>
      <c r="M991" s="5"/>
      <c r="N991" s="3"/>
      <c r="O991" s="5"/>
      <c r="P991" s="3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>
      <c r="A992" s="1"/>
      <c r="B992" s="1"/>
      <c r="C992" s="1"/>
      <c r="D992" s="1"/>
      <c r="E992" s="3"/>
      <c r="F992" s="3"/>
      <c r="G992" s="5"/>
      <c r="H992" s="3"/>
      <c r="I992" s="5"/>
      <c r="J992" s="3"/>
      <c r="K992" s="5"/>
      <c r="L992" s="3"/>
      <c r="M992" s="5"/>
      <c r="N992" s="3"/>
      <c r="O992" s="5"/>
      <c r="P992" s="3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>
      <c r="A993" s="1"/>
      <c r="B993" s="1"/>
      <c r="C993" s="1"/>
      <c r="D993" s="1"/>
      <c r="E993" s="3"/>
      <c r="F993" s="3"/>
      <c r="G993" s="5"/>
      <c r="H993" s="3"/>
      <c r="I993" s="5"/>
      <c r="J993" s="3"/>
      <c r="K993" s="5"/>
      <c r="L993" s="3"/>
      <c r="M993" s="5"/>
      <c r="N993" s="3"/>
      <c r="O993" s="5"/>
      <c r="P993" s="3"/>
      <c r="Q993" s="5"/>
      <c r="R993" s="5"/>
      <c r="S993" s="5"/>
      <c r="T993" s="5"/>
      <c r="U993" s="5"/>
      <c r="V993" s="5"/>
      <c r="W993" s="5"/>
      <c r="X993" s="5"/>
      <c r="Y993" s="5"/>
      <c r="Z993" s="5"/>
    </row>
  </sheetData>
  <mergeCells count="15">
    <mergeCell ref="B2:F2"/>
    <mergeCell ref="F3:F5"/>
    <mergeCell ref="B3:B5"/>
    <mergeCell ref="C3:C5"/>
    <mergeCell ref="D3:D5"/>
    <mergeCell ref="E3:E5"/>
    <mergeCell ref="B6:B15"/>
    <mergeCell ref="B16:B20"/>
    <mergeCell ref="B21:B26"/>
    <mergeCell ref="B27:B30"/>
    <mergeCell ref="B31:B32"/>
    <mergeCell ref="B33:B35"/>
    <mergeCell ref="B37:B38"/>
    <mergeCell ref="C37:E37"/>
    <mergeCell ref="C38:E38"/>
  </mergeCells>
  <phoneticPr fontId="28" type="noConversion"/>
  <conditionalFormatting sqref="F6:F36">
    <cfRule type="containsText" dxfId="34" priority="1" operator="containsText" text="취약">
      <formula>NOT(ISERROR(SEARCH("취약",F6)))</formula>
    </cfRule>
    <cfRule type="cellIs" dxfId="10" priority="2" operator="equal">
      <formula>"N/A"</formula>
    </cfRule>
    <cfRule type="containsText" dxfId="27" priority="3" operator="containsText" text="인터뷰">
      <formula>NOT(ISERROR(SEARCH("인터뷰",F6)))</formula>
    </cfRule>
    <cfRule type="containsText" dxfId="33" priority="4" operator="containsText" text="확인">
      <formula>NOT(ISERROR(SEARCH("확인",F6)))</formula>
    </cfRule>
  </conditionalFormatting>
  <pageMargins left="0.25" right="0.25" top="0.75" bottom="0.75" header="0" footer="0"/>
  <pageSetup paperSize="9" orientation="landscape" r:id="rId1" fitToWidth="1" fitToHeight="0"/>
  <headerFooter>
    <oddFooter>&amp;C&amp;P / &amp;N</oddFooter>
  </headerFooter>
  <ignoredErrors>
    <ignoredError sqref="C6:C3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0. 표지</vt:lpstr>
      <vt:lpstr>1. 진단 대상</vt:lpstr>
      <vt:lpstr>2-1. 요약결과(그래프)</vt:lpstr>
      <vt:lpstr>2-2. 요약 진단결과(NCP)</vt:lpstr>
      <vt:lpstr>3-1. 진단 결과(NCP)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취약점진단팀</dc:creator>
  <cp:keywords/>
  <dc:description/>
  <cp:lastModifiedBy>취약점진단팀</cp:lastModifiedBy>
  <cp:revision/>
  <dcterms:created xsi:type="dcterms:W3CDTF">2013-02-26T07:18:51Z</dcterms:created>
  <dcterms:modified xsi:type="dcterms:W3CDTF">2026-09-17T02:40:04Z</dcterms:modified>
  <cp:category/>
  <cp:contentStatus/>
</cp:coreProperties>
</file>