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표지" sheetId="1" state="visible" r:id="rId1"/>
    <sheet xmlns:r="http://schemas.openxmlformats.org/officeDocument/2006/relationships" name="1. 진단 대상" sheetId="2" state="visible" r:id="rId2"/>
    <sheet xmlns:r="http://schemas.openxmlformats.org/officeDocument/2006/relationships" name="2-1. 요약결과(그래프)" sheetId="3" state="visible" r:id="rId3"/>
    <sheet xmlns:r="http://schemas.openxmlformats.org/officeDocument/2006/relationships" name="2-2. 요약 진단결과" sheetId="4" state="visible" r:id="rId4"/>
    <sheet xmlns:r="http://schemas.openxmlformats.org/officeDocument/2006/relationships"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24"/>
    </font>
    <font>
      <b val="1"/>
      <sz val="14"/>
    </font>
    <font>
      <color rgb="FF808080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CD5B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dxfs count="3">
    <dxf>
      <font>
        <b val="1"/>
        <color rgb="FFFF0000"/>
      </font>
    </dxf>
    <dxf>
      <font>
        <color rgb="FF808080"/>
      </font>
    </dxf>
    <dxf>
      <font>
        <b val="1"/>
        <color rgb="FF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영역별 양호율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'2-1. 요약결과(그래프)'!B3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'2-1. 요약결과(그래프)'!$A$4:$A$10</f>
            </numRef>
          </cat>
          <val>
            <numRef>
              <f>'2-1. 요약결과(그래프)'!$B$4:$B$10</f>
            </numRef>
          </val>
        </ser>
        <dLbls>
          <showVal val="1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진단 결과 분포</a:t>
            </a:r>
          </a:p>
        </rich>
      </tx>
    </title>
    <plotArea>
      <pie3DChart>
        <varyColors val="1"/>
        <ser>
          <idx val="0"/>
          <order val="0"/>
          <tx>
            <strRef>
              <f>'2-1. 요약결과(그래프)'!E3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'2-1. 요약결과(그래프)'!$D$4:$D$7</f>
            </numRef>
          </cat>
          <val>
            <numRef>
              <f>'2-1. 요약결과(그래프)'!$E$4:$E$7</f>
            </numRef>
          </val>
        </ser>
        <dLbls>
          <showPercent val="1"/>
        </dLbls>
      </pie3D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영역별 양호율(레이더)</a:t>
            </a:r>
          </a:p>
        </rich>
      </tx>
    </title>
    <plotArea>
      <radarChart>
        <radarStyle val="filled"/>
        <ser>
          <idx val="0"/>
          <order val="0"/>
          <tx>
            <strRef>
              <f>'2-1. 요약결과(그래프)'!B3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'2-1. 요약결과(그래프)'!$A$4:$A$10</f>
            </numRef>
          </cat>
          <val>
            <numRef>
              <f>'2-1. 요약결과(그래프)'!$B$4:$B$10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1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4" customWidth="1" min="10" max="10"/>
    <col width="11" customWidth="1" min="11" max="11"/>
    <col width="22" customWidth="1" min="12" max="12"/>
  </cols>
  <sheetData>
    <row r="3">
      <c r="K3" s="1" t="inlineStr">
        <is>
          <t>문서번호</t>
        </is>
      </c>
      <c r="L3" s="2" t="inlineStr">
        <is>
          <t>XXXXX-VA-2026XXX</t>
        </is>
      </c>
    </row>
    <row r="4">
      <c r="K4" s="1" t="inlineStr">
        <is>
          <t>작성자</t>
        </is>
      </c>
      <c r="L4" s="2" t="inlineStr">
        <is>
          <t>취약점진단팀</t>
        </is>
      </c>
    </row>
    <row r="5">
      <c r="K5" s="1" t="inlineStr">
        <is>
          <t>보안등급</t>
        </is>
      </c>
      <c r="L5" s="2" t="inlineStr">
        <is>
          <t>Confidential</t>
        </is>
      </c>
    </row>
    <row r="6">
      <c r="K6" s="1" t="inlineStr">
        <is>
          <t>Ver</t>
        </is>
      </c>
      <c r="L6" s="2" t="inlineStr">
        <is>
          <t>ver 1.0</t>
        </is>
      </c>
    </row>
    <row r="11">
      <c r="B11" s="3" t="inlineStr">
        <is>
          <t>"진단대상" 취약점 진단</t>
        </is>
      </c>
    </row>
    <row r="13">
      <c r="B13" s="4" t="inlineStr">
        <is>
          <t>클라우드(Naver) 진단 상세결과</t>
        </is>
      </c>
    </row>
    <row r="18">
      <c r="B18" s="5" t="inlineStr"/>
    </row>
    <row r="21">
      <c r="B21" s="6" t="inlineStr">
        <is>
          <t>네이버 클라우드 플랫폼 보안 가이드</t>
        </is>
      </c>
    </row>
  </sheetData>
  <mergeCells count="4">
    <mergeCell ref="B18:I18"/>
    <mergeCell ref="B11:I11"/>
    <mergeCell ref="B21:I21"/>
    <mergeCell ref="B13:I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A1" sqref="A1"/>
    </sheetView>
  </sheetViews>
  <sheetFormatPr baseColWidth="8" defaultRowHeight="15"/>
  <cols>
    <col width="8" customWidth="1" min="2" max="2"/>
    <col width="22" customWidth="1" min="3" max="3"/>
    <col width="22" customWidth="1" min="4" max="4"/>
    <col width="20" customWidth="1" min="5" max="5"/>
    <col width="24" customWidth="1" min="6" max="6"/>
    <col width="6" customWidth="1" min="7" max="7"/>
  </cols>
  <sheetData>
    <row r="1">
      <c r="B1" s="7" t="inlineStr">
        <is>
          <t xml:space="preserve">  ※ 진단 대상 리스트 - 클라우드(Naver) 1대</t>
        </is>
      </c>
    </row>
    <row r="2">
      <c r="B2" s="8" t="inlineStr">
        <is>
          <t>순번</t>
        </is>
      </c>
      <c r="C2" s="8" t="inlineStr">
        <is>
          <t>진단 대상</t>
        </is>
      </c>
      <c r="D2" s="9" t="n"/>
      <c r="E2" s="9" t="n"/>
      <c r="F2" s="10" t="n"/>
      <c r="G2" s="8" t="inlineStr">
        <is>
          <t>비고</t>
        </is>
      </c>
    </row>
    <row r="3">
      <c r="C3" s="8" t="inlineStr">
        <is>
          <t>계정/구독</t>
        </is>
      </c>
      <c r="D3" s="8" t="inlineStr">
        <is>
          <t>ID</t>
        </is>
      </c>
      <c r="E3" s="8" t="inlineStr">
        <is>
          <t>리전/버전</t>
        </is>
      </c>
      <c r="F3" s="8" t="inlineStr">
        <is>
          <t>용도</t>
        </is>
      </c>
    </row>
    <row r="4">
      <c r="B4" s="11" t="inlineStr">
        <is>
          <t>Naver</t>
        </is>
      </c>
    </row>
    <row r="5">
      <c r="B5" s="2" t="n"/>
      <c r="C5" s="2" t="n"/>
      <c r="D5" s="2" t="n"/>
      <c r="E5" s="2" t="n"/>
      <c r="F5" s="2" t="n"/>
    </row>
  </sheetData>
  <mergeCells count="1"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4" max="4"/>
  </cols>
  <sheetData>
    <row r="1">
      <c r="A1" s="7" t="inlineStr">
        <is>
          <t>클라우드(Naver) 진단 요약</t>
        </is>
      </c>
    </row>
    <row r="3">
      <c r="A3" s="8" t="inlineStr">
        <is>
          <t>진단 영역</t>
        </is>
      </c>
      <c r="B3" s="8" t="inlineStr">
        <is>
          <t>양호율</t>
        </is>
      </c>
      <c r="D3" s="8" t="inlineStr">
        <is>
          <t>구분</t>
        </is>
      </c>
      <c r="E3" s="8" t="inlineStr">
        <is>
          <t>건수</t>
        </is>
      </c>
    </row>
    <row r="4">
      <c r="A4" s="12" t="inlineStr">
        <is>
          <t>1. 계정관리</t>
        </is>
      </c>
      <c r="B4" s="13">
        <f>'2-2. 요약 진단결과'!I6</f>
        <v/>
      </c>
      <c r="D4" s="12" t="inlineStr">
        <is>
          <t>양호</t>
        </is>
      </c>
      <c r="E4" s="12">
        <f>COUNTIF('2-2. 요약 진단결과'!$F$6:$F$36,"양호")</f>
        <v/>
      </c>
    </row>
    <row r="5">
      <c r="A5" s="12" t="inlineStr">
        <is>
          <t>6. 클라우드 환경 보안 감사</t>
        </is>
      </c>
      <c r="B5" s="13">
        <f>'2-2. 요약 진단결과'!I7</f>
        <v/>
      </c>
      <c r="D5" s="12" t="inlineStr">
        <is>
          <t>취약</t>
        </is>
      </c>
      <c r="E5" s="12">
        <f>COUNTIF('2-2. 요약 진단결과'!$F$6:$F$36,"취약")</f>
        <v/>
      </c>
    </row>
    <row r="6">
      <c r="A6" s="12" t="inlineStr">
        <is>
          <t>5. DB 보안</t>
        </is>
      </c>
      <c r="B6" s="13">
        <f>'2-2. 요약 진단결과'!I8</f>
        <v/>
      </c>
      <c r="D6" s="12" t="inlineStr">
        <is>
          <t>인터뷰 필요</t>
        </is>
      </c>
      <c r="E6" s="12">
        <f>COUNTIF('2-2. 요약 진단결과'!$F$6:$F$36,"인터뷰 필요")</f>
        <v/>
      </c>
    </row>
    <row r="7">
      <c r="A7" s="12" t="inlineStr">
        <is>
          <t>7. 서비스 연속성 확보</t>
        </is>
      </c>
      <c r="B7" s="13">
        <f>'2-2. 요약 진단결과'!I9</f>
        <v/>
      </c>
      <c r="D7" s="12" t="inlineStr">
        <is>
          <t>N/A</t>
        </is>
      </c>
      <c r="E7" s="12">
        <f>COUNTIF('2-2. 요약 진단결과'!$F$6:$F$36,"N/A")</f>
        <v/>
      </c>
    </row>
    <row r="8">
      <c r="A8" s="12" t="inlineStr">
        <is>
          <t>4. 스토리지 보안</t>
        </is>
      </c>
      <c r="B8" s="13">
        <f>'2-2. 요약 진단결과'!I10</f>
        <v/>
      </c>
    </row>
    <row r="9">
      <c r="A9" s="12" t="inlineStr">
        <is>
          <t>3. 서버 보안</t>
        </is>
      </c>
      <c r="B9" s="13">
        <f>'2-2. 요약 진단결과'!I11</f>
        <v/>
      </c>
    </row>
    <row r="10">
      <c r="A10" s="12" t="inlineStr">
        <is>
          <t>2. 네트워크 보안</t>
        </is>
      </c>
      <c r="B10" s="13">
        <f>'2-2. 요약 진단결과'!I12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16" customWidth="1" min="2" max="2"/>
    <col width="11" customWidth="1" min="3" max="3"/>
    <col width="30" customWidth="1" min="4" max="4"/>
    <col width="8" customWidth="1" min="5" max="5"/>
    <col width="12" customWidth="1" min="6" max="6"/>
    <col width="20" customWidth="1" min="8" max="8"/>
    <col width="10" customWidth="1" min="9" max="9"/>
  </cols>
  <sheetData>
    <row r="2">
      <c r="B2" s="14" t="inlineStr">
        <is>
          <t>클라우드(Naver) 취약점 진단 요약결과(31항목)</t>
        </is>
      </c>
    </row>
    <row r="3">
      <c r="B3" s="8" t="inlineStr">
        <is>
          <t>진단항목</t>
        </is>
      </c>
      <c r="C3" s="8" t="inlineStr">
        <is>
          <t>항목코드</t>
        </is>
      </c>
      <c r="D3" s="8" t="inlineStr">
        <is>
          <t>세부 진단항목</t>
        </is>
      </c>
      <c r="E3" s="8" t="inlineStr">
        <is>
          <t>중요도</t>
        </is>
      </c>
      <c r="F3" s="8" t="inlineStr">
        <is>
          <t>진단결과</t>
        </is>
      </c>
      <c r="H3" s="8" t="inlineStr">
        <is>
          <t>진단 영역</t>
        </is>
      </c>
      <c r="I3" s="8" t="inlineStr">
        <is>
          <t>양호율</t>
        </is>
      </c>
    </row>
    <row r="6">
      <c r="B6" s="15" t="inlineStr">
        <is>
          <t>1. 계정관리</t>
        </is>
      </c>
      <c r="C6" s="2" t="inlineStr">
        <is>
          <t>AC-01</t>
        </is>
      </c>
      <c r="D6" s="15" t="inlineStr">
        <is>
          <t>패스워드 복잡성 설정</t>
        </is>
      </c>
      <c r="E6" s="2" t="inlineStr">
        <is>
          <t>중</t>
        </is>
      </c>
      <c r="F6" s="2">
        <f>'3-1. 진단 결과'!F6</f>
        <v/>
      </c>
      <c r="H6" s="15" t="inlineStr">
        <is>
          <t>1. 계정관리</t>
        </is>
      </c>
      <c r="I6" s="13">
        <f>IFERROR(COUNTIF(F6:F15,"양호")/(COUNTA(F6:F15)-COUNTIF(F6:F15,"N/A")-COUNTIF(F6:F15,"인터뷰 필요")),1)</f>
        <v/>
      </c>
    </row>
    <row r="7">
      <c r="B7" s="16" t="n"/>
      <c r="C7" s="2" t="inlineStr">
        <is>
          <t>AC-02</t>
        </is>
      </c>
      <c r="D7" s="15" t="inlineStr">
        <is>
          <t>패스워드 최소 길이 설정</t>
        </is>
      </c>
      <c r="E7" s="2" t="inlineStr">
        <is>
          <t>중</t>
        </is>
      </c>
      <c r="F7" s="2">
        <f>'3-1. 진단 결과'!F7</f>
        <v/>
      </c>
      <c r="H7" s="15" t="inlineStr">
        <is>
          <t>6. 클라우드 환경 보안 감사</t>
        </is>
      </c>
      <c r="I7" s="13">
        <f>IFERROR(COUNTIF(F16:F18,"양호")/(COUNTA(F16:F18)-COUNTIF(F16:F18,"N/A")-COUNTIF(F16:F18,"인터뷰 필요")),1)</f>
        <v/>
      </c>
    </row>
    <row r="8">
      <c r="B8" s="16" t="n"/>
      <c r="C8" s="2" t="inlineStr">
        <is>
          <t>AC-03</t>
        </is>
      </c>
      <c r="D8" s="15" t="inlineStr">
        <is>
          <t>강화된 인증방식 적용</t>
        </is>
      </c>
      <c r="E8" s="2" t="inlineStr">
        <is>
          <t>중</t>
        </is>
      </c>
      <c r="F8" s="2">
        <f>'3-1. 진단 결과'!F8</f>
        <v/>
      </c>
      <c r="H8" s="15" t="inlineStr">
        <is>
          <t>5. DB 보안</t>
        </is>
      </c>
      <c r="I8" s="13">
        <f>IFERROR(COUNTIF(F19:F20,"양호")/(COUNTA(F19:F20)-COUNTIF(F19:F20,"N/A")-COUNTIF(F19:F20,"인터뷰 필요")),1)</f>
        <v/>
      </c>
    </row>
    <row r="9">
      <c r="B9" s="16" t="n"/>
      <c r="C9" s="2" t="inlineStr">
        <is>
          <t>AC-04</t>
        </is>
      </c>
      <c r="D9" s="15" t="inlineStr">
        <is>
          <t>API 인증키 관리</t>
        </is>
      </c>
      <c r="E9" s="2" t="inlineStr">
        <is>
          <t>상</t>
        </is>
      </c>
      <c r="F9" s="2">
        <f>'3-1. 진단 결과'!F9</f>
        <v/>
      </c>
      <c r="H9" s="15" t="inlineStr">
        <is>
          <t>7. 서비스 연속성 확보</t>
        </is>
      </c>
      <c r="I9" s="13">
        <f>IFERROR(COUNTIF(F21:F21,"양호")/(COUNTA(F21:F21)-COUNTIF(F21:F21,"N/A")-COUNTIF(F21:F21,"인터뷰 필요")),1)</f>
        <v/>
      </c>
    </row>
    <row r="10">
      <c r="B10" s="16" t="n"/>
      <c r="C10" s="2" t="inlineStr">
        <is>
          <t>AC-05</t>
        </is>
      </c>
      <c r="D10" s="15" t="inlineStr">
        <is>
          <t>계정 권한 부여 방식</t>
        </is>
      </c>
      <c r="E10" s="2" t="inlineStr">
        <is>
          <t>중</t>
        </is>
      </c>
      <c r="F10" s="2">
        <f>'3-1. 진단 결과'!F10</f>
        <v/>
      </c>
      <c r="H10" s="15" t="inlineStr">
        <is>
          <t>4. 스토리지 보안</t>
        </is>
      </c>
      <c r="I10" s="13">
        <f>IFERROR(COUNTIF(F22:F25,"양호")/(COUNTA(F22:F25)-COUNTIF(F22:F25,"N/A")-COUNTIF(F22:F25,"인터뷰 필요")),1)</f>
        <v/>
      </c>
    </row>
    <row r="11">
      <c r="B11" s="16" t="n"/>
      <c r="C11" s="2" t="inlineStr">
        <is>
          <t>AC-06</t>
        </is>
      </c>
      <c r="D11" s="15" t="inlineStr">
        <is>
          <t>메인 계정 사용 금지</t>
        </is>
      </c>
      <c r="E11" s="2" t="inlineStr">
        <is>
          <t>상</t>
        </is>
      </c>
      <c r="F11" s="2">
        <f>'3-1. 진단 결과'!F11</f>
        <v/>
      </c>
      <c r="H11" s="15" t="inlineStr">
        <is>
          <t>3. 서버 보안</t>
        </is>
      </c>
      <c r="I11" s="13">
        <f>IFERROR(COUNTIF(F26:F31,"양호")/(COUNTA(F26:F31)-COUNTIF(F26:F31,"N/A")-COUNTIF(F26:F31,"인터뷰 필요")),1)</f>
        <v/>
      </c>
    </row>
    <row r="12">
      <c r="B12" s="16" t="n"/>
      <c r="C12" s="2" t="inlineStr">
        <is>
          <t>AC-07</t>
        </is>
      </c>
      <c r="D12" s="15" t="inlineStr">
        <is>
          <t>불필요한 계정 제거</t>
        </is>
      </c>
      <c r="E12" s="2" t="inlineStr">
        <is>
          <t>중</t>
        </is>
      </c>
      <c r="F12" s="2">
        <f>'3-1. 진단 결과'!F12</f>
        <v/>
      </c>
      <c r="H12" s="15" t="inlineStr">
        <is>
          <t>2. 네트워크 보안</t>
        </is>
      </c>
      <c r="I12" s="13">
        <f>IFERROR(COUNTIF(F32:F36,"양호")/(COUNTA(F32:F36)-COUNTIF(F32:F36,"N/A")-COUNTIF(F32:F36,"인터뷰 필요")),1)</f>
        <v/>
      </c>
    </row>
    <row r="13">
      <c r="B13" s="16" t="n"/>
      <c r="C13" s="2" t="inlineStr">
        <is>
          <t>AC-08</t>
        </is>
      </c>
      <c r="D13" s="15" t="inlineStr">
        <is>
          <t>계정 속성 만료 활성화</t>
        </is>
      </c>
      <c r="E13" s="2" t="inlineStr">
        <is>
          <t>상</t>
        </is>
      </c>
      <c r="F13" s="2">
        <f>'3-1. 진단 결과'!F13</f>
        <v/>
      </c>
    </row>
    <row r="14">
      <c r="B14" s="16" t="n"/>
      <c r="C14" s="2" t="inlineStr">
        <is>
          <t>AC-09</t>
        </is>
      </c>
      <c r="D14" s="15" t="inlineStr">
        <is>
          <t>정확한 정책 및 역할 할당</t>
        </is>
      </c>
      <c r="E14" s="2" t="inlineStr">
        <is>
          <t>상</t>
        </is>
      </c>
      <c r="F14" s="2">
        <f>'3-1. 진단 결과'!F14</f>
        <v/>
      </c>
    </row>
    <row r="15">
      <c r="B15" s="17" t="n"/>
      <c r="C15" s="2" t="inlineStr">
        <is>
          <t>AC-10</t>
        </is>
      </c>
      <c r="D15" s="15" t="inlineStr">
        <is>
          <t>통합 계정 관리</t>
        </is>
      </c>
      <c r="E15" s="2" t="inlineStr">
        <is>
          <t>하</t>
        </is>
      </c>
      <c r="F15" s="2">
        <f>'3-1. 진단 결과'!F15</f>
        <v/>
      </c>
    </row>
    <row r="16">
      <c r="B16" s="15" t="inlineStr">
        <is>
          <t>6. 클라우드 환경 보안 감사</t>
        </is>
      </c>
      <c r="C16" s="2" t="inlineStr">
        <is>
          <t>AU-01</t>
        </is>
      </c>
      <c r="D16" s="15" t="inlineStr">
        <is>
          <t>계정 활동 기반 감사</t>
        </is>
      </c>
      <c r="E16" s="2" t="inlineStr">
        <is>
          <t>중</t>
        </is>
      </c>
      <c r="F16" s="2">
        <f>'3-1. 진단 결과'!F16</f>
        <v/>
      </c>
    </row>
    <row r="17">
      <c r="B17" s="16" t="n"/>
      <c r="C17" s="2" t="inlineStr">
        <is>
          <t>AU-02</t>
        </is>
      </c>
      <c r="D17" s="15" t="inlineStr">
        <is>
          <t>리소스 기반 감사</t>
        </is>
      </c>
      <c r="E17" s="2" t="inlineStr">
        <is>
          <t>중</t>
        </is>
      </c>
      <c r="F17" s="2">
        <f>'3-1. 진단 결과'!F17</f>
        <v/>
      </c>
    </row>
    <row r="18">
      <c r="B18" s="17" t="n"/>
      <c r="C18" s="2" t="inlineStr">
        <is>
          <t>AU-03</t>
        </is>
      </c>
      <c r="D18" s="15" t="inlineStr">
        <is>
          <t>모범 사례 기반 감사</t>
        </is>
      </c>
      <c r="E18" s="2" t="inlineStr">
        <is>
          <t>중</t>
        </is>
      </c>
      <c r="F18" s="2">
        <f>'3-1. 진단 결과'!F18</f>
        <v/>
      </c>
    </row>
    <row r="19">
      <c r="B19" s="15" t="inlineStr">
        <is>
          <t>5. DB 보안</t>
        </is>
      </c>
      <c r="C19" s="2" t="inlineStr">
        <is>
          <t>DB-01</t>
        </is>
      </c>
      <c r="D19" s="15" t="inlineStr">
        <is>
          <t>DB 접근통제</t>
        </is>
      </c>
      <c r="E19" s="2" t="inlineStr">
        <is>
          <t>상</t>
        </is>
      </c>
      <c r="F19" s="2">
        <f>'3-1. 진단 결과'!F19</f>
        <v/>
      </c>
    </row>
    <row r="20">
      <c r="B20" s="17" t="n"/>
      <c r="C20" s="2" t="inlineStr">
        <is>
          <t>DB-02</t>
        </is>
      </c>
      <c r="D20" s="15" t="inlineStr">
        <is>
          <t>DB Backup</t>
        </is>
      </c>
      <c r="E20" s="2" t="inlineStr">
        <is>
          <t>중</t>
        </is>
      </c>
      <c r="F20" s="2">
        <f>'3-1. 진단 결과'!F20</f>
        <v/>
      </c>
    </row>
    <row r="21">
      <c r="B21" s="15" t="inlineStr">
        <is>
          <t>7. 서비스 연속성 확보</t>
        </is>
      </c>
      <c r="C21" s="2" t="inlineStr">
        <is>
          <t>MU-01</t>
        </is>
      </c>
      <c r="D21" s="15" t="inlineStr">
        <is>
          <t>멀티존 구성</t>
        </is>
      </c>
      <c r="E21" s="2" t="inlineStr">
        <is>
          <t>중</t>
        </is>
      </c>
      <c r="F21" s="2">
        <f>'3-1. 진단 결과'!F21</f>
        <v/>
      </c>
    </row>
    <row r="22">
      <c r="B22" s="15" t="inlineStr">
        <is>
          <t>4. 스토리지 보안</t>
        </is>
      </c>
      <c r="C22" s="2" t="inlineStr">
        <is>
          <t>ST-01</t>
        </is>
      </c>
      <c r="D22" s="15" t="inlineStr">
        <is>
          <t>버킷 공개 설정</t>
        </is>
      </c>
      <c r="E22" s="2" t="inlineStr">
        <is>
          <t>중</t>
        </is>
      </c>
      <c r="F22" s="2">
        <f>'3-1. 진단 결과'!F22</f>
        <v/>
      </c>
    </row>
    <row r="23">
      <c r="B23" s="16" t="n"/>
      <c r="C23" s="2" t="inlineStr">
        <is>
          <t>ST-02</t>
        </is>
      </c>
      <c r="D23" s="15" t="inlineStr">
        <is>
          <t>데이터 수명 주기 관리</t>
        </is>
      </c>
      <c r="E23" s="2" t="inlineStr">
        <is>
          <t>하</t>
        </is>
      </c>
      <c r="F23" s="2">
        <f>'3-1. 진단 결과'!F23</f>
        <v/>
      </c>
    </row>
    <row r="24">
      <c r="B24" s="16" t="n"/>
      <c r="C24" s="2" t="inlineStr">
        <is>
          <t>ST-03</t>
        </is>
      </c>
      <c r="D24" s="15" t="inlineStr">
        <is>
          <t>불필요한 버킷 제거</t>
        </is>
      </c>
      <c r="E24" s="2" t="inlineStr">
        <is>
          <t>중</t>
        </is>
      </c>
      <c r="F24" s="2">
        <f>'3-1. 진단 결과'!F24</f>
        <v/>
      </c>
    </row>
    <row r="25">
      <c r="B25" s="17" t="n"/>
      <c r="C25" s="2" t="inlineStr">
        <is>
          <t>ST-04</t>
        </is>
      </c>
      <c r="D25" s="15" t="inlineStr">
        <is>
          <t>NAS 접근제어</t>
        </is>
      </c>
      <c r="E25" s="2" t="inlineStr">
        <is>
          <t>중</t>
        </is>
      </c>
      <c r="F25" s="2">
        <f>'3-1. 진단 결과'!F25</f>
        <v/>
      </c>
    </row>
    <row r="26">
      <c r="B26" s="15" t="inlineStr">
        <is>
          <t>3. 서버 보안</t>
        </is>
      </c>
      <c r="C26" s="2" t="inlineStr">
        <is>
          <t>SV-01</t>
        </is>
      </c>
      <c r="D26" s="15" t="inlineStr">
        <is>
          <t>서비스 포트 관리</t>
        </is>
      </c>
      <c r="E26" s="2" t="inlineStr">
        <is>
          <t>상</t>
        </is>
      </c>
      <c r="F26" s="2">
        <f>'3-1. 진단 결과'!F26</f>
        <v/>
      </c>
    </row>
    <row r="27">
      <c r="B27" s="16" t="n"/>
      <c r="C27" s="2" t="inlineStr">
        <is>
          <t>SV-02</t>
        </is>
      </c>
      <c r="D27" s="15" t="inlineStr">
        <is>
          <t>서버간 통신 제어</t>
        </is>
      </c>
      <c r="E27" s="2" t="inlineStr">
        <is>
          <t>중</t>
        </is>
      </c>
      <c r="F27" s="2">
        <f>'3-1. 진단 결과'!F27</f>
        <v/>
      </c>
    </row>
    <row r="28">
      <c r="B28" s="16" t="n"/>
      <c r="C28" s="2" t="inlineStr">
        <is>
          <t>SV-03</t>
        </is>
      </c>
      <c r="D28" s="15" t="inlineStr">
        <is>
          <t>사용자 접근 통제</t>
        </is>
      </c>
      <c r="E28" s="2" t="inlineStr">
        <is>
          <t>상</t>
        </is>
      </c>
      <c r="F28" s="2">
        <f>'3-1. 진단 결과'!F28</f>
        <v/>
      </c>
    </row>
    <row r="29">
      <c r="B29" s="16" t="n"/>
      <c r="C29" s="2" t="inlineStr">
        <is>
          <t>SV-04</t>
        </is>
      </c>
      <c r="D29" s="15" t="inlineStr">
        <is>
          <t>공인 IP 사용 제한</t>
        </is>
      </c>
      <c r="E29" s="2" t="inlineStr">
        <is>
          <t>중</t>
        </is>
      </c>
      <c r="F29" s="2">
        <f>'3-1. 진단 결과'!F29</f>
        <v/>
      </c>
    </row>
    <row r="30">
      <c r="B30" s="16" t="n"/>
      <c r="C30" s="2" t="inlineStr">
        <is>
          <t>SV-05</t>
        </is>
      </c>
      <c r="D30" s="15" t="inlineStr">
        <is>
          <t>불필요한 서버 제거</t>
        </is>
      </c>
      <c r="E30" s="2" t="inlineStr">
        <is>
          <t>중</t>
        </is>
      </c>
      <c r="F30" s="2">
        <f>'3-1. 진단 결과'!F30</f>
        <v/>
      </c>
    </row>
    <row r="31">
      <c r="B31" s="17" t="n"/>
      <c r="C31" s="2" t="inlineStr">
        <is>
          <t>SV-06</t>
        </is>
      </c>
      <c r="D31" s="15" t="inlineStr">
        <is>
          <t>OS 취약성 점검</t>
        </is>
      </c>
      <c r="E31" s="2" t="inlineStr">
        <is>
          <t>중</t>
        </is>
      </c>
      <c r="F31" s="2">
        <f>'3-1. 진단 결과'!F31</f>
        <v/>
      </c>
    </row>
    <row r="32">
      <c r="B32" s="15" t="inlineStr">
        <is>
          <t>2. 네트워크 보안</t>
        </is>
      </c>
      <c r="C32" s="2" t="inlineStr">
        <is>
          <t>VP-01</t>
        </is>
      </c>
      <c r="D32" s="15" t="inlineStr">
        <is>
          <t>VPC Naming 설정</t>
        </is>
      </c>
      <c r="E32" s="2" t="inlineStr">
        <is>
          <t>하</t>
        </is>
      </c>
      <c r="F32" s="2">
        <f>'3-1. 진단 결과'!F32</f>
        <v/>
      </c>
    </row>
    <row r="33">
      <c r="B33" s="16" t="n"/>
      <c r="C33" s="2" t="inlineStr">
        <is>
          <t>VP-02</t>
        </is>
      </c>
      <c r="D33" s="15" t="inlineStr">
        <is>
          <t>서비스 목적에 따른 네트워크 분리</t>
        </is>
      </c>
      <c r="E33" s="2" t="inlineStr">
        <is>
          <t>중</t>
        </is>
      </c>
      <c r="F33" s="2">
        <f>'3-1. 진단 결과'!F33</f>
        <v/>
      </c>
    </row>
    <row r="34">
      <c r="B34" s="16" t="n"/>
      <c r="C34" s="2" t="inlineStr">
        <is>
          <t>VP-03</t>
        </is>
      </c>
      <c r="D34" s="15" t="inlineStr">
        <is>
          <t>NACL 관리</t>
        </is>
      </c>
      <c r="E34" s="2" t="inlineStr">
        <is>
          <t>중</t>
        </is>
      </c>
      <c r="F34" s="2">
        <f>'3-1. 진단 결과'!F34</f>
        <v/>
      </c>
    </row>
    <row r="35">
      <c r="B35" s="16" t="n"/>
      <c r="C35" s="2" t="inlineStr">
        <is>
          <t>VP-04</t>
        </is>
      </c>
      <c r="D35" s="15" t="inlineStr">
        <is>
          <t>NAT Gateway 관리</t>
        </is>
      </c>
      <c r="E35" s="2" t="inlineStr">
        <is>
          <t>중</t>
        </is>
      </c>
      <c r="F35" s="2">
        <f>'3-1. 진단 결과'!F35</f>
        <v/>
      </c>
    </row>
    <row r="36">
      <c r="B36" s="17" t="n"/>
      <c r="C36" s="2" t="inlineStr">
        <is>
          <t>VP-05</t>
        </is>
      </c>
      <c r="D36" s="15" t="inlineStr">
        <is>
          <t>안전한 접속 수단 설정</t>
        </is>
      </c>
      <c r="E36" s="2" t="inlineStr">
        <is>
          <t>중</t>
        </is>
      </c>
      <c r="F36" s="2">
        <f>'3-1. 진단 결과'!F36</f>
        <v/>
      </c>
    </row>
  </sheetData>
  <mergeCells count="6">
    <mergeCell ref="B22:B25"/>
    <mergeCell ref="B26:B31"/>
    <mergeCell ref="B32:B36"/>
    <mergeCell ref="B6:B15"/>
    <mergeCell ref="B16:B18"/>
    <mergeCell ref="B19:B20"/>
  </mergeCells>
  <conditionalFormatting sqref="F6:F36">
    <cfRule type="cellIs" priority="1" operator="equal" dxfId="0">
      <formula>"취약"</formula>
    </cfRule>
    <cfRule type="cellIs" priority="2" operator="equal" dxfId="1">
      <formula>"N/A"</formula>
    </cfRule>
    <cfRule type="expression" priority="3" dxfId="2">
      <formula>ISNUMBER(SEARCH("인터뷰",F6))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2" max="2"/>
    <col width="11" customWidth="1" min="3" max="3"/>
    <col width="26" customWidth="1" min="4" max="4"/>
    <col width="46" customWidth="1" min="5" max="5"/>
    <col width="8" customWidth="1" min="6" max="6"/>
    <col width="60" customWidth="1" min="7" max="7"/>
  </cols>
  <sheetData>
    <row r="2">
      <c r="B2" s="14" t="inlineStr">
        <is>
          <t>클라우드(Naver) 취약점 진단 상세결과(31항목)</t>
        </is>
      </c>
    </row>
    <row r="3">
      <c r="B3" s="8" t="inlineStr">
        <is>
          <t>진단항목</t>
        </is>
      </c>
      <c r="C3" s="8" t="inlineStr">
        <is>
          <t>항목코드</t>
        </is>
      </c>
      <c r="D3" s="8" t="inlineStr">
        <is>
          <t>세부 진단항목</t>
        </is>
      </c>
      <c r="E3" s="8" t="inlineStr">
        <is>
          <t>진단기준</t>
        </is>
      </c>
      <c r="F3" s="8" t="inlineStr">
        <is>
          <t>판정</t>
        </is>
      </c>
      <c r="G3" s="8" t="inlineStr">
        <is>
          <t>상세 내용 / 근거</t>
        </is>
      </c>
    </row>
    <row r="6">
      <c r="B6" s="15" t="inlineStr">
        <is>
          <t>1. 계정관리</t>
        </is>
      </c>
      <c r="C6" s="2" t="inlineStr">
        <is>
          <t>AC-01</t>
        </is>
      </c>
      <c r="D6" s="15" t="inlineStr">
        <is>
          <t>패스워드 복잡성 설정</t>
        </is>
      </c>
      <c r="E6" s="15" t="inlineStr">
        <is>
          <t>양호 - 영문자·숫자·특수문자를 조합하여 8자 이상으로 패스워드가 설정된 경우
취약 - 패스워드 조합 규칙을 충족하지 않는 경우</t>
        </is>
      </c>
      <c r="F6" s="2" t="n"/>
      <c r="G6" s="15" t="n"/>
    </row>
    <row r="7">
      <c r="B7" s="16" t="n"/>
      <c r="C7" s="2" t="inlineStr">
        <is>
          <t>AC-02</t>
        </is>
      </c>
      <c r="D7" s="15" t="inlineStr">
        <is>
          <t>패스워드 최소 길이 설정</t>
        </is>
      </c>
      <c r="E7" s="15" t="inlineStr">
        <is>
          <t>양호 - 패스워드 최소 길이가 8자 이상으로 설정된 경우
취약 - 패스워드 최소 길이가 8자 미만인 경우</t>
        </is>
      </c>
      <c r="F7" s="2" t="n"/>
      <c r="G7" s="15" t="n"/>
    </row>
    <row r="8">
      <c r="B8" s="16" t="n"/>
      <c r="C8" s="2" t="inlineStr">
        <is>
          <t>AC-03</t>
        </is>
      </c>
      <c r="D8" s="15" t="inlineStr">
        <is>
          <t>강화된 인증방식 적용</t>
        </is>
      </c>
      <c r="E8" s="15" t="inlineStr">
        <is>
          <t>양호 - 메인 계정·Sub Account 모두 ID/PW 외 추가 인증수단(인증번호·OTP)을 적용한 경우
취약 - 2차 인증이 미적용된 계정이 존재하는 경우</t>
        </is>
      </c>
      <c r="F8" s="2" t="n"/>
      <c r="G8" s="15" t="n"/>
    </row>
    <row r="9">
      <c r="B9" s="16" t="n"/>
      <c r="C9" s="2" t="inlineStr">
        <is>
          <t>AC-04</t>
        </is>
      </c>
      <c r="D9" s="15" t="inlineStr">
        <is>
          <t>API 인증키 관리</t>
        </is>
      </c>
      <c r="E9" s="15" t="inlineStr">
        <is>
          <t>양호 - 메인 계정·Sub Account의 Access Key를 주기적으로 관리·교체하는 경우
취약 - Access Key가 장기간 미교체·방치된 경우</t>
        </is>
      </c>
      <c r="F9" s="2" t="n"/>
      <c r="G9" s="15" t="n"/>
    </row>
    <row r="10">
      <c r="B10" s="16" t="n"/>
      <c r="C10" s="2" t="inlineStr">
        <is>
          <t>AC-05</t>
        </is>
      </c>
      <c r="D10" s="15" t="inlineStr">
        <is>
          <t>계정 권한 부여 방식</t>
        </is>
      </c>
      <c r="E10" s="15" t="inlineStr">
        <is>
          <t>양호 - Sub Account의 모든 계정이 그룹에 속하여 권한을 부여받은 경우
취약 - 그룹에 속하지 않은 특수권한 계정이 존재하는 경우</t>
        </is>
      </c>
      <c r="F10" s="2" t="n"/>
      <c r="G10" s="15" t="n"/>
    </row>
    <row r="11">
      <c r="B11" s="16" t="n"/>
      <c r="C11" s="2" t="inlineStr">
        <is>
          <t>AC-06</t>
        </is>
      </c>
      <c r="D11" s="15" t="inlineStr">
        <is>
          <t>메인 계정 사용 금지</t>
        </is>
      </c>
      <c r="E11" s="15" t="inlineStr">
        <is>
          <t>양호 - 메인 계정을 사용하지 않고 서브 계정에 적절한 권한을 부여하여 사용하는 경우
취약 - 메인(루트) 계정을 상시 사용하는 경우</t>
        </is>
      </c>
      <c r="F11" s="2" t="n"/>
      <c r="G11" s="15" t="n"/>
    </row>
    <row r="12">
      <c r="B12" s="16" t="n"/>
      <c r="C12" s="2" t="inlineStr">
        <is>
          <t>AC-07</t>
        </is>
      </c>
      <c r="D12" s="15" t="inlineStr">
        <is>
          <t>불필요한 계정 제거</t>
        </is>
      </c>
      <c r="E12" s="15" t="inlineStr">
        <is>
          <t>양호 - Sub Account에 불필요·미사용(퇴직·휴직·장기미사용) 계정이 존재하지 않는 경우
취약 - 불필요·미사용 계정이 존재하는 경우</t>
        </is>
      </c>
      <c r="F12" s="2" t="n"/>
      <c r="G12" s="15" t="n"/>
    </row>
    <row r="13">
      <c r="B13" s="16" t="n"/>
      <c r="C13" s="2" t="inlineStr">
        <is>
          <t>AC-08</t>
        </is>
      </c>
      <c r="D13" s="15" t="inlineStr">
        <is>
          <t>계정 속성 만료 활성화</t>
        </is>
      </c>
      <c r="E13" s="15" t="inlineStr">
        <is>
          <t>양호 - 미사용 세션 및 비밀번호 만료 기능이 활성화되고 적절한 만료일이 설정된 경우
취약 - 만료 설정이 비활성화된 경우</t>
        </is>
      </c>
      <c r="F13" s="2" t="n"/>
      <c r="G13" s="15" t="n"/>
    </row>
    <row r="14">
      <c r="B14" s="16" t="n"/>
      <c r="C14" s="2" t="inlineStr">
        <is>
          <t>AC-09</t>
        </is>
      </c>
      <c r="D14" s="15" t="inlineStr">
        <is>
          <t>정확한 정책 및 역할 할당</t>
        </is>
      </c>
      <c r="E14" s="15" t="inlineStr">
        <is>
          <t>양호 - Sub Account 계정에 필요한 정책과 적절한 역할이 할당된 경우
취약 - 과도하거나 부적절한 정책·역할이 부여된 경우</t>
        </is>
      </c>
      <c r="F14" s="2" t="n"/>
      <c r="G14" s="15" t="n"/>
    </row>
    <row r="15">
      <c r="B15" s="17" t="n"/>
      <c r="C15" s="2" t="inlineStr">
        <is>
          <t>AC-10</t>
        </is>
      </c>
      <c r="D15" s="15" t="inlineStr">
        <is>
          <t>통합 계정 관리</t>
        </is>
      </c>
      <c r="E15" s="15" t="inlineStr">
        <is>
          <t>양호 - Organization으로 거버넌스 정책을 수립하여 계정별 서비스·사용량을 제어하는 경우
취약 - 다수 계정이 통합 관리 없이 개별 운영되는 경우</t>
        </is>
      </c>
      <c r="F15" s="2" t="n"/>
      <c r="G15" s="15" t="n"/>
    </row>
    <row r="16">
      <c r="B16" s="15" t="inlineStr">
        <is>
          <t>6. 클라우드 환경 보안 감사</t>
        </is>
      </c>
      <c r="C16" s="2" t="inlineStr">
        <is>
          <t>AU-01</t>
        </is>
      </c>
      <c r="D16" s="15" t="inlineStr">
        <is>
          <t>계정 활동 기반 감사</t>
        </is>
      </c>
      <c r="E16" s="15" t="inlineStr">
        <is>
          <t>양호 - Cloud Activity Tracer로 계정 접근권한 적정성을 정기 검토하는 경우
취약 - 계정 활동 로그 점검이 이행되지 않는 경우</t>
        </is>
      </c>
      <c r="F16" s="2" t="n"/>
      <c r="G16" s="15" t="n"/>
    </row>
    <row r="17">
      <c r="B17" s="16" t="n"/>
      <c r="C17" s="2" t="inlineStr">
        <is>
          <t>AU-02</t>
        </is>
      </c>
      <c r="D17" s="15" t="inlineStr">
        <is>
          <t>리소스 기반 감사</t>
        </is>
      </c>
      <c r="E17" s="15" t="inlineStr">
        <is>
          <t>양호 - Resource Manager로 리소스 생성·변경·삭제 적정성을 정기 검토하는 경우
취약 - 리소스 변경 이력 점검이 이행되지 않는 경우</t>
        </is>
      </c>
      <c r="F17" s="2" t="n"/>
      <c r="G17" s="15" t="n"/>
    </row>
    <row r="18">
      <c r="B18" s="17" t="n"/>
      <c r="C18" s="2" t="inlineStr">
        <is>
          <t>AU-03</t>
        </is>
      </c>
      <c r="D18" s="15" t="inlineStr">
        <is>
          <t>모범 사례 기반 감사</t>
        </is>
      </c>
      <c r="E18" s="15" t="inlineStr">
        <is>
          <t>양호 - Cloud Advisor 점검항목의 검사결과가 모두 정상인 경우
취약 - 모범 사례 기반 점검 결과 조치되지 않은 항목이 존재하는 경우</t>
        </is>
      </c>
      <c r="F18" s="2" t="n"/>
      <c r="G18" s="15" t="n"/>
    </row>
    <row r="19">
      <c r="B19" s="15" t="inlineStr">
        <is>
          <t>5. DB 보안</t>
        </is>
      </c>
      <c r="C19" s="2" t="inlineStr">
        <is>
          <t>DB-01</t>
        </is>
      </c>
      <c r="D19" s="15" t="inlineStr">
        <is>
          <t>DB 접근통제</t>
        </is>
      </c>
      <c r="E19" s="15" t="inlineStr">
        <is>
          <t>양호 - DB 접근이 필요한 응용프로그램·서버·사용자를 식별하고 접근통제 정책에 따라 통제하는 경우
취약 - DB 접근통제 정책이 미흡한 경우</t>
        </is>
      </c>
      <c r="F19" s="2" t="n"/>
      <c r="G19" s="15" t="n"/>
    </row>
    <row r="20">
      <c r="B20" s="17" t="n"/>
      <c r="C20" s="2" t="inlineStr">
        <is>
          <t>DB-02</t>
        </is>
      </c>
      <c r="D20" s="15" t="inlineStr">
        <is>
          <t>DB Backup</t>
        </is>
      </c>
      <c r="E20" s="15" t="inlineStr">
        <is>
          <t>양호 - 데이터 가용성·무결성 유지를 위해 이중화 구성 및 백업 절차를 마련한 경우
취약 - 백업·이중화 절차가 마련되지 않은 경우</t>
        </is>
      </c>
      <c r="F20" s="2" t="n"/>
      <c r="G20" s="15" t="n"/>
    </row>
    <row r="21">
      <c r="B21" s="15" t="inlineStr">
        <is>
          <t>7. 서비스 연속성 확보</t>
        </is>
      </c>
      <c r="C21" s="2" t="inlineStr">
        <is>
          <t>MU-01</t>
        </is>
      </c>
      <c r="D21" s="15" t="inlineStr">
        <is>
          <t>멀티존 구성</t>
        </is>
      </c>
      <c r="E21" s="15" t="inlineStr">
        <is>
          <t>양호 - 중요 서버가 Zone을 통해 이중화되어 있는 경우
취약 - 중요 서버가 단일 Zone에 구성된 경우</t>
        </is>
      </c>
      <c r="F21" s="2" t="n"/>
      <c r="G21" s="15" t="n"/>
    </row>
    <row r="22">
      <c r="B22" s="15" t="inlineStr">
        <is>
          <t>4. 스토리지 보안</t>
        </is>
      </c>
      <c r="C22" s="2" t="inlineStr">
        <is>
          <t>ST-01</t>
        </is>
      </c>
      <c r="D22" s="15" t="inlineStr">
        <is>
          <t>버킷 공개 설정</t>
        </is>
      </c>
      <c r="E22" s="15" t="inlineStr">
        <is>
          <t>양호 - 중요정보를 보관한 Object Storage 버킷이 비공개로 설정된 경우
취약 - 버킷이 외부에 공개로 설정된 경우</t>
        </is>
      </c>
      <c r="F22" s="2" t="n"/>
      <c r="G22" s="15" t="n"/>
    </row>
    <row r="23">
      <c r="B23" s="16" t="n"/>
      <c r="C23" s="2" t="inlineStr">
        <is>
          <t>ST-02</t>
        </is>
      </c>
      <c r="D23" s="15" t="inlineStr">
        <is>
          <t>데이터 수명 주기 관리</t>
        </is>
      </c>
      <c r="E23" s="15" t="inlineStr">
        <is>
          <t>양호 - 사용 완료 데이터가 수명주기 정책에 따라 Archive Storage 등으로 이관·보관되는 경우
취약 - 수명주기 정책 없이 데이터가 방치된 경우</t>
        </is>
      </c>
      <c r="F23" s="2" t="n"/>
      <c r="G23" s="15" t="n"/>
    </row>
    <row r="24">
      <c r="B24" s="16" t="n"/>
      <c r="C24" s="2" t="inlineStr">
        <is>
          <t>ST-03</t>
        </is>
      </c>
      <c r="D24" s="15" t="inlineStr">
        <is>
          <t>불필요한 버킷 제거</t>
        </is>
      </c>
      <c r="E24" s="15" t="inlineStr">
        <is>
          <t>양호 - 사용 목적이 완료된 버킷을 정기 검토를 통해 삭제 처리하는 경우
취약 - 불필요한 버킷이 방치된 경우</t>
        </is>
      </c>
      <c r="F24" s="2" t="n"/>
      <c r="G24" s="15" t="n"/>
    </row>
    <row r="25">
      <c r="B25" s="17" t="n"/>
      <c r="C25" s="2" t="inlineStr">
        <is>
          <t>ST-04</t>
        </is>
      </c>
      <c r="D25" s="15" t="inlineStr">
        <is>
          <t>NAS 접근제어</t>
        </is>
      </c>
      <c r="E25" s="15" t="inlineStr">
        <is>
          <t>양호 - 사용 중지 서버 또는 공유 대상이 아닌 서버의 NAS 마운트 여부를 주기적으로 점검하는 경우
취약 - 불필요한 서버가 NAS에 마운트된 경우</t>
        </is>
      </c>
      <c r="F25" s="2" t="n"/>
      <c r="G25" s="15" t="n"/>
    </row>
    <row r="26">
      <c r="B26" s="15" t="inlineStr">
        <is>
          <t>3. 서버 보안</t>
        </is>
      </c>
      <c r="C26" s="2" t="inlineStr">
        <is>
          <t>SV-01</t>
        </is>
      </c>
      <c r="D26" s="15" t="inlineStr">
        <is>
          <t>서비스 포트 관리</t>
        </is>
      </c>
      <c r="E26" s="15" t="inlineStr">
        <is>
          <t>양호 - ACG에 서비스에 필요한 IP·Port만 허용된 경우
취약 - 불필요한 IP·Port(ANY 등)가 허용된 경우</t>
        </is>
      </c>
      <c r="F26" s="2" t="n"/>
      <c r="G26" s="15" t="n"/>
    </row>
    <row r="27">
      <c r="B27" s="16" t="n"/>
      <c r="C27" s="2" t="inlineStr">
        <is>
          <t>SV-02</t>
        </is>
      </c>
      <c r="D27" s="15" t="inlineStr">
        <is>
          <t>서버간 통신 제어</t>
        </is>
      </c>
      <c r="E27" s="15" t="inlineStr">
        <is>
          <t>양호 - 서버 간 통신이 승인된 정책 범위 내에서만 ACG로 허용된 경우
취약 - 서버 간 통신이 광범위하게 허용된 경우</t>
        </is>
      </c>
      <c r="F27" s="2" t="n"/>
      <c r="G27" s="15" t="n"/>
    </row>
    <row r="28">
      <c r="B28" s="16" t="n"/>
      <c r="C28" s="2" t="inlineStr">
        <is>
          <t>SV-03</t>
        </is>
      </c>
      <c r="D28" s="15" t="inlineStr">
        <is>
          <t>사용자 접근 통제</t>
        </is>
      </c>
      <c r="E28" s="15" t="inlineStr">
        <is>
          <t>양호 - 서버 접속 시 인증키를 통해 접속하는 경우
취약 - ID/Password 직접 입력 방식으로 서버에 접속하는 경우</t>
        </is>
      </c>
      <c r="F28" s="2" t="n"/>
      <c r="G28" s="15" t="n"/>
    </row>
    <row r="29">
      <c r="B29" s="16" t="n"/>
      <c r="C29" s="2" t="inlineStr">
        <is>
          <t>SV-04</t>
        </is>
      </c>
      <c r="D29" s="15" t="inlineStr">
        <is>
          <t>공인 IP 사용 제한</t>
        </is>
      </c>
      <c r="E29" s="15" t="inlineStr">
        <is>
          <t>양호 - Private Zone에 위치한 서버에 공인 IP가 할당되지 않은 경우
취약 - Private Zone 서버에 공인 IP가 할당된 경우</t>
        </is>
      </c>
      <c r="F29" s="2" t="n"/>
      <c r="G29" s="15" t="n"/>
    </row>
    <row r="30">
      <c r="B30" s="16" t="n"/>
      <c r="C30" s="2" t="inlineStr">
        <is>
          <t>SV-05</t>
        </is>
      </c>
      <c r="D30" s="15" t="inlineStr">
        <is>
          <t>불필요한 서버 제거</t>
        </is>
      </c>
      <c r="E30" s="15" t="inlineStr">
        <is>
          <t>양호 - 사용 목적이 완료된 서버를 정기 검토를 통해 반납 처리하는 경우
취약 - 불필요한 서버가 미반납 상태로 방치된 경우</t>
        </is>
      </c>
      <c r="F30" s="2" t="n"/>
      <c r="G30" s="15" t="n"/>
    </row>
    <row r="31">
      <c r="B31" s="17" t="n"/>
      <c r="C31" s="2" t="inlineStr">
        <is>
          <t>SV-06</t>
        </is>
      </c>
      <c r="D31" s="15" t="inlineStr">
        <is>
          <t>OS 취약성 점검</t>
        </is>
      </c>
      <c r="E31" s="15" t="inlineStr">
        <is>
          <t>양호 - 주기적으로 OS 취약성 점검을 이행하는 경우
취약 - OS 취약성 점검이 수행되지 않는 경우</t>
        </is>
      </c>
      <c r="F31" s="2" t="n"/>
      <c r="G31" s="15" t="n"/>
    </row>
    <row r="32">
      <c r="B32" s="15" t="inlineStr">
        <is>
          <t>2. 네트워크 보안</t>
        </is>
      </c>
      <c r="C32" s="2" t="inlineStr">
        <is>
          <t>VP-01</t>
        </is>
      </c>
      <c r="D32" s="15" t="inlineStr">
        <is>
          <t>VPC Naming 설정</t>
        </is>
      </c>
      <c r="E32" s="15" t="inlineStr">
        <is>
          <t>양호 - VPC 이름을 통해 서비스를 식별할 수 있는 경우
취약 - 식별이 불가능한 이름으로 VPC가 생성된 경우</t>
        </is>
      </c>
      <c r="F32" s="2" t="n"/>
      <c r="G32" s="15" t="n"/>
    </row>
    <row r="33">
      <c r="B33" s="16" t="n"/>
      <c r="C33" s="2" t="inlineStr">
        <is>
          <t>VP-02</t>
        </is>
      </c>
      <c r="D33" s="15" t="inlineStr">
        <is>
          <t>서비스 목적에 따른 네트워크 분리</t>
        </is>
      </c>
      <c r="E33" s="15" t="inlineStr">
        <is>
          <t>양호 - 서비스 사용 목적에 따라 Subnet이 분리된 경우
취약 - 목적 구분 없이 Subnet이 혼용되는 경우</t>
        </is>
      </c>
      <c r="F33" s="2" t="n"/>
      <c r="G33" s="15" t="n"/>
    </row>
    <row r="34">
      <c r="B34" s="16" t="n"/>
      <c r="C34" s="2" t="inlineStr">
        <is>
          <t>VP-03</t>
        </is>
      </c>
      <c r="D34" s="15" t="inlineStr">
        <is>
          <t>NACL 관리</t>
        </is>
      </c>
      <c r="E34" s="15" t="inlineStr">
        <is>
          <t>양호 - 전체 차단 정책을 기본으로 서비스에 필요한 IP·Port만 허용된 경우
취약 - Network ACL 정책이 없거나 광범위하게 허용된 경우</t>
        </is>
      </c>
      <c r="F34" s="2" t="n"/>
      <c r="G34" s="15" t="n"/>
    </row>
    <row r="35">
      <c r="B35" s="16" t="n"/>
      <c r="C35" s="2" t="inlineStr">
        <is>
          <t>VP-04</t>
        </is>
      </c>
      <c r="D35" s="15" t="inlineStr">
        <is>
          <t>NAT Gateway 관리</t>
        </is>
      </c>
      <c r="E35" s="15" t="inlineStr">
        <is>
          <t>양호 - 외부 통신이 더 이상 필요 없는 서버가 NAT Gateway 설정에서 제외된 경우
취약 - 사용 목적이 완료된 서버가 외부 통신 가능 상태로 남아있는 경우</t>
        </is>
      </c>
      <c r="F35" s="2" t="n"/>
      <c r="G35" s="15" t="n"/>
    </row>
    <row r="36">
      <c r="B36" s="17" t="n"/>
      <c r="C36" s="2" t="inlineStr">
        <is>
          <t>VP-05</t>
        </is>
      </c>
      <c r="D36" s="15" t="inlineStr">
        <is>
          <t>안전한 접속 수단 설정</t>
        </is>
      </c>
      <c r="E36" s="15" t="inlineStr">
        <is>
          <t>양호 - 정보자산 접속 시 SSL VPN·IPsec VPN·Certificate Manager 등 안전한 접속 수단을 적용한 경우
취약 - 암호화되지 않은 접속 수단을 사용하는 경우</t>
        </is>
      </c>
      <c r="F36" s="2" t="n"/>
      <c r="G36" s="15" t="n"/>
    </row>
  </sheetData>
  <mergeCells count="6">
    <mergeCell ref="B22:B25"/>
    <mergeCell ref="B26:B31"/>
    <mergeCell ref="B32:B36"/>
    <mergeCell ref="B6:B15"/>
    <mergeCell ref="B16:B18"/>
    <mergeCell ref="B19:B20"/>
  </mergeCells>
  <conditionalFormatting sqref="F6:F36">
    <cfRule type="cellIs" priority="1" operator="equal" dxfId="0">
      <formula>"취약"</formula>
    </cfRule>
    <cfRule type="cellIs" priority="2" operator="equal" dxfId="1">
      <formula>"N/A"</formula>
    </cfRule>
    <cfRule type="expression" priority="3" dxfId="2">
      <formula>ISNUMBER(SEARCH("인터뷰",F6))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2026-09-29T06:17:10Z</dcterms:created>
  <dcterms:modified xmlns:dcterms="http://purl.org/dc/terms/" xmlns:xsi="http://www.w3.org/2001/XMLSchema-instance" xsi:type="dcterms:W3CDTF">2026-09-29T06:17:10Z</dcterms:modified>
</cp:coreProperties>
</file>