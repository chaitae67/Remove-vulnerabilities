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4" activeTab="5" autoFilterDateGrouping="1"/>
  </bookViews>
  <sheets>
    <sheet name="0. 표지" sheetId="1" state="visible" r:id="rId1"/>
    <sheet name="2-1. 요약결과(그래프)_깨짐" sheetId="2" state="visible" r:id="rId2"/>
    <sheet name="1. 진단 대상" sheetId="3" state="visible" r:id="rId3"/>
    <sheet name="2-1. 요약결과(그래프)" sheetId="4" state="visible" r:id="rId4"/>
    <sheet name="2-2. 요약 진단결과(Linux)" sheetId="5" state="visible" r:id="rId5"/>
    <sheet name="3-1. 진단 결과(Linux)" sheetId="6" state="visible" r:id="rId6"/>
  </sheets>
  <definedNames/>
  <calcPr calcId="191029" fullCalcOnLoad="1"/>
</workbook>
</file>

<file path=xl/styles.xml><?xml version="1.0" encoding="utf-8"?>
<styleSheet xmlns="http://schemas.openxmlformats.org/spreadsheetml/2006/main">
  <numFmts count="5">
    <numFmt numFmtId="164" formatCode="0.0_);[Red]\(0.0\)"/>
    <numFmt numFmtId="165" formatCode="0.0%"/>
    <numFmt numFmtId="166" formatCode="0_ "/>
    <numFmt numFmtId="167" formatCode="0.0_ "/>
    <numFmt numFmtId="168" formatCode="0_);[Red]\(0\)"/>
  </numFmts>
  <fonts count="83">
    <font>
      <name val="돋움"/>
      <color rgb="FF000000"/>
      <sz val="11"/>
    </font>
    <font>
      <name val="Calibri"/>
      <charset val="129"/>
      <family val="2"/>
      <color theme="1"/>
      <sz val="11"/>
      <scheme val="minor"/>
    </font>
    <font>
      <name val="맑은 고딕"/>
      <charset val="129"/>
      <family val="3"/>
      <color theme="1"/>
      <sz val="11"/>
    </font>
    <font>
      <name val="Arial"/>
      <family val="2"/>
      <color rgb="FF000000"/>
      <sz val="10"/>
    </font>
    <font>
      <name val="Arial"/>
      <family val="2"/>
      <color rgb="FF000000"/>
      <sz val="11"/>
    </font>
    <font>
      <name val="Arial"/>
      <family val="2"/>
      <b val="1"/>
      <color rgb="FF000000"/>
      <sz val="16"/>
    </font>
    <font>
      <name val="Arial"/>
      <family val="2"/>
      <b val="1"/>
      <color rgb="FF000000"/>
      <sz val="12"/>
    </font>
    <font>
      <name val="맑은 고딕"/>
      <charset val="129"/>
      <family val="3"/>
      <b val="1"/>
      <color rgb="FF000000"/>
      <sz val="12"/>
    </font>
    <font>
      <name val="맑은 고딕"/>
      <charset val="129"/>
      <family val="3"/>
      <b val="1"/>
      <color rgb="FF000000"/>
      <sz val="10"/>
    </font>
    <font>
      <name val="Arial"/>
      <family val="2"/>
      <b val="1"/>
      <color rgb="FF000000"/>
      <sz val="11"/>
    </font>
    <font>
      <name val="맑은 고딕"/>
      <charset val="129"/>
      <family val="3"/>
      <color rgb="FF000000"/>
      <sz val="10"/>
    </font>
    <font>
      <name val="맑은 고딕"/>
      <charset val="129"/>
      <family val="3"/>
      <b val="1"/>
      <color rgb="FF000000"/>
      <sz val="14"/>
    </font>
    <font>
      <name val="맑은 고딕"/>
      <charset val="129"/>
      <family val="3"/>
      <color rgb="FF000000"/>
      <sz val="11"/>
    </font>
    <font>
      <name val="맑은 고딕"/>
      <charset val="129"/>
      <family val="3"/>
      <b val="1"/>
      <color rgb="FF000000"/>
      <sz val="16"/>
    </font>
    <font>
      <name val="맑은 고딕"/>
      <charset val="129"/>
      <family val="3"/>
      <b val="1"/>
      <color rgb="FF000000"/>
      <sz val="11"/>
    </font>
    <font>
      <name val="맑은 고딕"/>
      <charset val="129"/>
      <family val="3"/>
      <color theme="1"/>
      <sz val="10"/>
    </font>
    <font>
      <name val="맑은 고딕"/>
      <charset val="129"/>
      <family val="3"/>
      <b val="1"/>
      <color rgb="FF7030A0"/>
      <sz val="14"/>
    </font>
    <font>
      <name val="맑은 고딕"/>
      <charset val="129"/>
      <family val="3"/>
      <color rgb="FF000000"/>
      <sz val="12"/>
    </font>
    <font>
      <name val="맑은 고딕"/>
      <charset val="129"/>
      <family val="3"/>
      <color rgb="FF000000"/>
      <sz val="9"/>
    </font>
    <font>
      <name val="맑은 고딕"/>
      <charset val="129"/>
      <family val="3"/>
      <b val="1"/>
      <color rgb="FF000000"/>
      <sz val="9"/>
    </font>
    <font>
      <name val="돋움"/>
      <charset val="129"/>
      <family val="3"/>
      <b val="1"/>
      <color rgb="FF000000"/>
      <sz val="11"/>
    </font>
    <font>
      <name val="Arial"/>
      <family val="2"/>
      <color rgb="FFFF0000"/>
      <sz val="11"/>
    </font>
    <font>
      <name val="Arial"/>
      <family val="2"/>
      <color theme="0" tint="-0.499954222235786"/>
      <sz val="11"/>
    </font>
    <font>
      <name val="바탕체"/>
      <charset val="129"/>
      <family val="1"/>
      <color rgb="FF000000"/>
      <sz val="12"/>
    </font>
    <font>
      <name val="바탕체"/>
      <charset val="129"/>
      <family val="1"/>
      <color rgb="FF9999FF"/>
      <sz val="12"/>
    </font>
    <font>
      <name val="바탕체"/>
      <charset val="129"/>
      <family val="1"/>
      <b val="1"/>
      <color rgb="FF9999FF"/>
      <sz val="18"/>
    </font>
    <font>
      <name val="바탕체"/>
      <charset val="129"/>
      <family val="1"/>
      <b val="1"/>
      <color rgb="FF9999FF"/>
      <sz val="15"/>
    </font>
    <font>
      <name val="뼻뮝"/>
      <charset val="129"/>
      <family val="3"/>
      <color rgb="FF000000"/>
      <sz val="14"/>
    </font>
    <font>
      <name val="뼻뮝"/>
      <charset val="129"/>
      <family val="3"/>
      <color rgb="FF000000"/>
      <sz val="12"/>
    </font>
    <font>
      <name val="명조"/>
      <charset val="129"/>
      <family val="3"/>
      <color rgb="FF000000"/>
      <sz val="10"/>
    </font>
    <font>
      <name val="MS Sans Serif"/>
      <b val="1"/>
      <color rgb="FF000000"/>
      <sz val="10"/>
    </font>
    <font>
      <name val="맑은 고딕"/>
      <charset val="129"/>
      <family val="3"/>
      <b val="1"/>
      <color rgb="FF000000"/>
      <sz val="24"/>
    </font>
    <font>
      <name val="맑은 고딕"/>
      <charset val="129"/>
      <family val="3"/>
      <b val="1"/>
      <color rgb="FF000000"/>
      <sz val="13"/>
    </font>
    <font>
      <name val="맑은 고딕"/>
      <charset val="129"/>
      <family val="3"/>
      <color rgb="FF000000"/>
      <sz val="14"/>
    </font>
    <font>
      <name val="맑은 고딕"/>
      <charset val="129"/>
      <family val="3"/>
      <color rgb="FF000000"/>
      <sz val="11"/>
    </font>
    <font>
      <name val="맑은 고딕"/>
      <charset val="129"/>
      <family val="3"/>
      <color rgb="FFFFFFFF"/>
      <sz val="11"/>
    </font>
    <font>
      <name val="맑은 고딕"/>
      <charset val="129"/>
      <family val="3"/>
      <color rgb="FFFF0000"/>
      <sz val="11"/>
    </font>
    <font>
      <name val="맑은 고딕"/>
      <charset val="129"/>
      <family val="3"/>
      <b val="1"/>
      <color rgb="FFFF9900"/>
      <sz val="11"/>
    </font>
    <font>
      <name val="맑은 고딕"/>
      <charset val="129"/>
      <family val="3"/>
      <color rgb="FF800080"/>
      <sz val="11"/>
    </font>
    <font>
      <name val="맑은 고딕"/>
      <charset val="129"/>
      <family val="3"/>
      <color rgb="FF993300"/>
      <sz val="11"/>
    </font>
    <font>
      <name val="맑은 고딕"/>
      <charset val="129"/>
      <family val="3"/>
      <i val="1"/>
      <color rgb="FF808080"/>
      <sz val="11"/>
    </font>
    <font>
      <name val="맑은 고딕"/>
      <charset val="129"/>
      <family val="3"/>
      <b val="1"/>
      <color rgb="FFFFFFFF"/>
      <sz val="11"/>
    </font>
    <font>
      <name val="맑은 고딕"/>
      <charset val="129"/>
      <family val="3"/>
      <color rgb="FFFF9900"/>
      <sz val="11"/>
    </font>
    <font>
      <name val="맑은 고딕"/>
      <charset val="129"/>
      <family val="3"/>
      <b val="1"/>
      <color rgb="FF000000"/>
      <sz val="11"/>
    </font>
    <font>
      <name val="맑은 고딕"/>
      <charset val="129"/>
      <family val="3"/>
      <color rgb="FF333399"/>
      <sz val="11"/>
    </font>
    <font>
      <name val="맑은 고딕"/>
      <charset val="129"/>
      <family val="3"/>
      <b val="1"/>
      <color rgb="FF003366"/>
      <sz val="15"/>
    </font>
    <font>
      <name val="맑은 고딕"/>
      <charset val="129"/>
      <family val="3"/>
      <b val="1"/>
      <color rgb="FF003366"/>
      <sz val="13"/>
    </font>
    <font>
      <name val="맑은 고딕"/>
      <charset val="129"/>
      <family val="3"/>
      <b val="1"/>
      <color rgb="FF003366"/>
      <sz val="11"/>
    </font>
    <font>
      <name val="맑은 고딕"/>
      <charset val="129"/>
      <family val="3"/>
      <b val="1"/>
      <color rgb="FF003366"/>
      <sz val="18"/>
    </font>
    <font>
      <name val="맑은 고딕"/>
      <charset val="129"/>
      <family val="3"/>
      <color rgb="FF008000"/>
      <sz val="11"/>
    </font>
    <font>
      <name val="맑은 고딕"/>
      <charset val="129"/>
      <family val="3"/>
      <b val="1"/>
      <color rgb="FF333333"/>
      <sz val="11"/>
    </font>
    <font>
      <name val="명조"/>
      <charset val="129"/>
      <family val="3"/>
      <color rgb="FF000000"/>
      <sz val="12"/>
    </font>
    <font>
      <name val="Helv"/>
      <color rgb="FF000000"/>
      <sz val="10"/>
    </font>
    <font>
      <name val="Verdana"/>
      <family val="2"/>
      <color theme="1"/>
      <sz val="9"/>
    </font>
    <font>
      <name val="돋움"/>
      <charset val="129"/>
      <family val="3"/>
      <color theme="10"/>
      <sz val="11"/>
    </font>
    <font>
      <name val="맑은 고딕"/>
      <charset val="129"/>
      <family val="3"/>
      <color theme="10"/>
      <sz val="11"/>
    </font>
    <font>
      <name val="맑은 고딕"/>
      <charset val="129"/>
      <family val="3"/>
      <b val="1"/>
      <color theme="1"/>
      <sz val="10"/>
    </font>
    <font>
      <name val="돋움"/>
      <charset val="129"/>
      <family val="3"/>
      <color theme="10"/>
      <sz val="11"/>
      <u val="single"/>
    </font>
    <font>
      <name val="돋움"/>
      <charset val="129"/>
      <family val="3"/>
      <color theme="11"/>
      <sz val="11"/>
      <u val="single"/>
    </font>
    <font>
      <name val="Calibri"/>
      <family val="2"/>
      <color rgb="FF000000"/>
      <sz val="11"/>
    </font>
    <font>
      <name val="돋움"/>
      <charset val="129"/>
      <family val="3"/>
      <color rgb="FF000000"/>
      <sz val="11"/>
    </font>
    <font>
      <name val="Arial"/>
      <family val="2"/>
      <b val="1"/>
      <color rgb="FF000000"/>
      <sz val="11"/>
    </font>
    <font>
      <name val="Arial"/>
      <family val="2"/>
      <b val="1"/>
      <color rgb="FF000000"/>
      <sz val="12"/>
    </font>
    <font>
      <name val="Malgun Gothic"/>
      <charset val="129"/>
      <family val="3"/>
      <b val="1"/>
      <color rgb="FF000000"/>
      <sz val="10"/>
    </font>
    <font>
      <name val="Malgun Gothic"/>
      <charset val="129"/>
      <family val="3"/>
      <b val="1"/>
      <color rgb="FFC00000"/>
      <sz val="10"/>
    </font>
    <font>
      <name val="Malgun Gothic"/>
      <charset val="129"/>
      <family val="3"/>
      <color rgb="FF000000"/>
      <sz val="10"/>
    </font>
    <font>
      <name val="Malgun Gothic"/>
      <charset val="129"/>
      <family val="3"/>
      <b val="1"/>
      <color rgb="FF7030A0"/>
      <sz val="9"/>
    </font>
    <font>
      <name val="Calibri"/>
      <family val="2"/>
      <color rgb="FF000000"/>
      <sz val="11"/>
      <scheme val="minor"/>
    </font>
    <font>
      <name val="Malgun Gothic"/>
      <charset val="129"/>
      <family val="3"/>
      <color theme="1"/>
      <sz val="10"/>
    </font>
    <font>
      <name val="돋움"/>
      <charset val="129"/>
      <family val="3"/>
      <sz val="8"/>
    </font>
    <font>
      <name val="Malgun Gothic"/>
      <charset val="129"/>
      <family val="3"/>
      <b val="1"/>
      <color theme="1"/>
      <sz val="14"/>
    </font>
    <font>
      <name val="Malgun Gothic"/>
      <charset val="129"/>
      <family val="3"/>
      <b val="1"/>
      <color theme="1"/>
      <sz val="16"/>
    </font>
    <font>
      <name val="Arial"/>
      <family val="2"/>
      <b val="1"/>
      <color theme="1"/>
      <sz val="12"/>
    </font>
    <font>
      <name val="맑은 고딕"/>
      <charset val="129"/>
      <family val="3"/>
      <b val="1"/>
      <color theme="1"/>
      <sz val="12"/>
    </font>
    <font>
      <name val="Arial"/>
      <family val="2"/>
      <color theme="1"/>
      <sz val="10"/>
    </font>
    <font>
      <name val="Malgun Gothic"/>
      <charset val="129"/>
      <family val="3"/>
      <b val="1"/>
      <color rgb="FF7030A0"/>
      <sz val="14"/>
    </font>
    <font>
      <name val="Malgun Gothic"/>
      <charset val="129"/>
      <family val="3"/>
      <color theme="1"/>
      <sz val="12"/>
    </font>
    <font>
      <name val="Malgun Gothic"/>
      <charset val="129"/>
      <family val="3"/>
      <b val="1"/>
      <color theme="1"/>
      <sz val="10"/>
    </font>
    <font>
      <name val="Malgun Gothic"/>
      <charset val="129"/>
      <family val="3"/>
      <color theme="1"/>
      <sz val="9"/>
    </font>
    <font>
      <name val="Calibri"/>
      <family val="2"/>
      <sz val="11"/>
    </font>
    <font>
      <name val="Malgun Gothic"/>
      <charset val="129"/>
      <family val="3"/>
      <b val="1"/>
      <color theme="1"/>
      <sz val="12"/>
    </font>
    <font>
      <name val="Arial"/>
      <charset val="129"/>
      <family val="3"/>
      <b val="1"/>
      <color rgb="FF000000"/>
      <sz val="12"/>
    </font>
    <font>
      <name val="Arial Unicode MS"/>
      <family val="2"/>
      <color rgb="FF000000"/>
      <sz val="10"/>
    </font>
  </fonts>
  <fills count="38">
    <fill>
      <patternFill/>
    </fill>
    <fill>
      <patternFill patternType="gray125"/>
    </fill>
    <fill>
      <patternFill patternType="solid">
        <fgColor theme="0" tint="-0.1499679555650502"/>
        <bgColor rgb="FF000000"/>
      </patternFill>
    </fill>
    <fill>
      <patternFill patternType="solid">
        <fgColor rgb="FFFFFF00"/>
        <bgColor rgb="FF000000"/>
      </patternFill>
    </fill>
    <fill>
      <patternFill patternType="solid">
        <fgColor theme="0" tint="-0.1499984740745262"/>
        <bgColor rgb="FF000000"/>
      </patternFill>
    </fill>
    <fill>
      <patternFill patternType="solid">
        <fgColor rgb="FFFFC000"/>
        <bgColor rgb="FF000000"/>
      </patternFill>
    </fill>
    <fill>
      <patternFill patternType="solid">
        <fgColor theme="2"/>
        <bgColor rgb="FF000000"/>
      </patternFill>
    </fill>
    <fill>
      <patternFill patternType="solid">
        <fgColor rgb="FFFFFFCC"/>
        <bgColor rgb="FF000000"/>
      </patternFill>
    </fill>
    <fill>
      <patternFill patternType="solid">
        <fgColor rgb="FFCCCCFF"/>
        <bgColor rgb="FF000000"/>
      </patternFill>
    </fill>
    <fill>
      <patternFill patternType="solid">
        <fgColor rgb="FFFF99CC"/>
        <bgColor rgb="FF000000"/>
      </patternFill>
    </fill>
    <fill>
      <patternFill patternType="solid">
        <fgColor rgb="FFCCFFCC"/>
        <bgColor rgb="FF000000"/>
      </patternFill>
    </fill>
    <fill>
      <patternFill patternType="solid">
        <fgColor rgb="FFCC99FF"/>
        <bgColor rgb="FF000000"/>
      </patternFill>
    </fill>
    <fill>
      <patternFill patternType="solid">
        <fgColor rgb="FFCCFFFF"/>
        <bgColor rgb="FF000000"/>
      </patternFill>
    </fill>
    <fill>
      <patternFill patternType="solid">
        <fgColor rgb="FFFFCC99"/>
        <bgColor rgb="FF000000"/>
      </patternFill>
    </fill>
    <fill>
      <patternFill patternType="solid">
        <fgColor rgb="FF99CCFF"/>
        <bgColor rgb="FF000000"/>
      </patternFill>
    </fill>
    <fill>
      <patternFill patternType="solid">
        <fgColor rgb="FFFF8080"/>
        <bgColor rgb="FF000000"/>
      </patternFill>
    </fill>
    <fill>
      <patternFill patternType="solid">
        <fgColor rgb="FF00FF00"/>
        <bgColor rgb="FF000000"/>
      </patternFill>
    </fill>
    <fill>
      <patternFill patternType="solid">
        <fgColor rgb="FFFFCC00"/>
        <bgColor rgb="FF000000"/>
      </patternFill>
    </fill>
    <fill>
      <patternFill patternType="solid">
        <fgColor rgb="FF0066CC"/>
        <bgColor rgb="FF000000"/>
      </patternFill>
    </fill>
    <fill>
      <patternFill patternType="solid">
        <fgColor rgb="FF800080"/>
        <bgColor rgb="FF000000"/>
      </patternFill>
    </fill>
    <fill>
      <patternFill patternType="solid">
        <fgColor rgb="FF33CCCC"/>
        <bgColor rgb="FF000000"/>
      </patternFill>
    </fill>
    <fill>
      <patternFill patternType="solid">
        <fgColor rgb="FFFF9900"/>
        <bgColor rgb="FF000000"/>
      </patternFill>
    </fill>
    <fill>
      <patternFill patternType="solid">
        <fgColor rgb="FF333399"/>
        <bgColor rgb="FF000000"/>
      </patternFill>
    </fill>
    <fill>
      <patternFill patternType="solid">
        <fgColor rgb="FFFF0000"/>
        <bgColor rgb="FF000000"/>
      </patternFill>
    </fill>
    <fill>
      <patternFill patternType="solid">
        <fgColor rgb="FF339966"/>
        <bgColor rgb="FF000000"/>
      </patternFill>
    </fill>
    <fill>
      <patternFill patternType="solid">
        <fgColor rgb="FFFF6600"/>
        <bgColor rgb="FF000000"/>
      </patternFill>
    </fill>
    <fill>
      <patternFill patternType="solid">
        <fgColor rgb="FFC0C0C0"/>
        <bgColor rgb="FF000000"/>
      </patternFill>
    </fill>
    <fill>
      <patternFill patternType="solid">
        <fgColor rgb="FFFFFF99"/>
        <bgColor rgb="FF000000"/>
      </patternFill>
    </fill>
    <fill>
      <patternFill patternType="solid">
        <fgColor rgb="FF969696"/>
        <bgColor rgb="FF000000"/>
      </patternFill>
    </fill>
    <fill>
      <patternFill patternType="solid">
        <fgColor theme="9" tint="0.5999633777886288"/>
        <bgColor rgb="FF000000"/>
      </patternFill>
    </fill>
    <fill>
      <patternFill patternType="solid">
        <fgColor theme="0" tint="-0.249946592608417"/>
        <bgColor rgb="FF000000"/>
      </patternFill>
    </fill>
    <fill>
      <patternFill patternType="solid">
        <fgColor theme="0" tint="-0.1499984740745262"/>
        <bgColor indexed="64"/>
      </patternFill>
    </fill>
    <fill>
      <patternFill patternType="solid">
        <fgColor theme="2"/>
        <bgColor indexed="64"/>
      </patternFill>
    </fill>
    <fill>
      <patternFill patternType="solid">
        <fgColor rgb="FFD8D8D8"/>
        <bgColor indexed="64"/>
      </patternFill>
    </fill>
    <fill>
      <patternFill patternType="solid">
        <fgColor rgb="FFFFFF00"/>
        <bgColor indexed="64"/>
      </patternFill>
    </fill>
    <fill>
      <patternFill patternType="solid">
        <fgColor rgb="FFD8D8D8"/>
        <bgColor rgb="FFD8D8D8"/>
      </patternFill>
    </fill>
    <fill>
      <patternFill patternType="solid">
        <fgColor rgb="FFFFFF00"/>
        <bgColor rgb="FFFFFF00"/>
      </patternFill>
    </fill>
    <fill>
      <patternFill patternType="solid">
        <fgColor rgb="FFFFC000"/>
        <bgColor rgb="FFFFC000"/>
      </patternFill>
    </fill>
  </fills>
  <borders count="100">
    <border>
      <left/>
      <right/>
      <top/>
      <bottom/>
      <diagonal/>
    </border>
    <border>
      <left style="medium">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top/>
      <bottom style="hair">
        <color rgb="FF000000"/>
      </bottom>
      <diagonal/>
    </border>
    <border>
      <left/>
      <right/>
      <top style="double">
        <color rgb="FF000000"/>
      </top>
      <bottom/>
      <diagonal/>
    </border>
    <border>
      <left/>
      <right/>
      <top style="thin">
        <color rgb="FF000000"/>
      </top>
      <bottom style="thin">
        <color rgb="FF000000"/>
      </bottom>
      <diagonal/>
    </border>
    <border>
      <left style="thin">
        <color rgb="FFC0C0C0"/>
      </left>
      <right style="thin">
        <color rgb="FFC0C0C0"/>
      </right>
      <top style="thin">
        <color rgb="FFC0C0C0"/>
      </top>
      <bottom style="thin">
        <color rgb="FFC0C0C0"/>
      </bottom>
      <diagonal/>
    </border>
    <border>
      <left style="thin">
        <color rgb="FF808080"/>
      </left>
      <right style="thin">
        <color rgb="FF808080"/>
      </right>
      <top style="thin">
        <color rgb="FF808080"/>
      </top>
      <bottom style="thin">
        <color rgb="FF808080"/>
      </bottom>
      <diagonal/>
    </border>
    <border>
      <left style="double">
        <color rgb="FF333333"/>
      </left>
      <right style="double">
        <color rgb="FF333333"/>
      </right>
      <top style="double">
        <color rgb="FF333333"/>
      </top>
      <bottom style="double">
        <color rgb="FF333333"/>
      </bottom>
      <diagonal/>
    </border>
    <border>
      <left/>
      <right/>
      <top/>
      <bottom style="double">
        <color rgb="FFFF9900"/>
      </bottom>
      <diagonal/>
    </border>
    <border>
      <left/>
      <right/>
      <top style="thin">
        <color rgb="FF333399"/>
      </top>
      <bottom style="double">
        <color rgb="FF333399"/>
      </bottom>
      <diagonal/>
    </border>
    <border>
      <left/>
      <right/>
      <top/>
      <bottom style="thick">
        <color rgb="FF333399"/>
      </bottom>
      <diagonal/>
    </border>
    <border>
      <left/>
      <right/>
      <top/>
      <bottom style="thick">
        <color rgb="FFC0C0C0"/>
      </bottom>
      <diagonal/>
    </border>
    <border>
      <left/>
      <right/>
      <top/>
      <bottom style="medium">
        <color rgb="FF0066CC"/>
      </bottom>
      <diagonal/>
    </border>
    <border>
      <left style="thin">
        <color rgb="FF333333"/>
      </left>
      <right style="thin">
        <color rgb="FF333333"/>
      </right>
      <top style="thin">
        <color rgb="FF333333"/>
      </top>
      <bottom style="thin">
        <color rgb="FF333333"/>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medium">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right style="medium">
        <color rgb="FF000000"/>
      </right>
      <top style="thin">
        <color rgb="FF000000"/>
      </top>
      <bottom style="medium">
        <color rgb="FF000000"/>
      </bottom>
      <diagonal/>
    </border>
    <border>
      <left style="thin">
        <color rgb="FF000000"/>
      </left>
      <right style="medium">
        <color rgb="FF000000"/>
      </right>
      <top/>
      <bottom/>
      <diagonal/>
    </border>
    <border>
      <left/>
      <right/>
      <top style="medium">
        <color rgb="FF000000"/>
      </top>
      <bottom style="thin">
        <color rgb="FF000000"/>
      </bottom>
      <diagonal/>
    </border>
    <border>
      <left style="thin">
        <color rgb="FF000000"/>
      </left>
      <right/>
      <top/>
      <bottom style="thin">
        <color rgb="FF000000"/>
      </bottom>
      <diagonal/>
    </border>
    <border>
      <left style="medium">
        <color rgb="FF000000"/>
      </left>
      <right/>
      <top style="medium">
        <color rgb="FF000000"/>
      </top>
      <bottom style="thin">
        <color rgb="FF000000"/>
      </bottom>
      <diagonal/>
    </border>
    <border>
      <left style="medium">
        <color rgb="FF000000"/>
      </left>
      <right style="medium">
        <color rgb="FF000000"/>
      </right>
      <top style="thin">
        <color rgb="FF000000"/>
      </top>
      <bottom style="thin">
        <color rgb="FF000000"/>
      </bottom>
      <diagonal/>
    </border>
    <border>
      <left/>
      <right/>
      <top/>
      <bottom style="thin">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top/>
      <bottom/>
      <diagonal/>
    </border>
    <border>
      <left style="medium">
        <color indexed="64"/>
      </left>
      <right style="thin">
        <color indexed="64"/>
      </right>
      <top style="thin">
        <color indexed="64"/>
      </top>
      <bottom style="thin">
        <color indexed="64"/>
      </bottom>
      <diagonal/>
    </border>
    <border>
      <left style="medium">
        <color indexed="64"/>
      </left>
      <right style="thin">
        <color rgb="FF000000"/>
      </right>
      <top/>
      <bottom/>
      <diagonal/>
    </border>
    <border>
      <left style="medium">
        <color indexed="64"/>
      </left>
      <right style="thin">
        <color rgb="FF000000"/>
      </right>
      <top/>
      <bottom style="medium">
        <color rgb="FF000000"/>
      </bottom>
      <diagonal/>
    </border>
    <border>
      <left style="medium">
        <color indexed="64"/>
      </left>
      <right style="thin">
        <color rgb="FF000000"/>
      </right>
      <top style="medium">
        <color indexed="64"/>
      </top>
      <bottom style="medium">
        <color rgb="FF000000"/>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rgb="FF000000"/>
      </left>
      <right style="medium">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thin">
        <color rgb="FF000000"/>
      </right>
      <top/>
      <bottom style="medium">
        <color indexed="64"/>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style="medium">
        <color indexed="64"/>
      </bottom>
      <diagonal/>
    </border>
    <border>
      <left style="thin">
        <color rgb="FF000000"/>
      </left>
      <right style="medium">
        <color indexed="64"/>
      </right>
      <top/>
      <bottom style="medium">
        <color indexed="64"/>
      </bottom>
      <diagonal/>
    </border>
    <border>
      <left style="thin">
        <color rgb="FF000000"/>
      </left>
      <right style="medium">
        <color indexed="64"/>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indexed="64"/>
      </top>
      <bottom style="thin">
        <color rgb="FF000000"/>
      </bottom>
      <diagonal/>
    </border>
    <border>
      <left style="thin">
        <color rgb="FF000000"/>
      </left>
      <right style="medium">
        <color rgb="FF000000"/>
      </right>
      <top style="thin">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rgb="FF000000"/>
      </right>
      <top style="medium">
        <color indexed="64"/>
      </top>
      <bottom style="thin">
        <color rgb="FF000000"/>
      </bottom>
      <diagonal/>
    </border>
    <border>
      <left style="thin">
        <color indexed="64"/>
      </left>
      <right style="thin">
        <color rgb="FF000000"/>
      </right>
      <top style="thin">
        <color rgb="FF000000"/>
      </top>
      <bottom style="medium">
        <color indexed="64"/>
      </bottom>
      <diagonal/>
    </border>
    <border>
      <left style="thin">
        <color rgb="FF000000"/>
      </left>
      <right style="thin">
        <color rgb="FF000000"/>
      </right>
      <top style="medium">
        <color indexed="64"/>
      </top>
      <bottom style="medium">
        <color indexed="64"/>
      </bottom>
      <diagonal/>
    </border>
    <border>
      <left/>
      <right/>
      <top style="medium">
        <color rgb="FFCCCCCC"/>
      </top>
      <bottom/>
      <diagonal/>
    </border>
    <border>
      <left/>
      <right style="medium">
        <color rgb="FFCCCCCC"/>
      </right>
      <top style="medium">
        <color rgb="FFCCCCCC"/>
      </top>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style="medium">
        <color rgb="FF000000"/>
      </top>
      <bottom/>
      <diagonal/>
    </border>
    <border>
      <left style="thin">
        <color rgb="FF000000"/>
      </left>
      <right/>
      <top/>
      <bottom/>
      <diagonal/>
    </border>
    <border>
      <left/>
      <right/>
      <top style="thin">
        <color rgb="FF000000"/>
      </top>
      <bottom/>
      <diagonal/>
    </border>
    <border>
      <left/>
      <right style="medium">
        <color rgb="FF000000"/>
      </right>
      <top style="thin">
        <color rgb="FF000000"/>
      </top>
      <bottom/>
      <diagonal/>
    </border>
    <border>
      <left/>
      <right style="thin">
        <color rgb="FF000000"/>
      </right>
      <top/>
      <bottom/>
      <diagonal/>
    </border>
    <border>
      <left/>
      <right style="thin">
        <color rgb="FF000000"/>
      </right>
      <top style="thin">
        <color rgb="FF000000"/>
      </top>
      <bottom/>
      <diagonal/>
    </border>
    <border>
      <left style="medium">
        <color indexed="64"/>
      </left>
      <right/>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s>
  <cellStyleXfs count="48628">
    <xf numFmtId="0" fontId="0" fillId="0" borderId="55" applyAlignment="1">
      <alignment vertical="center"/>
    </xf>
    <xf numFmtId="0" fontId="23" fillId="0" borderId="55" applyAlignment="1">
      <alignment vertical="center"/>
    </xf>
    <xf numFmtId="2" fontId="24" fillId="0" borderId="55" applyAlignment="1">
      <alignment vertical="center"/>
    </xf>
    <xf numFmtId="0" fontId="25" fillId="0" borderId="55" applyAlignment="1">
      <alignment vertical="center"/>
    </xf>
    <xf numFmtId="0" fontId="26" fillId="0" borderId="55" applyAlignment="1">
      <alignment vertical="center"/>
    </xf>
    <xf numFmtId="0" fontId="24" fillId="0" borderId="55" applyAlignment="1">
      <alignment vertical="center"/>
    </xf>
    <xf numFmtId="0" fontId="24" fillId="0" borderId="55" applyAlignment="1">
      <alignment vertical="center"/>
    </xf>
    <xf numFmtId="40" fontId="27" fillId="0" borderId="55" applyAlignment="1">
      <alignment vertical="center"/>
    </xf>
    <xf numFmtId="38" fontId="27" fillId="0" borderId="55" applyAlignment="1">
      <alignment vertical="center"/>
    </xf>
    <xf numFmtId="0" fontId="27" fillId="0" borderId="55" applyAlignment="1">
      <alignment vertical="center"/>
    </xf>
    <xf numFmtId="0" fontId="27" fillId="0" borderId="55" applyAlignment="1">
      <alignment vertical="center"/>
    </xf>
    <xf numFmtId="0" fontId="28" fillId="0" borderId="55" applyAlignment="1">
      <alignment vertical="center"/>
    </xf>
    <xf numFmtId="0" fontId="3" fillId="0" borderId="55" applyAlignment="1">
      <alignment vertical="center"/>
    </xf>
    <xf numFmtId="0" fontId="29" fillId="0" borderId="21" applyAlignment="1">
      <alignment vertical="center"/>
    </xf>
    <xf numFmtId="4" fontId="24" fillId="0" borderId="55" applyAlignment="1">
      <alignment vertical="center"/>
    </xf>
    <xf numFmtId="3" fontId="24" fillId="0" borderId="55" applyAlignment="1">
      <alignment vertical="center"/>
    </xf>
    <xf numFmtId="10" fontId="24" fillId="0" borderId="55" applyAlignment="1">
      <alignment vertical="center"/>
    </xf>
    <xf numFmtId="0" fontId="60" fillId="0" borderId="55" applyAlignment="1">
      <alignment vertical="center"/>
    </xf>
    <xf numFmtId="0" fontId="24" fillId="0" borderId="22" applyAlignment="1">
      <alignment vertical="center"/>
    </xf>
    <xf numFmtId="0" fontId="60" fillId="0" borderId="55" applyAlignment="1">
      <alignment vertical="center"/>
    </xf>
    <xf numFmtId="0" fontId="24" fillId="0" borderId="55" applyAlignment="1">
      <alignment vertical="center"/>
    </xf>
    <xf numFmtId="0" fontId="60" fillId="0" borderId="55" applyAlignment="1">
      <alignment vertical="center"/>
    </xf>
    <xf numFmtId="0" fontId="3" fillId="0" borderId="55" applyAlignment="1">
      <alignment vertical="center"/>
    </xf>
    <xf numFmtId="0" fontId="3" fillId="0" borderId="55" applyAlignment="1">
      <alignment vertical="center"/>
    </xf>
    <xf numFmtId="0" fontId="3" fillId="0" borderId="55" applyAlignment="1">
      <alignment vertical="center"/>
    </xf>
    <xf numFmtId="0" fontId="3" fillId="0" borderId="55" applyAlignment="1">
      <alignment vertical="center"/>
    </xf>
    <xf numFmtId="0" fontId="62" fillId="0" borderId="9" applyAlignment="1">
      <alignment horizontal="left" vertical="center"/>
    </xf>
    <xf numFmtId="0" fontId="62" fillId="0" borderId="23" applyAlignment="1">
      <alignment horizontal="left" vertical="center"/>
    </xf>
    <xf numFmtId="0" fontId="30" fillId="0" borderId="55" applyAlignment="1">
      <alignment vertical="center"/>
    </xf>
    <xf numFmtId="0" fontId="3" fillId="0" borderId="55" applyAlignment="1">
      <alignment vertical="center"/>
    </xf>
    <xf numFmtId="0" fontId="2" fillId="0" borderId="55" applyAlignment="1">
      <alignment vertical="center"/>
    </xf>
    <xf numFmtId="0" fontId="60" fillId="0" borderId="55" applyAlignment="1">
      <alignment vertical="center"/>
    </xf>
    <xf numFmtId="0" fontId="60" fillId="0" borderId="55" applyAlignment="1">
      <alignment vertical="center"/>
    </xf>
    <xf numFmtId="0" fontId="60" fillId="7" borderId="24" applyAlignment="1">
      <alignment vertical="center"/>
    </xf>
    <xf numFmtId="0" fontId="60" fillId="0" borderId="55" applyAlignment="1">
      <alignment vertical="center"/>
    </xf>
    <xf numFmtId="0" fontId="23" fillId="0" borderId="55" applyAlignment="1">
      <alignment vertical="center"/>
    </xf>
    <xf numFmtId="0" fontId="34" fillId="8" borderId="55" applyAlignment="1">
      <alignment vertical="center"/>
    </xf>
    <xf numFmtId="0" fontId="34" fillId="9" borderId="55" applyAlignment="1">
      <alignment vertical="center"/>
    </xf>
    <xf numFmtId="0" fontId="34" fillId="10" borderId="55" applyAlignment="1">
      <alignment vertical="center"/>
    </xf>
    <xf numFmtId="0" fontId="34" fillId="11" borderId="55" applyAlignment="1">
      <alignment vertical="center"/>
    </xf>
    <xf numFmtId="0" fontId="34" fillId="12" borderId="55" applyAlignment="1">
      <alignment vertical="center"/>
    </xf>
    <xf numFmtId="0" fontId="34" fillId="13" borderId="55" applyAlignment="1">
      <alignment vertical="center"/>
    </xf>
    <xf numFmtId="0" fontId="34" fillId="14" borderId="55" applyAlignment="1">
      <alignment vertical="center"/>
    </xf>
    <xf numFmtId="0" fontId="34" fillId="15" borderId="55" applyAlignment="1">
      <alignment vertical="center"/>
    </xf>
    <xf numFmtId="0" fontId="34" fillId="16" borderId="55" applyAlignment="1">
      <alignment vertical="center"/>
    </xf>
    <xf numFmtId="0" fontId="34" fillId="11" borderId="55" applyAlignment="1">
      <alignment vertical="center"/>
    </xf>
    <xf numFmtId="0" fontId="34" fillId="14" borderId="55" applyAlignment="1">
      <alignment vertical="center"/>
    </xf>
    <xf numFmtId="0" fontId="34" fillId="17" borderId="55" applyAlignment="1">
      <alignment vertical="center"/>
    </xf>
    <xf numFmtId="0" fontId="35" fillId="18" borderId="55" applyAlignment="1">
      <alignment vertical="center"/>
    </xf>
    <xf numFmtId="0" fontId="35" fillId="15" borderId="55" applyAlignment="1">
      <alignment vertical="center"/>
    </xf>
    <xf numFmtId="0" fontId="35" fillId="16" borderId="55" applyAlignment="1">
      <alignment vertical="center"/>
    </xf>
    <xf numFmtId="0" fontId="35" fillId="19" borderId="55" applyAlignment="1">
      <alignment vertical="center"/>
    </xf>
    <xf numFmtId="0" fontId="35" fillId="20" borderId="55" applyAlignment="1">
      <alignment vertical="center"/>
    </xf>
    <xf numFmtId="0" fontId="35" fillId="21" borderId="55" applyAlignment="1">
      <alignment vertical="center"/>
    </xf>
    <xf numFmtId="0" fontId="60" fillId="0" borderId="55" applyAlignment="1">
      <alignment vertical="center"/>
    </xf>
    <xf numFmtId="0" fontId="35" fillId="22" borderId="55" applyAlignment="1">
      <alignment vertical="center"/>
    </xf>
    <xf numFmtId="0" fontId="35" fillId="23" borderId="55" applyAlignment="1">
      <alignment vertical="center"/>
    </xf>
    <xf numFmtId="0" fontId="35" fillId="24" borderId="55" applyAlignment="1">
      <alignment vertical="center"/>
    </xf>
    <xf numFmtId="0" fontId="35" fillId="19" borderId="55" applyAlignment="1">
      <alignment vertical="center"/>
    </xf>
    <xf numFmtId="0" fontId="35" fillId="20" borderId="55" applyAlignment="1">
      <alignment vertical="center"/>
    </xf>
    <xf numFmtId="0" fontId="35" fillId="25" borderId="55" applyAlignment="1">
      <alignment vertical="center"/>
    </xf>
    <xf numFmtId="0" fontId="36" fillId="0" borderId="55" applyAlignment="1">
      <alignment vertical="center"/>
    </xf>
    <xf numFmtId="0" fontId="37" fillId="26" borderId="25" applyAlignment="1">
      <alignment vertical="center"/>
    </xf>
    <xf numFmtId="0" fontId="38" fillId="9" borderId="55" applyAlignment="1">
      <alignment vertical="center"/>
    </xf>
    <xf numFmtId="0" fontId="39" fillId="27" borderId="55" applyAlignment="1">
      <alignment vertical="center"/>
    </xf>
    <xf numFmtId="0" fontId="40" fillId="0" borderId="55" applyAlignment="1">
      <alignment vertical="center"/>
    </xf>
    <xf numFmtId="0" fontId="41" fillId="28" borderId="26" applyAlignment="1">
      <alignment vertical="center"/>
    </xf>
    <xf numFmtId="0" fontId="60" fillId="0" borderId="55" applyAlignment="1">
      <alignment vertical="center"/>
    </xf>
    <xf numFmtId="0" fontId="42" fillId="0" borderId="27" applyAlignment="1">
      <alignment vertical="center"/>
    </xf>
    <xf numFmtId="0" fontId="43" fillId="0" borderId="28" applyAlignment="1">
      <alignment vertical="center"/>
    </xf>
    <xf numFmtId="0" fontId="44" fillId="13" borderId="25" applyAlignment="1">
      <alignment vertical="center"/>
    </xf>
    <xf numFmtId="0" fontId="45" fillId="0" borderId="29" applyAlignment="1">
      <alignment vertical="center"/>
    </xf>
    <xf numFmtId="0" fontId="46" fillId="0" borderId="30" applyAlignment="1">
      <alignment vertical="center"/>
    </xf>
    <xf numFmtId="0" fontId="47" fillId="0" borderId="31" applyAlignment="1">
      <alignment vertical="center"/>
    </xf>
    <xf numFmtId="0" fontId="47" fillId="0" borderId="55" applyAlignment="1">
      <alignment vertical="center"/>
    </xf>
    <xf numFmtId="0" fontId="48" fillId="0" borderId="55" applyAlignment="1">
      <alignment vertical="center"/>
    </xf>
    <xf numFmtId="0" fontId="49" fillId="10" borderId="55" applyAlignment="1">
      <alignment vertical="center"/>
    </xf>
    <xf numFmtId="0" fontId="50" fillId="26" borderId="32" applyAlignment="1">
      <alignment vertical="center"/>
    </xf>
    <xf numFmtId="0" fontId="51" fillId="0" borderId="55" applyAlignment="1">
      <alignment vertical="center"/>
    </xf>
    <xf numFmtId="0" fontId="51"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3" fillId="0"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8"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9"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0"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12"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26"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3"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5"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6"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1"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4"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4" fillId="17"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8"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5"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6"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1"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2"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3"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24"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19"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0"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5" fillId="25"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6" fillId="0" borderId="5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8" fillId="9" borderId="55"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39" fillId="27"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0" fillId="0" borderId="55"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41" fillId="28" borderId="26" applyAlignment="1">
      <alignment vertical="center"/>
    </xf>
    <xf numFmtId="0" fontId="52" fillId="0" borderId="55"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2" fillId="0" borderId="27"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5" fillId="0" borderId="29"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6" fillId="0" borderId="30"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31"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7"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8" fillId="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49" fillId="10" borderId="55"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34"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34" fillId="26" borderId="55" applyAlignment="1">
      <alignment vertical="center"/>
    </xf>
    <xf numFmtId="0" fontId="34" fillId="7" borderId="24" applyAlignment="1">
      <alignment vertical="center"/>
    </xf>
    <xf numFmtId="0" fontId="44" fillId="26" borderId="2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15"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2"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53"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60"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54" fillId="0" borderId="55" applyAlignment="1">
      <alignment vertical="center"/>
    </xf>
    <xf numFmtId="0" fontId="55" fillId="0" borderId="55" applyAlignment="1" applyProtection="1">
      <alignment vertical="top"/>
      <protection locked="0" hidden="0"/>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37" fillId="26" borderId="25"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34"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0" fontId="60" fillId="7" borderId="24"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3" fillId="0" borderId="28"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26"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44" fillId="13" borderId="25"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0" fontId="50" fillId="26" borderId="32"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60"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9" fontId="60"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1"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42"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2" fillId="0" borderId="55" applyAlignment="1">
      <alignment vertical="center"/>
    </xf>
    <xf numFmtId="0" fontId="57" fillId="0" borderId="55" applyAlignment="1">
      <alignment vertical="center"/>
    </xf>
    <xf numFmtId="0" fontId="58" fillId="0" borderId="55" applyAlignment="1">
      <alignment vertical="center"/>
    </xf>
    <xf numFmtId="0" fontId="67" fillId="0" borderId="55"/>
  </cellStyleXfs>
  <cellXfs count="339">
    <xf numFmtId="0" fontId="0" fillId="0" borderId="0" pivotButton="0" quotePrefix="0" xfId="0"/>
    <xf numFmtId="0" fontId="3" fillId="0" borderId="0" applyAlignment="1" pivotButton="0" quotePrefix="0" xfId="0">
      <alignment vertical="center" wrapText="1"/>
    </xf>
    <xf numFmtId="0" fontId="5" fillId="0" borderId="0" applyAlignment="1" pivotButton="0" quotePrefix="0" xfId="0">
      <alignment horizontal="center" vertical="top" wrapText="1"/>
    </xf>
    <xf numFmtId="0" fontId="5"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0" fillId="0" borderId="3" applyAlignment="1" pivotButton="0" quotePrefix="0" xfId="0">
      <alignment horizontal="left" vertical="center" wrapText="1"/>
    </xf>
    <xf numFmtId="0" fontId="10" fillId="0" borderId="3" applyAlignment="1" pivotButton="0" quotePrefix="0" xfId="0">
      <alignment horizontal="center" vertical="center" wrapText="1"/>
    </xf>
    <xf numFmtId="0" fontId="10" fillId="0" borderId="0" applyAlignment="1" pivotButton="0" quotePrefix="0" xfId="0">
      <alignment vertical="center" wrapText="1"/>
    </xf>
    <xf numFmtId="0" fontId="13" fillId="0" borderId="0" applyAlignment="1" pivotButton="0" quotePrefix="0" xfId="0">
      <alignment horizontal="center" vertical="top" wrapText="1"/>
    </xf>
    <xf numFmtId="0" fontId="13" fillId="0" borderId="0" applyAlignment="1" pivotButton="0" quotePrefix="0" xfId="0">
      <alignment horizontal="center" vertical="center" wrapText="1"/>
    </xf>
    <xf numFmtId="0" fontId="14" fillId="0" borderId="0" applyAlignment="1" pivotButton="0" quotePrefix="0" xfId="0">
      <alignment horizontal="center" vertical="center" wrapText="1"/>
    </xf>
    <xf numFmtId="0" fontId="10" fillId="0" borderId="3" applyAlignment="1" pivotButton="0" quotePrefix="0" xfId="0">
      <alignment horizontal="center" vertical="center"/>
    </xf>
    <xf numFmtId="0" fontId="15" fillId="0" borderId="3" applyAlignment="1" pivotButton="0" quotePrefix="0" xfId="0">
      <alignment horizontal="center" vertical="center" wrapText="1"/>
    </xf>
    <xf numFmtId="0" fontId="8" fillId="2" borderId="3" applyAlignment="1" pivotButton="0" quotePrefix="0" xfId="0">
      <alignment horizontal="center" vertical="center" wrapText="1"/>
    </xf>
    <xf numFmtId="0" fontId="4" fillId="0" borderId="0" pivotButton="0" quotePrefix="0" xfId="0"/>
    <xf numFmtId="0" fontId="8" fillId="2" borderId="11" applyAlignment="1" pivotButton="0" quotePrefix="0" xfId="0">
      <alignment horizontal="center" vertical="center" wrapText="1"/>
    </xf>
    <xf numFmtId="0" fontId="16"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8" fillId="2" borderId="10" applyAlignment="1" pivotButton="0" quotePrefix="0" xfId="0">
      <alignment horizontal="center" vertical="center" wrapText="1"/>
    </xf>
    <xf numFmtId="9" fontId="18" fillId="0" borderId="0" applyAlignment="1" pivotButton="0" quotePrefix="0" xfId="0">
      <alignment vertical="center" wrapText="1"/>
    </xf>
    <xf numFmtId="0" fontId="18" fillId="0" borderId="0" pivotButton="0" quotePrefix="0" xfId="0"/>
    <xf numFmtId="0" fontId="18" fillId="0" borderId="0" applyAlignment="1" pivotButton="0" quotePrefix="0" xfId="0">
      <alignment vertical="center" wrapText="1"/>
    </xf>
    <xf numFmtId="0" fontId="17" fillId="0" borderId="0" applyAlignment="1" pivotButton="0" quotePrefix="0" xfId="0">
      <alignment horizontal="center" vertical="center" wrapText="1"/>
    </xf>
    <xf numFmtId="164" fontId="10" fillId="0" borderId="0" applyAlignment="1" pivotButton="0" quotePrefix="0" xfId="0">
      <alignment horizontal="center" vertical="center" wrapText="1"/>
    </xf>
    <xf numFmtId="165" fontId="8" fillId="2" borderId="4" applyAlignment="1" pivotButton="0" quotePrefix="0" xfId="0">
      <alignment horizontal="center" vertical="center" wrapText="1"/>
    </xf>
    <xf numFmtId="165" fontId="8" fillId="2" borderId="12" applyAlignment="1" pivotButton="0" quotePrefix="0" xfId="0">
      <alignment horizontal="center" vertical="center" wrapText="1"/>
    </xf>
    <xf numFmtId="0" fontId="15" fillId="0" borderId="3" applyAlignment="1" pivotButton="0" quotePrefix="0" xfId="0">
      <alignment horizontal="center" vertical="center"/>
    </xf>
    <xf numFmtId="166" fontId="8" fillId="2" borderId="6" applyAlignment="1" pivotButton="0" quotePrefix="0" xfId="0">
      <alignment horizontal="center" vertical="center" wrapText="1"/>
    </xf>
    <xf numFmtId="0" fontId="10" fillId="0" borderId="0" applyAlignment="1" pivotButton="0" quotePrefix="0" xfId="0">
      <alignment horizontal="center" vertical="center"/>
    </xf>
    <xf numFmtId="0" fontId="18" fillId="0" borderId="6" applyAlignment="1" pivotButton="0" quotePrefix="0" xfId="0">
      <alignment horizontal="center" vertical="center" wrapText="1"/>
    </xf>
    <xf numFmtId="165" fontId="19" fillId="2" borderId="4" applyAlignment="1" pivotButton="0" quotePrefix="0" xfId="0">
      <alignment horizontal="center" vertical="center" wrapText="1"/>
    </xf>
    <xf numFmtId="0" fontId="18" fillId="0" borderId="20" applyAlignment="1" pivotButton="0" quotePrefix="0" xfId="0">
      <alignment horizontal="center" vertical="center" wrapText="1"/>
    </xf>
    <xf numFmtId="0" fontId="7" fillId="0" borderId="0" applyAlignment="1" pivotButton="0" quotePrefix="0" xfId="0">
      <alignment horizontal="left" vertical="center" wrapText="1"/>
    </xf>
    <xf numFmtId="0" fontId="10" fillId="0" borderId="5" applyAlignment="1" pivotButton="0" quotePrefix="0" xfId="0">
      <alignment horizontal="left" vertical="center" wrapText="1"/>
    </xf>
    <xf numFmtId="0" fontId="10" fillId="0" borderId="2" applyAlignment="1" pivotButton="0" quotePrefix="0" xfId="0">
      <alignment horizontal="left" vertical="center" wrapText="1"/>
    </xf>
    <xf numFmtId="0" fontId="10" fillId="0" borderId="4" applyAlignment="1" pivotButton="0" quotePrefix="0" xfId="0">
      <alignment horizontal="center" vertical="center" wrapText="1"/>
    </xf>
    <xf numFmtId="0" fontId="10" fillId="0"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2" applyAlignment="1" pivotButton="0" quotePrefix="0" xfId="0">
      <alignment horizontal="center" vertical="center" wrapText="1"/>
    </xf>
    <xf numFmtId="0" fontId="3" fillId="0" borderId="0" applyAlignment="1" pivotButton="0" quotePrefix="0" xfId="0">
      <alignment horizontal="center" vertical="center" wrapText="1"/>
    </xf>
    <xf numFmtId="165" fontId="10" fillId="0" borderId="0" applyAlignment="1" pivotButton="0" quotePrefix="0" xfId="0">
      <alignment horizontal="center" vertical="center" wrapText="1"/>
    </xf>
    <xf numFmtId="165" fontId="10" fillId="0" borderId="12" applyAlignment="1" pivotButton="0" quotePrefix="0" xfId="0">
      <alignment horizontal="center" vertical="center" wrapText="1"/>
    </xf>
    <xf numFmtId="165" fontId="10" fillId="0" borderId="11" applyAlignment="1" pivotButton="0" quotePrefix="0" xfId="0">
      <alignment horizontal="center" vertical="center" wrapText="1"/>
    </xf>
    <xf numFmtId="0" fontId="10" fillId="0" borderId="6" applyAlignment="1" pivotButton="0" quotePrefix="0" xfId="0">
      <alignment horizontal="left" vertical="center" wrapText="1"/>
    </xf>
    <xf numFmtId="0" fontId="8" fillId="2" borderId="4" applyAlignment="1" pivotButton="0" quotePrefix="0" xfId="0">
      <alignment horizontal="center" vertical="center" wrapText="1"/>
    </xf>
    <xf numFmtId="0" fontId="8" fillId="2" borderId="12" applyAlignment="1" pivotButton="0" quotePrefix="0" xfId="0">
      <alignment horizontal="center" vertical="center" wrapText="1"/>
    </xf>
    <xf numFmtId="0" fontId="10" fillId="0" borderId="2" applyAlignment="1" pivotButton="0" quotePrefix="0" xfId="0">
      <alignment horizontal="center" vertical="center"/>
    </xf>
    <xf numFmtId="0" fontId="10" fillId="0" borderId="5" applyAlignment="1" pivotButton="0" quotePrefix="0" xfId="0">
      <alignment horizontal="center" vertical="center"/>
    </xf>
    <xf numFmtId="0" fontId="10" fillId="0" borderId="4" applyAlignment="1" pivotButton="0" quotePrefix="0" xfId="0">
      <alignment horizontal="left" vertical="center" wrapText="1"/>
    </xf>
    <xf numFmtId="0" fontId="10" fillId="0" borderId="4" applyAlignment="1" pivotButton="0" quotePrefix="0" xfId="0">
      <alignment horizontal="center" vertical="center"/>
    </xf>
    <xf numFmtId="167" fontId="8" fillId="2" borderId="6" applyAlignment="1" pivotButton="0" quotePrefix="0" xfId="0">
      <alignment horizontal="center" vertical="center" wrapText="1"/>
    </xf>
    <xf numFmtId="0" fontId="12" fillId="0" borderId="0" pivotButton="0" quotePrefix="0" xfId="0"/>
    <xf numFmtId="0" fontId="11" fillId="0" borderId="0" applyAlignment="1" pivotButton="0" quotePrefix="0" xfId="0">
      <alignment horizontal="left"/>
    </xf>
    <xf numFmtId="0" fontId="33" fillId="0" borderId="0" applyAlignment="1" pivotButton="0" quotePrefix="0" xfId="0">
      <alignment horizontal="left"/>
    </xf>
    <xf numFmtId="0" fontId="15" fillId="0" borderId="16" applyAlignment="1" pivotButton="0" quotePrefix="0" xfId="0">
      <alignment horizontal="center" vertical="center"/>
    </xf>
    <xf numFmtId="0" fontId="15" fillId="0" borderId="11" applyAlignment="1" pivotButton="0" quotePrefix="0" xfId="0">
      <alignment horizontal="center" vertical="center"/>
    </xf>
    <xf numFmtId="0" fontId="8" fillId="2" borderId="5" applyAlignment="1" pivotButton="0" quotePrefix="0" xfId="0">
      <alignment horizontal="center" vertical="center" wrapText="1"/>
    </xf>
    <xf numFmtId="0" fontId="10" fillId="0" borderId="35"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8" applyAlignment="1" pivotButton="0" quotePrefix="0" xfId="0">
      <alignment horizontal="center" vertical="center"/>
    </xf>
    <xf numFmtId="0" fontId="10" fillId="3" borderId="16" applyAlignment="1" pivotButton="0" quotePrefix="0" xfId="0">
      <alignment horizontal="center" vertical="center" wrapText="1"/>
    </xf>
    <xf numFmtId="0" fontId="10" fillId="3" borderId="3" applyAlignment="1" pivotButton="0" quotePrefix="0" xfId="0">
      <alignment horizontal="center" vertical="center" wrapText="1"/>
    </xf>
    <xf numFmtId="0" fontId="10" fillId="3" borderId="11" applyAlignment="1" pivotButton="0" quotePrefix="0" xfId="0">
      <alignment horizontal="center" vertical="center" wrapText="1"/>
    </xf>
    <xf numFmtId="0" fontId="8" fillId="4" borderId="7" applyAlignment="1" pivotButton="0" quotePrefix="0" xfId="0">
      <alignment horizontal="center" vertical="center" wrapText="1"/>
    </xf>
    <xf numFmtId="0" fontId="8" fillId="2" borderId="3" applyAlignment="1" pivotButton="0" quotePrefix="0" xfId="0">
      <alignment horizontal="center" vertical="center"/>
    </xf>
    <xf numFmtId="0" fontId="10" fillId="0" borderId="17" applyAlignment="1" pivotButton="0" quotePrefix="0" xfId="0">
      <alignment horizontal="center" vertical="center"/>
    </xf>
    <xf numFmtId="0" fontId="10" fillId="0" borderId="12" applyAlignment="1" pivotButton="0" quotePrefix="0" xfId="0">
      <alignment horizontal="center" vertical="center"/>
    </xf>
    <xf numFmtId="0" fontId="4" fillId="0" borderId="0" applyAlignment="1" pivotButton="0" quotePrefix="0" xfId="0">
      <alignment vertical="center"/>
    </xf>
    <xf numFmtId="0" fontId="20" fillId="4" borderId="7" applyAlignment="1" pivotButton="0" quotePrefix="0" xfId="0">
      <alignment horizontal="center" vertical="center"/>
    </xf>
    <xf numFmtId="0" fontId="20" fillId="4" borderId="8" applyAlignment="1" pivotButton="0" quotePrefix="0" xfId="0">
      <alignment horizontal="center" vertical="center"/>
    </xf>
    <xf numFmtId="0" fontId="9" fillId="4" borderId="13" applyAlignment="1" pivotButton="0" quotePrefix="0" xfId="0">
      <alignment horizontal="center" vertical="center"/>
    </xf>
    <xf numFmtId="165" fontId="4" fillId="0" borderId="5" applyAlignment="1" pivotButton="0" quotePrefix="0" xfId="0">
      <alignment horizontal="center" vertical="center"/>
    </xf>
    <xf numFmtId="0" fontId="4" fillId="0" borderId="5" applyAlignment="1" pivotButton="0" quotePrefix="0" xfId="0">
      <alignment horizontal="center" vertical="center"/>
    </xf>
    <xf numFmtId="0" fontId="21" fillId="0" borderId="5" applyAlignment="1" pivotButton="0" quotePrefix="0" xfId="0">
      <alignment horizontal="center" vertical="center"/>
    </xf>
    <xf numFmtId="0" fontId="22" fillId="0" borderId="10" applyAlignment="1" pivotButton="0" quotePrefix="0" xfId="0">
      <alignment horizontal="center" vertical="center"/>
    </xf>
    <xf numFmtId="0" fontId="15" fillId="0" borderId="18" applyAlignment="1" pivotButton="0" quotePrefix="0" xfId="0">
      <alignment horizontal="center" vertical="center"/>
    </xf>
    <xf numFmtId="0" fontId="15" fillId="0" borderId="2" applyAlignment="1" pivotButton="0" quotePrefix="0" xfId="0">
      <alignment horizontal="center" vertical="center" wrapText="1"/>
    </xf>
    <xf numFmtId="0" fontId="15" fillId="0" borderId="2" applyAlignment="1" pivotButton="0" quotePrefix="0" xfId="0">
      <alignment horizontal="center" vertical="center"/>
    </xf>
    <xf numFmtId="0" fontId="15" fillId="0" borderId="14" applyAlignment="1" pivotButton="0" quotePrefix="0" xfId="0">
      <alignment horizontal="center" vertical="center"/>
    </xf>
    <xf numFmtId="0" fontId="8" fillId="0" borderId="0" applyAlignment="1" pivotButton="0" quotePrefix="0" xfId="0">
      <alignment horizontal="center" vertical="center" wrapText="1"/>
    </xf>
    <xf numFmtId="165" fontId="9" fillId="6" borderId="34" applyAlignment="1" pivotButton="0" quotePrefix="0" xfId="0">
      <alignment horizontal="center" vertical="center"/>
    </xf>
    <xf numFmtId="0" fontId="15" fillId="0" borderId="4" applyAlignment="1" pivotButton="0" quotePrefix="0" xfId="0">
      <alignment horizontal="center" vertical="center"/>
    </xf>
    <xf numFmtId="0" fontId="8" fillId="2" borderId="39" applyAlignment="1" pivotButton="0" quotePrefix="0" xfId="0">
      <alignment horizontal="center" vertical="center" wrapText="1"/>
    </xf>
    <xf numFmtId="0" fontId="8" fillId="2" borderId="41" applyAlignment="1" pivotButton="0" quotePrefix="0" xfId="0">
      <alignment horizontal="center" vertical="center" wrapText="1"/>
    </xf>
    <xf numFmtId="0" fontId="8" fillId="2" borderId="42" applyAlignment="1" pivotButton="0" quotePrefix="0" xfId="0">
      <alignment horizontal="center" vertical="center" wrapText="1"/>
    </xf>
    <xf numFmtId="166" fontId="8" fillId="2" borderId="45" applyAlignment="1" pivotButton="0" quotePrefix="0" xfId="0">
      <alignment horizontal="center" vertical="center" wrapText="1"/>
    </xf>
    <xf numFmtId="165" fontId="19" fillId="2" borderId="46" applyAlignment="1" pivotButton="0" quotePrefix="0" xfId="0">
      <alignment horizontal="center" vertical="center" wrapText="1"/>
    </xf>
    <xf numFmtId="165" fontId="4" fillId="0" borderId="35" applyAlignment="1" pivotButton="0" quotePrefix="0" xfId="0">
      <alignment horizontal="center" vertical="center"/>
    </xf>
    <xf numFmtId="0" fontId="4" fillId="0" borderId="35" applyAlignment="1" pivotButton="0" quotePrefix="0" xfId="0">
      <alignment horizontal="center" vertical="center"/>
    </xf>
    <xf numFmtId="0" fontId="21" fillId="0" borderId="35" applyAlignment="1" pivotButton="0" quotePrefix="0" xfId="0">
      <alignment horizontal="center" vertical="center"/>
    </xf>
    <xf numFmtId="0" fontId="22" fillId="0" borderId="36" applyAlignment="1" pivotButton="0" quotePrefix="0" xfId="0">
      <alignment horizontal="center" vertical="center"/>
    </xf>
    <xf numFmtId="0" fontId="10" fillId="0" borderId="10" applyAlignment="1" pivotButton="0" quotePrefix="0" xfId="0">
      <alignment horizontal="left" vertical="center" wrapText="1"/>
    </xf>
    <xf numFmtId="0" fontId="10" fillId="0" borderId="20" applyAlignment="1" pivotButton="0" quotePrefix="0" xfId="0">
      <alignment horizontal="left" vertical="center" wrapText="1"/>
    </xf>
    <xf numFmtId="0" fontId="10" fillId="0" borderId="36" applyAlignment="1" pivotButton="0" quotePrefix="0" xfId="0">
      <alignment horizontal="left" vertical="center" wrapText="1"/>
    </xf>
    <xf numFmtId="0" fontId="10" fillId="0" borderId="13" applyAlignment="1" pivotButton="0" quotePrefix="0" xfId="0">
      <alignment horizontal="left" vertical="center" wrapText="1"/>
    </xf>
    <xf numFmtId="0" fontId="10" fillId="0" borderId="38" applyAlignment="1" pivotButton="0" quotePrefix="0" xfId="0">
      <alignment horizontal="left" vertical="center" wrapText="1"/>
    </xf>
    <xf numFmtId="0" fontId="10" fillId="0" borderId="47" applyAlignment="1" pivotButton="0" quotePrefix="0" xfId="0">
      <alignment horizontal="left" vertical="center" wrapText="1"/>
    </xf>
    <xf numFmtId="166" fontId="8" fillId="2" borderId="10" applyAlignment="1" pivotButton="0" quotePrefix="0" xfId="0">
      <alignment horizontal="center" vertical="center" wrapText="1"/>
    </xf>
    <xf numFmtId="166" fontId="8" fillId="2" borderId="49" applyAlignment="1" pivotButton="0" quotePrefix="0" xfId="0">
      <alignment horizontal="center" vertical="center" wrapText="1"/>
    </xf>
    <xf numFmtId="165" fontId="8" fillId="2" borderId="42" applyAlignment="1" pivotButton="0" quotePrefix="0" xfId="0">
      <alignment horizontal="center" vertical="center" wrapText="1"/>
    </xf>
    <xf numFmtId="167" fontId="8" fillId="2" borderId="5" applyAlignment="1" pivotButton="0" quotePrefix="0" xfId="0">
      <alignment horizontal="center" vertical="center" wrapText="1"/>
    </xf>
    <xf numFmtId="0" fontId="10" fillId="0" borderId="2" applyAlignment="1" pivotButton="0" quotePrefix="0" xfId="0">
      <alignment vertical="center" wrapText="1"/>
    </xf>
    <xf numFmtId="0" fontId="10" fillId="30" borderId="3" applyAlignment="1" pivotButton="0" quotePrefix="0" xfId="0">
      <alignment horizontal="center" vertical="center"/>
    </xf>
    <xf numFmtId="0" fontId="13" fillId="0" borderId="0" applyAlignment="1" pivotButton="0" quotePrefix="0" xfId="0">
      <alignment horizontal="left" vertical="center" wrapText="1"/>
    </xf>
    <xf numFmtId="0" fontId="10" fillId="3" borderId="17" applyAlignment="1" pivotButton="0" quotePrefix="0" xfId="0">
      <alignment horizontal="center" vertical="center" wrapText="1"/>
    </xf>
    <xf numFmtId="0" fontId="8" fillId="2" borderId="34" applyAlignment="1" pivotButton="0" quotePrefix="0" xfId="0">
      <alignment horizontal="center" vertical="center" wrapText="1"/>
    </xf>
    <xf numFmtId="0" fontId="18" fillId="0" borderId="5" applyAlignment="1" pivotButton="0" quotePrefix="0" xfId="0">
      <alignment horizontal="center" vertical="center" wrapText="1"/>
    </xf>
    <xf numFmtId="0" fontId="18" fillId="0" borderId="10" applyAlignment="1" pivotButton="0" quotePrefix="0" xfId="0">
      <alignment horizontal="center" vertical="center" wrapText="1"/>
    </xf>
    <xf numFmtId="0" fontId="3" fillId="0" borderId="55" applyAlignment="1" pivotButton="0" quotePrefix="0" xfId="0">
      <alignment vertical="center" wrapText="1"/>
    </xf>
    <xf numFmtId="0" fontId="9" fillId="0" borderId="55" applyAlignment="1" pivotButton="0" quotePrefix="0" xfId="0">
      <alignment horizontal="center" vertical="center" wrapText="1"/>
    </xf>
    <xf numFmtId="0" fontId="10" fillId="0" borderId="63" applyAlignment="1" pivotButton="0" quotePrefix="0" xfId="0">
      <alignment horizontal="center" vertical="center" wrapText="1"/>
    </xf>
    <xf numFmtId="0" fontId="10" fillId="0" borderId="63" applyAlignment="1" pivotButton="0" quotePrefix="0" xfId="0">
      <alignment horizontal="left" vertical="center" wrapText="1"/>
    </xf>
    <xf numFmtId="0" fontId="18" fillId="0" borderId="63" applyAlignment="1" pivotButton="0" quotePrefix="0" xfId="0">
      <alignment horizontal="center" vertical="center" wrapText="1"/>
    </xf>
    <xf numFmtId="0" fontId="18" fillId="0" borderId="62" applyAlignment="1" pivotButton="0" quotePrefix="0" xfId="0">
      <alignment horizontal="center" vertical="center" wrapText="1"/>
    </xf>
    <xf numFmtId="0" fontId="18" fillId="0" borderId="3" applyAlignment="1" pivotButton="0" quotePrefix="0" xfId="0">
      <alignment horizontal="center" vertical="center" wrapText="1"/>
    </xf>
    <xf numFmtId="0" fontId="18" fillId="0" borderId="11" applyAlignment="1" pivotButton="0" quotePrefix="0" xfId="0">
      <alignment horizontal="center" vertical="center" wrapText="1"/>
    </xf>
    <xf numFmtId="0" fontId="18" fillId="0" borderId="38" applyAlignment="1" pivotButton="0" quotePrefix="0" xfId="0">
      <alignment horizontal="center" vertical="center" wrapText="1"/>
    </xf>
    <xf numFmtId="0" fontId="18" fillId="0" borderId="47" applyAlignment="1" pivotButton="0" quotePrefix="0" xfId="0">
      <alignment horizontal="center" vertical="center" wrapText="1"/>
    </xf>
    <xf numFmtId="0" fontId="10" fillId="0" borderId="64" applyAlignment="1" pivotButton="0" quotePrefix="0" xfId="0">
      <alignment horizontal="center" vertical="center" wrapText="1"/>
    </xf>
    <xf numFmtId="0" fontId="10" fillId="0" borderId="64" applyAlignment="1" pivotButton="0" quotePrefix="0" xfId="0">
      <alignment horizontal="left" vertical="center" wrapText="1"/>
    </xf>
    <xf numFmtId="0" fontId="18" fillId="0" borderId="64" applyAlignment="1" pivotButton="0" quotePrefix="0" xfId="0">
      <alignment horizontal="center" vertical="center" wrapText="1"/>
    </xf>
    <xf numFmtId="0" fontId="18" fillId="0" borderId="65" applyAlignment="1" pivotButton="0" quotePrefix="0" xfId="0">
      <alignment horizontal="center" vertical="center" wrapText="1"/>
    </xf>
    <xf numFmtId="0" fontId="18" fillId="0" borderId="66" applyAlignment="1" pivotButton="0" quotePrefix="0" xfId="0">
      <alignment horizontal="center" vertical="center" wrapText="1"/>
    </xf>
    <xf numFmtId="0" fontId="18" fillId="0" borderId="67" applyAlignment="1" pivotButton="0" quotePrefix="0" xfId="0">
      <alignment horizontal="center" vertical="center" wrapText="1"/>
    </xf>
    <xf numFmtId="0" fontId="18" fillId="0" borderId="68" applyAlignment="1" pivotButton="0" quotePrefix="0" xfId="0">
      <alignment horizontal="center" vertical="center" wrapText="1"/>
    </xf>
    <xf numFmtId="0" fontId="59" fillId="0" borderId="73" applyAlignment="1" pivotButton="0" quotePrefix="0" xfId="0">
      <alignment vertical="center" wrapText="1"/>
    </xf>
    <xf numFmtId="0" fontId="63" fillId="33" borderId="74" applyAlignment="1" pivotButton="0" quotePrefix="0" xfId="0">
      <alignment horizontal="center" vertical="center" wrapText="1"/>
    </xf>
    <xf numFmtId="0" fontId="63" fillId="33" borderId="75" applyAlignment="1" pivotButton="0" quotePrefix="0" xfId="0">
      <alignment horizontal="center" vertical="center" wrapText="1"/>
    </xf>
    <xf numFmtId="10" fontId="64" fillId="0" borderId="75" applyAlignment="1" pivotButton="0" quotePrefix="0" xfId="0">
      <alignment horizontal="center" vertical="center" wrapText="1"/>
    </xf>
    <xf numFmtId="0" fontId="65" fillId="0" borderId="75" applyAlignment="1" pivotButton="0" quotePrefix="0" xfId="0">
      <alignment horizontal="center" vertical="center" wrapText="1"/>
    </xf>
    <xf numFmtId="10" fontId="66" fillId="0" borderId="75" applyAlignment="1" pivotButton="0" quotePrefix="0" xfId="0">
      <alignment horizontal="center" vertical="center" wrapText="1"/>
    </xf>
    <xf numFmtId="0" fontId="59" fillId="0" borderId="69" applyAlignment="1" pivotButton="0" quotePrefix="0" xfId="0">
      <alignment vertical="center" wrapText="1"/>
    </xf>
    <xf numFmtId="0" fontId="63" fillId="34" borderId="74" applyAlignment="1" pivotButton="0" quotePrefix="0" xfId="0">
      <alignment horizontal="center" vertical="center" wrapText="1"/>
    </xf>
    <xf numFmtId="10" fontId="65" fillId="0" borderId="75" applyAlignment="1" pivotButton="0" quotePrefix="0" xfId="0">
      <alignment horizontal="center" vertical="center" wrapText="1"/>
    </xf>
    <xf numFmtId="0" fontId="65" fillId="34" borderId="75" applyAlignment="1" pivotButton="0" quotePrefix="0" xfId="0">
      <alignment horizontal="center" vertical="center" wrapText="1"/>
    </xf>
    <xf numFmtId="0" fontId="68" fillId="0" borderId="55" applyAlignment="1" pivotButton="0" quotePrefix="0" xfId="48627">
      <alignment vertical="center" wrapText="1"/>
    </xf>
    <xf numFmtId="0" fontId="67" fillId="0" borderId="55" pivotButton="0" quotePrefix="0" xfId="48627"/>
    <xf numFmtId="0" fontId="71" fillId="0" borderId="55" applyAlignment="1" pivotButton="0" quotePrefix="0" xfId="48627">
      <alignment horizontal="center" vertical="top" wrapText="1"/>
    </xf>
    <xf numFmtId="0" fontId="74" fillId="0" borderId="55" applyAlignment="1" pivotButton="0" quotePrefix="0" xfId="48627">
      <alignment vertical="center" wrapText="1"/>
    </xf>
    <xf numFmtId="0" fontId="75" fillId="0" borderId="55" applyAlignment="1" pivotButton="0" quotePrefix="0" xfId="48627">
      <alignment horizontal="center" vertical="center" wrapText="1"/>
    </xf>
    <xf numFmtId="0" fontId="68" fillId="0" borderId="55" applyAlignment="1" pivotButton="0" quotePrefix="0" xfId="48627">
      <alignment horizontal="center" vertical="center" wrapText="1"/>
    </xf>
    <xf numFmtId="0" fontId="76" fillId="0" borderId="55" applyAlignment="1" pivotButton="0" quotePrefix="0" xfId="48627">
      <alignment horizontal="left" vertical="center" wrapText="1"/>
    </xf>
    <xf numFmtId="0" fontId="77" fillId="35" borderId="15" applyAlignment="1" pivotButton="0" quotePrefix="0" xfId="48627">
      <alignment horizontal="center" vertical="center" wrapText="1"/>
    </xf>
    <xf numFmtId="0" fontId="77" fillId="35" borderId="5" applyAlignment="1" pivotButton="0" quotePrefix="0" xfId="48627">
      <alignment horizontal="center" vertical="center" wrapText="1"/>
    </xf>
    <xf numFmtId="0" fontId="77" fillId="35" borderId="10" applyAlignment="1" pivotButton="0" quotePrefix="0" xfId="48627">
      <alignment horizontal="center" vertical="center" wrapText="1"/>
    </xf>
    <xf numFmtId="0" fontId="77" fillId="35" borderId="16" applyAlignment="1" pivotButton="0" quotePrefix="0" xfId="48627">
      <alignment horizontal="center" vertical="center" wrapText="1"/>
    </xf>
    <xf numFmtId="165" fontId="64" fillId="0" borderId="3" applyAlignment="1" pivotButton="0" quotePrefix="0" xfId="48627">
      <alignment horizontal="center" vertical="center" wrapText="1"/>
    </xf>
    <xf numFmtId="0" fontId="68" fillId="0" borderId="11" applyAlignment="1" pivotButton="0" quotePrefix="0" xfId="48627">
      <alignment horizontal="center" vertical="center" wrapText="1"/>
    </xf>
    <xf numFmtId="0" fontId="77" fillId="35" borderId="17" applyAlignment="1" pivotButton="0" quotePrefix="0" xfId="48627">
      <alignment horizontal="center" vertical="center" wrapText="1"/>
    </xf>
    <xf numFmtId="165" fontId="66" fillId="0" borderId="4" applyAlignment="1" pivotButton="0" quotePrefix="0" xfId="48627">
      <alignment horizontal="center" vertical="center" wrapText="1"/>
    </xf>
    <xf numFmtId="0" fontId="68" fillId="0" borderId="12" applyAlignment="1" pivotButton="0" quotePrefix="0" xfId="48627">
      <alignment horizontal="center" vertical="center" wrapText="1"/>
    </xf>
    <xf numFmtId="9" fontId="78" fillId="0" borderId="55" applyAlignment="1" pivotButton="0" quotePrefix="0" xfId="48627">
      <alignment vertical="center" wrapText="1"/>
    </xf>
    <xf numFmtId="0" fontId="78" fillId="0" borderId="55" pivotButton="0" quotePrefix="0" xfId="48627"/>
    <xf numFmtId="0" fontId="78" fillId="0" borderId="55" applyAlignment="1" pivotButton="0" quotePrefix="0" xfId="48627">
      <alignment vertical="center" wrapText="1"/>
    </xf>
    <xf numFmtId="168" fontId="68" fillId="0" borderId="40" applyAlignment="1" pivotButton="0" quotePrefix="0" xfId="48627">
      <alignment horizontal="center" vertical="center" wrapText="1"/>
    </xf>
    <xf numFmtId="0" fontId="76" fillId="0" borderId="55" applyAlignment="1" pivotButton="0" quotePrefix="0" xfId="48627">
      <alignment horizontal="center" vertical="center" wrapText="1"/>
    </xf>
    <xf numFmtId="164" fontId="68" fillId="0" borderId="55" applyAlignment="1" pivotButton="0" quotePrefix="0" xfId="48627">
      <alignment horizontal="center" vertical="center" wrapText="1"/>
    </xf>
    <xf numFmtId="0" fontId="77" fillId="36" borderId="16" applyAlignment="1" pivotButton="0" quotePrefix="0" xfId="48627">
      <alignment horizontal="center" vertical="center" wrapText="1"/>
    </xf>
    <xf numFmtId="165" fontId="68" fillId="0" borderId="3" applyAlignment="1" pivotButton="0" quotePrefix="0" xfId="48627">
      <alignment horizontal="center" vertical="center" wrapText="1"/>
    </xf>
    <xf numFmtId="168" fontId="68" fillId="0" borderId="11" applyAlignment="1" pivotButton="0" quotePrefix="0" xfId="48627">
      <alignment horizontal="center" vertical="center" wrapText="1"/>
    </xf>
    <xf numFmtId="0" fontId="77" fillId="36" borderId="17" applyAlignment="1" pivotButton="0" quotePrefix="0" xfId="48627">
      <alignment horizontal="center" vertical="center" wrapText="1"/>
    </xf>
    <xf numFmtId="165" fontId="68" fillId="0" borderId="4" applyAlignment="1" pivotButton="0" quotePrefix="0" xfId="48627">
      <alignment horizontal="center" vertical="center" wrapText="1"/>
    </xf>
    <xf numFmtId="168" fontId="68" fillId="0" borderId="12" applyAlignment="1" pivotButton="0" quotePrefix="0" xfId="48627">
      <alignment horizontal="center" vertical="center" wrapText="1"/>
    </xf>
    <xf numFmtId="0" fontId="68" fillId="36" borderId="16" applyAlignment="1" pivotButton="0" quotePrefix="0" xfId="48627">
      <alignment horizontal="center" vertical="center" wrapText="1"/>
    </xf>
    <xf numFmtId="0" fontId="68" fillId="36" borderId="3" applyAlignment="1" pivotButton="0" quotePrefix="0" xfId="48627">
      <alignment horizontal="center" vertical="center" wrapText="1"/>
    </xf>
    <xf numFmtId="0" fontId="68" fillId="36" borderId="11" applyAlignment="1" pivotButton="0" quotePrefix="0" xfId="48627">
      <alignment horizontal="center" vertical="center" wrapText="1"/>
    </xf>
    <xf numFmtId="0" fontId="68" fillId="0" borderId="3" applyAlignment="1" pivotButton="0" quotePrefix="0" xfId="48627">
      <alignment horizontal="center" vertical="center" wrapText="1"/>
    </xf>
    <xf numFmtId="165" fontId="68" fillId="0" borderId="11" applyAlignment="1" pivotButton="0" quotePrefix="0" xfId="48627">
      <alignment horizontal="center" vertical="center" wrapText="1"/>
    </xf>
    <xf numFmtId="0" fontId="68" fillId="36" borderId="17" applyAlignment="1" pivotButton="0" quotePrefix="0" xfId="48627">
      <alignment horizontal="center" vertical="center" wrapText="1"/>
    </xf>
    <xf numFmtId="0" fontId="77" fillId="36" borderId="15" applyAlignment="1" pivotButton="0" quotePrefix="0" xfId="48627">
      <alignment horizontal="center" vertical="center" wrapText="1"/>
    </xf>
    <xf numFmtId="164" fontId="68" fillId="36" borderId="5" applyAlignment="1" pivotButton="0" quotePrefix="0" xfId="48627">
      <alignment horizontal="center" vertical="center" wrapText="1"/>
    </xf>
    <xf numFmtId="164" fontId="68" fillId="36" borderId="10" applyAlignment="1" pivotButton="0" quotePrefix="0" xfId="48627">
      <alignment horizontal="center" vertical="center" wrapText="1"/>
    </xf>
    <xf numFmtId="0" fontId="77" fillId="0" borderId="55" applyAlignment="1" pivotButton="0" quotePrefix="0" xfId="48627">
      <alignment horizontal="center" vertical="center" wrapText="1"/>
    </xf>
    <xf numFmtId="165" fontId="68" fillId="0" borderId="55" applyAlignment="1" pivotButton="0" quotePrefix="0" xfId="48627">
      <alignment horizontal="center" vertical="center" wrapText="1"/>
    </xf>
    <xf numFmtId="0" fontId="10" fillId="0" borderId="11" applyAlignment="1" pivotButton="0" quotePrefix="0" xfId="0">
      <alignment horizontal="left" vertical="center" wrapText="1"/>
    </xf>
    <xf numFmtId="0" fontId="10" fillId="0" borderId="78" applyAlignment="1" pivotButton="0" quotePrefix="0" xfId="0">
      <alignment horizontal="left" vertical="center" wrapText="1"/>
    </xf>
    <xf numFmtId="0" fontId="10" fillId="0" borderId="78" applyAlignment="1" pivotButton="0" quotePrefix="0" xfId="0">
      <alignment horizontal="center" vertical="center" wrapText="1"/>
    </xf>
    <xf numFmtId="0" fontId="10" fillId="0" borderId="78" applyAlignment="1" pivotButton="0" quotePrefix="0" xfId="0">
      <alignment horizontal="center" vertical="center"/>
    </xf>
    <xf numFmtId="0" fontId="10" fillId="0" borderId="79" applyAlignment="1" pivotButton="0" quotePrefix="0" xfId="0">
      <alignment horizontal="left" vertical="center" wrapText="1"/>
    </xf>
    <xf numFmtId="0" fontId="10" fillId="0" borderId="12" applyAlignment="1" pivotButton="0" quotePrefix="0" xfId="0">
      <alignment horizontal="left" vertical="center" wrapText="1"/>
    </xf>
    <xf numFmtId="165" fontId="4" fillId="0" borderId="3" applyAlignment="1" pivotButton="0" quotePrefix="0" xfId="0">
      <alignment horizontal="center" vertical="center"/>
    </xf>
    <xf numFmtId="0" fontId="4" fillId="0" borderId="3" applyAlignment="1" pivotButton="0" quotePrefix="0" xfId="0">
      <alignment horizontal="center" vertical="center"/>
    </xf>
    <xf numFmtId="0" fontId="21" fillId="0" borderId="3" applyAlignment="1" pivotButton="0" quotePrefix="0" xfId="0">
      <alignment horizontal="center" vertical="center"/>
    </xf>
    <xf numFmtId="0" fontId="22" fillId="0" borderId="11" applyAlignment="1" pivotButton="0" quotePrefix="0" xfId="0">
      <alignment horizontal="center" vertical="center"/>
    </xf>
    <xf numFmtId="165" fontId="4" fillId="0" borderId="4" applyAlignment="1" pivotButton="0" quotePrefix="0" xfId="0">
      <alignment horizontal="center" vertical="center"/>
    </xf>
    <xf numFmtId="0" fontId="4" fillId="0" borderId="4" applyAlignment="1" pivotButton="0" quotePrefix="0" xfId="0">
      <alignment horizontal="center" vertical="center"/>
    </xf>
    <xf numFmtId="0" fontId="21" fillId="0" borderId="4" applyAlignment="1" pivotButton="0" quotePrefix="0" xfId="0">
      <alignment horizontal="center" vertical="center"/>
    </xf>
    <xf numFmtId="0" fontId="22" fillId="0" borderId="12" applyAlignment="1" pivotButton="0" quotePrefix="0" xfId="0">
      <alignment horizontal="center" vertical="center"/>
    </xf>
    <xf numFmtId="0" fontId="10" fillId="0" borderId="80" applyAlignment="1" pivotButton="0" quotePrefix="0" xfId="0">
      <alignment horizontal="center" vertical="center" wrapText="1"/>
    </xf>
    <xf numFmtId="0" fontId="10" fillId="0" borderId="80" applyAlignment="1" pivotButton="0" quotePrefix="0" xfId="0">
      <alignment horizontal="left" vertical="center" wrapText="1"/>
    </xf>
    <xf numFmtId="0" fontId="18" fillId="0" borderId="80" applyAlignment="1" pivotButton="0" quotePrefix="0" xfId="0">
      <alignment horizontal="center" vertical="center" wrapText="1"/>
    </xf>
    <xf numFmtId="0" fontId="18" fillId="0" borderId="81" applyAlignment="1" pivotButton="0" quotePrefix="0" xfId="0">
      <alignment horizontal="center" vertical="center" wrapText="1"/>
    </xf>
    <xf numFmtId="0" fontId="10" fillId="0" borderId="82" applyAlignment="1" pivotButton="0" quotePrefix="0" xfId="0">
      <alignment horizontal="center" vertical="center" wrapText="1"/>
    </xf>
    <xf numFmtId="0" fontId="10" fillId="0" borderId="83" applyAlignment="1" pivotButton="0" quotePrefix="0" xfId="0">
      <alignment horizontal="center" vertical="center" wrapText="1"/>
    </xf>
    <xf numFmtId="0" fontId="13" fillId="0" borderId="0" applyAlignment="1" pivotButton="0" quotePrefix="0" xfId="0">
      <alignment horizontal="center" vertical="center"/>
    </xf>
    <xf numFmtId="0" fontId="0" fillId="0" borderId="0" pivotButton="0" quotePrefix="0" xfId="0"/>
    <xf numFmtId="0" fontId="31" fillId="0" borderId="0" applyAlignment="1" pivotButton="0" quotePrefix="0" xfId="0">
      <alignment horizontal="center" vertical="top"/>
    </xf>
    <xf numFmtId="0" fontId="32" fillId="0" borderId="0" applyAlignment="1" pivotButton="0" quotePrefix="0" xfId="0">
      <alignment horizontal="left"/>
    </xf>
    <xf numFmtId="31" fontId="11" fillId="0" borderId="0" applyAlignment="1" pivotButton="0" quotePrefix="0" xfId="0">
      <alignment horizontal="center"/>
    </xf>
    <xf numFmtId="0" fontId="7" fillId="0" borderId="0" applyAlignment="1" pivotButton="0" quotePrefix="0" xfId="0">
      <alignment horizontal="center" vertical="center" wrapText="1"/>
    </xf>
    <xf numFmtId="0" fontId="10" fillId="0" borderId="0" applyAlignment="1" pivotButton="0" quotePrefix="0" xfId="0">
      <alignment vertical="center" wrapText="1"/>
    </xf>
    <xf numFmtId="0" fontId="11" fillId="0" borderId="0" applyAlignment="1" pivotButton="0" quotePrefix="0" xfId="0">
      <alignment horizontal="center" vertical="center" wrapText="1"/>
    </xf>
    <xf numFmtId="0" fontId="10" fillId="0" borderId="0" applyAlignment="1" pivotButton="0" quotePrefix="0" xfId="0">
      <alignment horizontal="center" vertical="center" wrapText="1"/>
    </xf>
    <xf numFmtId="0" fontId="81" fillId="0" borderId="70" applyAlignment="1" pivotButton="0" quotePrefix="0" xfId="0">
      <alignment vertical="center" wrapText="1"/>
    </xf>
    <xf numFmtId="0" fontId="62" fillId="0" borderId="71" applyAlignment="1" pivotButton="0" quotePrefix="0" xfId="0">
      <alignment vertical="center" wrapText="1"/>
    </xf>
    <xf numFmtId="0" fontId="62" fillId="0" borderId="72" applyAlignment="1" pivotButton="0" quotePrefix="0" xfId="0">
      <alignment vertical="center" wrapText="1"/>
    </xf>
    <xf numFmtId="0" fontId="63" fillId="34" borderId="76" applyAlignment="1" pivotButton="0" quotePrefix="0" xfId="0">
      <alignment horizontal="center" vertical="center" wrapText="1"/>
    </xf>
    <xf numFmtId="0" fontId="63" fillId="34" borderId="77" applyAlignment="1" pivotButton="0" quotePrefix="0" xfId="0">
      <alignment horizontal="center" vertical="center" wrapText="1"/>
    </xf>
    <xf numFmtId="0" fontId="7" fillId="5" borderId="50" applyAlignment="1" pivotButton="0" quotePrefix="0" xfId="0">
      <alignment horizontal="center" vertical="center" wrapText="1"/>
    </xf>
    <xf numFmtId="0" fontId="7" fillId="5" borderId="48" applyAlignment="1" pivotButton="0" quotePrefix="0" xfId="0">
      <alignment horizontal="center" vertical="center" wrapText="1"/>
    </xf>
    <xf numFmtId="0" fontId="7" fillId="5" borderId="40" applyAlignment="1" pivotButton="0" quotePrefix="0" xfId="0">
      <alignment horizontal="center" vertical="center" wrapText="1"/>
    </xf>
    <xf numFmtId="0" fontId="11" fillId="0" borderId="0" applyAlignment="1" pivotButton="0" quotePrefix="0" xfId="0">
      <alignment horizontal="left" vertical="center" wrapText="1"/>
    </xf>
    <xf numFmtId="0" fontId="8" fillId="2" borderId="15" applyAlignment="1" pivotButton="0" quotePrefix="0" xfId="0">
      <alignment horizontal="center" vertical="center"/>
    </xf>
    <xf numFmtId="0" fontId="0" fillId="0" borderId="19" pivotButton="0" quotePrefix="0" xfId="0"/>
    <xf numFmtId="0" fontId="8" fillId="2" borderId="5" applyAlignment="1" pivotButton="0" quotePrefix="0" xfId="0">
      <alignment horizontal="center" vertical="center"/>
    </xf>
    <xf numFmtId="0" fontId="0" fillId="0" borderId="48" pivotButton="0" quotePrefix="0" xfId="0"/>
    <xf numFmtId="0" fontId="0" fillId="0" borderId="43" pivotButton="0" quotePrefix="0" xfId="0"/>
    <xf numFmtId="0" fontId="8" fillId="2" borderId="10" applyAlignment="1" pivotButton="0" quotePrefix="0" xfId="0">
      <alignment horizontal="center" vertical="center"/>
    </xf>
    <xf numFmtId="0" fontId="0" fillId="0" borderId="20" pivotButton="0" quotePrefix="0" xfId="0"/>
    <xf numFmtId="0" fontId="56" fillId="29" borderId="51" applyAlignment="1" pivotButton="0" quotePrefix="0" xfId="0">
      <alignment horizontal="center" vertical="center"/>
    </xf>
    <xf numFmtId="0" fontId="0" fillId="0" borderId="23" pivotButton="0" quotePrefix="0" xfId="0"/>
    <xf numFmtId="0" fontId="0" fillId="0" borderId="37" pivotButton="0" quotePrefix="0" xfId="0"/>
    <xf numFmtId="0" fontId="80" fillId="0" borderId="55" applyAlignment="1" pivotButton="0" quotePrefix="0" xfId="48627">
      <alignment horizontal="center" vertical="center" wrapText="1"/>
    </xf>
    <xf numFmtId="0" fontId="67" fillId="0" borderId="55" pivotButton="0" quotePrefix="0" xfId="48627"/>
    <xf numFmtId="0" fontId="70" fillId="0" borderId="55" applyAlignment="1" pivotButton="0" quotePrefix="0" xfId="48627">
      <alignment horizontal="center" vertical="center" wrapText="1"/>
    </xf>
    <xf numFmtId="0" fontId="72" fillId="0" borderId="55" applyAlignment="1" pivotButton="0" quotePrefix="0" xfId="48627">
      <alignment horizontal="left" vertical="center" shrinkToFit="1"/>
    </xf>
    <xf numFmtId="0" fontId="77" fillId="36" borderId="50" applyAlignment="1" pivotButton="0" quotePrefix="0" xfId="48627">
      <alignment horizontal="center" vertical="center" wrapText="1"/>
    </xf>
    <xf numFmtId="0" fontId="79" fillId="0" borderId="43" pivotButton="0" quotePrefix="0" xfId="48627"/>
    <xf numFmtId="0" fontId="80" fillId="37" borderId="50" applyAlignment="1" pivotButton="0" quotePrefix="0" xfId="48627">
      <alignment horizontal="center" vertical="center" wrapText="1"/>
    </xf>
    <xf numFmtId="0" fontId="79" fillId="0" borderId="48" pivotButton="0" quotePrefix="0" xfId="48627"/>
    <xf numFmtId="0" fontId="79" fillId="0" borderId="40" pivotButton="0" quotePrefix="0" xfId="48627"/>
    <xf numFmtId="0" fontId="13" fillId="0" borderId="0" applyAlignment="1" pivotButton="0" quotePrefix="0" xfId="0">
      <alignment horizontal="left" vertical="center" wrapText="1"/>
    </xf>
    <xf numFmtId="0" fontId="3" fillId="0" borderId="0" applyAlignment="1" pivotButton="0" quotePrefix="0" xfId="0">
      <alignment vertical="center" wrapText="1"/>
    </xf>
    <xf numFmtId="0" fontId="3" fillId="0" borderId="0" applyAlignment="1" pivotButton="0" quotePrefix="0" xfId="0">
      <alignment horizontal="center" vertical="center" wrapText="1"/>
    </xf>
    <xf numFmtId="0" fontId="8" fillId="2" borderId="15" applyAlignment="1" pivotButton="0" quotePrefix="0" xfId="0">
      <alignment horizontal="center" vertical="center" wrapText="1"/>
    </xf>
    <xf numFmtId="0" fontId="0" fillId="0" borderId="1" pivotButton="0" quotePrefix="0" xfId="0"/>
    <xf numFmtId="0" fontId="8" fillId="2" borderId="5" applyAlignment="1" pivotButton="0" quotePrefix="0" xfId="0">
      <alignment horizontal="center" vertical="center" wrapText="1"/>
    </xf>
    <xf numFmtId="0" fontId="0" fillId="0" borderId="38" pivotButton="0" quotePrefix="0" xfId="0"/>
    <xf numFmtId="0" fontId="0" fillId="0" borderId="6" pivotButton="0" quotePrefix="0" xfId="0"/>
    <xf numFmtId="165" fontId="9" fillId="6" borderId="15" applyAlignment="1" pivotButton="0" quotePrefix="0" xfId="0">
      <alignment horizontal="center" vertical="center"/>
    </xf>
    <xf numFmtId="0" fontId="8" fillId="31" borderId="33" applyAlignment="1" pivotButton="0" quotePrefix="0" xfId="0">
      <alignment horizontal="center" vertical="center" wrapText="1"/>
    </xf>
    <xf numFmtId="0" fontId="8" fillId="31" borderId="1" applyAlignment="1" pivotButton="0" quotePrefix="0" xfId="0">
      <alignment horizontal="center" vertical="center" wrapText="1"/>
    </xf>
    <xf numFmtId="0" fontId="8" fillId="31" borderId="34" applyAlignment="1" pivotButton="0" quotePrefix="0" xfId="0">
      <alignment horizontal="center" vertical="center" wrapText="1"/>
    </xf>
    <xf numFmtId="9" fontId="61" fillId="32" borderId="33" applyAlignment="1" pivotButton="0" quotePrefix="0" xfId="0">
      <alignment horizontal="center" vertical="center" wrapText="1"/>
    </xf>
    <xf numFmtId="9" fontId="61" fillId="32" borderId="1" applyAlignment="1" pivotButton="0" quotePrefix="0" xfId="0">
      <alignment horizontal="center" vertical="center"/>
    </xf>
    <xf numFmtId="9" fontId="61" fillId="32" borderId="34" applyAlignment="1" pivotButton="0" quotePrefix="0" xfId="0">
      <alignment horizontal="center" vertical="center"/>
    </xf>
    <xf numFmtId="0" fontId="8" fillId="31" borderId="7" applyAlignment="1" pivotButton="0" quotePrefix="0" xfId="0">
      <alignment horizontal="center" vertical="center"/>
    </xf>
    <xf numFmtId="0" fontId="20" fillId="31" borderId="1" applyAlignment="1" pivotButton="0" quotePrefix="0" xfId="0">
      <alignment horizontal="center" vertical="center"/>
    </xf>
    <xf numFmtId="0" fontId="20" fillId="31" borderId="34" applyAlignment="1" pivotButton="0" quotePrefix="0" xfId="0">
      <alignment horizontal="center" vertical="center"/>
    </xf>
    <xf numFmtId="9" fontId="61" fillId="32" borderId="7" applyAlignment="1" pivotButton="0" quotePrefix="0" xfId="0">
      <alignment horizontal="center" vertical="center" wrapText="1"/>
    </xf>
    <xf numFmtId="0" fontId="8" fillId="2" borderId="34" applyAlignment="1" pivotButton="0" quotePrefix="0" xfId="0">
      <alignment horizontal="center" vertical="center" wrapText="1"/>
    </xf>
    <xf numFmtId="0" fontId="0" fillId="0" borderId="34" pivotButton="0" quotePrefix="0" xfId="0"/>
    <xf numFmtId="165" fontId="61" fillId="6" borderId="34" applyAlignment="1" pivotButton="0" quotePrefix="0" xfId="0">
      <alignment horizontal="center" vertical="center"/>
    </xf>
    <xf numFmtId="0" fontId="8" fillId="2" borderId="6" applyAlignment="1" pivotButton="0" quotePrefix="0" xfId="0">
      <alignment horizontal="right" vertical="center" wrapText="1"/>
    </xf>
    <xf numFmtId="0" fontId="0" fillId="0" borderId="52" pivotButton="0" quotePrefix="0" xfId="0"/>
    <xf numFmtId="0" fontId="0" fillId="0" borderId="44" pivotButton="0" quotePrefix="0" xfId="0"/>
    <xf numFmtId="0" fontId="8" fillId="2" borderId="4" applyAlignment="1" pivotButton="0" quotePrefix="0" xfId="0">
      <alignment horizontal="center" vertical="center" wrapText="1"/>
    </xf>
    <xf numFmtId="0" fontId="0" fillId="0" borderId="53" applyAlignment="1" pivotButton="0" quotePrefix="0" xfId="0">
      <alignment horizontal="center"/>
    </xf>
    <xf numFmtId="0" fontId="0" fillId="0" borderId="54" applyAlignment="1" pivotButton="0" quotePrefix="0" xfId="0">
      <alignment horizontal="center"/>
    </xf>
    <xf numFmtId="0" fontId="8" fillId="2" borderId="7" applyAlignment="1" pivotButton="0" quotePrefix="0" xfId="0">
      <alignment horizontal="center" vertical="center" wrapText="1"/>
    </xf>
    <xf numFmtId="0" fontId="8" fillId="2" borderId="8" applyAlignment="1" pivotButton="0" quotePrefix="0" xfId="0">
      <alignment horizontal="center" vertical="center" wrapText="1"/>
    </xf>
    <xf numFmtId="0" fontId="0" fillId="0" borderId="35" pivotButton="0" quotePrefix="0" xfId="0"/>
    <xf numFmtId="0" fontId="8" fillId="2" borderId="49" applyAlignment="1" pivotButton="0" quotePrefix="0" xfId="0">
      <alignment horizontal="center" vertical="center" wrapText="1"/>
    </xf>
    <xf numFmtId="0" fontId="8" fillId="2" borderId="52" applyAlignment="1" pivotButton="0" quotePrefix="0" xfId="0">
      <alignment horizontal="center" vertical="center" wrapText="1"/>
    </xf>
    <xf numFmtId="0" fontId="8" fillId="2" borderId="44" applyAlignment="1" pivotButton="0" quotePrefix="0" xfId="0">
      <alignment horizontal="center" vertical="center" wrapText="1"/>
    </xf>
    <xf numFmtId="0" fontId="8" fillId="2" borderId="42" applyAlignment="1" pivotButton="0" quotePrefix="0" xfId="0">
      <alignment horizontal="center" vertical="center" wrapText="1"/>
    </xf>
    <xf numFmtId="0" fontId="8" fillId="2" borderId="53" applyAlignment="1" pivotButton="0" quotePrefix="0" xfId="0">
      <alignment horizontal="center" vertical="center" wrapText="1"/>
    </xf>
    <xf numFmtId="0" fontId="8" fillId="2" borderId="54" applyAlignment="1" pivotButton="0" quotePrefix="0" xfId="0">
      <alignment horizontal="center" vertical="center" wrapText="1"/>
    </xf>
    <xf numFmtId="0" fontId="8" fillId="2" borderId="19" applyAlignment="1" pivotButton="0" quotePrefix="0" xfId="0">
      <alignment horizontal="center" vertical="center" wrapText="1"/>
    </xf>
    <xf numFmtId="0" fontId="8" fillId="31" borderId="60" applyAlignment="1" pivotButton="0" quotePrefix="0" xfId="0">
      <alignment horizontal="center" vertical="center"/>
    </xf>
    <xf numFmtId="0" fontId="10" fillId="31" borderId="56" applyAlignment="1" pivotButton="0" quotePrefix="0" xfId="0">
      <alignment horizontal="center" vertical="center"/>
    </xf>
    <xf numFmtId="0" fontId="10" fillId="31" borderId="56" applyAlignment="1" pivotButton="0" quotePrefix="0" xfId="0">
      <alignment horizontal="center" vertical="center" wrapText="1"/>
    </xf>
    <xf numFmtId="0" fontId="10" fillId="31" borderId="61" applyAlignment="1" pivotButton="0" quotePrefix="0" xfId="0">
      <alignment horizontal="center" vertical="center" wrapText="1"/>
    </xf>
    <xf numFmtId="0" fontId="8" fillId="31" borderId="59" applyAlignment="1" pivotButton="0" quotePrefix="0" xfId="0">
      <alignment horizontal="center" vertical="center"/>
    </xf>
    <xf numFmtId="0" fontId="8" fillId="31" borderId="57" applyAlignment="1" pivotButton="0" quotePrefix="0" xfId="0">
      <alignment horizontal="center" vertical="center"/>
    </xf>
    <xf numFmtId="0" fontId="8" fillId="31" borderId="58" applyAlignment="1" pivotButton="0" quotePrefix="0" xfId="0">
      <alignment horizontal="center" vertical="center"/>
    </xf>
    <xf numFmtId="0" fontId="8" fillId="4" borderId="7" applyAlignment="1" pivotButton="0" quotePrefix="0" xfId="0">
      <alignment horizontal="center" vertical="center" wrapText="1"/>
    </xf>
    <xf numFmtId="0" fontId="60" fillId="0" borderId="0" applyAlignment="1" pivotButton="0" quotePrefix="0" xfId="0">
      <alignment vertical="center" wrapText="1"/>
    </xf>
    <xf numFmtId="0" fontId="82" fillId="0" borderId="0" applyAlignment="1" pivotButton="0" quotePrefix="0" xfId="0">
      <alignment vertical="center" wrapText="1"/>
    </xf>
    <xf numFmtId="0" fontId="82" fillId="0" borderId="0" applyAlignment="1" pivotButton="0" quotePrefix="0" xfId="0">
      <alignment vertical="top" wrapText="1"/>
    </xf>
    <xf numFmtId="0" fontId="13" fillId="0" borderId="55" applyAlignment="1" pivotButton="0" quotePrefix="0" xfId="0">
      <alignment horizontal="center" vertical="center"/>
    </xf>
    <xf numFmtId="0" fontId="31" fillId="0" borderId="55" applyAlignment="1" pivotButton="0" quotePrefix="0" xfId="0">
      <alignment horizontal="center" vertical="top"/>
    </xf>
    <xf numFmtId="0" fontId="32" fillId="0" borderId="55" applyAlignment="1" pivotButton="0" quotePrefix="0" xfId="0">
      <alignment horizontal="left"/>
    </xf>
    <xf numFmtId="31" fontId="11" fillId="0" borderId="55" applyAlignment="1" pivotButton="0" quotePrefix="0" xfId="0">
      <alignment horizontal="center"/>
    </xf>
    <xf numFmtId="0" fontId="11" fillId="0" borderId="55" applyAlignment="1" pivotButton="0" quotePrefix="0" xfId="0">
      <alignment horizontal="center" vertical="center" wrapText="1"/>
    </xf>
    <xf numFmtId="0" fontId="81" fillId="0" borderId="69" applyAlignment="1" pivotButton="0" quotePrefix="0" xfId="0">
      <alignment vertical="center" wrapText="1"/>
    </xf>
    <xf numFmtId="0" fontId="0" fillId="0" borderId="71" pivotButton="0" quotePrefix="0" xfId="0"/>
    <xf numFmtId="0" fontId="0" fillId="0" borderId="72" pivotButton="0" quotePrefix="0" xfId="0"/>
    <xf numFmtId="0" fontId="63" fillId="34" borderId="86" applyAlignment="1" pivotButton="0" quotePrefix="0" xfId="0">
      <alignment horizontal="center" vertical="center" wrapText="1"/>
    </xf>
    <xf numFmtId="0" fontId="0" fillId="0" borderId="77" pivotButton="0" quotePrefix="0" xfId="0"/>
    <xf numFmtId="164" fontId="10" fillId="0" borderId="0" applyAlignment="1" pivotButton="0" quotePrefix="0" xfId="0">
      <alignment horizontal="center" vertical="center" wrapText="1"/>
    </xf>
    <xf numFmtId="0" fontId="7" fillId="0" borderId="55" applyAlignment="1" pivotButton="0" quotePrefix="0" xfId="0">
      <alignment horizontal="center" vertical="center" wrapText="1"/>
    </xf>
    <xf numFmtId="0" fontId="7" fillId="5" borderId="89" applyAlignment="1" pivotButton="0" quotePrefix="0" xfId="0">
      <alignment horizontal="center" vertical="center" wrapText="1"/>
    </xf>
    <xf numFmtId="0" fontId="0" fillId="0" borderId="40" pivotButton="0" quotePrefix="0" xfId="0"/>
    <xf numFmtId="165" fontId="10" fillId="0" borderId="11" applyAlignment="1" pivotButton="0" quotePrefix="0" xfId="0">
      <alignment horizontal="center" vertical="center" wrapText="1"/>
    </xf>
    <xf numFmtId="165" fontId="10" fillId="0" borderId="12" applyAlignment="1" pivotButton="0" quotePrefix="0" xfId="0">
      <alignment horizontal="center" vertical="center" wrapText="1"/>
    </xf>
    <xf numFmtId="165" fontId="10" fillId="0" borderId="0" applyAlignment="1" pivotButton="0" quotePrefix="0" xfId="0">
      <alignment horizontal="center" vertical="center" wrapText="1"/>
    </xf>
    <xf numFmtId="0" fontId="11" fillId="0" borderId="55" applyAlignment="1" pivotButton="0" quotePrefix="0" xfId="0">
      <alignment horizontal="left" vertical="center" wrapText="1"/>
    </xf>
    <xf numFmtId="165" fontId="64" fillId="0" borderId="3" applyAlignment="1" pivotButton="0" quotePrefix="0" xfId="48627">
      <alignment horizontal="center" vertical="center" wrapText="1"/>
    </xf>
    <xf numFmtId="165" fontId="66" fillId="0" borderId="4" applyAlignment="1" pivotButton="0" quotePrefix="0" xfId="48627">
      <alignment horizontal="center" vertical="center" wrapText="1"/>
    </xf>
    <xf numFmtId="168" fontId="68" fillId="0" borderId="40" applyAlignment="1" pivotButton="0" quotePrefix="0" xfId="48627">
      <alignment horizontal="center" vertical="center" wrapText="1"/>
    </xf>
    <xf numFmtId="164" fontId="68" fillId="0" borderId="55" applyAlignment="1" pivotButton="0" quotePrefix="0" xfId="48627">
      <alignment horizontal="center" vertical="center" wrapText="1"/>
    </xf>
    <xf numFmtId="165" fontId="68" fillId="0" borderId="3" applyAlignment="1" pivotButton="0" quotePrefix="0" xfId="48627">
      <alignment horizontal="center" vertical="center" wrapText="1"/>
    </xf>
    <xf numFmtId="168" fontId="68" fillId="0" borderId="11" applyAlignment="1" pivotButton="0" quotePrefix="0" xfId="48627">
      <alignment horizontal="center" vertical="center" wrapText="1"/>
    </xf>
    <xf numFmtId="165" fontId="68" fillId="0" borderId="4" applyAlignment="1" pivotButton="0" quotePrefix="0" xfId="48627">
      <alignment horizontal="center" vertical="center" wrapText="1"/>
    </xf>
    <xf numFmtId="168" fontId="68" fillId="0" borderId="12" applyAlignment="1" pivotButton="0" quotePrefix="0" xfId="48627">
      <alignment horizontal="center" vertical="center" wrapText="1"/>
    </xf>
    <xf numFmtId="0" fontId="80" fillId="37" borderId="89" applyAlignment="1" pivotButton="0" quotePrefix="0" xfId="48627">
      <alignment horizontal="center" vertical="center" wrapText="1"/>
    </xf>
    <xf numFmtId="165" fontId="68" fillId="0" borderId="11" applyAlignment="1" pivotButton="0" quotePrefix="0" xfId="48627">
      <alignment horizontal="center" vertical="center" wrapText="1"/>
    </xf>
    <xf numFmtId="164" fontId="68" fillId="36" borderId="5" applyAlignment="1" pivotButton="0" quotePrefix="0" xfId="48627">
      <alignment horizontal="center" vertical="center" wrapText="1"/>
    </xf>
    <xf numFmtId="164" fontId="68" fillId="36" borderId="10" applyAlignment="1" pivotButton="0" quotePrefix="0" xfId="48627">
      <alignment horizontal="center" vertical="center" wrapText="1"/>
    </xf>
    <xf numFmtId="165" fontId="68" fillId="0" borderId="55" applyAlignment="1" pivotButton="0" quotePrefix="0" xfId="48627">
      <alignment horizontal="center" vertical="center" wrapText="1"/>
    </xf>
    <xf numFmtId="0" fontId="13" fillId="0" borderId="55" applyAlignment="1" pivotButton="0" quotePrefix="0" xfId="0">
      <alignment horizontal="left" vertical="center" wrapText="1"/>
    </xf>
    <xf numFmtId="165" fontId="9" fillId="6" borderId="15" applyAlignment="1" pivotButton="0" quotePrefix="0" xfId="0">
      <alignment horizontal="center" vertical="center"/>
    </xf>
    <xf numFmtId="165" fontId="4" fillId="0" borderId="5" applyAlignment="1" pivotButton="0" quotePrefix="0" xfId="0">
      <alignment horizontal="center" vertical="center"/>
    </xf>
    <xf numFmtId="165" fontId="4" fillId="0" borderId="3" applyAlignment="1" pivotButton="0" quotePrefix="0" xfId="0">
      <alignment horizontal="center" vertical="center"/>
    </xf>
    <xf numFmtId="165" fontId="4" fillId="0" borderId="4" applyAlignment="1" pivotButton="0" quotePrefix="0" xfId="0">
      <alignment horizontal="center" vertical="center"/>
    </xf>
    <xf numFmtId="0" fontId="8" fillId="31" borderId="7" applyAlignment="1" pivotButton="0" quotePrefix="0" xfId="0">
      <alignment horizontal="center" vertical="center" wrapText="1"/>
    </xf>
    <xf numFmtId="165" fontId="9" fillId="6" borderId="34" applyAlignment="1" pivotButton="0" quotePrefix="0" xfId="0">
      <alignment horizontal="center" vertical="center"/>
    </xf>
    <xf numFmtId="165" fontId="4" fillId="0" borderId="35" applyAlignment="1" pivotButton="0" quotePrefix="0" xfId="0">
      <alignment horizontal="center" vertical="center"/>
    </xf>
    <xf numFmtId="165" fontId="61" fillId="6" borderId="34" applyAlignment="1" pivotButton="0" quotePrefix="0" xfId="0">
      <alignment horizontal="center" vertical="center"/>
    </xf>
    <xf numFmtId="166" fontId="8" fillId="2" borderId="6" applyAlignment="1" pivotButton="0" quotePrefix="0" xfId="0">
      <alignment horizontal="center" vertical="center" wrapText="1"/>
    </xf>
    <xf numFmtId="166" fontId="8" fillId="2" borderId="45" applyAlignment="1" pivotButton="0" quotePrefix="0" xfId="0">
      <alignment horizontal="center" vertical="center" wrapText="1"/>
    </xf>
    <xf numFmtId="0" fontId="0" fillId="0" borderId="53" pivotButton="0" quotePrefix="0" xfId="0"/>
    <xf numFmtId="0" fontId="0" fillId="0" borderId="54" pivotButton="0" quotePrefix="0" xfId="0"/>
    <xf numFmtId="165" fontId="19" fillId="2" borderId="4" applyAlignment="1" pivotButton="0" quotePrefix="0" xfId="0">
      <alignment horizontal="center" vertical="center" wrapText="1"/>
    </xf>
    <xf numFmtId="165" fontId="19" fillId="2" borderId="46" applyAlignment="1" pivotButton="0" quotePrefix="0" xfId="0">
      <alignment horizontal="center" vertical="center" wrapText="1"/>
    </xf>
    <xf numFmtId="0" fontId="0" fillId="0" borderId="98" pivotButton="0" quotePrefix="0" xfId="0"/>
    <xf numFmtId="0" fontId="0" fillId="0" borderId="99" pivotButton="0" quotePrefix="0" xfId="0"/>
    <xf numFmtId="0" fontId="0" fillId="0" borderId="57" pivotButton="0" quotePrefix="0" xfId="0"/>
    <xf numFmtId="0" fontId="0" fillId="0" borderId="58" pivotButton="0" quotePrefix="0" xfId="0"/>
    <xf numFmtId="0" fontId="8" fillId="2" borderId="6" applyAlignment="1" pivotButton="0" quotePrefix="0" xfId="0">
      <alignment horizontal="center" vertical="center" wrapText="1"/>
    </xf>
    <xf numFmtId="167" fontId="8" fillId="2" borderId="6" applyAlignment="1" pivotButton="0" quotePrefix="0" xfId="0">
      <alignment horizontal="center" vertical="center" wrapText="1"/>
    </xf>
    <xf numFmtId="166" fontId="8" fillId="2" borderId="49" applyAlignment="1" pivotButton="0" quotePrefix="0" xfId="0">
      <alignment horizontal="center" vertical="center" wrapText="1"/>
    </xf>
    <xf numFmtId="167" fontId="8" fillId="2" borderId="5" applyAlignment="1" pivotButton="0" quotePrefix="0" xfId="0">
      <alignment horizontal="center" vertical="center" wrapText="1"/>
    </xf>
    <xf numFmtId="166" fontId="8" fillId="2" borderId="10" applyAlignment="1" pivotButton="0" quotePrefix="0" xfId="0">
      <alignment horizontal="center" vertical="center" wrapText="1"/>
    </xf>
    <xf numFmtId="165" fontId="8" fillId="2" borderId="4" applyAlignment="1" pivotButton="0" quotePrefix="0" xfId="0">
      <alignment horizontal="center" vertical="center" wrapText="1"/>
    </xf>
    <xf numFmtId="165" fontId="8" fillId="2" borderId="42" applyAlignment="1" pivotButton="0" quotePrefix="0" xfId="0">
      <alignment horizontal="center" vertical="center" wrapText="1"/>
    </xf>
    <xf numFmtId="165" fontId="8" fillId="2" borderId="12" applyAlignment="1" pivotButton="0" quotePrefix="0" xfId="0">
      <alignment horizontal="center" vertical="center" wrapText="1"/>
    </xf>
  </cellXfs>
  <cellStyles count="48628">
    <cellStyle name="표준" xfId="0" builtinId="0"/>
    <cellStyle name="??&amp;O?&amp;H?_x0008__x000f__x0007_?_x0007__x0001__x0001_" xfId="1"/>
    <cellStyle name="고정소숫점" xfId="2"/>
    <cellStyle name="고정출력1" xfId="3"/>
    <cellStyle name="고정출력2" xfId="4"/>
    <cellStyle name="날짜" xfId="5"/>
    <cellStyle name="달러" xfId="6"/>
    <cellStyle name="똿뗦먛귟 [0.00]_PRODUCT DETAIL Q1" xfId="7"/>
    <cellStyle name="똿뗦먛귟_PRODUCT DETAIL Q1" xfId="8"/>
    <cellStyle name="믅됞 [0.00]_PRODUCT DETAIL Q1" xfId="9"/>
    <cellStyle name="믅됞_PRODUCT DETAIL Q1" xfId="10"/>
    <cellStyle name="뷭?_BOOKSHIP" xfId="11"/>
    <cellStyle name="스타일 1" xfId="12"/>
    <cellStyle name="안건회계법인" xfId="13"/>
    <cellStyle name="자리수" xfId="14"/>
    <cellStyle name="자리수0" xfId="15"/>
    <cellStyle name="퍼센트" xfId="16"/>
    <cellStyle name="표준 2" xfId="17"/>
    <cellStyle name="합산" xfId="18"/>
    <cellStyle name="화폐기호" xfId="19"/>
    <cellStyle name="화폐기호0" xfId="20"/>
    <cellStyle name="Calc Currency (0)" xfId="21"/>
    <cellStyle name="Comma [0]_ SG&amp;A Bridge " xfId="22"/>
    <cellStyle name="Comma_ SG&amp;A Bridge " xfId="23"/>
    <cellStyle name="Currency [0]_ SG&amp;A Bridge " xfId="24"/>
    <cellStyle name="Currency_ SG&amp;A Bridge " xfId="25"/>
    <cellStyle name="Header1" xfId="26"/>
    <cellStyle name="Header2" xfId="27"/>
    <cellStyle name="Heading" xfId="28"/>
    <cellStyle name="Normal_ SG&amp;A Bridge " xfId="29"/>
    <cellStyle name="표준 7" xfId="30"/>
    <cellStyle name="표준 6" xfId="31"/>
    <cellStyle name="쉼표 [0] 4" xfId="32"/>
    <cellStyle name="메모 2" xfId="33"/>
    <cellStyle name="쉼표 [0] 2" xfId="34"/>
    <cellStyle name="??&amp;O?&amp;H?_x0008_??_x0007__x0001__x0001_" xfId="35"/>
    <cellStyle name="20% - 강조색1 2" xfId="36"/>
    <cellStyle name="20% - 강조색2 2" xfId="37"/>
    <cellStyle name="20% - 강조색3 2" xfId="38"/>
    <cellStyle name="20% - 강조색4 2" xfId="39"/>
    <cellStyle name="20% - 강조색5 2" xfId="40"/>
    <cellStyle name="20% - 강조색6 2" xfId="41"/>
    <cellStyle name="40% - 강조색1 2" xfId="42"/>
    <cellStyle name="40% - 강조색2 2" xfId="43"/>
    <cellStyle name="40% - 강조색3 2" xfId="44"/>
    <cellStyle name="40% - 강조색4 2" xfId="45"/>
    <cellStyle name="40% - 강조색5 2" xfId="46"/>
    <cellStyle name="40% - 강조색6 2" xfId="47"/>
    <cellStyle name="60% - 강조색1 2" xfId="48"/>
    <cellStyle name="60% - 강조색2 2" xfId="49"/>
    <cellStyle name="60% - 강조색3 2" xfId="50"/>
    <cellStyle name="60% - 강조색4 2" xfId="51"/>
    <cellStyle name="60% - 강조색5 2" xfId="52"/>
    <cellStyle name="60% - 강조색6 2" xfId="53"/>
    <cellStyle name="Currency1" xfId="54"/>
    <cellStyle name="강조색1 2" xfId="55"/>
    <cellStyle name="강조색2 2" xfId="56"/>
    <cellStyle name="강조색3 2" xfId="57"/>
    <cellStyle name="강조색4 2" xfId="58"/>
    <cellStyle name="강조색5 2" xfId="59"/>
    <cellStyle name="강조색6 2" xfId="60"/>
    <cellStyle name="경고문 2" xfId="61"/>
    <cellStyle name="계산 2" xfId="62"/>
    <cellStyle name="나쁨 2" xfId="63"/>
    <cellStyle name="보통 2" xfId="64"/>
    <cellStyle name="설명 텍스트 2" xfId="65"/>
    <cellStyle name="셀 확인 2" xfId="66"/>
    <cellStyle name="쉼표 [0] 3" xfId="67"/>
    <cellStyle name="연결된 셀 2" xfId="68"/>
    <cellStyle name="요약 2" xfId="69"/>
    <cellStyle name="입력 2" xfId="70"/>
    <cellStyle name="제목 1 2" xfId="71"/>
    <cellStyle name="제목 2 2" xfId="72"/>
    <cellStyle name="제목 3 2" xfId="73"/>
    <cellStyle name="제목 4 2" xfId="74"/>
    <cellStyle name="제목 5" xfId="75"/>
    <cellStyle name="좋음 2" xfId="76"/>
    <cellStyle name="출력 2" xfId="77"/>
    <cellStyle name="콤마 [0]_1.기안을지" xfId="78"/>
    <cellStyle name="콤마_1.기안을지" xfId="79"/>
    <cellStyle name="표준 3" xfId="80"/>
    <cellStyle name="표준 4" xfId="81"/>
    <cellStyle name="표준 5" xfId="82"/>
    <cellStyle name="표준 8" xfId="83"/>
    <cellStyle name="표준 9" xfId="84"/>
    <cellStyle name="표준 10" xfId="85"/>
    <cellStyle name="표준 7 15" xfId="86"/>
    <cellStyle name="표준 8 9" xfId="87"/>
    <cellStyle name="표준 9 9" xfId="88"/>
    <cellStyle name="표준 10 9" xfId="89"/>
    <cellStyle name="표준 7 2" xfId="90"/>
    <cellStyle name="표준 8 2" xfId="91"/>
    <cellStyle name="표준 9 2" xfId="92"/>
    <cellStyle name="표준 10 2" xfId="93"/>
    <cellStyle name="표준 17" xfId="94"/>
    <cellStyle name="_SK네트웍스_xxx_템플릿" xfId="95"/>
    <cellStyle name="20% - 강조색1 10" xfId="96"/>
    <cellStyle name="20% - 강조색1 11" xfId="97"/>
    <cellStyle name="20% - 강조색1 12" xfId="98"/>
    <cellStyle name="20% - 강조색1 2 10" xfId="99"/>
    <cellStyle name="20% - 강조색1 2 2" xfId="100"/>
    <cellStyle name="20% - 강조색1 2 3" xfId="101"/>
    <cellStyle name="20% - 강조색1 2 4" xfId="102"/>
    <cellStyle name="20% - 강조색1 2 5" xfId="103"/>
    <cellStyle name="20% - 강조색1 2 6" xfId="104"/>
    <cellStyle name="20% - 강조색1 2 7" xfId="105"/>
    <cellStyle name="20% - 강조색1 2 8" xfId="106"/>
    <cellStyle name="20% - 강조색1 2 9" xfId="107"/>
    <cellStyle name="20% - 강조색1 3" xfId="108"/>
    <cellStyle name="20% - 강조색1 3 2" xfId="109"/>
    <cellStyle name="20% - 강조색1 3 3" xfId="110"/>
    <cellStyle name="20% - 강조색1 3 4" xfId="111"/>
    <cellStyle name="20% - 강조색1 4" xfId="112"/>
    <cellStyle name="20% - 강조색1 5" xfId="113"/>
    <cellStyle name="20% - 강조색1 6" xfId="114"/>
    <cellStyle name="20% - 강조색1 7" xfId="115"/>
    <cellStyle name="20% - 강조색1 7 2" xfId="116"/>
    <cellStyle name="20% - 강조색1 8" xfId="117"/>
    <cellStyle name="20% - 강조색1 9" xfId="118"/>
    <cellStyle name="20% - 강조색2 10" xfId="119"/>
    <cellStyle name="20% - 강조색2 11" xfId="120"/>
    <cellStyle name="20% - 강조색2 12" xfId="121"/>
    <cellStyle name="20% - 강조색2 2 10" xfId="122"/>
    <cellStyle name="20% - 강조색2 2 2" xfId="123"/>
    <cellStyle name="20% - 강조색2 2 3" xfId="124"/>
    <cellStyle name="20% - 강조색2 2 4" xfId="125"/>
    <cellStyle name="20% - 강조색2 2 5" xfId="126"/>
    <cellStyle name="20% - 강조색2 2 6" xfId="127"/>
    <cellStyle name="20% - 강조색2 2 7" xfId="128"/>
    <cellStyle name="20% - 강조색2 2 8" xfId="129"/>
    <cellStyle name="20% - 강조색2 2 9" xfId="130"/>
    <cellStyle name="20% - 강조색2 3" xfId="131"/>
    <cellStyle name="20% - 강조색2 3 2" xfId="132"/>
    <cellStyle name="20% - 강조색2 3 3" xfId="133"/>
    <cellStyle name="20% - 강조색2 3 4" xfId="134"/>
    <cellStyle name="20% - 강조색2 4" xfId="135"/>
    <cellStyle name="20% - 강조색2 5" xfId="136"/>
    <cellStyle name="20% - 강조색2 6" xfId="137"/>
    <cellStyle name="20% - 강조색2 7" xfId="138"/>
    <cellStyle name="20% - 강조색2 7 2" xfId="139"/>
    <cellStyle name="20% - 강조색2 8" xfId="140"/>
    <cellStyle name="20% - 강조색2 9" xfId="141"/>
    <cellStyle name="20% - 강조색3 10" xfId="142"/>
    <cellStyle name="20% - 강조색3 11" xfId="143"/>
    <cellStyle name="20% - 강조색3 12" xfId="144"/>
    <cellStyle name="20% - 강조색3 2 10" xfId="145"/>
    <cellStyle name="20% - 강조색3 2 2" xfId="146"/>
    <cellStyle name="20% - 강조색3 2 3" xfId="147"/>
    <cellStyle name="20% - 강조색3 2 4" xfId="148"/>
    <cellStyle name="20% - 강조색3 2 5" xfId="149"/>
    <cellStyle name="20% - 강조색3 2 6" xfId="150"/>
    <cellStyle name="20% - 강조색3 2 7" xfId="151"/>
    <cellStyle name="20% - 강조색3 2 8" xfId="152"/>
    <cellStyle name="20% - 강조색3 2 9" xfId="153"/>
    <cellStyle name="20% - 강조색3 3" xfId="154"/>
    <cellStyle name="20% - 강조색3 3 2" xfId="155"/>
    <cellStyle name="20% - 강조색3 3 3" xfId="156"/>
    <cellStyle name="20% - 강조색3 3 4" xfId="157"/>
    <cellStyle name="20% - 강조색3 4" xfId="158"/>
    <cellStyle name="20% - 강조색3 5" xfId="159"/>
    <cellStyle name="20% - 강조색3 6" xfId="160"/>
    <cellStyle name="20% - 강조색3 7" xfId="161"/>
    <cellStyle name="20% - 강조색3 7 2" xfId="162"/>
    <cellStyle name="20% - 강조색3 8" xfId="163"/>
    <cellStyle name="20% - 강조색3 9" xfId="164"/>
    <cellStyle name="20% - 강조색4 10" xfId="165"/>
    <cellStyle name="20% - 강조색4 11" xfId="166"/>
    <cellStyle name="20% - 강조색4 12" xfId="167"/>
    <cellStyle name="20% - 강조색4 2 10" xfId="168"/>
    <cellStyle name="20% - 강조색4 2 2" xfId="169"/>
    <cellStyle name="20% - 강조색4 2 3" xfId="170"/>
    <cellStyle name="20% - 강조색4 2 4" xfId="171"/>
    <cellStyle name="20% - 강조색4 2 5" xfId="172"/>
    <cellStyle name="20% - 강조색4 2 6" xfId="173"/>
    <cellStyle name="20% - 강조색4 2 7" xfId="174"/>
    <cellStyle name="20% - 강조색4 2 8" xfId="175"/>
    <cellStyle name="20% - 강조색4 2 9" xfId="176"/>
    <cellStyle name="20% - 강조색4 3" xfId="177"/>
    <cellStyle name="20% - 강조색4 3 2" xfId="178"/>
    <cellStyle name="20% - 강조색4 3 3" xfId="179"/>
    <cellStyle name="20% - 강조색4 3 4" xfId="180"/>
    <cellStyle name="20% - 강조색4 4" xfId="181"/>
    <cellStyle name="20% - 강조색4 5" xfId="182"/>
    <cellStyle name="20% - 강조색4 6" xfId="183"/>
    <cellStyle name="20% - 강조색4 7" xfId="184"/>
    <cellStyle name="20% - 강조색4 7 2" xfId="185"/>
    <cellStyle name="20% - 강조색4 8" xfId="186"/>
    <cellStyle name="20% - 강조색4 9" xfId="187"/>
    <cellStyle name="20% - 강조색5 10" xfId="188"/>
    <cellStyle name="20% - 강조색5 11" xfId="189"/>
    <cellStyle name="20% - 강조색5 12" xfId="190"/>
    <cellStyle name="20% - 강조색5 2 10" xfId="191"/>
    <cellStyle name="20% - 강조색5 2 2" xfId="192"/>
    <cellStyle name="20% - 강조색5 2 3" xfId="193"/>
    <cellStyle name="20% - 강조색5 2 4" xfId="194"/>
    <cellStyle name="20% - 강조색5 2 5" xfId="195"/>
    <cellStyle name="20% - 강조색5 2 6" xfId="196"/>
    <cellStyle name="20% - 강조색5 2 7" xfId="197"/>
    <cellStyle name="20% - 강조색5 2 8" xfId="198"/>
    <cellStyle name="20% - 강조색5 2 9" xfId="199"/>
    <cellStyle name="20% - 강조색5 3" xfId="200"/>
    <cellStyle name="20% - 강조색5 3 2" xfId="201"/>
    <cellStyle name="20% - 강조색5 3 3" xfId="202"/>
    <cellStyle name="20% - 강조색5 3 4" xfId="203"/>
    <cellStyle name="20% - 강조색5 4" xfId="204"/>
    <cellStyle name="20% - 강조색5 5" xfId="205"/>
    <cellStyle name="20% - 강조색5 6" xfId="206"/>
    <cellStyle name="20% - 강조색5 7" xfId="207"/>
    <cellStyle name="20% - 강조색5 7 2" xfId="208"/>
    <cellStyle name="20% - 강조색5 8" xfId="209"/>
    <cellStyle name="20% - 강조색5 9" xfId="210"/>
    <cellStyle name="20% - 강조색6 20" xfId="211"/>
    <cellStyle name="20% - 강조색6 10" xfId="212"/>
    <cellStyle name="20% - 강조색6 10 2" xfId="213"/>
    <cellStyle name="20% - 강조색6 10 3" xfId="214"/>
    <cellStyle name="20% - 강조색6 10 4" xfId="215"/>
    <cellStyle name="20% - 강조색6 10 5" xfId="216"/>
    <cellStyle name="20% - 강조색6 10 6" xfId="217"/>
    <cellStyle name="20% - 강조색6 10 7" xfId="218"/>
    <cellStyle name="20% - 강조색6 10 8" xfId="219"/>
    <cellStyle name="20% - 강조색6 10 9" xfId="220"/>
    <cellStyle name="20% - 강조색6 11" xfId="221"/>
    <cellStyle name="20% - 강조색6 11 2" xfId="222"/>
    <cellStyle name="20% - 강조색6 11 3" xfId="223"/>
    <cellStyle name="20% - 강조색6 11 4" xfId="224"/>
    <cellStyle name="20% - 강조색6 11 5" xfId="225"/>
    <cellStyle name="20% - 강조색6 11 6" xfId="226"/>
    <cellStyle name="20% - 강조색6 11 7" xfId="227"/>
    <cellStyle name="20% - 강조색6 11 8" xfId="228"/>
    <cellStyle name="20% - 강조색6 11 9" xfId="229"/>
    <cellStyle name="20% - 강조색6 12" xfId="230"/>
    <cellStyle name="20% - 강조색6 12 2" xfId="231"/>
    <cellStyle name="20% - 강조색6 12 3" xfId="232"/>
    <cellStyle name="20% - 강조색6 12 4" xfId="233"/>
    <cellStyle name="20% - 강조색6 12 5" xfId="234"/>
    <cellStyle name="20% - 강조색6 12 6" xfId="235"/>
    <cellStyle name="20% - 강조색6 12 7" xfId="236"/>
    <cellStyle name="20% - 강조색6 12 8" xfId="237"/>
    <cellStyle name="20% - 강조색6 13" xfId="238"/>
    <cellStyle name="20% - 강조색6 13 2" xfId="239"/>
    <cellStyle name="20% - 강조색6 13 3" xfId="240"/>
    <cellStyle name="20% - 강조색6 13 4" xfId="241"/>
    <cellStyle name="20% - 강조색6 13 5" xfId="242"/>
    <cellStyle name="20% - 강조색6 13 6" xfId="243"/>
    <cellStyle name="20% - 강조색6 13 7" xfId="244"/>
    <cellStyle name="20% - 강조색6 13 8" xfId="245"/>
    <cellStyle name="20% - 강조색6 14" xfId="246"/>
    <cellStyle name="20% - 강조색6 14 2" xfId="247"/>
    <cellStyle name="20% - 강조색6 14 3" xfId="248"/>
    <cellStyle name="20% - 강조색6 14 4" xfId="249"/>
    <cellStyle name="20% - 강조색6 14 5" xfId="250"/>
    <cellStyle name="20% - 강조색6 14 6" xfId="251"/>
    <cellStyle name="20% - 강조색6 14 7" xfId="252"/>
    <cellStyle name="20% - 강조색6 14 8" xfId="253"/>
    <cellStyle name="20% - 강조색6 15" xfId="254"/>
    <cellStyle name="20% - 강조색6 15 2" xfId="255"/>
    <cellStyle name="20% - 강조색6 15 3" xfId="256"/>
    <cellStyle name="20% - 강조색6 15 4" xfId="257"/>
    <cellStyle name="20% - 강조색6 15 5" xfId="258"/>
    <cellStyle name="20% - 강조색6 15 6" xfId="259"/>
    <cellStyle name="20% - 강조색6 15 7" xfId="260"/>
    <cellStyle name="20% - 강조색6 15 8" xfId="261"/>
    <cellStyle name="20% - 강조색6 16" xfId="262"/>
    <cellStyle name="20% - 강조색6 16 2" xfId="263"/>
    <cellStyle name="20% - 강조색6 16 3" xfId="264"/>
    <cellStyle name="20% - 강조색6 16 4" xfId="265"/>
    <cellStyle name="20% - 강조색6 16 5" xfId="266"/>
    <cellStyle name="20% - 강조색6 16 6" xfId="267"/>
    <cellStyle name="20% - 강조색6 16 7" xfId="268"/>
    <cellStyle name="20% - 강조색6 16 8" xfId="269"/>
    <cellStyle name="20% - 강조색6 17" xfId="270"/>
    <cellStyle name="20% - 강조색6 17 2" xfId="271"/>
    <cellStyle name="20% - 강조색6 17 3" xfId="272"/>
    <cellStyle name="20% - 강조색6 17 4" xfId="273"/>
    <cellStyle name="20% - 강조색6 17 5" xfId="274"/>
    <cellStyle name="20% - 강조색6 17 6" xfId="275"/>
    <cellStyle name="20% - 강조색6 17 7" xfId="276"/>
    <cellStyle name="20% - 강조색6 17 8" xfId="277"/>
    <cellStyle name="20% - 강조색6 18" xfId="278"/>
    <cellStyle name="20% - 강조색6 18 2" xfId="279"/>
    <cellStyle name="20% - 강조색6 18 3" xfId="280"/>
    <cellStyle name="20% - 강조색6 18 4" xfId="281"/>
    <cellStyle name="20% - 강조색6 18 5" xfId="282"/>
    <cellStyle name="20% - 강조색6 18 6" xfId="283"/>
    <cellStyle name="20% - 강조색6 18 7" xfId="284"/>
    <cellStyle name="20% - 강조색6 18 8" xfId="285"/>
    <cellStyle name="20% - 강조색6 19" xfId="286"/>
    <cellStyle name="20% - 강조색6 2 21" xfId="287"/>
    <cellStyle name="20% - 강조색6 2 10" xfId="288"/>
    <cellStyle name="20% - 강조색6 2 11" xfId="289"/>
    <cellStyle name="20% - 강조색6 2 11 2" xfId="290"/>
    <cellStyle name="20% - 강조색6 2 11 2 2" xfId="291"/>
    <cellStyle name="20% - 강조색6 2 11 2 3" xfId="292"/>
    <cellStyle name="20% - 강조색6 2 11 3" xfId="293"/>
    <cellStyle name="20% - 강조색6 2 12" xfId="294"/>
    <cellStyle name="20% - 강조색6 2 13" xfId="295"/>
    <cellStyle name="20% - 강조색6 2 14" xfId="296"/>
    <cellStyle name="20% - 강조색6 2 14 2" xfId="297"/>
    <cellStyle name="20% - 강조색6 2 14 2 2" xfId="298"/>
    <cellStyle name="20% - 강조색6 2 14 2 3" xfId="299"/>
    <cellStyle name="20% - 강조색6 2 14 3" xfId="300"/>
    <cellStyle name="20% - 강조색6 2 15" xfId="301"/>
    <cellStyle name="20% - 강조색6 2 16" xfId="302"/>
    <cellStyle name="20% - 강조색6 2 17" xfId="303"/>
    <cellStyle name="20% - 강조색6 2 17 2" xfId="304"/>
    <cellStyle name="20% - 강조색6 2 17 2 2" xfId="305"/>
    <cellStyle name="20% - 강조색6 2 17 2 3" xfId="306"/>
    <cellStyle name="20% - 강조색6 2 17 3" xfId="307"/>
    <cellStyle name="20% - 강조색6 2 18" xfId="308"/>
    <cellStyle name="20% - 강조색6 2 19" xfId="309"/>
    <cellStyle name="20% - 강조색6 2 2" xfId="310"/>
    <cellStyle name="20% - 강조색6 2 20" xfId="311"/>
    <cellStyle name="20% - 강조색6 2 3" xfId="312"/>
    <cellStyle name="20% - 강조색6 2 4" xfId="313"/>
    <cellStyle name="20% - 강조색6 2 5" xfId="314"/>
    <cellStyle name="20% - 강조색6 2 6" xfId="315"/>
    <cellStyle name="20% - 강조색6 2 7" xfId="316"/>
    <cellStyle name="20% - 강조색6 2 7 2" xfId="317"/>
    <cellStyle name="20% - 강조색6 2 7 2 2" xfId="318"/>
    <cellStyle name="20% - 강조색6 2 7 2 2 2" xfId="319"/>
    <cellStyle name="20% - 강조색6 2 7 2 2 2 2" xfId="320"/>
    <cellStyle name="20% - 강조색6 2 7 2 2 2 3" xfId="321"/>
    <cellStyle name="20% - 강조색6 2 7 2 2 3" xfId="322"/>
    <cellStyle name="20% - 강조색6 2 7 2 3" xfId="323"/>
    <cellStyle name="20% - 강조색6 2 7 2 4" xfId="324"/>
    <cellStyle name="20% - 강조색6 2 7 3" xfId="325"/>
    <cellStyle name="20% - 강조색6 2 7 3 2" xfId="326"/>
    <cellStyle name="20% - 강조색6 2 7 3 3" xfId="327"/>
    <cellStyle name="20% - 강조색6 2 7 4" xfId="328"/>
    <cellStyle name="20% - 강조색6 2 8" xfId="329"/>
    <cellStyle name="20% - 강조색6 2 9" xfId="330"/>
    <cellStyle name="20% - 강조색6 3" xfId="331"/>
    <cellStyle name="20% - 강조색6 3 2" xfId="332"/>
    <cellStyle name="20% - 강조색6 3 3" xfId="333"/>
    <cellStyle name="20% - 강조색6 3 4" xfId="334"/>
    <cellStyle name="20% - 강조색6 4" xfId="335"/>
    <cellStyle name="20% - 강조색6 5" xfId="336"/>
    <cellStyle name="20% - 강조색6 6" xfId="337"/>
    <cellStyle name="20% - 강조색6 7" xfId="338"/>
    <cellStyle name="20% - 강조색6 7 2" xfId="339"/>
    <cellStyle name="20% - 강조색6 8" xfId="340"/>
    <cellStyle name="20% - 강조색6 9" xfId="341"/>
    <cellStyle name="20% - 강조색6 9 2" xfId="342"/>
    <cellStyle name="20% - 강조색6 9 3" xfId="343"/>
    <cellStyle name="20% - 강조색6 9 4" xfId="344"/>
    <cellStyle name="20% - 강조색6 9 5" xfId="345"/>
    <cellStyle name="20% - 강조색6 9 6" xfId="346"/>
    <cellStyle name="20% - 강조색6 9 7" xfId="347"/>
    <cellStyle name="20% - 강조색6 9 8" xfId="348"/>
    <cellStyle name="20% - 강조색6 9 9" xfId="349"/>
    <cellStyle name="40% - 강조색1 10" xfId="350"/>
    <cellStyle name="40% - 강조색1 11" xfId="351"/>
    <cellStyle name="40% - 강조색1 12" xfId="352"/>
    <cellStyle name="40% - 강조색1 2 10" xfId="353"/>
    <cellStyle name="40% - 강조색1 2 2" xfId="354"/>
    <cellStyle name="40% - 강조색1 2 3" xfId="355"/>
    <cellStyle name="40% - 강조색1 2 4" xfId="356"/>
    <cellStyle name="40% - 강조색1 2 5" xfId="357"/>
    <cellStyle name="40% - 강조색1 2 6" xfId="358"/>
    <cellStyle name="40% - 강조색1 2 7" xfId="359"/>
    <cellStyle name="40% - 강조색1 2 8" xfId="360"/>
    <cellStyle name="40% - 강조색1 2 9" xfId="361"/>
    <cellStyle name="40% - 강조색1 3" xfId="362"/>
    <cellStyle name="40% - 강조색1 3 2" xfId="363"/>
    <cellStyle name="40% - 강조색1 3 3" xfId="364"/>
    <cellStyle name="40% - 강조색1 3 4" xfId="365"/>
    <cellStyle name="40% - 강조색1 4" xfId="366"/>
    <cellStyle name="40% - 강조색1 5" xfId="367"/>
    <cellStyle name="40% - 강조색1 6" xfId="368"/>
    <cellStyle name="40% - 강조색1 7" xfId="369"/>
    <cellStyle name="40% - 강조색1 7 2" xfId="370"/>
    <cellStyle name="40% - 강조색1 8" xfId="371"/>
    <cellStyle name="40% - 강조색1 9" xfId="372"/>
    <cellStyle name="40% - 강조색2 10" xfId="373"/>
    <cellStyle name="40% - 강조색2 11" xfId="374"/>
    <cellStyle name="40% - 강조색2 12" xfId="375"/>
    <cellStyle name="40% - 강조색2 2 10" xfId="376"/>
    <cellStyle name="40% - 강조색2 2 2" xfId="377"/>
    <cellStyle name="40% - 강조색2 2 3" xfId="378"/>
    <cellStyle name="40% - 강조색2 2 4" xfId="379"/>
    <cellStyle name="40% - 강조색2 2 5" xfId="380"/>
    <cellStyle name="40% - 강조색2 2 6" xfId="381"/>
    <cellStyle name="40% - 강조색2 2 7" xfId="382"/>
    <cellStyle name="40% - 강조색2 2 8" xfId="383"/>
    <cellStyle name="40% - 강조색2 2 9" xfId="384"/>
    <cellStyle name="40% - 강조색2 3" xfId="385"/>
    <cellStyle name="40% - 강조색2 3 2" xfId="386"/>
    <cellStyle name="40% - 강조색2 3 3" xfId="387"/>
    <cellStyle name="40% - 강조색2 3 4" xfId="388"/>
    <cellStyle name="40% - 강조색2 4" xfId="389"/>
    <cellStyle name="40% - 강조색2 5" xfId="390"/>
    <cellStyle name="40% - 강조색2 6" xfId="391"/>
    <cellStyle name="40% - 강조색2 7" xfId="392"/>
    <cellStyle name="40% - 강조색2 7 2" xfId="393"/>
    <cellStyle name="40% - 강조색2 8" xfId="394"/>
    <cellStyle name="40% - 강조색2 9" xfId="395"/>
    <cellStyle name="40% - 강조색3 10" xfId="396"/>
    <cellStyle name="40% - 강조색3 11" xfId="397"/>
    <cellStyle name="40% - 강조색3 12" xfId="398"/>
    <cellStyle name="40% - 강조색3 2 10" xfId="399"/>
    <cellStyle name="40% - 강조색3 2 2" xfId="400"/>
    <cellStyle name="40% - 강조색3 2 3" xfId="401"/>
    <cellStyle name="40% - 강조색3 2 4" xfId="402"/>
    <cellStyle name="40% - 강조색3 2 5" xfId="403"/>
    <cellStyle name="40% - 강조색3 2 6" xfId="404"/>
    <cellStyle name="40% - 강조색3 2 7" xfId="405"/>
    <cellStyle name="40% - 강조색3 2 8" xfId="406"/>
    <cellStyle name="40% - 강조색3 2 9" xfId="407"/>
    <cellStyle name="40% - 강조색3 3" xfId="408"/>
    <cellStyle name="40% - 강조색3 3 2" xfId="409"/>
    <cellStyle name="40% - 강조색3 3 3" xfId="410"/>
    <cellStyle name="40% - 강조색3 3 4" xfId="411"/>
    <cellStyle name="40% - 강조색3 4" xfId="412"/>
    <cellStyle name="40% - 강조색3 5" xfId="413"/>
    <cellStyle name="40% - 강조색3 6" xfId="414"/>
    <cellStyle name="40% - 강조색3 7" xfId="415"/>
    <cellStyle name="40% - 강조색3 7 2" xfId="416"/>
    <cellStyle name="40% - 강조색3 8" xfId="417"/>
    <cellStyle name="40% - 강조색3 9" xfId="418"/>
    <cellStyle name="40% - 강조색4 10" xfId="419"/>
    <cellStyle name="40% - 강조색4 11" xfId="420"/>
    <cellStyle name="40% - 강조색4 12" xfId="421"/>
    <cellStyle name="40% - 강조색4 2 10" xfId="422"/>
    <cellStyle name="40% - 강조색4 2 2" xfId="423"/>
    <cellStyle name="40% - 강조색4 2 3" xfId="424"/>
    <cellStyle name="40% - 강조색4 2 4" xfId="425"/>
    <cellStyle name="40% - 강조색4 2 5" xfId="426"/>
    <cellStyle name="40% - 강조색4 2 6" xfId="427"/>
    <cellStyle name="40% - 강조색4 2 7" xfId="428"/>
    <cellStyle name="40% - 강조색4 2 8" xfId="429"/>
    <cellStyle name="40% - 강조색4 2 9" xfId="430"/>
    <cellStyle name="40% - 강조색4 3" xfId="431"/>
    <cellStyle name="40% - 강조색4 3 2" xfId="432"/>
    <cellStyle name="40% - 강조색4 3 3" xfId="433"/>
    <cellStyle name="40% - 강조색4 3 4" xfId="434"/>
    <cellStyle name="40% - 강조색4 4" xfId="435"/>
    <cellStyle name="40% - 강조색4 5" xfId="436"/>
    <cellStyle name="40% - 강조색4 6" xfId="437"/>
    <cellStyle name="40% - 강조색4 7" xfId="438"/>
    <cellStyle name="40% - 강조색4 7 2" xfId="439"/>
    <cellStyle name="40% - 강조색4 8" xfId="440"/>
    <cellStyle name="40% - 강조색4 9" xfId="441"/>
    <cellStyle name="40% - 강조색5 10" xfId="442"/>
    <cellStyle name="40% - 강조색5 11" xfId="443"/>
    <cellStyle name="40% - 강조색5 12" xfId="444"/>
    <cellStyle name="40% - 강조색5 2 10" xfId="445"/>
    <cellStyle name="40% - 강조색5 2 2" xfId="446"/>
    <cellStyle name="40% - 강조색5 2 3" xfId="447"/>
    <cellStyle name="40% - 강조색5 2 4" xfId="448"/>
    <cellStyle name="40% - 강조색5 2 5" xfId="449"/>
    <cellStyle name="40% - 강조색5 2 6" xfId="450"/>
    <cellStyle name="40% - 강조색5 2 7" xfId="451"/>
    <cellStyle name="40% - 강조색5 2 8" xfId="452"/>
    <cellStyle name="40% - 강조색5 2 9" xfId="453"/>
    <cellStyle name="40% - 강조색5 3" xfId="454"/>
    <cellStyle name="40% - 강조색5 3 2" xfId="455"/>
    <cellStyle name="40% - 강조색5 3 3" xfId="456"/>
    <cellStyle name="40% - 강조색5 3 4" xfId="457"/>
    <cellStyle name="40% - 강조색5 4" xfId="458"/>
    <cellStyle name="40% - 강조색5 5" xfId="459"/>
    <cellStyle name="40% - 강조색5 6" xfId="460"/>
    <cellStyle name="40% - 강조색5 7" xfId="461"/>
    <cellStyle name="40% - 강조색5 7 2" xfId="462"/>
    <cellStyle name="40% - 강조색5 8" xfId="463"/>
    <cellStyle name="40% - 강조색5 9" xfId="464"/>
    <cellStyle name="40% - 강조색6 10" xfId="465"/>
    <cellStyle name="40% - 강조색6 11" xfId="466"/>
    <cellStyle name="40% - 강조색6 12" xfId="467"/>
    <cellStyle name="40% - 강조색6 2 10" xfId="468"/>
    <cellStyle name="40% - 강조색6 2 2" xfId="469"/>
    <cellStyle name="40% - 강조색6 2 3" xfId="470"/>
    <cellStyle name="40% - 강조색6 2 4" xfId="471"/>
    <cellStyle name="40% - 강조색6 2 5" xfId="472"/>
    <cellStyle name="40% - 강조색6 2 6" xfId="473"/>
    <cellStyle name="40% - 강조색6 2 7" xfId="474"/>
    <cellStyle name="40% - 강조색6 2 8" xfId="475"/>
    <cellStyle name="40% - 강조색6 2 9" xfId="476"/>
    <cellStyle name="40% - 강조색6 3" xfId="477"/>
    <cellStyle name="40% - 강조색6 3 2" xfId="478"/>
    <cellStyle name="40% - 강조색6 3 3" xfId="479"/>
    <cellStyle name="40% - 강조색6 3 4" xfId="480"/>
    <cellStyle name="40% - 강조색6 4" xfId="481"/>
    <cellStyle name="40% - 강조색6 5" xfId="482"/>
    <cellStyle name="40% - 강조색6 6" xfId="483"/>
    <cellStyle name="40% - 강조색6 7" xfId="484"/>
    <cellStyle name="40% - 강조색6 7 2" xfId="485"/>
    <cellStyle name="40% - 강조색6 8" xfId="486"/>
    <cellStyle name="40% - 강조색6 9" xfId="487"/>
    <cellStyle name="60% - 강조색1 10" xfId="488"/>
    <cellStyle name="60% - 강조색1 11" xfId="489"/>
    <cellStyle name="60% - 강조색1 12" xfId="490"/>
    <cellStyle name="60% - 강조색1 2 10" xfId="491"/>
    <cellStyle name="60% - 강조색1 2 2" xfId="492"/>
    <cellStyle name="60% - 강조색1 2 3" xfId="493"/>
    <cellStyle name="60% - 강조색1 2 4" xfId="494"/>
    <cellStyle name="60% - 강조색1 2 5" xfId="495"/>
    <cellStyle name="60% - 강조색1 2 6" xfId="496"/>
    <cellStyle name="60% - 강조색1 2 7" xfId="497"/>
    <cellStyle name="60% - 강조색1 2 8" xfId="498"/>
    <cellStyle name="60% - 강조색1 2 9" xfId="499"/>
    <cellStyle name="60% - 강조색1 3" xfId="500"/>
    <cellStyle name="60% - 강조색1 3 2" xfId="501"/>
    <cellStyle name="60% - 강조색1 3 3" xfId="502"/>
    <cellStyle name="60% - 강조색1 3 4" xfId="503"/>
    <cellStyle name="60% - 강조색1 4" xfId="504"/>
    <cellStyle name="60% - 강조색1 5" xfId="505"/>
    <cellStyle name="60% - 강조색1 6" xfId="506"/>
    <cellStyle name="60% - 강조색1 7" xfId="507"/>
    <cellStyle name="60% - 강조색1 7 2" xfId="508"/>
    <cellStyle name="60% - 강조색1 8" xfId="509"/>
    <cellStyle name="60% - 강조색1 9" xfId="510"/>
    <cellStyle name="60% - 강조색2 10" xfId="511"/>
    <cellStyle name="60% - 강조색2 11" xfId="512"/>
    <cellStyle name="60% - 강조색2 12" xfId="513"/>
    <cellStyle name="60% - 강조색2 2 10" xfId="514"/>
    <cellStyle name="60% - 강조색2 2 2" xfId="515"/>
    <cellStyle name="60% - 강조색2 2 3" xfId="516"/>
    <cellStyle name="60% - 강조색2 2 4" xfId="517"/>
    <cellStyle name="60% - 강조색2 2 5" xfId="518"/>
    <cellStyle name="60% - 강조색2 2 6" xfId="519"/>
    <cellStyle name="60% - 강조색2 2 7" xfId="520"/>
    <cellStyle name="60% - 강조색2 2 8" xfId="521"/>
    <cellStyle name="60% - 강조색2 2 9" xfId="522"/>
    <cellStyle name="60% - 강조색2 3" xfId="523"/>
    <cellStyle name="60% - 강조색2 3 2" xfId="524"/>
    <cellStyle name="60% - 강조색2 3 3" xfId="525"/>
    <cellStyle name="60% - 강조색2 3 4" xfId="526"/>
    <cellStyle name="60% - 강조색2 4" xfId="527"/>
    <cellStyle name="60% - 강조색2 5" xfId="528"/>
    <cellStyle name="60% - 강조색2 6" xfId="529"/>
    <cellStyle name="60% - 강조색2 7" xfId="530"/>
    <cellStyle name="60% - 강조색2 7 2" xfId="531"/>
    <cellStyle name="60% - 강조색2 8" xfId="532"/>
    <cellStyle name="60% - 강조색2 9" xfId="533"/>
    <cellStyle name="60% - 강조색3 10" xfId="534"/>
    <cellStyle name="60% - 강조색3 11" xfId="535"/>
    <cellStyle name="60% - 강조색3 12" xfId="536"/>
    <cellStyle name="60% - 강조색3 2 10" xfId="537"/>
    <cellStyle name="60% - 강조색3 2 2" xfId="538"/>
    <cellStyle name="60% - 강조색3 2 3" xfId="539"/>
    <cellStyle name="60% - 강조색3 2 4" xfId="540"/>
    <cellStyle name="60% - 강조색3 2 5" xfId="541"/>
    <cellStyle name="60% - 강조색3 2 6" xfId="542"/>
    <cellStyle name="60% - 강조색3 2 7" xfId="543"/>
    <cellStyle name="60% - 강조색3 2 8" xfId="544"/>
    <cellStyle name="60% - 강조색3 2 9" xfId="545"/>
    <cellStyle name="60% - 강조색3 3" xfId="546"/>
    <cellStyle name="60% - 강조색3 3 2" xfId="547"/>
    <cellStyle name="60% - 강조색3 3 3" xfId="548"/>
    <cellStyle name="60% - 강조색3 3 4" xfId="549"/>
    <cellStyle name="60% - 강조색3 4" xfId="550"/>
    <cellStyle name="60% - 강조색3 5" xfId="551"/>
    <cellStyle name="60% - 강조색3 6" xfId="552"/>
    <cellStyle name="60% - 강조색3 7" xfId="553"/>
    <cellStyle name="60% - 강조색3 7 2" xfId="554"/>
    <cellStyle name="60% - 강조색3 8" xfId="555"/>
    <cellStyle name="60% - 강조색3 9" xfId="556"/>
    <cellStyle name="60% - 강조색4 10" xfId="557"/>
    <cellStyle name="60% - 강조색4 11" xfId="558"/>
    <cellStyle name="60% - 강조색4 12" xfId="559"/>
    <cellStyle name="60% - 강조색4 2 10" xfId="560"/>
    <cellStyle name="60% - 강조색4 2 2" xfId="561"/>
    <cellStyle name="60% - 강조색4 2 3" xfId="562"/>
    <cellStyle name="60% - 강조색4 2 4" xfId="563"/>
    <cellStyle name="60% - 강조색4 2 5" xfId="564"/>
    <cellStyle name="60% - 강조색4 2 6" xfId="565"/>
    <cellStyle name="60% - 강조색4 2 7" xfId="566"/>
    <cellStyle name="60% - 강조색4 2 8" xfId="567"/>
    <cellStyle name="60% - 강조색4 2 9" xfId="568"/>
    <cellStyle name="60% - 강조색4 3" xfId="569"/>
    <cellStyle name="60% - 강조색4 3 2" xfId="570"/>
    <cellStyle name="60% - 강조색4 3 3" xfId="571"/>
    <cellStyle name="60% - 강조색4 3 4" xfId="572"/>
    <cellStyle name="60% - 강조색4 4" xfId="573"/>
    <cellStyle name="60% - 강조색4 5" xfId="574"/>
    <cellStyle name="60% - 강조색4 6" xfId="575"/>
    <cellStyle name="60% - 강조색4 7" xfId="576"/>
    <cellStyle name="60% - 강조색4 7 2" xfId="577"/>
    <cellStyle name="60% - 강조색4 8" xfId="578"/>
    <cellStyle name="60% - 강조색4 9" xfId="579"/>
    <cellStyle name="60% - 강조색5 10" xfId="580"/>
    <cellStyle name="60% - 강조색5 11" xfId="581"/>
    <cellStyle name="60% - 강조색5 12" xfId="582"/>
    <cellStyle name="60% - 강조색5 2 10" xfId="583"/>
    <cellStyle name="60% - 강조색5 2 2" xfId="584"/>
    <cellStyle name="60% - 강조색5 2 3" xfId="585"/>
    <cellStyle name="60% - 강조색5 2 4" xfId="586"/>
    <cellStyle name="60% - 강조색5 2 5" xfId="587"/>
    <cellStyle name="60% - 강조색5 2 6" xfId="588"/>
    <cellStyle name="60% - 강조색5 2 7" xfId="589"/>
    <cellStyle name="60% - 강조색5 2 8" xfId="590"/>
    <cellStyle name="60% - 강조색5 2 9" xfId="591"/>
    <cellStyle name="60% - 강조색5 3" xfId="592"/>
    <cellStyle name="60% - 강조색5 3 2" xfId="593"/>
    <cellStyle name="60% - 강조색5 3 3" xfId="594"/>
    <cellStyle name="60% - 강조색5 3 4" xfId="595"/>
    <cellStyle name="60% - 강조색5 4" xfId="596"/>
    <cellStyle name="60% - 강조색5 5" xfId="597"/>
    <cellStyle name="60% - 강조색5 6" xfId="598"/>
    <cellStyle name="60% - 강조색5 7" xfId="599"/>
    <cellStyle name="60% - 강조색5 7 2" xfId="600"/>
    <cellStyle name="60% - 강조색5 8" xfId="601"/>
    <cellStyle name="60% - 강조색5 9" xfId="602"/>
    <cellStyle name="60% - 강조색6 10" xfId="603"/>
    <cellStyle name="60% - 강조색6 11" xfId="604"/>
    <cellStyle name="60% - 강조색6 12" xfId="605"/>
    <cellStyle name="60% - 강조색6 2 10" xfId="606"/>
    <cellStyle name="60% - 강조색6 2 2" xfId="607"/>
    <cellStyle name="60% - 강조색6 2 3" xfId="608"/>
    <cellStyle name="60% - 강조색6 2 4" xfId="609"/>
    <cellStyle name="60% - 강조색6 2 5" xfId="610"/>
    <cellStyle name="60% - 강조색6 2 6" xfId="611"/>
    <cellStyle name="60% - 강조색6 2 7" xfId="612"/>
    <cellStyle name="60% - 강조색6 2 8" xfId="613"/>
    <cellStyle name="60% - 강조색6 2 9" xfId="614"/>
    <cellStyle name="60% - 강조색6 3" xfId="615"/>
    <cellStyle name="60% - 강조색6 3 2" xfId="616"/>
    <cellStyle name="60% - 강조색6 3 3" xfId="617"/>
    <cellStyle name="60% - 강조색6 3 4" xfId="618"/>
    <cellStyle name="60% - 강조색6 4" xfId="619"/>
    <cellStyle name="60% - 강조색6 5" xfId="620"/>
    <cellStyle name="60% - 강조색6 6" xfId="621"/>
    <cellStyle name="60% - 강조색6 7" xfId="622"/>
    <cellStyle name="60% - 강조색6 7 2" xfId="623"/>
    <cellStyle name="60% - 강조색6 8" xfId="624"/>
    <cellStyle name="60% - 강조색6 9" xfId="625"/>
    <cellStyle name="강조색1 10" xfId="626"/>
    <cellStyle name="강조색1 11" xfId="627"/>
    <cellStyle name="강조색1 12" xfId="628"/>
    <cellStyle name="강조색1 2 10" xfId="629"/>
    <cellStyle name="강조색1 2 2" xfId="630"/>
    <cellStyle name="강조색1 2 3" xfId="631"/>
    <cellStyle name="강조색1 2 4" xfId="632"/>
    <cellStyle name="강조색1 2 5" xfId="633"/>
    <cellStyle name="강조색1 2 6" xfId="634"/>
    <cellStyle name="강조색1 2 7" xfId="635"/>
    <cellStyle name="강조색1 2 8" xfId="636"/>
    <cellStyle name="강조색1 2 9" xfId="637"/>
    <cellStyle name="강조색1 3" xfId="638"/>
    <cellStyle name="강조색1 3 2" xfId="639"/>
    <cellStyle name="강조색1 3 3" xfId="640"/>
    <cellStyle name="강조색1 3 4" xfId="641"/>
    <cellStyle name="강조색1 4" xfId="642"/>
    <cellStyle name="강조색1 5" xfId="643"/>
    <cellStyle name="강조색1 6" xfId="644"/>
    <cellStyle name="강조색1 7" xfId="645"/>
    <cellStyle name="강조색1 7 2" xfId="646"/>
    <cellStyle name="강조색1 8" xfId="647"/>
    <cellStyle name="강조색1 9" xfId="648"/>
    <cellStyle name="강조색2 10" xfId="649"/>
    <cellStyle name="강조색2 11" xfId="650"/>
    <cellStyle name="강조색2 12" xfId="651"/>
    <cellStyle name="강조색2 2 10" xfId="652"/>
    <cellStyle name="강조색2 2 2" xfId="653"/>
    <cellStyle name="강조색2 2 3" xfId="654"/>
    <cellStyle name="강조색2 2 4" xfId="655"/>
    <cellStyle name="강조색2 2 5" xfId="656"/>
    <cellStyle name="강조색2 2 6" xfId="657"/>
    <cellStyle name="강조색2 2 7" xfId="658"/>
    <cellStyle name="강조색2 2 8" xfId="659"/>
    <cellStyle name="강조색2 2 9" xfId="660"/>
    <cellStyle name="강조색2 3" xfId="661"/>
    <cellStyle name="강조색2 3 2" xfId="662"/>
    <cellStyle name="강조색2 3 3" xfId="663"/>
    <cellStyle name="강조색2 3 4" xfId="664"/>
    <cellStyle name="강조색2 4" xfId="665"/>
    <cellStyle name="강조색2 5" xfId="666"/>
    <cellStyle name="강조색2 6" xfId="667"/>
    <cellStyle name="강조색2 7" xfId="668"/>
    <cellStyle name="강조색2 7 2" xfId="669"/>
    <cellStyle name="강조색2 8" xfId="670"/>
    <cellStyle name="강조색2 9" xfId="671"/>
    <cellStyle name="강조색3 10" xfId="672"/>
    <cellStyle name="강조색3 11" xfId="673"/>
    <cellStyle name="강조색3 12" xfId="674"/>
    <cellStyle name="강조색3 2 10" xfId="675"/>
    <cellStyle name="강조색3 2 2" xfId="676"/>
    <cellStyle name="강조색3 2 3" xfId="677"/>
    <cellStyle name="강조색3 2 4" xfId="678"/>
    <cellStyle name="강조색3 2 5" xfId="679"/>
    <cellStyle name="강조색3 2 6" xfId="680"/>
    <cellStyle name="강조색3 2 7" xfId="681"/>
    <cellStyle name="강조색3 2 8" xfId="682"/>
    <cellStyle name="강조색3 2 9" xfId="683"/>
    <cellStyle name="강조색3 3" xfId="684"/>
    <cellStyle name="강조색3 3 2" xfId="685"/>
    <cellStyle name="강조색3 3 3" xfId="686"/>
    <cellStyle name="강조색3 3 4" xfId="687"/>
    <cellStyle name="강조색3 4" xfId="688"/>
    <cellStyle name="강조색3 5" xfId="689"/>
    <cellStyle name="강조색3 6" xfId="690"/>
    <cellStyle name="강조색3 7" xfId="691"/>
    <cellStyle name="강조색3 7 2" xfId="692"/>
    <cellStyle name="강조색3 8" xfId="693"/>
    <cellStyle name="강조색3 9" xfId="694"/>
    <cellStyle name="강조색4 10" xfId="695"/>
    <cellStyle name="강조색4 11" xfId="696"/>
    <cellStyle name="강조색4 12" xfId="697"/>
    <cellStyle name="강조색4 2 10" xfId="698"/>
    <cellStyle name="강조색4 2 2" xfId="699"/>
    <cellStyle name="강조색4 2 3" xfId="700"/>
    <cellStyle name="강조색4 2 4" xfId="701"/>
    <cellStyle name="강조색4 2 5" xfId="702"/>
    <cellStyle name="강조색4 2 6" xfId="703"/>
    <cellStyle name="강조색4 2 7" xfId="704"/>
    <cellStyle name="강조색4 2 8" xfId="705"/>
    <cellStyle name="강조색4 2 9" xfId="706"/>
    <cellStyle name="강조색4 3" xfId="707"/>
    <cellStyle name="강조색4 3 2" xfId="708"/>
    <cellStyle name="강조색4 3 3" xfId="709"/>
    <cellStyle name="강조색4 3 4" xfId="710"/>
    <cellStyle name="강조색4 4" xfId="711"/>
    <cellStyle name="강조색4 5" xfId="712"/>
    <cellStyle name="강조색4 6" xfId="713"/>
    <cellStyle name="강조색4 7" xfId="714"/>
    <cellStyle name="강조색4 7 2" xfId="715"/>
    <cellStyle name="강조색4 8" xfId="716"/>
    <cellStyle name="강조색4 9" xfId="717"/>
    <cellStyle name="강조색5 10" xfId="718"/>
    <cellStyle name="강조색5 11" xfId="719"/>
    <cellStyle name="강조색5 12" xfId="720"/>
    <cellStyle name="강조색5 2 10" xfId="721"/>
    <cellStyle name="강조색5 2 2" xfId="722"/>
    <cellStyle name="강조색5 2 3" xfId="723"/>
    <cellStyle name="강조색5 2 4" xfId="724"/>
    <cellStyle name="강조색5 2 5" xfId="725"/>
    <cellStyle name="강조색5 2 6" xfId="726"/>
    <cellStyle name="강조색5 2 7" xfId="727"/>
    <cellStyle name="강조색5 2 8" xfId="728"/>
    <cellStyle name="강조색5 2 9" xfId="729"/>
    <cellStyle name="강조색5 3" xfId="730"/>
    <cellStyle name="강조색5 3 2" xfId="731"/>
    <cellStyle name="강조색5 3 3" xfId="732"/>
    <cellStyle name="강조색5 3 4" xfId="733"/>
    <cellStyle name="강조색5 4" xfId="734"/>
    <cellStyle name="강조색5 5" xfId="735"/>
    <cellStyle name="강조색5 6" xfId="736"/>
    <cellStyle name="강조색5 7" xfId="737"/>
    <cellStyle name="강조색5 7 2" xfId="738"/>
    <cellStyle name="강조색5 8" xfId="739"/>
    <cellStyle name="강조색5 9" xfId="740"/>
    <cellStyle name="강조색6 10" xfId="741"/>
    <cellStyle name="강조색6 11" xfId="742"/>
    <cellStyle name="강조색6 12" xfId="743"/>
    <cellStyle name="강조색6 2 10" xfId="744"/>
    <cellStyle name="강조색6 2 2" xfId="745"/>
    <cellStyle name="강조색6 2 3" xfId="746"/>
    <cellStyle name="강조색6 2 4" xfId="747"/>
    <cellStyle name="강조색6 2 5" xfId="748"/>
    <cellStyle name="강조색6 2 6" xfId="749"/>
    <cellStyle name="강조색6 2 7" xfId="750"/>
    <cellStyle name="강조색6 2 8" xfId="751"/>
    <cellStyle name="강조색6 2 9" xfId="752"/>
    <cellStyle name="강조색6 3" xfId="753"/>
    <cellStyle name="강조색6 3 2" xfId="754"/>
    <cellStyle name="강조색6 3 3" xfId="755"/>
    <cellStyle name="강조색6 3 4" xfId="756"/>
    <cellStyle name="강조색6 4" xfId="757"/>
    <cellStyle name="강조색6 5" xfId="758"/>
    <cellStyle name="강조색6 6" xfId="759"/>
    <cellStyle name="강조색6 7" xfId="760"/>
    <cellStyle name="강조색6 7 2" xfId="761"/>
    <cellStyle name="강조색6 8" xfId="762"/>
    <cellStyle name="강조색6 9" xfId="763"/>
    <cellStyle name="경고문 10" xfId="764"/>
    <cellStyle name="경고문 11" xfId="765"/>
    <cellStyle name="경고문 12" xfId="766"/>
    <cellStyle name="경고문 2 10" xfId="767"/>
    <cellStyle name="경고문 2 2" xfId="768"/>
    <cellStyle name="경고문 2 3" xfId="769"/>
    <cellStyle name="경고문 2 4" xfId="770"/>
    <cellStyle name="경고문 2 5" xfId="771"/>
    <cellStyle name="경고문 2 6" xfId="772"/>
    <cellStyle name="경고문 2 7" xfId="773"/>
    <cellStyle name="경고문 2 8" xfId="774"/>
    <cellStyle name="경고문 2 9" xfId="775"/>
    <cellStyle name="경고문 3" xfId="776"/>
    <cellStyle name="경고문 3 2" xfId="777"/>
    <cellStyle name="경고문 3 3" xfId="778"/>
    <cellStyle name="경고문 3 4" xfId="779"/>
    <cellStyle name="경고문 4" xfId="780"/>
    <cellStyle name="경고문 5" xfId="781"/>
    <cellStyle name="경고문 6" xfId="782"/>
    <cellStyle name="경고문 7" xfId="783"/>
    <cellStyle name="경고문 7 2" xfId="784"/>
    <cellStyle name="경고문 8" xfId="785"/>
    <cellStyle name="경고문 9" xfId="786"/>
    <cellStyle name="계산 10" xfId="787"/>
    <cellStyle name="계산 11" xfId="788"/>
    <cellStyle name="계산 12" xfId="789"/>
    <cellStyle name="계산 2 10" xfId="790"/>
    <cellStyle name="계산 2 2" xfId="791"/>
    <cellStyle name="계산 2 3" xfId="792"/>
    <cellStyle name="계산 2 4" xfId="793"/>
    <cellStyle name="계산 2 5" xfId="794"/>
    <cellStyle name="계산 2 6" xfId="795"/>
    <cellStyle name="계산 2 7" xfId="796"/>
    <cellStyle name="계산 2 8" xfId="797"/>
    <cellStyle name="계산 2 9" xfId="798"/>
    <cellStyle name="계산 3" xfId="799"/>
    <cellStyle name="계산 3 2" xfId="800"/>
    <cellStyle name="계산 3 3" xfId="801"/>
    <cellStyle name="계산 3 4" xfId="802"/>
    <cellStyle name="계산 4" xfId="803"/>
    <cellStyle name="계산 5" xfId="804"/>
    <cellStyle name="계산 6" xfId="805"/>
    <cellStyle name="계산 7" xfId="806"/>
    <cellStyle name="계산 7 2" xfId="807"/>
    <cellStyle name="계산 8" xfId="808"/>
    <cellStyle name="계산 9" xfId="809"/>
    <cellStyle name="나쁨 10" xfId="810"/>
    <cellStyle name="나쁨 11" xfId="811"/>
    <cellStyle name="나쁨 12" xfId="812"/>
    <cellStyle name="나쁨 2 10" xfId="813"/>
    <cellStyle name="나쁨 2 2" xfId="814"/>
    <cellStyle name="나쁨 2 3" xfId="815"/>
    <cellStyle name="나쁨 2 4" xfId="816"/>
    <cellStyle name="나쁨 2 5" xfId="817"/>
    <cellStyle name="나쁨 2 6" xfId="818"/>
    <cellStyle name="나쁨 2 7" xfId="819"/>
    <cellStyle name="나쁨 2 8" xfId="820"/>
    <cellStyle name="나쁨 2 9" xfId="821"/>
    <cellStyle name="나쁨 3" xfId="822"/>
    <cellStyle name="나쁨 3 2" xfId="823"/>
    <cellStyle name="나쁨 3 3" xfId="824"/>
    <cellStyle name="나쁨 3 4" xfId="825"/>
    <cellStyle name="나쁨 4" xfId="826"/>
    <cellStyle name="나쁨 5" xfId="827"/>
    <cellStyle name="나쁨 6" xfId="828"/>
    <cellStyle name="나쁨 7" xfId="829"/>
    <cellStyle name="나쁨 7 2" xfId="830"/>
    <cellStyle name="나쁨 8" xfId="831"/>
    <cellStyle name="나쁨 9" xfId="832"/>
    <cellStyle name="메모 20" xfId="833"/>
    <cellStyle name="메모 10" xfId="834"/>
    <cellStyle name="메모 10 2" xfId="835"/>
    <cellStyle name="메모 10 3" xfId="836"/>
    <cellStyle name="메모 10 4" xfId="837"/>
    <cellStyle name="메모 10 5" xfId="838"/>
    <cellStyle name="메모 10 6" xfId="839"/>
    <cellStyle name="메모 10 7" xfId="840"/>
    <cellStyle name="메모 10 8" xfId="841"/>
    <cellStyle name="메모 10 9" xfId="842"/>
    <cellStyle name="메모 11" xfId="843"/>
    <cellStyle name="메모 11 2" xfId="844"/>
    <cellStyle name="메모 11 3" xfId="845"/>
    <cellStyle name="메모 11 4" xfId="846"/>
    <cellStyle name="메모 11 5" xfId="847"/>
    <cellStyle name="메모 11 6" xfId="848"/>
    <cellStyle name="메모 11 7" xfId="849"/>
    <cellStyle name="메모 11 8" xfId="850"/>
    <cellStyle name="메모 11 9" xfId="851"/>
    <cellStyle name="메모 12" xfId="852"/>
    <cellStyle name="메모 12 2" xfId="853"/>
    <cellStyle name="메모 12 3" xfId="854"/>
    <cellStyle name="메모 12 4" xfId="855"/>
    <cellStyle name="메모 12 5" xfId="856"/>
    <cellStyle name="메모 12 6" xfId="857"/>
    <cellStyle name="메모 12 7" xfId="858"/>
    <cellStyle name="메모 12 8" xfId="859"/>
    <cellStyle name="메모 13" xfId="860"/>
    <cellStyle name="메모 13 2" xfId="861"/>
    <cellStyle name="메모 13 3" xfId="862"/>
    <cellStyle name="메모 13 4" xfId="863"/>
    <cellStyle name="메모 13 5" xfId="864"/>
    <cellStyle name="메모 13 6" xfId="865"/>
    <cellStyle name="메모 13 7" xfId="866"/>
    <cellStyle name="메모 13 8" xfId="867"/>
    <cellStyle name="메모 14" xfId="868"/>
    <cellStyle name="메모 14 2" xfId="869"/>
    <cellStyle name="메모 14 3" xfId="870"/>
    <cellStyle name="메모 14 4" xfId="871"/>
    <cellStyle name="메모 14 5" xfId="872"/>
    <cellStyle name="메모 14 6" xfId="873"/>
    <cellStyle name="메모 14 7" xfId="874"/>
    <cellStyle name="메모 14 8" xfId="875"/>
    <cellStyle name="메모 15" xfId="876"/>
    <cellStyle name="메모 15 2" xfId="877"/>
    <cellStyle name="메모 15 3" xfId="878"/>
    <cellStyle name="메모 15 4" xfId="879"/>
    <cellStyle name="메모 15 5" xfId="880"/>
    <cellStyle name="메모 15 6" xfId="881"/>
    <cellStyle name="메모 15 7" xfId="882"/>
    <cellStyle name="메모 15 8" xfId="883"/>
    <cellStyle name="메모 16" xfId="884"/>
    <cellStyle name="메모 16 2" xfId="885"/>
    <cellStyle name="메모 16 3" xfId="886"/>
    <cellStyle name="메모 16 4" xfId="887"/>
    <cellStyle name="메모 16 5" xfId="888"/>
    <cellStyle name="메모 16 6" xfId="889"/>
    <cellStyle name="메모 16 7" xfId="890"/>
    <cellStyle name="메모 16 8" xfId="891"/>
    <cellStyle name="메모 17" xfId="892"/>
    <cellStyle name="메모 17 2" xfId="893"/>
    <cellStyle name="메모 17 3" xfId="894"/>
    <cellStyle name="메모 17 4" xfId="895"/>
    <cellStyle name="메모 17 5" xfId="896"/>
    <cellStyle name="메모 17 6" xfId="897"/>
    <cellStyle name="메모 17 7" xfId="898"/>
    <cellStyle name="메모 17 8" xfId="899"/>
    <cellStyle name="메모 18" xfId="900"/>
    <cellStyle name="메모 18 2" xfId="901"/>
    <cellStyle name="메모 18 3" xfId="902"/>
    <cellStyle name="메모 18 4" xfId="903"/>
    <cellStyle name="메모 18 5" xfId="904"/>
    <cellStyle name="메모 18 6" xfId="905"/>
    <cellStyle name="메모 18 7" xfId="906"/>
    <cellStyle name="메모 18 8" xfId="907"/>
    <cellStyle name="메모 19" xfId="908"/>
    <cellStyle name="메모 2 21" xfId="909"/>
    <cellStyle name="메모 2 10" xfId="910"/>
    <cellStyle name="메모 2 11" xfId="911"/>
    <cellStyle name="메모 2 11 2" xfId="912"/>
    <cellStyle name="메모 2 11 2 2" xfId="913"/>
    <cellStyle name="메모 2 11 2 3" xfId="914"/>
    <cellStyle name="메모 2 11 3" xfId="915"/>
    <cellStyle name="메모 2 12" xfId="916"/>
    <cellStyle name="메모 2 13" xfId="917"/>
    <cellStyle name="메모 2 14" xfId="918"/>
    <cellStyle name="메모 2 14 2" xfId="919"/>
    <cellStyle name="메모 2 14 2 2" xfId="920"/>
    <cellStyle name="메모 2 14 2 3" xfId="921"/>
    <cellStyle name="메모 2 14 3" xfId="922"/>
    <cellStyle name="메모 2 15" xfId="923"/>
    <cellStyle name="메모 2 16" xfId="924"/>
    <cellStyle name="메모 2 17" xfId="925"/>
    <cellStyle name="메모 2 17 2" xfId="926"/>
    <cellStyle name="메모 2 17 2 2" xfId="927"/>
    <cellStyle name="메모 2 17 2 3" xfId="928"/>
    <cellStyle name="메모 2 17 3" xfId="929"/>
    <cellStyle name="메모 2 18" xfId="930"/>
    <cellStyle name="메모 2 19" xfId="931"/>
    <cellStyle name="메모 2 2" xfId="932"/>
    <cellStyle name="메모 2 20" xfId="933"/>
    <cellStyle name="메모 2 3" xfId="934"/>
    <cellStyle name="메모 2 4" xfId="935"/>
    <cellStyle name="메모 2 5" xfId="936"/>
    <cellStyle name="메모 2 6" xfId="937"/>
    <cellStyle name="메모 2 7" xfId="938"/>
    <cellStyle name="메모 2 7 2" xfId="939"/>
    <cellStyle name="메모 2 7 2 2" xfId="940"/>
    <cellStyle name="메모 2 7 2 2 2" xfId="941"/>
    <cellStyle name="메모 2 7 2 2 2 2" xfId="942"/>
    <cellStyle name="메모 2 7 2 2 2 3" xfId="943"/>
    <cellStyle name="메모 2 7 2 2 3" xfId="944"/>
    <cellStyle name="메모 2 7 2 3" xfId="945"/>
    <cellStyle name="메모 2 7 2 4" xfId="946"/>
    <cellStyle name="메모 2 7 3" xfId="947"/>
    <cellStyle name="메모 2 7 3 2" xfId="948"/>
    <cellStyle name="메모 2 7 3 3" xfId="949"/>
    <cellStyle name="메모 2 7 4" xfId="950"/>
    <cellStyle name="메모 2 8" xfId="951"/>
    <cellStyle name="메모 2 9" xfId="952"/>
    <cellStyle name="메모 3" xfId="953"/>
    <cellStyle name="메모 3 2" xfId="954"/>
    <cellStyle name="메모 3 3" xfId="955"/>
    <cellStyle name="메모 3 4" xfId="956"/>
    <cellStyle name="메모 4" xfId="957"/>
    <cellStyle name="메모 5" xfId="958"/>
    <cellStyle name="메모 6" xfId="959"/>
    <cellStyle name="메모 7" xfId="960"/>
    <cellStyle name="메모 7 2" xfId="961"/>
    <cellStyle name="메모 8" xfId="962"/>
    <cellStyle name="메모 9" xfId="963"/>
    <cellStyle name="메모 9 2" xfId="964"/>
    <cellStyle name="메모 9 3" xfId="965"/>
    <cellStyle name="메모 9 4" xfId="966"/>
    <cellStyle name="메모 9 5" xfId="967"/>
    <cellStyle name="메모 9 6" xfId="968"/>
    <cellStyle name="메모 9 7" xfId="969"/>
    <cellStyle name="메모 9 8" xfId="970"/>
    <cellStyle name="메모 9 9" xfId="971"/>
    <cellStyle name="보통 10" xfId="972"/>
    <cellStyle name="보통 11" xfId="973"/>
    <cellStyle name="보통 12" xfId="974"/>
    <cellStyle name="보통 2 10" xfId="975"/>
    <cellStyle name="보통 2 2" xfId="976"/>
    <cellStyle name="보통 2 3" xfId="977"/>
    <cellStyle name="보통 2 4" xfId="978"/>
    <cellStyle name="보통 2 5" xfId="979"/>
    <cellStyle name="보통 2 6" xfId="980"/>
    <cellStyle name="보통 2 7" xfId="981"/>
    <cellStyle name="보통 2 8" xfId="982"/>
    <cellStyle name="보통 2 9" xfId="983"/>
    <cellStyle name="보통 3" xfId="984"/>
    <cellStyle name="보통 3 2" xfId="985"/>
    <cellStyle name="보통 3 3" xfId="986"/>
    <cellStyle name="보통 3 4" xfId="987"/>
    <cellStyle name="보통 4" xfId="988"/>
    <cellStyle name="보통 5" xfId="989"/>
    <cellStyle name="보통 6" xfId="990"/>
    <cellStyle name="보통 7" xfId="991"/>
    <cellStyle name="보통 7 2" xfId="992"/>
    <cellStyle name="보통 8" xfId="993"/>
    <cellStyle name="보통 9" xfId="994"/>
    <cellStyle name="설명 텍스트 10" xfId="995"/>
    <cellStyle name="설명 텍스트 11" xfId="996"/>
    <cellStyle name="설명 텍스트 12" xfId="997"/>
    <cellStyle name="설명 텍스트 2 10" xfId="998"/>
    <cellStyle name="설명 텍스트 2 2" xfId="999"/>
    <cellStyle name="설명 텍스트 2 3" xfId="1000"/>
    <cellStyle name="설명 텍스트 2 4" xfId="1001"/>
    <cellStyle name="설명 텍스트 2 5" xfId="1002"/>
    <cellStyle name="설명 텍스트 2 6" xfId="1003"/>
    <cellStyle name="설명 텍스트 2 7" xfId="1004"/>
    <cellStyle name="설명 텍스트 2 8" xfId="1005"/>
    <cellStyle name="설명 텍스트 2 9" xfId="1006"/>
    <cellStyle name="설명 텍스트 3" xfId="1007"/>
    <cellStyle name="설명 텍스트 3 2" xfId="1008"/>
    <cellStyle name="설명 텍스트 3 3" xfId="1009"/>
    <cellStyle name="설명 텍스트 3 4" xfId="1010"/>
    <cellStyle name="설명 텍스트 4" xfId="1011"/>
    <cellStyle name="설명 텍스트 5" xfId="1012"/>
    <cellStyle name="설명 텍스트 6" xfId="1013"/>
    <cellStyle name="설명 텍스트 7" xfId="1014"/>
    <cellStyle name="설명 텍스트 7 2" xfId="1015"/>
    <cellStyle name="설명 텍스트 8" xfId="1016"/>
    <cellStyle name="설명 텍스트 9" xfId="1017"/>
    <cellStyle name="셀 확인 10" xfId="1018"/>
    <cellStyle name="셀 확인 11" xfId="1019"/>
    <cellStyle name="셀 확인 12" xfId="1020"/>
    <cellStyle name="셀 확인 2 10" xfId="1021"/>
    <cellStyle name="셀 확인 2 2" xfId="1022"/>
    <cellStyle name="셀 확인 2 3" xfId="1023"/>
    <cellStyle name="셀 확인 2 4" xfId="1024"/>
    <cellStyle name="셀 확인 2 5" xfId="1025"/>
    <cellStyle name="셀 확인 2 6" xfId="1026"/>
    <cellStyle name="셀 확인 2 7" xfId="1027"/>
    <cellStyle name="셀 확인 2 8" xfId="1028"/>
    <cellStyle name="셀 확인 2 9" xfId="1029"/>
    <cellStyle name="셀 확인 3" xfId="1030"/>
    <cellStyle name="셀 확인 3 2" xfId="1031"/>
    <cellStyle name="셀 확인 3 3" xfId="1032"/>
    <cellStyle name="셀 확인 3 4" xfId="1033"/>
    <cellStyle name="셀 확인 4" xfId="1034"/>
    <cellStyle name="셀 확인 5" xfId="1035"/>
    <cellStyle name="셀 확인 6" xfId="1036"/>
    <cellStyle name="셀 확인 7" xfId="1037"/>
    <cellStyle name="셀 확인 7 2" xfId="1038"/>
    <cellStyle name="셀 확인 8" xfId="1039"/>
    <cellStyle name="셀 확인 9" xfId="1040"/>
    <cellStyle name="스타일 1 2" xfId="1041"/>
    <cellStyle name="연결된 셀 10" xfId="1042"/>
    <cellStyle name="연결된 셀 11" xfId="1043"/>
    <cellStyle name="연결된 셀 12" xfId="1044"/>
    <cellStyle name="연결된 셀 2 10" xfId="1045"/>
    <cellStyle name="연결된 셀 2 2" xfId="1046"/>
    <cellStyle name="연결된 셀 2 3" xfId="1047"/>
    <cellStyle name="연결된 셀 2 4" xfId="1048"/>
    <cellStyle name="연결된 셀 2 5" xfId="1049"/>
    <cellStyle name="연결된 셀 2 6" xfId="1050"/>
    <cellStyle name="연결된 셀 2 7" xfId="1051"/>
    <cellStyle name="연결된 셀 2 8" xfId="1052"/>
    <cellStyle name="연결된 셀 2 9" xfId="1053"/>
    <cellStyle name="연결된 셀 3" xfId="1054"/>
    <cellStyle name="연결된 셀 3 2" xfId="1055"/>
    <cellStyle name="연결된 셀 3 3" xfId="1056"/>
    <cellStyle name="연결된 셀 3 4" xfId="1057"/>
    <cellStyle name="연결된 셀 4" xfId="1058"/>
    <cellStyle name="연결된 셀 5" xfId="1059"/>
    <cellStyle name="연결된 셀 6" xfId="1060"/>
    <cellStyle name="연결된 셀 7" xfId="1061"/>
    <cellStyle name="연결된 셀 7 2" xfId="1062"/>
    <cellStyle name="연결된 셀 8" xfId="1063"/>
    <cellStyle name="연결된 셀 9" xfId="1064"/>
    <cellStyle name="요약 10" xfId="1065"/>
    <cellStyle name="요약 11" xfId="1066"/>
    <cellStyle name="요약 12" xfId="1067"/>
    <cellStyle name="요약 2 10" xfId="1068"/>
    <cellStyle name="요약 2 2" xfId="1069"/>
    <cellStyle name="요약 2 3" xfId="1070"/>
    <cellStyle name="요약 2 4" xfId="1071"/>
    <cellStyle name="요약 2 5" xfId="1072"/>
    <cellStyle name="요약 2 6" xfId="1073"/>
    <cellStyle name="요약 2 7" xfId="1074"/>
    <cellStyle name="요약 2 8" xfId="1075"/>
    <cellStyle name="요약 2 9" xfId="1076"/>
    <cellStyle name="요약 3" xfId="1077"/>
    <cellStyle name="요약 3 2" xfId="1078"/>
    <cellStyle name="요약 3 3" xfId="1079"/>
    <cellStyle name="요약 3 4" xfId="1080"/>
    <cellStyle name="요약 4" xfId="1081"/>
    <cellStyle name="요약 5" xfId="1082"/>
    <cellStyle name="요약 6" xfId="1083"/>
    <cellStyle name="요약 7" xfId="1084"/>
    <cellStyle name="요약 7 2" xfId="1085"/>
    <cellStyle name="요약 8" xfId="1086"/>
    <cellStyle name="요약 9" xfId="1087"/>
    <cellStyle name="입력 20" xfId="1088"/>
    <cellStyle name="입력 10" xfId="1089"/>
    <cellStyle name="입력 10 2" xfId="1090"/>
    <cellStyle name="입력 10 3" xfId="1091"/>
    <cellStyle name="입력 10 4" xfId="1092"/>
    <cellStyle name="입력 10 5" xfId="1093"/>
    <cellStyle name="입력 10 6" xfId="1094"/>
    <cellStyle name="입력 10 7" xfId="1095"/>
    <cellStyle name="입력 10 8" xfId="1096"/>
    <cellStyle name="입력 10 9" xfId="1097"/>
    <cellStyle name="입력 11" xfId="1098"/>
    <cellStyle name="입력 11 2" xfId="1099"/>
    <cellStyle name="입력 11 3" xfId="1100"/>
    <cellStyle name="입력 11 4" xfId="1101"/>
    <cellStyle name="입력 11 5" xfId="1102"/>
    <cellStyle name="입력 11 6" xfId="1103"/>
    <cellStyle name="입력 11 7" xfId="1104"/>
    <cellStyle name="입력 11 8" xfId="1105"/>
    <cellStyle name="입력 11 9" xfId="1106"/>
    <cellStyle name="입력 12" xfId="1107"/>
    <cellStyle name="입력 12 2" xfId="1108"/>
    <cellStyle name="입력 12 3" xfId="1109"/>
    <cellStyle name="입력 12 4" xfId="1110"/>
    <cellStyle name="입력 12 5" xfId="1111"/>
    <cellStyle name="입력 12 6" xfId="1112"/>
    <cellStyle name="입력 12 7" xfId="1113"/>
    <cellStyle name="입력 12 8" xfId="1114"/>
    <cellStyle name="입력 13" xfId="1115"/>
    <cellStyle name="입력 13 2" xfId="1116"/>
    <cellStyle name="입력 13 3" xfId="1117"/>
    <cellStyle name="입력 13 4" xfId="1118"/>
    <cellStyle name="입력 13 5" xfId="1119"/>
    <cellStyle name="입력 13 6" xfId="1120"/>
    <cellStyle name="입력 13 7" xfId="1121"/>
    <cellStyle name="입력 13 8" xfId="1122"/>
    <cellStyle name="입력 14" xfId="1123"/>
    <cellStyle name="입력 14 2" xfId="1124"/>
    <cellStyle name="입력 14 3" xfId="1125"/>
    <cellStyle name="입력 14 4" xfId="1126"/>
    <cellStyle name="입력 14 5" xfId="1127"/>
    <cellStyle name="입력 14 6" xfId="1128"/>
    <cellStyle name="입력 14 7" xfId="1129"/>
    <cellStyle name="입력 14 8" xfId="1130"/>
    <cellStyle name="입력 15" xfId="1131"/>
    <cellStyle name="입력 15 2" xfId="1132"/>
    <cellStyle name="입력 15 3" xfId="1133"/>
    <cellStyle name="입력 15 4" xfId="1134"/>
    <cellStyle name="입력 15 5" xfId="1135"/>
    <cellStyle name="입력 15 6" xfId="1136"/>
    <cellStyle name="입력 15 7" xfId="1137"/>
    <cellStyle name="입력 15 8" xfId="1138"/>
    <cellStyle name="입력 16" xfId="1139"/>
    <cellStyle name="입력 16 2" xfId="1140"/>
    <cellStyle name="입력 16 3" xfId="1141"/>
    <cellStyle name="입력 16 4" xfId="1142"/>
    <cellStyle name="입력 16 5" xfId="1143"/>
    <cellStyle name="입력 16 6" xfId="1144"/>
    <cellStyle name="입력 16 7" xfId="1145"/>
    <cellStyle name="입력 16 8" xfId="1146"/>
    <cellStyle name="입력 17" xfId="1147"/>
    <cellStyle name="입력 17 2" xfId="1148"/>
    <cellStyle name="입력 17 3" xfId="1149"/>
    <cellStyle name="입력 17 4" xfId="1150"/>
    <cellStyle name="입력 17 5" xfId="1151"/>
    <cellStyle name="입력 17 6" xfId="1152"/>
    <cellStyle name="입력 17 7" xfId="1153"/>
    <cellStyle name="입력 17 8" xfId="1154"/>
    <cellStyle name="입력 18" xfId="1155"/>
    <cellStyle name="입력 18 2" xfId="1156"/>
    <cellStyle name="입력 18 3" xfId="1157"/>
    <cellStyle name="입력 18 4" xfId="1158"/>
    <cellStyle name="입력 18 5" xfId="1159"/>
    <cellStyle name="입력 18 6" xfId="1160"/>
    <cellStyle name="입력 18 7" xfId="1161"/>
    <cellStyle name="입력 18 8" xfId="1162"/>
    <cellStyle name="입력 19" xfId="1163"/>
    <cellStyle name="입력 2 21" xfId="1164"/>
    <cellStyle name="입력 2 10" xfId="1165"/>
    <cellStyle name="입력 2 11" xfId="1166"/>
    <cellStyle name="입력 2 11 2" xfId="1167"/>
    <cellStyle name="입력 2 11 2 2" xfId="1168"/>
    <cellStyle name="입력 2 11 2 3" xfId="1169"/>
    <cellStyle name="입력 2 11 3" xfId="1170"/>
    <cellStyle name="입력 2 12" xfId="1171"/>
    <cellStyle name="입력 2 13" xfId="1172"/>
    <cellStyle name="입력 2 14" xfId="1173"/>
    <cellStyle name="입력 2 14 2" xfId="1174"/>
    <cellStyle name="입력 2 14 2 2" xfId="1175"/>
    <cellStyle name="입력 2 14 2 3" xfId="1176"/>
    <cellStyle name="입력 2 14 3" xfId="1177"/>
    <cellStyle name="입력 2 15" xfId="1178"/>
    <cellStyle name="입력 2 16" xfId="1179"/>
    <cellStyle name="입력 2 17" xfId="1180"/>
    <cellStyle name="입력 2 17 2" xfId="1181"/>
    <cellStyle name="입력 2 17 2 2" xfId="1182"/>
    <cellStyle name="입력 2 17 2 3" xfId="1183"/>
    <cellStyle name="입력 2 17 3" xfId="1184"/>
    <cellStyle name="입력 2 18" xfId="1185"/>
    <cellStyle name="입력 2 19" xfId="1186"/>
    <cellStyle name="입력 2 2" xfId="1187"/>
    <cellStyle name="입력 2 20" xfId="1188"/>
    <cellStyle name="입력 2 3" xfId="1189"/>
    <cellStyle name="입력 2 4" xfId="1190"/>
    <cellStyle name="입력 2 5" xfId="1191"/>
    <cellStyle name="입력 2 6" xfId="1192"/>
    <cellStyle name="입력 2 7" xfId="1193"/>
    <cellStyle name="입력 2 7 2" xfId="1194"/>
    <cellStyle name="입력 2 7 2 2" xfId="1195"/>
    <cellStyle name="입력 2 7 2 2 2" xfId="1196"/>
    <cellStyle name="입력 2 7 2 2 2 2" xfId="1197"/>
    <cellStyle name="입력 2 7 2 2 2 3" xfId="1198"/>
    <cellStyle name="입력 2 7 2 2 3" xfId="1199"/>
    <cellStyle name="입력 2 7 2 3" xfId="1200"/>
    <cellStyle name="입력 2 7 2 4" xfId="1201"/>
    <cellStyle name="입력 2 7 3" xfId="1202"/>
    <cellStyle name="입력 2 7 3 2" xfId="1203"/>
    <cellStyle name="입력 2 7 3 3" xfId="1204"/>
    <cellStyle name="입력 2 7 4" xfId="1205"/>
    <cellStyle name="입력 2 8" xfId="1206"/>
    <cellStyle name="입력 2 9" xfId="1207"/>
    <cellStyle name="입력 3" xfId="1208"/>
    <cellStyle name="입력 3 2" xfId="1209"/>
    <cellStyle name="입력 3 3" xfId="1210"/>
    <cellStyle name="입력 3 4" xfId="1211"/>
    <cellStyle name="입력 4" xfId="1212"/>
    <cellStyle name="입력 5" xfId="1213"/>
    <cellStyle name="입력 6" xfId="1214"/>
    <cellStyle name="입력 7" xfId="1215"/>
    <cellStyle name="입력 7 2" xfId="1216"/>
    <cellStyle name="입력 8" xfId="1217"/>
    <cellStyle name="입력 9" xfId="1218"/>
    <cellStyle name="입력 9 2" xfId="1219"/>
    <cellStyle name="입력 9 3" xfId="1220"/>
    <cellStyle name="입력 9 4" xfId="1221"/>
    <cellStyle name="입력 9 5" xfId="1222"/>
    <cellStyle name="입력 9 6" xfId="1223"/>
    <cellStyle name="입력 9 7" xfId="1224"/>
    <cellStyle name="입력 9 8" xfId="1225"/>
    <cellStyle name="입력 9 9" xfId="1226"/>
    <cellStyle name="제목 1 10" xfId="1227"/>
    <cellStyle name="제목 1 11" xfId="1228"/>
    <cellStyle name="제목 1 12" xfId="1229"/>
    <cellStyle name="제목 1 2 10" xfId="1230"/>
    <cellStyle name="제목 1 2 2" xfId="1231"/>
    <cellStyle name="제목 1 2 3" xfId="1232"/>
    <cellStyle name="제목 1 2 4" xfId="1233"/>
    <cellStyle name="제목 1 2 5" xfId="1234"/>
    <cellStyle name="제목 1 2 6" xfId="1235"/>
    <cellStyle name="제목 1 2 7" xfId="1236"/>
    <cellStyle name="제목 1 2 8" xfId="1237"/>
    <cellStyle name="제목 1 2 9" xfId="1238"/>
    <cellStyle name="제목 1 3" xfId="1239"/>
    <cellStyle name="제목 1 3 2" xfId="1240"/>
    <cellStyle name="제목 1 3 3" xfId="1241"/>
    <cellStyle name="제목 1 3 4" xfId="1242"/>
    <cellStyle name="제목 1 4" xfId="1243"/>
    <cellStyle name="제목 1 5" xfId="1244"/>
    <cellStyle name="제목 1 6" xfId="1245"/>
    <cellStyle name="제목 1 7" xfId="1246"/>
    <cellStyle name="제목 1 7 2" xfId="1247"/>
    <cellStyle name="제목 1 8" xfId="1248"/>
    <cellStyle name="제목 1 9" xfId="1249"/>
    <cellStyle name="제목 10" xfId="1250"/>
    <cellStyle name="제목 10 2" xfId="1251"/>
    <cellStyle name="제목 11" xfId="1252"/>
    <cellStyle name="제목 12" xfId="1253"/>
    <cellStyle name="제목 13" xfId="1254"/>
    <cellStyle name="제목 14" xfId="1255"/>
    <cellStyle name="제목 15" xfId="1256"/>
    <cellStyle name="제목 2 10" xfId="1257"/>
    <cellStyle name="제목 2 11" xfId="1258"/>
    <cellStyle name="제목 2 12" xfId="1259"/>
    <cellStyle name="제목 2 2 10" xfId="1260"/>
    <cellStyle name="제목 2 2 2" xfId="1261"/>
    <cellStyle name="제목 2 2 3" xfId="1262"/>
    <cellStyle name="제목 2 2 4" xfId="1263"/>
    <cellStyle name="제목 2 2 5" xfId="1264"/>
    <cellStyle name="제목 2 2 6" xfId="1265"/>
    <cellStyle name="제목 2 2 7" xfId="1266"/>
    <cellStyle name="제목 2 2 8" xfId="1267"/>
    <cellStyle name="제목 2 2 9" xfId="1268"/>
    <cellStyle name="제목 2 3" xfId="1269"/>
    <cellStyle name="제목 2 3 2" xfId="1270"/>
    <cellStyle name="제목 2 3 3" xfId="1271"/>
    <cellStyle name="제목 2 3 4" xfId="1272"/>
    <cellStyle name="제목 2 4" xfId="1273"/>
    <cellStyle name="제목 2 5" xfId="1274"/>
    <cellStyle name="제목 2 6" xfId="1275"/>
    <cellStyle name="제목 2 7" xfId="1276"/>
    <cellStyle name="제목 2 7 2" xfId="1277"/>
    <cellStyle name="제목 2 8" xfId="1278"/>
    <cellStyle name="제목 2 9" xfId="1279"/>
    <cellStyle name="제목 3 10" xfId="1280"/>
    <cellStyle name="제목 3 11" xfId="1281"/>
    <cellStyle name="제목 3 12" xfId="1282"/>
    <cellStyle name="제목 3 2 10" xfId="1283"/>
    <cellStyle name="제목 3 2 2" xfId="1284"/>
    <cellStyle name="제목 3 2 3" xfId="1285"/>
    <cellStyle name="제목 3 2 4" xfId="1286"/>
    <cellStyle name="제목 3 2 5" xfId="1287"/>
    <cellStyle name="제목 3 2 6" xfId="1288"/>
    <cellStyle name="제목 3 2 7" xfId="1289"/>
    <cellStyle name="제목 3 2 8" xfId="1290"/>
    <cellStyle name="제목 3 2 9" xfId="1291"/>
    <cellStyle name="제목 3 3" xfId="1292"/>
    <cellStyle name="제목 3 3 2" xfId="1293"/>
    <cellStyle name="제목 3 3 3" xfId="1294"/>
    <cellStyle name="제목 3 3 4" xfId="1295"/>
    <cellStyle name="제목 3 4" xfId="1296"/>
    <cellStyle name="제목 3 5" xfId="1297"/>
    <cellStyle name="제목 3 6" xfId="1298"/>
    <cellStyle name="제목 3 7" xfId="1299"/>
    <cellStyle name="제목 3 7 2" xfId="1300"/>
    <cellStyle name="제목 3 8" xfId="1301"/>
    <cellStyle name="제목 3 9" xfId="1302"/>
    <cellStyle name="제목 4 10" xfId="1303"/>
    <cellStyle name="제목 4 11" xfId="1304"/>
    <cellStyle name="제목 4 12" xfId="1305"/>
    <cellStyle name="제목 4 2 10" xfId="1306"/>
    <cellStyle name="제목 4 2 2" xfId="1307"/>
    <cellStyle name="제목 4 2 3" xfId="1308"/>
    <cellStyle name="제목 4 2 4" xfId="1309"/>
    <cellStyle name="제목 4 2 5" xfId="1310"/>
    <cellStyle name="제목 4 2 6" xfId="1311"/>
    <cellStyle name="제목 4 2 7" xfId="1312"/>
    <cellStyle name="제목 4 2 8" xfId="1313"/>
    <cellStyle name="제목 4 2 9" xfId="1314"/>
    <cellStyle name="제목 4 3" xfId="1315"/>
    <cellStyle name="제목 4 3 2" xfId="1316"/>
    <cellStyle name="제목 4 3 3" xfId="1317"/>
    <cellStyle name="제목 4 3 4" xfId="1318"/>
    <cellStyle name="제목 4 4" xfId="1319"/>
    <cellStyle name="제목 4 5" xfId="1320"/>
    <cellStyle name="제목 4 6" xfId="1321"/>
    <cellStyle name="제목 4 7" xfId="1322"/>
    <cellStyle name="제목 4 7 2" xfId="1323"/>
    <cellStyle name="제목 4 8" xfId="1324"/>
    <cellStyle name="제목 4 9" xfId="1325"/>
    <cellStyle name="제목 5 10" xfId="1326"/>
    <cellStyle name="제목 5 2" xfId="1327"/>
    <cellStyle name="제목 5 3" xfId="1328"/>
    <cellStyle name="제목 5 4" xfId="1329"/>
    <cellStyle name="제목 5 5" xfId="1330"/>
    <cellStyle name="제목 5 6" xfId="1331"/>
    <cellStyle name="제목 5 7" xfId="1332"/>
    <cellStyle name="제목 5 8" xfId="1333"/>
    <cellStyle name="제목 5 9" xfId="1334"/>
    <cellStyle name="제목 6" xfId="1335"/>
    <cellStyle name="제목 6 2" xfId="1336"/>
    <cellStyle name="제목 6 3" xfId="1337"/>
    <cellStyle name="제목 6 4" xfId="1338"/>
    <cellStyle name="제목 7" xfId="1339"/>
    <cellStyle name="제목 8" xfId="1340"/>
    <cellStyle name="제목 9" xfId="1341"/>
    <cellStyle name="좋음 10" xfId="1342"/>
    <cellStyle name="좋음 11" xfId="1343"/>
    <cellStyle name="좋음 12" xfId="1344"/>
    <cellStyle name="좋음 2 10" xfId="1345"/>
    <cellStyle name="좋음 2 2" xfId="1346"/>
    <cellStyle name="좋음 2 3" xfId="1347"/>
    <cellStyle name="좋음 2 4" xfId="1348"/>
    <cellStyle name="좋음 2 5" xfId="1349"/>
    <cellStyle name="좋음 2 6" xfId="1350"/>
    <cellStyle name="좋음 2 7" xfId="1351"/>
    <cellStyle name="좋음 2 8" xfId="1352"/>
    <cellStyle name="좋음 2 9" xfId="1353"/>
    <cellStyle name="좋음 3" xfId="1354"/>
    <cellStyle name="좋음 3 2" xfId="1355"/>
    <cellStyle name="좋음 3 3" xfId="1356"/>
    <cellStyle name="좋음 3 4" xfId="1357"/>
    <cellStyle name="좋음 4" xfId="1358"/>
    <cellStyle name="좋음 5" xfId="1359"/>
    <cellStyle name="좋음 6" xfId="1360"/>
    <cellStyle name="좋음 7" xfId="1361"/>
    <cellStyle name="좋음 7 2" xfId="1362"/>
    <cellStyle name="좋음 8" xfId="1363"/>
    <cellStyle name="좋음 9" xfId="1364"/>
    <cellStyle name="출력 10" xfId="1365"/>
    <cellStyle name="출력 11" xfId="1366"/>
    <cellStyle name="출력 12" xfId="1367"/>
    <cellStyle name="출력 2 10" xfId="1368"/>
    <cellStyle name="출력 2 2" xfId="1369"/>
    <cellStyle name="출력 2 3" xfId="1370"/>
    <cellStyle name="출력 2 4" xfId="1371"/>
    <cellStyle name="출력 2 5" xfId="1372"/>
    <cellStyle name="출력 2 6" xfId="1373"/>
    <cellStyle name="출력 2 7" xfId="1374"/>
    <cellStyle name="출력 2 8" xfId="1375"/>
    <cellStyle name="출력 2 9" xfId="1376"/>
    <cellStyle name="출력 3" xfId="1377"/>
    <cellStyle name="출력 3 2" xfId="1378"/>
    <cellStyle name="출력 3 3" xfId="1379"/>
    <cellStyle name="출력 3 4" xfId="1380"/>
    <cellStyle name="출력 4" xfId="1381"/>
    <cellStyle name="출력 5" xfId="1382"/>
    <cellStyle name="출력 6" xfId="1383"/>
    <cellStyle name="출력 7" xfId="1384"/>
    <cellStyle name="출력 7 2" xfId="1385"/>
    <cellStyle name="출력 8" xfId="1386"/>
    <cellStyle name="출력 9" xfId="1387"/>
    <cellStyle name="표준 10 3" xfId="1388"/>
    <cellStyle name="표준 11" xfId="1389"/>
    <cellStyle name="표준 12" xfId="1390"/>
    <cellStyle name="표준 12 2" xfId="1391"/>
    <cellStyle name="표준 13" xfId="1392"/>
    <cellStyle name="표준 14" xfId="1393"/>
    <cellStyle name="표준 15" xfId="1394"/>
    <cellStyle name="표준 16" xfId="1395"/>
    <cellStyle name="표준 17 2" xfId="1396"/>
    <cellStyle name="표준 17 3" xfId="1397"/>
    <cellStyle name="표준 2 10" xfId="1398"/>
    <cellStyle name="표준 2 11" xfId="1399"/>
    <cellStyle name="표준 2 12" xfId="1400"/>
    <cellStyle name="표준 2 13" xfId="1401"/>
    <cellStyle name="표준 2 14" xfId="1402"/>
    <cellStyle name="표준 2 15" xfId="1403"/>
    <cellStyle name="표준 2 16" xfId="1404"/>
    <cellStyle name="표준 2 17" xfId="1405"/>
    <cellStyle name="표준 2 18" xfId="1406"/>
    <cellStyle name="표준 2 19" xfId="1407"/>
    <cellStyle name="표준 2 2" xfId="1408"/>
    <cellStyle name="표준 2 2 2" xfId="1409"/>
    <cellStyle name="표준 2 2 3" xfId="1410"/>
    <cellStyle name="표준 2 2 4" xfId="1411"/>
    <cellStyle name="표준 2 2_PS_NW_보안진단결과_090501_진행중" xfId="1412"/>
    <cellStyle name="표준 2 20" xfId="1413"/>
    <cellStyle name="표준 2 21" xfId="1414"/>
    <cellStyle name="표준 2 22" xfId="1415"/>
    <cellStyle name="표준 2 23" xfId="1416"/>
    <cellStyle name="표준 2 24" xfId="1417"/>
    <cellStyle name="표준 2 25" xfId="1418"/>
    <cellStyle name="표준 2 26" xfId="1419"/>
    <cellStyle name="표준 2 27" xfId="1420"/>
    <cellStyle name="표준 2 3" xfId="1421"/>
    <cellStyle name="표준 2 4" xfId="1422"/>
    <cellStyle name="표준 2 5" xfId="1423"/>
    <cellStyle name="표준 2 6" xfId="1424"/>
    <cellStyle name="표준 2 7" xfId="1425"/>
    <cellStyle name="표준 2 8" xfId="1426"/>
    <cellStyle name="표준 2 9" xfId="1427"/>
    <cellStyle name="표준 3 10" xfId="1428"/>
    <cellStyle name="표준 3 11" xfId="1429"/>
    <cellStyle name="표준 3 12" xfId="1430"/>
    <cellStyle name="표준 3 13" xfId="1431"/>
    <cellStyle name="표준 3 14" xfId="1432"/>
    <cellStyle name="표준 3 15" xfId="1433"/>
    <cellStyle name="표준 3 16" xfId="1434"/>
    <cellStyle name="표준 3 17" xfId="1435"/>
    <cellStyle name="표준 3 18" xfId="1436"/>
    <cellStyle name="표준 3 2" xfId="1437"/>
    <cellStyle name="표준 3 3" xfId="1438"/>
    <cellStyle name="표준 3 4" xfId="1439"/>
    <cellStyle name="표준 3 5" xfId="1440"/>
    <cellStyle name="표준 3 6" xfId="1441"/>
    <cellStyle name="표준 3 7" xfId="1442"/>
    <cellStyle name="표준 3 8" xfId="1443"/>
    <cellStyle name="표준 3 9" xfId="1444"/>
    <cellStyle name="표준 4 10" xfId="1445"/>
    <cellStyle name="표준 4 11" xfId="1446"/>
    <cellStyle name="표준 4 12" xfId="1447"/>
    <cellStyle name="표준 4 13" xfId="1448"/>
    <cellStyle name="표준 4 2" xfId="1449"/>
    <cellStyle name="표준 4 3" xfId="1450"/>
    <cellStyle name="표준 4 4" xfId="1451"/>
    <cellStyle name="표준 4 5" xfId="1452"/>
    <cellStyle name="표준 4 6" xfId="1453"/>
    <cellStyle name="표준 4 7" xfId="1454"/>
    <cellStyle name="표준 4 8" xfId="1455"/>
    <cellStyle name="표준 4 9" xfId="1456"/>
    <cellStyle name="표준 47 2" xfId="1457"/>
    <cellStyle name="표준 47 3" xfId="1458"/>
    <cellStyle name="표준 47 4" xfId="1459"/>
    <cellStyle name="표준 47 5" xfId="1460"/>
    <cellStyle name="표준 47 6" xfId="1461"/>
    <cellStyle name="표준 47 7" xfId="1462"/>
    <cellStyle name="표준 48 2" xfId="1463"/>
    <cellStyle name="표준 48 3" xfId="1464"/>
    <cellStyle name="표준 48 4" xfId="1465"/>
    <cellStyle name="표준 48 5" xfId="1466"/>
    <cellStyle name="표준 48 6" xfId="1467"/>
    <cellStyle name="표준 48 7" xfId="1468"/>
    <cellStyle name="표준 5 10" xfId="1469"/>
    <cellStyle name="표준 5 11" xfId="1470"/>
    <cellStyle name="표준 5 12" xfId="1471"/>
    <cellStyle name="표준 5 13" xfId="1472"/>
    <cellStyle name="표준 5 2" xfId="1473"/>
    <cellStyle name="표준 5 3" xfId="1474"/>
    <cellStyle name="표준 5 4" xfId="1475"/>
    <cellStyle name="표준 5 5" xfId="1476"/>
    <cellStyle name="표준 5 6" xfId="1477"/>
    <cellStyle name="표준 5 7" xfId="1478"/>
    <cellStyle name="표준 5 8" xfId="1479"/>
    <cellStyle name="표준 5 9" xfId="1480"/>
    <cellStyle name="표준 6 2" xfId="1481"/>
    <cellStyle name="표준 65" xfId="1482"/>
    <cellStyle name="표준 66 2" xfId="1483"/>
    <cellStyle name="표준 67" xfId="1484"/>
    <cellStyle name="표준 68" xfId="1485"/>
    <cellStyle name="표준 69" xfId="1486"/>
    <cellStyle name="표준 7 2 2" xfId="1487"/>
    <cellStyle name="표준 7 3" xfId="1488"/>
    <cellStyle name="표준 7 4" xfId="1489"/>
    <cellStyle name="표준 7 5" xfId="1490"/>
    <cellStyle name="표준 7 6" xfId="1491"/>
    <cellStyle name="표준 7 7" xfId="1492"/>
    <cellStyle name="표준 7 8" xfId="1493"/>
    <cellStyle name="표준 7 9" xfId="1494"/>
    <cellStyle name="표준 70" xfId="1495"/>
    <cellStyle name="표준 71" xfId="1496"/>
    <cellStyle name="표준 8 3" xfId="1497"/>
    <cellStyle name="표준 9 3" xfId="1498"/>
    <cellStyle name="표준 18" xfId="1499"/>
    <cellStyle name="표준 19" xfId="1500"/>
    <cellStyle name="표준 20" xfId="1501"/>
    <cellStyle name="표준 7 10" xfId="1502"/>
    <cellStyle name="표준 8 4" xfId="1503"/>
    <cellStyle name="표준 9 4" xfId="1504"/>
    <cellStyle name="표준 10 4" xfId="1505"/>
    <cellStyle name="표준 7 11" xfId="1506"/>
    <cellStyle name="표준 8 5" xfId="1507"/>
    <cellStyle name="표준 9 5" xfId="1508"/>
    <cellStyle name="표준 10 5" xfId="1509"/>
    <cellStyle name="표준 21" xfId="1510"/>
    <cellStyle name="20% - 강조색6 9 10" xfId="1511"/>
    <cellStyle name="메모 9 10" xfId="1512"/>
    <cellStyle name="입력 9 10" xfId="1513"/>
    <cellStyle name="표준 66" xfId="1514"/>
    <cellStyle name="표준 7 12" xfId="1515"/>
    <cellStyle name="표준 8 6" xfId="1516"/>
    <cellStyle name="표준 9 6" xfId="1517"/>
    <cellStyle name="표준 10 6" xfId="1518"/>
    <cellStyle name="표준 7 13" xfId="1519"/>
    <cellStyle name="표준 8 7" xfId="1520"/>
    <cellStyle name="표준 9 7" xfId="1521"/>
    <cellStyle name="표준 10 7" xfId="1522"/>
    <cellStyle name="표준 7 14" xfId="1523"/>
    <cellStyle name="표준 8 8" xfId="1524"/>
    <cellStyle name="표준 9 8" xfId="1525"/>
    <cellStyle name="표준 10 8" xfId="1526"/>
    <cellStyle name="표준 7 18" xfId="1527"/>
    <cellStyle name="표준 8 12" xfId="1528"/>
    <cellStyle name="표준 9 12" xfId="1529"/>
    <cellStyle name="표준 10 12" xfId="1530"/>
    <cellStyle name="표준 7 2 5" xfId="1531"/>
    <cellStyle name="표준 8 2 4" xfId="1532"/>
    <cellStyle name="표준 9 2 4" xfId="1533"/>
    <cellStyle name="표준 10 2 4" xfId="1534"/>
    <cellStyle name="표준 7 10 4" xfId="1535"/>
    <cellStyle name="표준 8 4 4" xfId="1536"/>
    <cellStyle name="표준 9 4 4" xfId="1537"/>
    <cellStyle name="표준 10 4 4" xfId="1538"/>
    <cellStyle name="표준 7 11 4" xfId="1539"/>
    <cellStyle name="표준 8 5 4" xfId="1540"/>
    <cellStyle name="표준 9 5 4" xfId="1541"/>
    <cellStyle name="표준 10 5 4" xfId="1542"/>
    <cellStyle name="표준 21 4" xfId="1543"/>
    <cellStyle name="표준 7 12 4" xfId="1544"/>
    <cellStyle name="표준 8 6 4" xfId="1545"/>
    <cellStyle name="표준 9 6 4" xfId="1546"/>
    <cellStyle name="표준 10 6 4" xfId="1547"/>
    <cellStyle name="표준 7 13 4" xfId="1548"/>
    <cellStyle name="표준 8 7 4" xfId="1549"/>
    <cellStyle name="표준 9 7 4" xfId="1550"/>
    <cellStyle name="표준 10 7 4" xfId="1551"/>
    <cellStyle name="표준 7 14 4" xfId="1552"/>
    <cellStyle name="표준 8 8 4" xfId="1553"/>
    <cellStyle name="표준 9 8 4" xfId="1554"/>
    <cellStyle name="표준 10 8 4" xfId="1555"/>
    <cellStyle name="표준 7 16" xfId="1556"/>
    <cellStyle name="표준 8 10" xfId="1557"/>
    <cellStyle name="표준 9 10" xfId="1558"/>
    <cellStyle name="표준 10 10" xfId="1559"/>
    <cellStyle name="표준 7 15 3" xfId="1560"/>
    <cellStyle name="표준 8 9 3" xfId="1561"/>
    <cellStyle name="표준 9 9 3" xfId="1562"/>
    <cellStyle name="표준 10 9 3" xfId="1563"/>
    <cellStyle name="표준 7 2 3" xfId="1564"/>
    <cellStyle name="표준 8 2 2" xfId="1565"/>
    <cellStyle name="표준 9 2 2" xfId="1566"/>
    <cellStyle name="표준 10 2 2" xfId="1567"/>
    <cellStyle name="표준 7 10 2" xfId="1568"/>
    <cellStyle name="표준 8 4 2" xfId="1569"/>
    <cellStyle name="표준 9 4 2" xfId="1570"/>
    <cellStyle name="표준 10 4 2" xfId="1571"/>
    <cellStyle name="표준 7 11 2" xfId="1572"/>
    <cellStyle name="표준 8 5 2" xfId="1573"/>
    <cellStyle name="표준 9 5 2" xfId="1574"/>
    <cellStyle name="표준 10 5 2" xfId="1575"/>
    <cellStyle name="표준 21 2" xfId="1576"/>
    <cellStyle name="표준 7 12 2" xfId="1577"/>
    <cellStyle name="표준 8 6 2" xfId="1578"/>
    <cellStyle name="표준 9 6 2" xfId="1579"/>
    <cellStyle name="표준 10 6 2" xfId="1580"/>
    <cellStyle name="표준 7 13 2" xfId="1581"/>
    <cellStyle name="표준 8 7 2" xfId="1582"/>
    <cellStyle name="표준 9 7 2" xfId="1583"/>
    <cellStyle name="표준 10 7 2" xfId="1584"/>
    <cellStyle name="표준 7 14 2" xfId="1585"/>
    <cellStyle name="표준 8 8 2" xfId="1586"/>
    <cellStyle name="표준 9 8 2" xfId="1587"/>
    <cellStyle name="표준 10 8 2" xfId="1588"/>
    <cellStyle name="표준 7 17" xfId="1589"/>
    <cellStyle name="표준 8 11" xfId="1590"/>
    <cellStyle name="표준 9 11" xfId="1591"/>
    <cellStyle name="표준 10 11" xfId="1592"/>
    <cellStyle name="표준 7 15 2" xfId="1593"/>
    <cellStyle name="표준 8 9 2" xfId="1594"/>
    <cellStyle name="표준 9 9 2" xfId="1595"/>
    <cellStyle name="표준 10 9 2" xfId="1596"/>
    <cellStyle name="표준 7 2 4" xfId="1597"/>
    <cellStyle name="표준 8 2 3" xfId="1598"/>
    <cellStyle name="표준 9 2 3" xfId="1599"/>
    <cellStyle name="표준 10 2 3" xfId="1600"/>
    <cellStyle name="표준 7 10 3" xfId="1601"/>
    <cellStyle name="표준 8 4 3" xfId="1602"/>
    <cellStyle name="표준 9 4 3" xfId="1603"/>
    <cellStyle name="표준 10 4 3" xfId="1604"/>
    <cellStyle name="표준 7 11 3" xfId="1605"/>
    <cellStyle name="표준 8 5 3" xfId="1606"/>
    <cellStyle name="표준 9 5 3" xfId="1607"/>
    <cellStyle name="표준 10 5 3" xfId="1608"/>
    <cellStyle name="표준 21 3" xfId="1609"/>
    <cellStyle name="표준 7 12 3" xfId="1610"/>
    <cellStyle name="표준 8 6 3" xfId="1611"/>
    <cellStyle name="표준 9 6 3" xfId="1612"/>
    <cellStyle name="표준 10 6 3" xfId="1613"/>
    <cellStyle name="표준 7 13 3" xfId="1614"/>
    <cellStyle name="표준 8 7 3" xfId="1615"/>
    <cellStyle name="표준 9 7 3" xfId="1616"/>
    <cellStyle name="표준 10 7 3" xfId="1617"/>
    <cellStyle name="표준 7 14 3" xfId="1618"/>
    <cellStyle name="표준 8 8 3" xfId="1619"/>
    <cellStyle name="표준 9 8 3" xfId="1620"/>
    <cellStyle name="표준 10 8 3" xfId="1621"/>
    <cellStyle name="표준 22" xfId="1622"/>
    <cellStyle name="표준 4 14" xfId="1623"/>
    <cellStyle name="표준 23" xfId="1624"/>
    <cellStyle name="표준 10 13" xfId="1625"/>
    <cellStyle name="표준 11 2" xfId="1626"/>
    <cellStyle name="표준 12 3" xfId="1627"/>
    <cellStyle name="표준 13 2" xfId="1628"/>
    <cellStyle name="표준 14 2" xfId="1629"/>
    <cellStyle name="표준 15 2" xfId="1630"/>
    <cellStyle name="표준 16 11" xfId="1631"/>
    <cellStyle name="표준 16 10" xfId="1632"/>
    <cellStyle name="표준 16 2" xfId="1633"/>
    <cellStyle name="표준 16 3" xfId="1634"/>
    <cellStyle name="표준 16 4" xfId="1635"/>
    <cellStyle name="표준 16 5" xfId="1636"/>
    <cellStyle name="표준 16 6" xfId="1637"/>
    <cellStyle name="표준 16 7" xfId="1638"/>
    <cellStyle name="표준 16 8" xfId="1639"/>
    <cellStyle name="표준 16 9" xfId="1640"/>
    <cellStyle name="표준 17 4" xfId="1641"/>
    <cellStyle name="표준 18 32" xfId="1642"/>
    <cellStyle name="표준 18 10" xfId="1643"/>
    <cellStyle name="표준 18 11" xfId="1644"/>
    <cellStyle name="표준 18 12" xfId="1645"/>
    <cellStyle name="표준 18 13" xfId="1646"/>
    <cellStyle name="표준 18 14" xfId="1647"/>
    <cellStyle name="표준 18 15" xfId="1648"/>
    <cellStyle name="표준 18 16" xfId="1649"/>
    <cellStyle name="표준 18 17" xfId="1650"/>
    <cellStyle name="표준 18 18" xfId="1651"/>
    <cellStyle name="표준 18 19" xfId="1652"/>
    <cellStyle name="표준 18 2" xfId="1653"/>
    <cellStyle name="표준 18 20" xfId="1654"/>
    <cellStyle name="표준 18 21" xfId="1655"/>
    <cellStyle name="표준 18 22" xfId="1656"/>
    <cellStyle name="표준 18 23" xfId="1657"/>
    <cellStyle name="표준 18 24" xfId="1658"/>
    <cellStyle name="표준 18 25" xfId="1659"/>
    <cellStyle name="표준 18 26" xfId="1660"/>
    <cellStyle name="표준 18 27" xfId="1661"/>
    <cellStyle name="표준 18 28" xfId="1662"/>
    <cellStyle name="표준 18 29" xfId="1663"/>
    <cellStyle name="표준 18 3" xfId="1664"/>
    <cellStyle name="표준 18 30" xfId="1665"/>
    <cellStyle name="표준 18 31" xfId="1666"/>
    <cellStyle name="표준 18 4" xfId="1667"/>
    <cellStyle name="표준 18 5" xfId="1668"/>
    <cellStyle name="표준 18 6" xfId="1669"/>
    <cellStyle name="표준 18 7" xfId="1670"/>
    <cellStyle name="표준 18 8" xfId="1671"/>
    <cellStyle name="표준 18 9" xfId="1672"/>
    <cellStyle name="표준 180" xfId="1673"/>
    <cellStyle name="표준 19 2" xfId="1674"/>
    <cellStyle name="표준 2 10 2" xfId="1675"/>
    <cellStyle name="표준 2 11 2" xfId="1676"/>
    <cellStyle name="표준 2 12 2" xfId="1677"/>
    <cellStyle name="표준 2 13 2" xfId="1678"/>
    <cellStyle name="표준 2 14 2" xfId="1679"/>
    <cellStyle name="표준 2 15 2" xfId="1680"/>
    <cellStyle name="표준 2 16 2" xfId="1681"/>
    <cellStyle name="표준 2 17 2" xfId="1682"/>
    <cellStyle name="표준 2 18 2" xfId="1683"/>
    <cellStyle name="표준 2 19 2" xfId="1684"/>
    <cellStyle name="표준 2 2 5" xfId="1685"/>
    <cellStyle name="표준 2 20 2" xfId="1686"/>
    <cellStyle name="표준 2 21 2" xfId="1687"/>
    <cellStyle name="표준 2 22 2" xfId="1688"/>
    <cellStyle name="표준 2 23 2" xfId="1689"/>
    <cellStyle name="표준 2 24 2" xfId="1690"/>
    <cellStyle name="표준 2 25 2" xfId="1691"/>
    <cellStyle name="표준 2 26 2" xfId="1692"/>
    <cellStyle name="표준 2 27 2" xfId="1693"/>
    <cellStyle name="표준 2 28" xfId="1694"/>
    <cellStyle name="표준 2 29" xfId="1695"/>
    <cellStyle name="표준 2 3 2" xfId="1696"/>
    <cellStyle name="표준 2 30" xfId="1697"/>
    <cellStyle name="표준 2 31" xfId="1698"/>
    <cellStyle name="표준 2 32" xfId="1699"/>
    <cellStyle name="표준 2 33" xfId="1700"/>
    <cellStyle name="표준 2 34" xfId="1701"/>
    <cellStyle name="표준 2 35" xfId="1702"/>
    <cellStyle name="표준 2 36" xfId="1703"/>
    <cellStyle name="표준 2 37" xfId="1704"/>
    <cellStyle name="표준 2 38" xfId="1705"/>
    <cellStyle name="표준 2 39" xfId="1706"/>
    <cellStyle name="표준 2 4 2" xfId="1707"/>
    <cellStyle name="표준 2 40" xfId="1708"/>
    <cellStyle name="표준 2 41" xfId="1709"/>
    <cellStyle name="표준 2 42" xfId="1710"/>
    <cellStyle name="표준 2 43" xfId="1711"/>
    <cellStyle name="표준 2 44" xfId="1712"/>
    <cellStyle name="표준 2 45" xfId="1713"/>
    <cellStyle name="표준 2 46" xfId="1714"/>
    <cellStyle name="표준 2 47" xfId="1715"/>
    <cellStyle name="표준 2 48" xfId="1716"/>
    <cellStyle name="표준 2 49" xfId="1717"/>
    <cellStyle name="표준 2 5 2" xfId="1718"/>
    <cellStyle name="표준 2 6 2" xfId="1719"/>
    <cellStyle name="표준 2 7 2" xfId="1720"/>
    <cellStyle name="표준 2 8 2" xfId="1721"/>
    <cellStyle name="표준 2 9 2" xfId="1722"/>
    <cellStyle name="표준 20 29" xfId="1723"/>
    <cellStyle name="표준 20 10" xfId="1724"/>
    <cellStyle name="표준 20 11" xfId="1725"/>
    <cellStyle name="표준 20 12" xfId="1726"/>
    <cellStyle name="표준 20 13" xfId="1727"/>
    <cellStyle name="표준 20 14" xfId="1728"/>
    <cellStyle name="표준 20 15" xfId="1729"/>
    <cellStyle name="표준 20 16" xfId="1730"/>
    <cellStyle name="표준 20 17" xfId="1731"/>
    <cellStyle name="표준 20 18" xfId="1732"/>
    <cellStyle name="표준 20 19" xfId="1733"/>
    <cellStyle name="표준 20 2" xfId="1734"/>
    <cellStyle name="표준 20 20" xfId="1735"/>
    <cellStyle name="표준 20 21" xfId="1736"/>
    <cellStyle name="표준 20 22" xfId="1737"/>
    <cellStyle name="표준 20 23" xfId="1738"/>
    <cellStyle name="표준 20 24" xfId="1739"/>
    <cellStyle name="표준 20 25" xfId="1740"/>
    <cellStyle name="표준 20 26" xfId="1741"/>
    <cellStyle name="표준 20 27" xfId="1742"/>
    <cellStyle name="표준 20 28" xfId="1743"/>
    <cellStyle name="표준 20 3" xfId="1744"/>
    <cellStyle name="표준 20 4" xfId="1745"/>
    <cellStyle name="표준 20 5" xfId="1746"/>
    <cellStyle name="표준 20 6" xfId="1747"/>
    <cellStyle name="표준 20 7" xfId="1748"/>
    <cellStyle name="표준 20 8" xfId="1749"/>
    <cellStyle name="표준 20 9" xfId="1750"/>
    <cellStyle name="표준 21 10" xfId="1751"/>
    <cellStyle name="표준 21 11" xfId="1752"/>
    <cellStyle name="표준 21 12" xfId="1753"/>
    <cellStyle name="표준 21 13" xfId="1754"/>
    <cellStyle name="표준 21 14" xfId="1755"/>
    <cellStyle name="표준 21 15" xfId="1756"/>
    <cellStyle name="표준 21 16" xfId="1757"/>
    <cellStyle name="표준 21 17" xfId="1758"/>
    <cellStyle name="표준 21 18" xfId="1759"/>
    <cellStyle name="표준 21 19" xfId="1760"/>
    <cellStyle name="표준 21 2 2" xfId="1761"/>
    <cellStyle name="표준 21 20" xfId="1762"/>
    <cellStyle name="표준 21 21" xfId="1763"/>
    <cellStyle name="표준 21 22" xfId="1764"/>
    <cellStyle name="표준 21 23" xfId="1765"/>
    <cellStyle name="표준 21 24" xfId="1766"/>
    <cellStyle name="표준 21 25" xfId="1767"/>
    <cellStyle name="표준 21 26" xfId="1768"/>
    <cellStyle name="표준 21 27" xfId="1769"/>
    <cellStyle name="표준 21 28" xfId="1770"/>
    <cellStyle name="표준 21 29" xfId="1771"/>
    <cellStyle name="표준 21 3 2" xfId="1772"/>
    <cellStyle name="표준 21 30" xfId="1773"/>
    <cellStyle name="표준 21 31" xfId="1774"/>
    <cellStyle name="표준 21 32" xfId="1775"/>
    <cellStyle name="표준 21 33" xfId="1776"/>
    <cellStyle name="표준 21 34" xfId="1777"/>
    <cellStyle name="표준 21 35" xfId="1778"/>
    <cellStyle name="표준 21 36" xfId="1779"/>
    <cellStyle name="표준 21 37" xfId="1780"/>
    <cellStyle name="표준 21 38" xfId="1781"/>
    <cellStyle name="표준 21 39" xfId="1782"/>
    <cellStyle name="표준 21 4 2" xfId="1783"/>
    <cellStyle name="표준 21 5" xfId="1784"/>
    <cellStyle name="표준 21 6" xfId="1785"/>
    <cellStyle name="표준 21 7" xfId="1786"/>
    <cellStyle name="표준 21 8" xfId="1787"/>
    <cellStyle name="표준 21 9" xfId="1788"/>
    <cellStyle name="표준 22 2" xfId="1789"/>
    <cellStyle name="표준 23 10" xfId="1790"/>
    <cellStyle name="표준 23 11" xfId="1791"/>
    <cellStyle name="표준 23 12" xfId="1792"/>
    <cellStyle name="표준 23 13" xfId="1793"/>
    <cellStyle name="표준 23 14" xfId="1794"/>
    <cellStyle name="표준 23 15" xfId="1795"/>
    <cellStyle name="표준 23 16" xfId="1796"/>
    <cellStyle name="표준 23 17" xfId="1797"/>
    <cellStyle name="표준 23 18" xfId="1798"/>
    <cellStyle name="표준 23 19" xfId="1799"/>
    <cellStyle name="표준 23 2" xfId="1800"/>
    <cellStyle name="표준 23 20" xfId="1801"/>
    <cellStyle name="표준 23 21" xfId="1802"/>
    <cellStyle name="표준 23 22" xfId="1803"/>
    <cellStyle name="표준 23 23" xfId="1804"/>
    <cellStyle name="표준 23 24" xfId="1805"/>
    <cellStyle name="표준 23 25" xfId="1806"/>
    <cellStyle name="표준 23 26" xfId="1807"/>
    <cellStyle name="표준 23 27" xfId="1808"/>
    <cellStyle name="표준 23 28" xfId="1809"/>
    <cellStyle name="표준 23 29" xfId="1810"/>
    <cellStyle name="표준 23 3" xfId="1811"/>
    <cellStyle name="표준 23 30" xfId="1812"/>
    <cellStyle name="표준 23 31" xfId="1813"/>
    <cellStyle name="표준 23 32" xfId="1814"/>
    <cellStyle name="표준 23 33" xfId="1815"/>
    <cellStyle name="표준 23 34" xfId="1816"/>
    <cellStyle name="표준 23 35" xfId="1817"/>
    <cellStyle name="표준 23 36" xfId="1818"/>
    <cellStyle name="표준 23 37" xfId="1819"/>
    <cellStyle name="표준 23 38" xfId="1820"/>
    <cellStyle name="표준 23 39" xfId="1821"/>
    <cellStyle name="표준 23 4" xfId="1822"/>
    <cellStyle name="표준 23 5" xfId="1823"/>
    <cellStyle name="표준 23 6" xfId="1824"/>
    <cellStyle name="표준 23 7" xfId="1825"/>
    <cellStyle name="표준 23 8" xfId="1826"/>
    <cellStyle name="표준 23 9" xfId="1827"/>
    <cellStyle name="표준 24 10" xfId="1828"/>
    <cellStyle name="표준 24 11" xfId="1829"/>
    <cellStyle name="표준 24 12" xfId="1830"/>
    <cellStyle name="표준 24 13" xfId="1831"/>
    <cellStyle name="표준 24 14" xfId="1832"/>
    <cellStyle name="표준 24 15" xfId="1833"/>
    <cellStyle name="표준 24 16" xfId="1834"/>
    <cellStyle name="표준 24 17" xfId="1835"/>
    <cellStyle name="표준 24 18" xfId="1836"/>
    <cellStyle name="표준 24 19" xfId="1837"/>
    <cellStyle name="표준 24 2" xfId="1838"/>
    <cellStyle name="표준 24 20" xfId="1839"/>
    <cellStyle name="표준 24 21" xfId="1840"/>
    <cellStyle name="표준 24 22" xfId="1841"/>
    <cellStyle name="표준 24 23" xfId="1842"/>
    <cellStyle name="표준 24 24" xfId="1843"/>
    <cellStyle name="표준 24 25" xfId="1844"/>
    <cellStyle name="표준 24 26" xfId="1845"/>
    <cellStyle name="표준 24 27" xfId="1846"/>
    <cellStyle name="표준 24 28" xfId="1847"/>
    <cellStyle name="표준 24 29" xfId="1848"/>
    <cellStyle name="표준 24 3" xfId="1849"/>
    <cellStyle name="표준 24 30" xfId="1850"/>
    <cellStyle name="표준 24 31" xfId="1851"/>
    <cellStyle name="표준 24 32" xfId="1852"/>
    <cellStyle name="표준 24 33" xfId="1853"/>
    <cellStyle name="표준 24 34" xfId="1854"/>
    <cellStyle name="표준 24 35" xfId="1855"/>
    <cellStyle name="표준 24 36" xfId="1856"/>
    <cellStyle name="표준 24 37" xfId="1857"/>
    <cellStyle name="표준 24 38" xfId="1858"/>
    <cellStyle name="표준 24 39" xfId="1859"/>
    <cellStyle name="표준 24 4" xfId="1860"/>
    <cellStyle name="표준 24 5" xfId="1861"/>
    <cellStyle name="표준 24 6" xfId="1862"/>
    <cellStyle name="표준 24 7" xfId="1863"/>
    <cellStyle name="표준 24 8" xfId="1864"/>
    <cellStyle name="표준 24 9" xfId="1865"/>
    <cellStyle name="표준 25 10" xfId="1866"/>
    <cellStyle name="표준 25 11" xfId="1867"/>
    <cellStyle name="표준 25 12" xfId="1868"/>
    <cellStyle name="표준 25 13" xfId="1869"/>
    <cellStyle name="표준 25 14" xfId="1870"/>
    <cellStyle name="표준 25 15" xfId="1871"/>
    <cellStyle name="표준 25 16" xfId="1872"/>
    <cellStyle name="표준 25 17" xfId="1873"/>
    <cellStyle name="표준 25 18" xfId="1874"/>
    <cellStyle name="표준 25 19" xfId="1875"/>
    <cellStyle name="표준 25 2" xfId="1876"/>
    <cellStyle name="표준 25 20" xfId="1877"/>
    <cellStyle name="표준 25 21" xfId="1878"/>
    <cellStyle name="표준 25 22" xfId="1879"/>
    <cellStyle name="표준 25 23" xfId="1880"/>
    <cellStyle name="표준 25 3" xfId="1881"/>
    <cellStyle name="표준 25 4" xfId="1882"/>
    <cellStyle name="표준 25 5" xfId="1883"/>
    <cellStyle name="표준 25 6" xfId="1884"/>
    <cellStyle name="표준 25 7" xfId="1885"/>
    <cellStyle name="표준 25 8" xfId="1886"/>
    <cellStyle name="표준 25 9" xfId="1887"/>
    <cellStyle name="표준 26 10" xfId="1888"/>
    <cellStyle name="표준 26 11" xfId="1889"/>
    <cellStyle name="표준 26 12" xfId="1890"/>
    <cellStyle name="표준 26 13" xfId="1891"/>
    <cellStyle name="표준 26 14" xfId="1892"/>
    <cellStyle name="표준 26 15" xfId="1893"/>
    <cellStyle name="표준 26 16" xfId="1894"/>
    <cellStyle name="표준 26 17" xfId="1895"/>
    <cellStyle name="표준 26 18" xfId="1896"/>
    <cellStyle name="표준 26 19" xfId="1897"/>
    <cellStyle name="표준 26 2" xfId="1898"/>
    <cellStyle name="표준 26 20" xfId="1899"/>
    <cellStyle name="표준 26 21" xfId="1900"/>
    <cellStyle name="표준 26 22" xfId="1901"/>
    <cellStyle name="표준 26 23" xfId="1902"/>
    <cellStyle name="표준 26 24" xfId="1903"/>
    <cellStyle name="표준 26 25" xfId="1904"/>
    <cellStyle name="표준 26 26" xfId="1905"/>
    <cellStyle name="표준 26 27" xfId="1906"/>
    <cellStyle name="표준 26 28" xfId="1907"/>
    <cellStyle name="표준 26 29" xfId="1908"/>
    <cellStyle name="표준 26 3" xfId="1909"/>
    <cellStyle name="표준 26 30" xfId="1910"/>
    <cellStyle name="표준 26 31" xfId="1911"/>
    <cellStyle name="표준 26 32" xfId="1912"/>
    <cellStyle name="표준 26 33" xfId="1913"/>
    <cellStyle name="표준 26 34" xfId="1914"/>
    <cellStyle name="표준 26 35" xfId="1915"/>
    <cellStyle name="표준 26 36" xfId="1916"/>
    <cellStyle name="표준 26 37" xfId="1917"/>
    <cellStyle name="표준 26 38" xfId="1918"/>
    <cellStyle name="표준 26 39" xfId="1919"/>
    <cellStyle name="표준 26 4" xfId="1920"/>
    <cellStyle name="표준 26 40" xfId="1921"/>
    <cellStyle name="표준 26 41" xfId="1922"/>
    <cellStyle name="표준 26 5" xfId="1923"/>
    <cellStyle name="표준 26 6" xfId="1924"/>
    <cellStyle name="표준 26 7" xfId="1925"/>
    <cellStyle name="표준 26 8" xfId="1926"/>
    <cellStyle name="표준 26 9" xfId="1927"/>
    <cellStyle name="표준 27 10" xfId="1928"/>
    <cellStyle name="표준 27 11" xfId="1929"/>
    <cellStyle name="표준 27 12" xfId="1930"/>
    <cellStyle name="표준 27 13" xfId="1931"/>
    <cellStyle name="표준 27 14" xfId="1932"/>
    <cellStyle name="표준 27 15" xfId="1933"/>
    <cellStyle name="표준 27 16" xfId="1934"/>
    <cellStyle name="표준 27 17" xfId="1935"/>
    <cellStyle name="표준 27 18" xfId="1936"/>
    <cellStyle name="표준 27 19" xfId="1937"/>
    <cellStyle name="표준 27 2" xfId="1938"/>
    <cellStyle name="표준 27 20" xfId="1939"/>
    <cellStyle name="표준 27 21" xfId="1940"/>
    <cellStyle name="표준 27 22" xfId="1941"/>
    <cellStyle name="표준 27 23" xfId="1942"/>
    <cellStyle name="표준 27 24" xfId="1943"/>
    <cellStyle name="표준 27 25" xfId="1944"/>
    <cellStyle name="표준 27 26" xfId="1945"/>
    <cellStyle name="표준 27 27" xfId="1946"/>
    <cellStyle name="표준 27 28" xfId="1947"/>
    <cellStyle name="표준 27 29" xfId="1948"/>
    <cellStyle name="표준 27 3" xfId="1949"/>
    <cellStyle name="표준 27 30" xfId="1950"/>
    <cellStyle name="표준 27 31" xfId="1951"/>
    <cellStyle name="표준 27 32" xfId="1952"/>
    <cellStyle name="표준 27 33" xfId="1953"/>
    <cellStyle name="표준 27 34" xfId="1954"/>
    <cellStyle name="표준 27 35" xfId="1955"/>
    <cellStyle name="표준 27 36" xfId="1956"/>
    <cellStyle name="표준 27 37" xfId="1957"/>
    <cellStyle name="표준 27 38" xfId="1958"/>
    <cellStyle name="표준 27 39" xfId="1959"/>
    <cellStyle name="표준 27 4" xfId="1960"/>
    <cellStyle name="표준 27 40" xfId="1961"/>
    <cellStyle name="표준 27 41" xfId="1962"/>
    <cellStyle name="표준 27 5" xfId="1963"/>
    <cellStyle name="표준 27 6" xfId="1964"/>
    <cellStyle name="표준 27 7" xfId="1965"/>
    <cellStyle name="표준 27 8" xfId="1966"/>
    <cellStyle name="표준 27 9" xfId="1967"/>
    <cellStyle name="표준 28 10" xfId="1968"/>
    <cellStyle name="표준 28 11" xfId="1969"/>
    <cellStyle name="표준 28 12" xfId="1970"/>
    <cellStyle name="표준 28 13" xfId="1971"/>
    <cellStyle name="표준 28 14" xfId="1972"/>
    <cellStyle name="표준 28 15" xfId="1973"/>
    <cellStyle name="표준 28 16" xfId="1974"/>
    <cellStyle name="표준 28 17" xfId="1975"/>
    <cellStyle name="표준 28 18" xfId="1976"/>
    <cellStyle name="표준 28 19" xfId="1977"/>
    <cellStyle name="표준 28 2" xfId="1978"/>
    <cellStyle name="표준 28 20" xfId="1979"/>
    <cellStyle name="표준 28 21" xfId="1980"/>
    <cellStyle name="표준 28 22" xfId="1981"/>
    <cellStyle name="표준 28 23" xfId="1982"/>
    <cellStyle name="표준 28 24" xfId="1983"/>
    <cellStyle name="표준 28 25" xfId="1984"/>
    <cellStyle name="표준 28 26" xfId="1985"/>
    <cellStyle name="표준 28 27" xfId="1986"/>
    <cellStyle name="표준 28 28" xfId="1987"/>
    <cellStyle name="표준 28 29" xfId="1988"/>
    <cellStyle name="표준 28 3" xfId="1989"/>
    <cellStyle name="표준 28 30" xfId="1990"/>
    <cellStyle name="표준 28 31" xfId="1991"/>
    <cellStyle name="표준 28 32" xfId="1992"/>
    <cellStyle name="표준 28 33" xfId="1993"/>
    <cellStyle name="표준 28 34" xfId="1994"/>
    <cellStyle name="표준 28 35" xfId="1995"/>
    <cellStyle name="표준 28 36" xfId="1996"/>
    <cellStyle name="표준 28 37" xfId="1997"/>
    <cellStyle name="표준 28 38" xfId="1998"/>
    <cellStyle name="표준 28 39" xfId="1999"/>
    <cellStyle name="표준 28 4" xfId="2000"/>
    <cellStyle name="표준 28 40" xfId="2001"/>
    <cellStyle name="표준 28 41" xfId="2002"/>
    <cellStyle name="표준 28 5" xfId="2003"/>
    <cellStyle name="표준 28 6" xfId="2004"/>
    <cellStyle name="표준 28 7" xfId="2005"/>
    <cellStyle name="표준 28 8" xfId="2006"/>
    <cellStyle name="표준 28 9" xfId="2007"/>
    <cellStyle name="표준 29 10" xfId="2008"/>
    <cellStyle name="표준 29 11" xfId="2009"/>
    <cellStyle name="표준 29 12" xfId="2010"/>
    <cellStyle name="표준 29 13" xfId="2011"/>
    <cellStyle name="표준 29 14" xfId="2012"/>
    <cellStyle name="표준 29 15" xfId="2013"/>
    <cellStyle name="표준 29 16" xfId="2014"/>
    <cellStyle name="표준 29 17" xfId="2015"/>
    <cellStyle name="표준 29 18" xfId="2016"/>
    <cellStyle name="표준 29 19" xfId="2017"/>
    <cellStyle name="표준 29 2" xfId="2018"/>
    <cellStyle name="표준 29 20" xfId="2019"/>
    <cellStyle name="표준 29 21" xfId="2020"/>
    <cellStyle name="표준 29 22" xfId="2021"/>
    <cellStyle name="표준 29 23" xfId="2022"/>
    <cellStyle name="표준 29 24" xfId="2023"/>
    <cellStyle name="표준 29 25" xfId="2024"/>
    <cellStyle name="표준 29 26" xfId="2025"/>
    <cellStyle name="표준 29 27" xfId="2026"/>
    <cellStyle name="표준 29 28" xfId="2027"/>
    <cellStyle name="표준 29 29" xfId="2028"/>
    <cellStyle name="표준 29 3" xfId="2029"/>
    <cellStyle name="표준 29 30" xfId="2030"/>
    <cellStyle name="표준 29 31" xfId="2031"/>
    <cellStyle name="표준 29 32" xfId="2032"/>
    <cellStyle name="표준 29 33" xfId="2033"/>
    <cellStyle name="표준 29 34" xfId="2034"/>
    <cellStyle name="표준 29 35" xfId="2035"/>
    <cellStyle name="표준 29 36" xfId="2036"/>
    <cellStyle name="표준 29 37" xfId="2037"/>
    <cellStyle name="표준 29 38" xfId="2038"/>
    <cellStyle name="표준 29 39" xfId="2039"/>
    <cellStyle name="표준 29 4" xfId="2040"/>
    <cellStyle name="표준 29 40" xfId="2041"/>
    <cellStyle name="표준 29 41" xfId="2042"/>
    <cellStyle name="표준 29 5" xfId="2043"/>
    <cellStyle name="표준 29 6" xfId="2044"/>
    <cellStyle name="표준 29 7" xfId="2045"/>
    <cellStyle name="표준 29 8" xfId="2046"/>
    <cellStyle name="표준 29 9" xfId="2047"/>
    <cellStyle name="표준 3 30" xfId="2048"/>
    <cellStyle name="표준 3 10 2" xfId="2049"/>
    <cellStyle name="표준 3 11 2" xfId="2050"/>
    <cellStyle name="표준 3 12 2" xfId="2051"/>
    <cellStyle name="표준 3 13 2" xfId="2052"/>
    <cellStyle name="표준 3 14 2" xfId="2053"/>
    <cellStyle name="표준 3 15 2" xfId="2054"/>
    <cellStyle name="표준 3 16 2" xfId="2055"/>
    <cellStyle name="표준 3 17 2" xfId="2056"/>
    <cellStyle name="표준 3 18 2" xfId="2057"/>
    <cellStyle name="표준 3 19" xfId="2058"/>
    <cellStyle name="표준 3 2 2" xfId="2059"/>
    <cellStyle name="표준 3 20" xfId="2060"/>
    <cellStyle name="표준 3 21" xfId="2061"/>
    <cellStyle name="표준 3 22" xfId="2062"/>
    <cellStyle name="표준 3 23" xfId="2063"/>
    <cellStyle name="표준 3 24" xfId="2064"/>
    <cellStyle name="표준 3 25" xfId="2065"/>
    <cellStyle name="표준 3 26" xfId="2066"/>
    <cellStyle name="표준 3 27" xfId="2067"/>
    <cellStyle name="표준 3 28" xfId="2068"/>
    <cellStyle name="표준 3 29" xfId="2069"/>
    <cellStyle name="표준 3 3 2" xfId="2070"/>
    <cellStyle name="표준 3 4 2" xfId="2071"/>
    <cellStyle name="표준 3 5 2" xfId="2072"/>
    <cellStyle name="표준 3 6 2" xfId="2073"/>
    <cellStyle name="표준 3 7 2" xfId="2074"/>
    <cellStyle name="표준 3 8 2" xfId="2075"/>
    <cellStyle name="표준 3 9 2" xfId="2076"/>
    <cellStyle name="표준 30 10" xfId="2077"/>
    <cellStyle name="표준 30 11" xfId="2078"/>
    <cellStyle name="표준 30 12" xfId="2079"/>
    <cellStyle name="표준 30 13" xfId="2080"/>
    <cellStyle name="표준 30 14" xfId="2081"/>
    <cellStyle name="표준 30 15" xfId="2082"/>
    <cellStyle name="표준 30 16" xfId="2083"/>
    <cellStyle name="표준 30 17" xfId="2084"/>
    <cellStyle name="표준 30 18" xfId="2085"/>
    <cellStyle name="표준 30 19" xfId="2086"/>
    <cellStyle name="표준 30 2" xfId="2087"/>
    <cellStyle name="표준 30 20" xfId="2088"/>
    <cellStyle name="표준 30 21" xfId="2089"/>
    <cellStyle name="표준 30 22" xfId="2090"/>
    <cellStyle name="표준 30 23" xfId="2091"/>
    <cellStyle name="표준 30 24" xfId="2092"/>
    <cellStyle name="표준 30 25" xfId="2093"/>
    <cellStyle name="표준 30 26" xfId="2094"/>
    <cellStyle name="표준 30 27" xfId="2095"/>
    <cellStyle name="표준 30 28" xfId="2096"/>
    <cellStyle name="표준 30 29" xfId="2097"/>
    <cellStyle name="표준 30 3" xfId="2098"/>
    <cellStyle name="표준 30 30" xfId="2099"/>
    <cellStyle name="표준 30 31" xfId="2100"/>
    <cellStyle name="표준 30 32" xfId="2101"/>
    <cellStyle name="표준 30 33" xfId="2102"/>
    <cellStyle name="표준 30 34" xfId="2103"/>
    <cellStyle name="표준 30 35" xfId="2104"/>
    <cellStyle name="표준 30 36" xfId="2105"/>
    <cellStyle name="표준 30 37" xfId="2106"/>
    <cellStyle name="표준 30 38" xfId="2107"/>
    <cellStyle name="표준 30 39" xfId="2108"/>
    <cellStyle name="표준 30 4" xfId="2109"/>
    <cellStyle name="표준 30 40" xfId="2110"/>
    <cellStyle name="표준 30 5" xfId="2111"/>
    <cellStyle name="표준 30 6" xfId="2112"/>
    <cellStyle name="표준 30 7" xfId="2113"/>
    <cellStyle name="표준 30 8" xfId="2114"/>
    <cellStyle name="표준 30 9" xfId="2115"/>
    <cellStyle name="표준 31 10" xfId="2116"/>
    <cellStyle name="표준 31 11" xfId="2117"/>
    <cellStyle name="표준 31 12" xfId="2118"/>
    <cellStyle name="표준 31 13" xfId="2119"/>
    <cellStyle name="표준 31 14" xfId="2120"/>
    <cellStyle name="표준 31 15" xfId="2121"/>
    <cellStyle name="표준 31 16" xfId="2122"/>
    <cellStyle name="표준 31 17" xfId="2123"/>
    <cellStyle name="표준 31 18" xfId="2124"/>
    <cellStyle name="표준 31 19" xfId="2125"/>
    <cellStyle name="표준 31 2" xfId="2126"/>
    <cellStyle name="표준 31 20" xfId="2127"/>
    <cellStyle name="표준 31 21" xfId="2128"/>
    <cellStyle name="표준 31 22" xfId="2129"/>
    <cellStyle name="표준 31 23" xfId="2130"/>
    <cellStyle name="표준 31 24" xfId="2131"/>
    <cellStyle name="표준 31 25" xfId="2132"/>
    <cellStyle name="표준 31 26" xfId="2133"/>
    <cellStyle name="표준 31 27" xfId="2134"/>
    <cellStyle name="표준 31 28" xfId="2135"/>
    <cellStyle name="표준 31 29" xfId="2136"/>
    <cellStyle name="표준 31 3" xfId="2137"/>
    <cellStyle name="표준 31 30" xfId="2138"/>
    <cellStyle name="표준 31 31" xfId="2139"/>
    <cellStyle name="표준 31 32" xfId="2140"/>
    <cellStyle name="표준 31 33" xfId="2141"/>
    <cellStyle name="표준 31 34" xfId="2142"/>
    <cellStyle name="표준 31 35" xfId="2143"/>
    <cellStyle name="표준 31 36" xfId="2144"/>
    <cellStyle name="표준 31 37" xfId="2145"/>
    <cellStyle name="표준 31 38" xfId="2146"/>
    <cellStyle name="표준 31 39" xfId="2147"/>
    <cellStyle name="표준 31 4" xfId="2148"/>
    <cellStyle name="표준 31 40" xfId="2149"/>
    <cellStyle name="표준 31 5" xfId="2150"/>
    <cellStyle name="표준 31 6" xfId="2151"/>
    <cellStyle name="표준 31 7" xfId="2152"/>
    <cellStyle name="표준 31 8" xfId="2153"/>
    <cellStyle name="표준 31 9" xfId="2154"/>
    <cellStyle name="표준 32 10" xfId="2155"/>
    <cellStyle name="표준 32 11" xfId="2156"/>
    <cellStyle name="표준 32 12" xfId="2157"/>
    <cellStyle name="표준 32 13" xfId="2158"/>
    <cellStyle name="표준 32 14" xfId="2159"/>
    <cellStyle name="표준 32 15" xfId="2160"/>
    <cellStyle name="표준 32 16" xfId="2161"/>
    <cellStyle name="표준 32 17" xfId="2162"/>
    <cellStyle name="표준 32 18" xfId="2163"/>
    <cellStyle name="표준 32 19" xfId="2164"/>
    <cellStyle name="표준 32 2" xfId="2165"/>
    <cellStyle name="표준 32 20" xfId="2166"/>
    <cellStyle name="표준 32 21" xfId="2167"/>
    <cellStyle name="표준 32 22" xfId="2168"/>
    <cellStyle name="표준 32 23" xfId="2169"/>
    <cellStyle name="표준 32 24" xfId="2170"/>
    <cellStyle name="표준 32 25" xfId="2171"/>
    <cellStyle name="표준 32 26" xfId="2172"/>
    <cellStyle name="표준 32 27" xfId="2173"/>
    <cellStyle name="표준 32 28" xfId="2174"/>
    <cellStyle name="표준 32 29" xfId="2175"/>
    <cellStyle name="표준 32 3" xfId="2176"/>
    <cellStyle name="표준 32 30" xfId="2177"/>
    <cellStyle name="표준 32 31" xfId="2178"/>
    <cellStyle name="표준 32 32" xfId="2179"/>
    <cellStyle name="표준 32 33" xfId="2180"/>
    <cellStyle name="표준 32 34" xfId="2181"/>
    <cellStyle name="표준 32 35" xfId="2182"/>
    <cellStyle name="표준 32 36" xfId="2183"/>
    <cellStyle name="표준 32 37" xfId="2184"/>
    <cellStyle name="표준 32 38" xfId="2185"/>
    <cellStyle name="표준 32 39" xfId="2186"/>
    <cellStyle name="표준 32 4" xfId="2187"/>
    <cellStyle name="표준 32 40" xfId="2188"/>
    <cellStyle name="표준 32 5" xfId="2189"/>
    <cellStyle name="표준 32 6" xfId="2190"/>
    <cellStyle name="표준 32 7" xfId="2191"/>
    <cellStyle name="표준 32 8" xfId="2192"/>
    <cellStyle name="표준 32 9" xfId="2193"/>
    <cellStyle name="표준 33 10" xfId="2194"/>
    <cellStyle name="표준 33 11" xfId="2195"/>
    <cellStyle name="표준 33 12" xfId="2196"/>
    <cellStyle name="표준 33 13" xfId="2197"/>
    <cellStyle name="표준 33 14" xfId="2198"/>
    <cellStyle name="표준 33 15" xfId="2199"/>
    <cellStyle name="표준 33 16" xfId="2200"/>
    <cellStyle name="표준 33 17" xfId="2201"/>
    <cellStyle name="표준 33 18" xfId="2202"/>
    <cellStyle name="표준 33 19" xfId="2203"/>
    <cellStyle name="표준 33 2" xfId="2204"/>
    <cellStyle name="표준 33 20" xfId="2205"/>
    <cellStyle name="표준 33 21" xfId="2206"/>
    <cellStyle name="표준 33 22" xfId="2207"/>
    <cellStyle name="표준 33 23" xfId="2208"/>
    <cellStyle name="표준 33 24" xfId="2209"/>
    <cellStyle name="표준 33 25" xfId="2210"/>
    <cellStyle name="표준 33 26" xfId="2211"/>
    <cellStyle name="표준 33 27" xfId="2212"/>
    <cellStyle name="표준 33 28" xfId="2213"/>
    <cellStyle name="표준 33 29" xfId="2214"/>
    <cellStyle name="표준 33 3" xfId="2215"/>
    <cellStyle name="표준 33 30" xfId="2216"/>
    <cellStyle name="표준 33 31" xfId="2217"/>
    <cellStyle name="표준 33 32" xfId="2218"/>
    <cellStyle name="표준 33 33" xfId="2219"/>
    <cellStyle name="표준 33 34" xfId="2220"/>
    <cellStyle name="표준 33 35" xfId="2221"/>
    <cellStyle name="표준 33 36" xfId="2222"/>
    <cellStyle name="표준 33 37" xfId="2223"/>
    <cellStyle name="표준 33 38" xfId="2224"/>
    <cellStyle name="표준 33 39" xfId="2225"/>
    <cellStyle name="표준 33 4" xfId="2226"/>
    <cellStyle name="표준 33 40" xfId="2227"/>
    <cellStyle name="표준 33 5" xfId="2228"/>
    <cellStyle name="표준 33 6" xfId="2229"/>
    <cellStyle name="표준 33 7" xfId="2230"/>
    <cellStyle name="표준 33 8" xfId="2231"/>
    <cellStyle name="표준 33 9" xfId="2232"/>
    <cellStyle name="표준 34 10" xfId="2233"/>
    <cellStyle name="표준 34 11" xfId="2234"/>
    <cellStyle name="표준 34 12" xfId="2235"/>
    <cellStyle name="표준 34 13" xfId="2236"/>
    <cellStyle name="표준 34 14" xfId="2237"/>
    <cellStyle name="표준 34 15" xfId="2238"/>
    <cellStyle name="표준 34 16" xfId="2239"/>
    <cellStyle name="표준 34 17" xfId="2240"/>
    <cellStyle name="표준 34 18" xfId="2241"/>
    <cellStyle name="표준 34 19" xfId="2242"/>
    <cellStyle name="표준 34 2" xfId="2243"/>
    <cellStyle name="표준 34 20" xfId="2244"/>
    <cellStyle name="표준 34 21" xfId="2245"/>
    <cellStyle name="표준 34 22" xfId="2246"/>
    <cellStyle name="표준 34 23" xfId="2247"/>
    <cellStyle name="표준 34 3" xfId="2248"/>
    <cellStyle name="표준 34 4" xfId="2249"/>
    <cellStyle name="표준 34 5" xfId="2250"/>
    <cellStyle name="표준 34 6" xfId="2251"/>
    <cellStyle name="표준 34 7" xfId="2252"/>
    <cellStyle name="표준 34 8" xfId="2253"/>
    <cellStyle name="표준 34 9" xfId="2254"/>
    <cellStyle name="표준 35 10" xfId="2255"/>
    <cellStyle name="표준 35 11" xfId="2256"/>
    <cellStyle name="표준 35 12" xfId="2257"/>
    <cellStyle name="표준 35 13" xfId="2258"/>
    <cellStyle name="표준 35 14" xfId="2259"/>
    <cellStyle name="표준 35 15" xfId="2260"/>
    <cellStyle name="표준 35 16" xfId="2261"/>
    <cellStyle name="표준 35 17" xfId="2262"/>
    <cellStyle name="표준 35 18" xfId="2263"/>
    <cellStyle name="표준 35 19" xfId="2264"/>
    <cellStyle name="표준 35 2" xfId="2265"/>
    <cellStyle name="표준 35 20" xfId="2266"/>
    <cellStyle name="표준 35 21" xfId="2267"/>
    <cellStyle name="표준 35 22" xfId="2268"/>
    <cellStyle name="표준 35 23" xfId="2269"/>
    <cellStyle name="표준 35 3" xfId="2270"/>
    <cellStyle name="표준 35 4" xfId="2271"/>
    <cellStyle name="표준 35 5" xfId="2272"/>
    <cellStyle name="표준 35 6" xfId="2273"/>
    <cellStyle name="표준 35 7" xfId="2274"/>
    <cellStyle name="표준 35 8" xfId="2275"/>
    <cellStyle name="표준 35 9" xfId="2276"/>
    <cellStyle name="표준 4 15" xfId="2277"/>
    <cellStyle name="표준 5 14" xfId="2278"/>
    <cellStyle name="표준 6 3" xfId="2279"/>
    <cellStyle name="표준 7 19" xfId="2280"/>
    <cellStyle name="표준 8 13" xfId="2281"/>
    <cellStyle name="표준 9 13" xfId="2282"/>
    <cellStyle name="표준 94 3" xfId="2283"/>
    <cellStyle name="표준 7 20" xfId="2284"/>
    <cellStyle name="표준 8 14" xfId="2285"/>
    <cellStyle name="표준 9 14" xfId="2286"/>
    <cellStyle name="표준 10 14" xfId="2287"/>
    <cellStyle name="표준 7 15 4" xfId="2288"/>
    <cellStyle name="표준 8 9 4" xfId="2289"/>
    <cellStyle name="표준 9 9 4" xfId="2290"/>
    <cellStyle name="표준 10 9 4" xfId="2291"/>
    <cellStyle name="표준 7 2 6" xfId="2292"/>
    <cellStyle name="표준 8 2 5" xfId="2293"/>
    <cellStyle name="표준 9 2 5" xfId="2294"/>
    <cellStyle name="표준 10 2 5" xfId="2295"/>
    <cellStyle name="표준 7 10 5" xfId="2296"/>
    <cellStyle name="표준 8 4 5" xfId="2297"/>
    <cellStyle name="표준 9 4 5" xfId="2298"/>
    <cellStyle name="표준 10 4 5" xfId="2299"/>
    <cellStyle name="표준 7 11 5" xfId="2300"/>
    <cellStyle name="표준 8 5 5" xfId="2301"/>
    <cellStyle name="표준 9 5 5" xfId="2302"/>
    <cellStyle name="표준 10 5 5" xfId="2303"/>
    <cellStyle name="표준 21 40" xfId="2304"/>
    <cellStyle name="표준 7 12 5" xfId="2305"/>
    <cellStyle name="표준 8 6 5" xfId="2306"/>
    <cellStyle name="표준 9 6 5" xfId="2307"/>
    <cellStyle name="표준 10 6 5" xfId="2308"/>
    <cellStyle name="표준 7 13 5" xfId="2309"/>
    <cellStyle name="표준 8 7 5" xfId="2310"/>
    <cellStyle name="표준 9 7 5" xfId="2311"/>
    <cellStyle name="표준 10 7 5" xfId="2312"/>
    <cellStyle name="표준 7 14 5" xfId="2313"/>
    <cellStyle name="표준 8 8 5" xfId="2314"/>
    <cellStyle name="표준 9 8 5" xfId="2315"/>
    <cellStyle name="표준 10 8 5" xfId="2316"/>
    <cellStyle name="표준 7 18 2" xfId="2317"/>
    <cellStyle name="표준 8 12 2" xfId="2318"/>
    <cellStyle name="표준 9 12 2" xfId="2319"/>
    <cellStyle name="표준 10 12 2" xfId="2320"/>
    <cellStyle name="표준 7 2 5 2" xfId="2321"/>
    <cellStyle name="표준 8 2 4 2" xfId="2322"/>
    <cellStyle name="표준 9 2 4 2" xfId="2323"/>
    <cellStyle name="표준 10 2 4 2" xfId="2324"/>
    <cellStyle name="표준 7 10 4 2" xfId="2325"/>
    <cellStyle name="표준 8 4 4 2" xfId="2326"/>
    <cellStyle name="표준 9 4 4 2" xfId="2327"/>
    <cellStyle name="표준 10 4 4 2" xfId="2328"/>
    <cellStyle name="표준 7 11 4 2" xfId="2329"/>
    <cellStyle name="표준 8 5 4 2" xfId="2330"/>
    <cellStyle name="표준 9 5 4 2" xfId="2331"/>
    <cellStyle name="표준 10 5 4 2" xfId="2332"/>
    <cellStyle name="표준 21 4 3" xfId="2333"/>
    <cellStyle name="표준 7 12 4 2" xfId="2334"/>
    <cellStyle name="표준 8 6 4 2" xfId="2335"/>
    <cellStyle name="표준 9 6 4 2" xfId="2336"/>
    <cellStyle name="표준 10 6 4 2" xfId="2337"/>
    <cellStyle name="표준 7 13 4 2" xfId="2338"/>
    <cellStyle name="표준 8 7 4 2" xfId="2339"/>
    <cellStyle name="표준 9 7 4 2" xfId="2340"/>
    <cellStyle name="표준 10 7 4 2" xfId="2341"/>
    <cellStyle name="표준 7 14 4 2" xfId="2342"/>
    <cellStyle name="표준 8 8 4 2" xfId="2343"/>
    <cellStyle name="표준 9 8 4 2" xfId="2344"/>
    <cellStyle name="표준 10 8 4 2" xfId="2345"/>
    <cellStyle name="표준 7 16 2" xfId="2346"/>
    <cellStyle name="표준 8 10 2" xfId="2347"/>
    <cellStyle name="표준 9 10 2" xfId="2348"/>
    <cellStyle name="표준 10 10 2" xfId="2349"/>
    <cellStyle name="표준 7 15 3 2" xfId="2350"/>
    <cellStyle name="표준 8 9 3 2" xfId="2351"/>
    <cellStyle name="표준 9 9 3 2" xfId="2352"/>
    <cellStyle name="표준 10 9 3 2" xfId="2353"/>
    <cellStyle name="표준 7 2 3 2" xfId="2354"/>
    <cellStyle name="표준 8 2 2 2" xfId="2355"/>
    <cellStyle name="표준 9 2 2 2" xfId="2356"/>
    <cellStyle name="표준 10 2 2 2" xfId="2357"/>
    <cellStyle name="표준 7 10 2 2" xfId="2358"/>
    <cellStyle name="표준 8 4 2 2" xfId="2359"/>
    <cellStyle name="표준 9 4 2 2" xfId="2360"/>
    <cellStyle name="표준 10 4 2 2" xfId="2361"/>
    <cellStyle name="표준 7 11 2 2" xfId="2362"/>
    <cellStyle name="표준 8 5 2 2" xfId="2363"/>
    <cellStyle name="표준 9 5 2 2" xfId="2364"/>
    <cellStyle name="표준 10 5 2 2" xfId="2365"/>
    <cellStyle name="표준 21 2 3" xfId="2366"/>
    <cellStyle name="표준 7 12 2 2" xfId="2367"/>
    <cellStyle name="표준 8 6 2 2" xfId="2368"/>
    <cellStyle name="표준 9 6 2 2" xfId="2369"/>
    <cellStyle name="표준 10 6 2 2" xfId="2370"/>
    <cellStyle name="표준 7 13 2 2" xfId="2371"/>
    <cellStyle name="표준 8 7 2 2" xfId="2372"/>
    <cellStyle name="표준 9 7 2 2" xfId="2373"/>
    <cellStyle name="표준 10 7 2 2" xfId="2374"/>
    <cellStyle name="표준 7 14 2 2" xfId="2375"/>
    <cellStyle name="표준 8 8 2 2" xfId="2376"/>
    <cellStyle name="표준 9 8 2 2" xfId="2377"/>
    <cellStyle name="표준 10 8 2 2" xfId="2378"/>
    <cellStyle name="표준 7 17 2" xfId="2379"/>
    <cellStyle name="표준 8 11 2" xfId="2380"/>
    <cellStyle name="표준 9 11 2" xfId="2381"/>
    <cellStyle name="표준 10 11 2" xfId="2382"/>
    <cellStyle name="표준 7 15 2 2" xfId="2383"/>
    <cellStyle name="표준 8 9 2 2" xfId="2384"/>
    <cellStyle name="표준 9 9 2 2" xfId="2385"/>
    <cellStyle name="표준 10 9 2 2" xfId="2386"/>
    <cellStyle name="표준 7 2 4 2" xfId="2387"/>
    <cellStyle name="표준 8 2 3 2" xfId="2388"/>
    <cellStyle name="표준 9 2 3 2" xfId="2389"/>
    <cellStyle name="표준 10 2 3 2" xfId="2390"/>
    <cellStyle name="표준 7 10 3 2" xfId="2391"/>
    <cellStyle name="표준 8 4 3 2" xfId="2392"/>
    <cellStyle name="표준 9 4 3 2" xfId="2393"/>
    <cellStyle name="표준 10 4 3 2" xfId="2394"/>
    <cellStyle name="표준 7 11 3 2" xfId="2395"/>
    <cellStyle name="표준 8 5 3 2" xfId="2396"/>
    <cellStyle name="표준 9 5 3 2" xfId="2397"/>
    <cellStyle name="표준 10 5 3 2" xfId="2398"/>
    <cellStyle name="표준 21 3 3" xfId="2399"/>
    <cellStyle name="표준 7 12 3 2" xfId="2400"/>
    <cellStyle name="표준 8 6 3 2" xfId="2401"/>
    <cellStyle name="표준 9 6 3 2" xfId="2402"/>
    <cellStyle name="표준 10 6 3 2" xfId="2403"/>
    <cellStyle name="표준 7 13 3 2" xfId="2404"/>
    <cellStyle name="표준 8 7 3 2" xfId="2405"/>
    <cellStyle name="표준 9 7 3 2" xfId="2406"/>
    <cellStyle name="표준 10 7 3 2" xfId="2407"/>
    <cellStyle name="표준 7 14 3 2" xfId="2408"/>
    <cellStyle name="표준 8 8 3 2" xfId="2409"/>
    <cellStyle name="표준 9 8 3 2" xfId="2410"/>
    <cellStyle name="표준 10 8 3 2" xfId="2411"/>
    <cellStyle name="표준 22 3" xfId="2412"/>
    <cellStyle name="표준 7 21" xfId="2413"/>
    <cellStyle name="표준 8 15" xfId="2414"/>
    <cellStyle name="표준 9 15" xfId="2415"/>
    <cellStyle name="표준 10 15" xfId="2416"/>
    <cellStyle name="표준 7 15 5" xfId="2417"/>
    <cellStyle name="표준 8 9 5" xfId="2418"/>
    <cellStyle name="표준 9 9 5" xfId="2419"/>
    <cellStyle name="표준 10 9 5" xfId="2420"/>
    <cellStyle name="표준 7 2 7" xfId="2421"/>
    <cellStyle name="표준 8 2 6" xfId="2422"/>
    <cellStyle name="표준 9 2 6" xfId="2423"/>
    <cellStyle name="표준 10 2 6" xfId="2424"/>
    <cellStyle name="표준 7 10 6" xfId="2425"/>
    <cellStyle name="표준 8 4 6" xfId="2426"/>
    <cellStyle name="표준 9 4 6" xfId="2427"/>
    <cellStyle name="표준 10 4 6" xfId="2428"/>
    <cellStyle name="표준 7 11 6" xfId="2429"/>
    <cellStyle name="표준 8 5 6" xfId="2430"/>
    <cellStyle name="표준 9 5 6" xfId="2431"/>
    <cellStyle name="표준 10 5 6" xfId="2432"/>
    <cellStyle name="표준 21 41" xfId="2433"/>
    <cellStyle name="표준 7 12 6" xfId="2434"/>
    <cellStyle name="표준 8 6 6" xfId="2435"/>
    <cellStyle name="표준 9 6 6" xfId="2436"/>
    <cellStyle name="표준 10 6 6" xfId="2437"/>
    <cellStyle name="표준 7 13 6" xfId="2438"/>
    <cellStyle name="표준 8 7 6" xfId="2439"/>
    <cellStyle name="표준 9 7 6" xfId="2440"/>
    <cellStyle name="표준 10 7 6" xfId="2441"/>
    <cellStyle name="표준 7 14 6" xfId="2442"/>
    <cellStyle name="표준 8 8 6" xfId="2443"/>
    <cellStyle name="표준 9 8 6" xfId="2444"/>
    <cellStyle name="표준 10 8 6" xfId="2445"/>
    <cellStyle name="표준 7 18 3" xfId="2446"/>
    <cellStyle name="표준 8 12 3" xfId="2447"/>
    <cellStyle name="표준 9 12 3" xfId="2448"/>
    <cellStyle name="표준 10 12 3" xfId="2449"/>
    <cellStyle name="표준 7 2 5 3" xfId="2450"/>
    <cellStyle name="표준 8 2 4 3" xfId="2451"/>
    <cellStyle name="표준 9 2 4 3" xfId="2452"/>
    <cellStyle name="표준 10 2 4 3" xfId="2453"/>
    <cellStyle name="표준 7 10 4 3" xfId="2454"/>
    <cellStyle name="표준 8 4 4 3" xfId="2455"/>
    <cellStyle name="표준 9 4 4 3" xfId="2456"/>
    <cellStyle name="표준 10 4 4 3" xfId="2457"/>
    <cellStyle name="표준 7 11 4 3" xfId="2458"/>
    <cellStyle name="표준 8 5 4 3" xfId="2459"/>
    <cellStyle name="표준 9 5 4 3" xfId="2460"/>
    <cellStyle name="표준 10 5 4 3" xfId="2461"/>
    <cellStyle name="표준 21 4 4" xfId="2462"/>
    <cellStyle name="표준 7 12 4 3" xfId="2463"/>
    <cellStyle name="표준 8 6 4 3" xfId="2464"/>
    <cellStyle name="표준 9 6 4 3" xfId="2465"/>
    <cellStyle name="표준 10 6 4 3" xfId="2466"/>
    <cellStyle name="표준 7 13 4 3" xfId="2467"/>
    <cellStyle name="표준 8 7 4 3" xfId="2468"/>
    <cellStyle name="표준 9 7 4 3" xfId="2469"/>
    <cellStyle name="표준 10 7 4 3" xfId="2470"/>
    <cellStyle name="표준 7 14 4 3" xfId="2471"/>
    <cellStyle name="표준 8 8 4 3" xfId="2472"/>
    <cellStyle name="표준 9 8 4 3" xfId="2473"/>
    <cellStyle name="표준 10 8 4 3" xfId="2474"/>
    <cellStyle name="표준 7 16 3" xfId="2475"/>
    <cellStyle name="표준 8 10 3" xfId="2476"/>
    <cellStyle name="표준 9 10 3" xfId="2477"/>
    <cellStyle name="표준 10 10 3" xfId="2478"/>
    <cellStyle name="표준 7 15 3 3" xfId="2479"/>
    <cellStyle name="표준 8 9 3 3" xfId="2480"/>
    <cellStyle name="표준 9 9 3 3" xfId="2481"/>
    <cellStyle name="표준 10 9 3 3" xfId="2482"/>
    <cellStyle name="표준 7 2 3 3" xfId="2483"/>
    <cellStyle name="표준 8 2 2 3" xfId="2484"/>
    <cellStyle name="표준 9 2 2 3" xfId="2485"/>
    <cellStyle name="표준 10 2 2 3" xfId="2486"/>
    <cellStyle name="표준 7 10 2 3" xfId="2487"/>
    <cellStyle name="표준 8 4 2 3" xfId="2488"/>
    <cellStyle name="표준 9 4 2 3" xfId="2489"/>
    <cellStyle name="표준 10 4 2 3" xfId="2490"/>
    <cellStyle name="표준 7 11 2 3" xfId="2491"/>
    <cellStyle name="표준 8 5 2 3" xfId="2492"/>
    <cellStyle name="표준 9 5 2 3" xfId="2493"/>
    <cellStyle name="표준 10 5 2 3" xfId="2494"/>
    <cellStyle name="표준 21 2 4" xfId="2495"/>
    <cellStyle name="표준 7 12 2 3" xfId="2496"/>
    <cellStyle name="표준 8 6 2 3" xfId="2497"/>
    <cellStyle name="표준 9 6 2 3" xfId="2498"/>
    <cellStyle name="표준 10 6 2 3" xfId="2499"/>
    <cellStyle name="표준 7 13 2 3" xfId="2500"/>
    <cellStyle name="표준 8 7 2 3" xfId="2501"/>
    <cellStyle name="표준 9 7 2 3" xfId="2502"/>
    <cellStyle name="표준 10 7 2 3" xfId="2503"/>
    <cellStyle name="표준 7 14 2 3" xfId="2504"/>
    <cellStyle name="표준 8 8 2 3" xfId="2505"/>
    <cellStyle name="표준 9 8 2 3" xfId="2506"/>
    <cellStyle name="표준 10 8 2 3" xfId="2507"/>
    <cellStyle name="표준 7 17 3" xfId="2508"/>
    <cellStyle name="표준 8 11 3" xfId="2509"/>
    <cellStyle name="표준 9 11 3" xfId="2510"/>
    <cellStyle name="표준 10 11 3" xfId="2511"/>
    <cellStyle name="표준 7 15 2 3" xfId="2512"/>
    <cellStyle name="표준 8 9 2 3" xfId="2513"/>
    <cellStyle name="표준 9 9 2 3" xfId="2514"/>
    <cellStyle name="표준 10 9 2 3" xfId="2515"/>
    <cellStyle name="표준 7 2 4 3" xfId="2516"/>
    <cellStyle name="표준 8 2 3 3" xfId="2517"/>
    <cellStyle name="표준 9 2 3 3" xfId="2518"/>
    <cellStyle name="표준 10 2 3 3" xfId="2519"/>
    <cellStyle name="표준 7 10 3 3" xfId="2520"/>
    <cellStyle name="표준 8 4 3 3" xfId="2521"/>
    <cellStyle name="표준 9 4 3 3" xfId="2522"/>
    <cellStyle name="표준 10 4 3 3" xfId="2523"/>
    <cellStyle name="표준 7 11 3 3" xfId="2524"/>
    <cellStyle name="표준 8 5 3 3" xfId="2525"/>
    <cellStyle name="표준 9 5 3 3" xfId="2526"/>
    <cellStyle name="표준 10 5 3 3" xfId="2527"/>
    <cellStyle name="표준 21 3 4" xfId="2528"/>
    <cellStyle name="표준 7 12 3 3" xfId="2529"/>
    <cellStyle name="표준 8 6 3 3" xfId="2530"/>
    <cellStyle name="표준 9 6 3 3" xfId="2531"/>
    <cellStyle name="표준 10 6 3 3" xfId="2532"/>
    <cellStyle name="표준 7 13 3 3" xfId="2533"/>
    <cellStyle name="표준 8 7 3 3" xfId="2534"/>
    <cellStyle name="표준 9 7 3 3" xfId="2535"/>
    <cellStyle name="표준 10 7 3 3" xfId="2536"/>
    <cellStyle name="표준 7 14 3 3" xfId="2537"/>
    <cellStyle name="표준 8 8 3 3" xfId="2538"/>
    <cellStyle name="표준 9 8 3 3" xfId="2539"/>
    <cellStyle name="표준 10 8 3 3" xfId="2540"/>
    <cellStyle name="표준 22 4" xfId="2541"/>
    <cellStyle name="표준 10 10 2 2" xfId="2542"/>
    <cellStyle name="표준 10 11 2 2" xfId="2543"/>
    <cellStyle name="표준 10 12 2 2" xfId="2544"/>
    <cellStyle name="표준 10 14 2" xfId="2545"/>
    <cellStyle name="표준 10 2 2 2 2" xfId="2546"/>
    <cellStyle name="표준 10 2 3 2 2" xfId="2547"/>
    <cellStyle name="표준 10 2 4 2 2" xfId="2548"/>
    <cellStyle name="표준 10 2 5 2" xfId="2549"/>
    <cellStyle name="표준 10 4 2 2 2" xfId="2550"/>
    <cellStyle name="표준 10 4 3 2 2" xfId="2551"/>
    <cellStyle name="표준 10 4 4 2 2" xfId="2552"/>
    <cellStyle name="표준 10 4 5 2" xfId="2553"/>
    <cellStyle name="표준 10 5 2 2 2" xfId="2554"/>
    <cellStyle name="표준 10 5 3 2 2" xfId="2555"/>
    <cellStyle name="표준 10 5 4 2 2" xfId="2556"/>
    <cellStyle name="표준 10 5 5 2" xfId="2557"/>
    <cellStyle name="표준 10 6 2 2 2" xfId="2558"/>
    <cellStyle name="표준 10 6 3 2 2" xfId="2559"/>
    <cellStyle name="표준 10 6 4 2 2" xfId="2560"/>
    <cellStyle name="표준 10 6 5 2" xfId="2561"/>
    <cellStyle name="표준 10 7 2 2 2" xfId="2562"/>
    <cellStyle name="표준 10 7 3 2 2" xfId="2563"/>
    <cellStyle name="표준 10 7 4 2 2" xfId="2564"/>
    <cellStyle name="표준 10 7 5 2" xfId="2565"/>
    <cellStyle name="표준 10 8 2 2 2" xfId="2566"/>
    <cellStyle name="표준 10 8 3 2 2" xfId="2567"/>
    <cellStyle name="표준 10 8 4 2 2" xfId="2568"/>
    <cellStyle name="표준 10 8 5 2" xfId="2569"/>
    <cellStyle name="표준 10 9 2 2 2" xfId="2570"/>
    <cellStyle name="표준 10 9 3 2 2" xfId="2571"/>
    <cellStyle name="표준 10 9 4 2" xfId="2572"/>
    <cellStyle name="표준 21 2 3 2" xfId="2573"/>
    <cellStyle name="표준 21 3 3 2" xfId="2574"/>
    <cellStyle name="표준 21 4 3 2" xfId="2575"/>
    <cellStyle name="표준 21 40 2" xfId="2576"/>
    <cellStyle name="표준 22 3 2" xfId="2577"/>
    <cellStyle name="표준 24" xfId="2578"/>
    <cellStyle name="표준 25" xfId="2579"/>
    <cellStyle name="표준 7 10 2 2 2" xfId="2580"/>
    <cellStyle name="표준 7 10 3 2 2" xfId="2581"/>
    <cellStyle name="표준 7 10 4 2 2" xfId="2582"/>
    <cellStyle name="표준 7 10 5 2" xfId="2583"/>
    <cellStyle name="표준 7 11 2 2 2" xfId="2584"/>
    <cellStyle name="표준 7 11 3 2 2" xfId="2585"/>
    <cellStyle name="표준 7 11 4 2 2" xfId="2586"/>
    <cellStyle name="표준 7 11 5 2" xfId="2587"/>
    <cellStyle name="표준 7 12 2 2 2" xfId="2588"/>
    <cellStyle name="표준 7 12 3 2 2" xfId="2589"/>
    <cellStyle name="표준 7 12 4 2 2" xfId="2590"/>
    <cellStyle name="표준 7 12 5 2" xfId="2591"/>
    <cellStyle name="표준 7 13 2 2 2" xfId="2592"/>
    <cellStyle name="표준 7 13 3 2 2" xfId="2593"/>
    <cellStyle name="표준 7 13 4 2 2" xfId="2594"/>
    <cellStyle name="표준 7 13 5 2" xfId="2595"/>
    <cellStyle name="표준 7 14 2 2 2" xfId="2596"/>
    <cellStyle name="표준 7 14 3 2 2" xfId="2597"/>
    <cellStyle name="표준 7 14 4 2 2" xfId="2598"/>
    <cellStyle name="표준 7 14 5 2" xfId="2599"/>
    <cellStyle name="표준 7 15 2 2 2" xfId="2600"/>
    <cellStyle name="표준 7 15 3 2 2" xfId="2601"/>
    <cellStyle name="표준 7 15 4 2" xfId="2602"/>
    <cellStyle name="표준 7 16 2 2" xfId="2603"/>
    <cellStyle name="표준 7 17 2 2" xfId="2604"/>
    <cellStyle name="표준 7 18 2 2" xfId="2605"/>
    <cellStyle name="표준 7 2 3 2 2" xfId="2606"/>
    <cellStyle name="표준 7 2 4 2 2" xfId="2607"/>
    <cellStyle name="표준 7 2 5 2 2" xfId="2608"/>
    <cellStyle name="표준 7 2 6 2" xfId="2609"/>
    <cellStyle name="표준 7 20 2" xfId="2610"/>
    <cellStyle name="표준 8 10 2 2" xfId="2611"/>
    <cellStyle name="표준 8 11 2 2" xfId="2612"/>
    <cellStyle name="표준 8 12 2 2" xfId="2613"/>
    <cellStyle name="표준 8 14 2" xfId="2614"/>
    <cellStyle name="표준 8 2 2 2 2" xfId="2615"/>
    <cellStyle name="표준 8 2 3 2 2" xfId="2616"/>
    <cellStyle name="표준 8 2 4 2 2" xfId="2617"/>
    <cellStyle name="표준 8 2 5 2" xfId="2618"/>
    <cellStyle name="표준 8 4 2 2 2" xfId="2619"/>
    <cellStyle name="표준 8 4 3 2 2" xfId="2620"/>
    <cellStyle name="표준 8 4 4 2 2" xfId="2621"/>
    <cellStyle name="표준 8 4 5 2" xfId="2622"/>
    <cellStyle name="표준 8 5 2 2 2" xfId="2623"/>
    <cellStyle name="표준 8 5 3 2 2" xfId="2624"/>
    <cellStyle name="표준 8 5 4 2 2" xfId="2625"/>
    <cellStyle name="표준 8 5 5 2" xfId="2626"/>
    <cellStyle name="표준 8 6 2 2 2" xfId="2627"/>
    <cellStyle name="표준 8 6 3 2 2" xfId="2628"/>
    <cellStyle name="표준 8 6 4 2 2" xfId="2629"/>
    <cellStyle name="표준 8 6 5 2" xfId="2630"/>
    <cellStyle name="표준 8 7 2 2 2" xfId="2631"/>
    <cellStyle name="표준 8 7 3 2 2" xfId="2632"/>
    <cellStyle name="표준 8 7 4 2 2" xfId="2633"/>
    <cellStyle name="표준 8 7 5 2" xfId="2634"/>
    <cellStyle name="표준 8 8 2 2 2" xfId="2635"/>
    <cellStyle name="표준 8 8 3 2 2" xfId="2636"/>
    <cellStyle name="표준 8 8 4 2 2" xfId="2637"/>
    <cellStyle name="표준 8 8 5 2" xfId="2638"/>
    <cellStyle name="표준 8 9 2 2 2" xfId="2639"/>
    <cellStyle name="표준 8 9 3 2 2" xfId="2640"/>
    <cellStyle name="표준 8 9 4 2" xfId="2641"/>
    <cellStyle name="표준 9 10 2 2" xfId="2642"/>
    <cellStyle name="표준 9 11 2 2" xfId="2643"/>
    <cellStyle name="표준 9 12 2 2" xfId="2644"/>
    <cellStyle name="표준 9 14 2" xfId="2645"/>
    <cellStyle name="표준 9 2 2 2 2" xfId="2646"/>
    <cellStyle name="표준 9 2 3 2 2" xfId="2647"/>
    <cellStyle name="표준 9 2 4 2 2" xfId="2648"/>
    <cellStyle name="표준 9 2 5 2" xfId="2649"/>
    <cellStyle name="표준 9 4 2 2 2" xfId="2650"/>
    <cellStyle name="표준 9 4 3 2 2" xfId="2651"/>
    <cellStyle name="표준 9 4 4 2 2" xfId="2652"/>
    <cellStyle name="표준 9 4 5 2" xfId="2653"/>
    <cellStyle name="표준 9 5 2 2 2" xfId="2654"/>
    <cellStyle name="표준 9 5 3 2 2" xfId="2655"/>
    <cellStyle name="표준 9 5 4 2 2" xfId="2656"/>
    <cellStyle name="표준 9 5 5 2" xfId="2657"/>
    <cellStyle name="표준 9 6 2 2 2" xfId="2658"/>
    <cellStyle name="표준 9 6 3 2 2" xfId="2659"/>
    <cellStyle name="표준 9 6 4 2 2" xfId="2660"/>
    <cellStyle name="표준 9 6 5 2" xfId="2661"/>
    <cellStyle name="표준 9 7 2 2 2" xfId="2662"/>
    <cellStyle name="표준 9 7 3 2 2" xfId="2663"/>
    <cellStyle name="표준 9 7 4 2 2" xfId="2664"/>
    <cellStyle name="표준 9 7 5 2" xfId="2665"/>
    <cellStyle name="표준 9 8 2 2 2" xfId="2666"/>
    <cellStyle name="표준 9 8 3 2 2" xfId="2667"/>
    <cellStyle name="표준 9 8 4 2 2" xfId="2668"/>
    <cellStyle name="표준 9 8 5 2" xfId="2669"/>
    <cellStyle name="표준 9 9 2 2 2" xfId="2670"/>
    <cellStyle name="표준 9 9 3 2 2" xfId="2671"/>
    <cellStyle name="표준 9 9 4 2" xfId="2672"/>
    <cellStyle name="표준 27" xfId="2673"/>
    <cellStyle name="표준 26" xfId="2674"/>
    <cellStyle name="표준 7 22" xfId="2675"/>
    <cellStyle name="표준 8 16" xfId="2676"/>
    <cellStyle name="표준 9 16" xfId="2677"/>
    <cellStyle name="표준 10 16" xfId="2678"/>
    <cellStyle name="표준 7 15 6" xfId="2679"/>
    <cellStyle name="표준 8 9 6" xfId="2680"/>
    <cellStyle name="표준 9 9 6" xfId="2681"/>
    <cellStyle name="표준 10 9 6" xfId="2682"/>
    <cellStyle name="표준 7 2 8" xfId="2683"/>
    <cellStyle name="표준 8 2 7" xfId="2684"/>
    <cellStyle name="표준 9 2 7" xfId="2685"/>
    <cellStyle name="표준 10 2 7" xfId="2686"/>
    <cellStyle name="표준 7 10 7" xfId="2687"/>
    <cellStyle name="표준 8 4 7" xfId="2688"/>
    <cellStyle name="표준 9 4 7" xfId="2689"/>
    <cellStyle name="표준 10 4 7" xfId="2690"/>
    <cellStyle name="표준 7 11 7" xfId="2691"/>
    <cellStyle name="표준 8 5 7" xfId="2692"/>
    <cellStyle name="표준 9 5 7" xfId="2693"/>
    <cellStyle name="표준 10 5 7" xfId="2694"/>
    <cellStyle name="표준 21 42" xfId="2695"/>
    <cellStyle name="표준 7 12 7" xfId="2696"/>
    <cellStyle name="표준 8 6 7" xfId="2697"/>
    <cellStyle name="표준 9 6 7" xfId="2698"/>
    <cellStyle name="표준 10 6 7" xfId="2699"/>
    <cellStyle name="표준 7 13 7" xfId="2700"/>
    <cellStyle name="표준 8 7 7" xfId="2701"/>
    <cellStyle name="표준 9 7 7" xfId="2702"/>
    <cellStyle name="표준 10 7 7" xfId="2703"/>
    <cellStyle name="표준 7 14 7" xfId="2704"/>
    <cellStyle name="표준 8 8 7" xfId="2705"/>
    <cellStyle name="표준 9 8 7" xfId="2706"/>
    <cellStyle name="표준 10 8 7" xfId="2707"/>
    <cellStyle name="표준 7 18 4" xfId="2708"/>
    <cellStyle name="표준 8 12 4" xfId="2709"/>
    <cellStyle name="표준 9 12 4" xfId="2710"/>
    <cellStyle name="표준 10 12 4" xfId="2711"/>
    <cellStyle name="표준 7 2 5 4" xfId="2712"/>
    <cellStyle name="표준 8 2 4 4" xfId="2713"/>
    <cellStyle name="표준 9 2 4 4" xfId="2714"/>
    <cellStyle name="표준 10 2 4 4" xfId="2715"/>
    <cellStyle name="표준 7 10 4 4" xfId="2716"/>
    <cellStyle name="표준 8 4 4 4" xfId="2717"/>
    <cellStyle name="표준 9 4 4 4" xfId="2718"/>
    <cellStyle name="표준 10 4 4 4" xfId="2719"/>
    <cellStyle name="표준 7 11 4 4" xfId="2720"/>
    <cellStyle name="표준 8 5 4 4" xfId="2721"/>
    <cellStyle name="표준 9 5 4 4" xfId="2722"/>
    <cellStyle name="표준 10 5 4 4" xfId="2723"/>
    <cellStyle name="표준 21 4 5" xfId="2724"/>
    <cellStyle name="표준 7 12 4 4" xfId="2725"/>
    <cellStyle name="표준 8 6 4 4" xfId="2726"/>
    <cellStyle name="표준 9 6 4 4" xfId="2727"/>
    <cellStyle name="표준 10 6 4 4" xfId="2728"/>
    <cellStyle name="표준 7 13 4 4" xfId="2729"/>
    <cellStyle name="표준 8 7 4 4" xfId="2730"/>
    <cellStyle name="표준 9 7 4 4" xfId="2731"/>
    <cellStyle name="표준 10 7 4 4" xfId="2732"/>
    <cellStyle name="표준 7 14 4 4" xfId="2733"/>
    <cellStyle name="표준 8 8 4 4" xfId="2734"/>
    <cellStyle name="표준 9 8 4 4" xfId="2735"/>
    <cellStyle name="표준 10 8 4 4" xfId="2736"/>
    <cellStyle name="표준 7 16 4" xfId="2737"/>
    <cellStyle name="표준 8 10 4" xfId="2738"/>
    <cellStyle name="표준 9 10 4" xfId="2739"/>
    <cellStyle name="표준 10 10 4" xfId="2740"/>
    <cellStyle name="표준 7 15 3 4" xfId="2741"/>
    <cellStyle name="표준 8 9 3 4" xfId="2742"/>
    <cellStyle name="표준 9 9 3 4" xfId="2743"/>
    <cellStyle name="표준 10 9 3 4" xfId="2744"/>
    <cellStyle name="표준 7 2 3 4" xfId="2745"/>
    <cellStyle name="표준 8 2 2 4" xfId="2746"/>
    <cellStyle name="표준 9 2 2 4" xfId="2747"/>
    <cellStyle name="표준 10 2 2 4" xfId="2748"/>
    <cellStyle name="표준 7 10 2 4" xfId="2749"/>
    <cellStyle name="표준 8 4 2 4" xfId="2750"/>
    <cellStyle name="표준 9 4 2 4" xfId="2751"/>
    <cellStyle name="표준 10 4 2 4" xfId="2752"/>
    <cellStyle name="표준 7 11 2 4" xfId="2753"/>
    <cellStyle name="표준 8 5 2 4" xfId="2754"/>
    <cellStyle name="표준 9 5 2 4" xfId="2755"/>
    <cellStyle name="표준 10 5 2 4" xfId="2756"/>
    <cellStyle name="표준 21 2 5" xfId="2757"/>
    <cellStyle name="표준 7 12 2 4" xfId="2758"/>
    <cellStyle name="표준 8 6 2 4" xfId="2759"/>
    <cellStyle name="표준 9 6 2 4" xfId="2760"/>
    <cellStyle name="표준 10 6 2 4" xfId="2761"/>
    <cellStyle name="표준 7 13 2 4" xfId="2762"/>
    <cellStyle name="표준 8 7 2 4" xfId="2763"/>
    <cellStyle name="표준 9 7 2 4" xfId="2764"/>
    <cellStyle name="표준 10 7 2 4" xfId="2765"/>
    <cellStyle name="표준 7 14 2 4" xfId="2766"/>
    <cellStyle name="표준 8 8 2 4" xfId="2767"/>
    <cellStyle name="표준 9 8 2 4" xfId="2768"/>
    <cellStyle name="표준 10 8 2 4" xfId="2769"/>
    <cellStyle name="표준 7 17 4" xfId="2770"/>
    <cellStyle name="표준 8 11 4" xfId="2771"/>
    <cellStyle name="표준 9 11 4" xfId="2772"/>
    <cellStyle name="표준 10 11 4" xfId="2773"/>
    <cellStyle name="표준 7 15 2 4" xfId="2774"/>
    <cellStyle name="표준 8 9 2 4" xfId="2775"/>
    <cellStyle name="표준 9 9 2 4" xfId="2776"/>
    <cellStyle name="표준 10 9 2 4" xfId="2777"/>
    <cellStyle name="표준 7 2 4 4" xfId="2778"/>
    <cellStyle name="표준 8 2 3 4" xfId="2779"/>
    <cellStyle name="표준 9 2 3 4" xfId="2780"/>
    <cellStyle name="표준 10 2 3 4" xfId="2781"/>
    <cellStyle name="표준 7 10 3 4" xfId="2782"/>
    <cellStyle name="표준 8 4 3 4" xfId="2783"/>
    <cellStyle name="표준 9 4 3 4" xfId="2784"/>
    <cellStyle name="표준 10 4 3 4" xfId="2785"/>
    <cellStyle name="표준 7 11 3 4" xfId="2786"/>
    <cellStyle name="표준 8 5 3 4" xfId="2787"/>
    <cellStyle name="표준 9 5 3 4" xfId="2788"/>
    <cellStyle name="표준 10 5 3 4" xfId="2789"/>
    <cellStyle name="표준 21 3 5" xfId="2790"/>
    <cellStyle name="표준 7 12 3 4" xfId="2791"/>
    <cellStyle name="표준 8 6 3 4" xfId="2792"/>
    <cellStyle name="표준 9 6 3 4" xfId="2793"/>
    <cellStyle name="표준 10 6 3 4" xfId="2794"/>
    <cellStyle name="표준 7 13 3 4" xfId="2795"/>
    <cellStyle name="표준 8 7 3 4" xfId="2796"/>
    <cellStyle name="표준 9 7 3 4" xfId="2797"/>
    <cellStyle name="표준 10 7 3 4" xfId="2798"/>
    <cellStyle name="표준 7 14 3 4" xfId="2799"/>
    <cellStyle name="표준 8 8 3 4" xfId="2800"/>
    <cellStyle name="표준 9 8 3 4" xfId="2801"/>
    <cellStyle name="표준 10 8 3 4" xfId="2802"/>
    <cellStyle name="표준 22 5" xfId="2803"/>
    <cellStyle name="표준 7 20 3" xfId="2804"/>
    <cellStyle name="표준 8 14 3" xfId="2805"/>
    <cellStyle name="표준 9 14 3" xfId="2806"/>
    <cellStyle name="표준 10 14 3" xfId="2807"/>
    <cellStyle name="표준 7 15 4 3" xfId="2808"/>
    <cellStyle name="표준 8 9 4 3" xfId="2809"/>
    <cellStyle name="표준 9 9 4 3" xfId="2810"/>
    <cellStyle name="표준 10 9 4 3" xfId="2811"/>
    <cellStyle name="표준 7 2 6 3" xfId="2812"/>
    <cellStyle name="표준 8 2 5 3" xfId="2813"/>
    <cellStyle name="표준 9 2 5 3" xfId="2814"/>
    <cellStyle name="표준 10 2 5 3" xfId="2815"/>
    <cellStyle name="표준 7 10 5 3" xfId="2816"/>
    <cellStyle name="표준 8 4 5 3" xfId="2817"/>
    <cellStyle name="표준 9 4 5 3" xfId="2818"/>
    <cellStyle name="표준 10 4 5 3" xfId="2819"/>
    <cellStyle name="표준 7 11 5 3" xfId="2820"/>
    <cellStyle name="표준 8 5 5 3" xfId="2821"/>
    <cellStyle name="표준 9 5 5 3" xfId="2822"/>
    <cellStyle name="표준 10 5 5 3" xfId="2823"/>
    <cellStyle name="표준 21 40 3" xfId="2824"/>
    <cellStyle name="표준 7 12 5 3" xfId="2825"/>
    <cellStyle name="표준 8 6 5 3" xfId="2826"/>
    <cellStyle name="표준 9 6 5 3" xfId="2827"/>
    <cellStyle name="표준 10 6 5 3" xfId="2828"/>
    <cellStyle name="표준 7 13 5 3" xfId="2829"/>
    <cellStyle name="표준 8 7 5 3" xfId="2830"/>
    <cellStyle name="표준 9 7 5 3" xfId="2831"/>
    <cellStyle name="표준 10 7 5 3" xfId="2832"/>
    <cellStyle name="표준 7 14 5 3" xfId="2833"/>
    <cellStyle name="표준 8 8 5 3" xfId="2834"/>
    <cellStyle name="표준 9 8 5 3" xfId="2835"/>
    <cellStyle name="표준 10 8 5 3" xfId="2836"/>
    <cellStyle name="표준 7 18 2 3" xfId="2837"/>
    <cellStyle name="표준 8 12 2 3" xfId="2838"/>
    <cellStyle name="표준 9 12 2 3" xfId="2839"/>
    <cellStyle name="표준 10 12 2 3" xfId="2840"/>
    <cellStyle name="표준 7 2 5 2 3" xfId="2841"/>
    <cellStyle name="표준 8 2 4 2 3" xfId="2842"/>
    <cellStyle name="표준 9 2 4 2 3" xfId="2843"/>
    <cellStyle name="표준 10 2 4 2 3" xfId="2844"/>
    <cellStyle name="표준 7 10 4 2 3" xfId="2845"/>
    <cellStyle name="표준 8 4 4 2 3" xfId="2846"/>
    <cellStyle name="표준 9 4 4 2 3" xfId="2847"/>
    <cellStyle name="표준 10 4 4 2 3" xfId="2848"/>
    <cellStyle name="표준 7 11 4 2 3" xfId="2849"/>
    <cellStyle name="표준 8 5 4 2 3" xfId="2850"/>
    <cellStyle name="표준 9 5 4 2 3" xfId="2851"/>
    <cellStyle name="표준 10 5 4 2 3" xfId="2852"/>
    <cellStyle name="표준 21 4 3 3" xfId="2853"/>
    <cellStyle name="표준 7 12 4 2 3" xfId="2854"/>
    <cellStyle name="표준 8 6 4 2 3" xfId="2855"/>
    <cellStyle name="표준 9 6 4 2 3" xfId="2856"/>
    <cellStyle name="표준 10 6 4 2 3" xfId="2857"/>
    <cellStyle name="표준 7 13 4 2 3" xfId="2858"/>
    <cellStyle name="표준 8 7 4 2 3" xfId="2859"/>
    <cellStyle name="표준 9 7 4 2 3" xfId="2860"/>
    <cellStyle name="표준 10 7 4 2 3" xfId="2861"/>
    <cellStyle name="표준 7 14 4 2 3" xfId="2862"/>
    <cellStyle name="표준 8 8 4 2 3" xfId="2863"/>
    <cellStyle name="표준 9 8 4 2 3" xfId="2864"/>
    <cellStyle name="표준 10 8 4 2 3" xfId="2865"/>
    <cellStyle name="표준 7 16 2 3" xfId="2866"/>
    <cellStyle name="표준 8 10 2 3" xfId="2867"/>
    <cellStyle name="표준 9 10 2 3" xfId="2868"/>
    <cellStyle name="표준 10 10 2 3" xfId="2869"/>
    <cellStyle name="표준 7 15 3 2 3" xfId="2870"/>
    <cellStyle name="표준 8 9 3 2 3" xfId="2871"/>
    <cellStyle name="표준 9 9 3 2 3" xfId="2872"/>
    <cellStyle name="표준 10 9 3 2 3" xfId="2873"/>
    <cellStyle name="표준 7 2 3 2 3" xfId="2874"/>
    <cellStyle name="표준 8 2 2 2 3" xfId="2875"/>
    <cellStyle name="표준 9 2 2 2 3" xfId="2876"/>
    <cellStyle name="표준 10 2 2 2 3" xfId="2877"/>
    <cellStyle name="표준 7 10 2 2 3" xfId="2878"/>
    <cellStyle name="표준 8 4 2 2 3" xfId="2879"/>
    <cellStyle name="표준 9 4 2 2 3" xfId="2880"/>
    <cellStyle name="표준 10 4 2 2 3" xfId="2881"/>
    <cellStyle name="표준 7 11 2 2 3" xfId="2882"/>
    <cellStyle name="표준 8 5 2 2 3" xfId="2883"/>
    <cellStyle name="표준 9 5 2 2 3" xfId="2884"/>
    <cellStyle name="표준 10 5 2 2 3" xfId="2885"/>
    <cellStyle name="표준 21 2 3 3" xfId="2886"/>
    <cellStyle name="표준 7 12 2 2 3" xfId="2887"/>
    <cellStyle name="표준 8 6 2 2 3" xfId="2888"/>
    <cellStyle name="표준 9 6 2 2 3" xfId="2889"/>
    <cellStyle name="표준 10 6 2 2 3" xfId="2890"/>
    <cellStyle name="표준 7 13 2 2 3" xfId="2891"/>
    <cellStyle name="표준 8 7 2 2 3" xfId="2892"/>
    <cellStyle name="표준 9 7 2 2 3" xfId="2893"/>
    <cellStyle name="표준 10 7 2 2 3" xfId="2894"/>
    <cellStyle name="표준 7 14 2 2 3" xfId="2895"/>
    <cellStyle name="표준 8 8 2 2 3" xfId="2896"/>
    <cellStyle name="표준 9 8 2 2 3" xfId="2897"/>
    <cellStyle name="표준 10 8 2 2 3" xfId="2898"/>
    <cellStyle name="표준 7 17 2 3" xfId="2899"/>
    <cellStyle name="표준 8 11 2 3" xfId="2900"/>
    <cellStyle name="표준 9 11 2 3" xfId="2901"/>
    <cellStyle name="표준 10 11 2 3" xfId="2902"/>
    <cellStyle name="표준 7 15 2 2 3" xfId="2903"/>
    <cellStyle name="표준 8 9 2 2 3" xfId="2904"/>
    <cellStyle name="표준 9 9 2 2 3" xfId="2905"/>
    <cellStyle name="표준 10 9 2 2 3" xfId="2906"/>
    <cellStyle name="표준 7 2 4 2 3" xfId="2907"/>
    <cellStyle name="표준 8 2 3 2 3" xfId="2908"/>
    <cellStyle name="표준 9 2 3 2 3" xfId="2909"/>
    <cellStyle name="표준 10 2 3 2 3" xfId="2910"/>
    <cellStyle name="표준 7 10 3 2 3" xfId="2911"/>
    <cellStyle name="표준 8 4 3 2 3" xfId="2912"/>
    <cellStyle name="표준 9 4 3 2 3" xfId="2913"/>
    <cellStyle name="표준 10 4 3 2 3" xfId="2914"/>
    <cellStyle name="표준 7 11 3 2 3" xfId="2915"/>
    <cellStyle name="표준 8 5 3 2 3" xfId="2916"/>
    <cellStyle name="표준 9 5 3 2 3" xfId="2917"/>
    <cellStyle name="표준 10 5 3 2 3" xfId="2918"/>
    <cellStyle name="표준 21 3 3 3" xfId="2919"/>
    <cellStyle name="표준 7 12 3 2 3" xfId="2920"/>
    <cellStyle name="표준 8 6 3 2 3" xfId="2921"/>
    <cellStyle name="표준 9 6 3 2 3" xfId="2922"/>
    <cellStyle name="표준 10 6 3 2 3" xfId="2923"/>
    <cellStyle name="표준 7 13 3 2 3" xfId="2924"/>
    <cellStyle name="표준 8 7 3 2 3" xfId="2925"/>
    <cellStyle name="표준 9 7 3 2 3" xfId="2926"/>
    <cellStyle name="표준 10 7 3 2 3" xfId="2927"/>
    <cellStyle name="표준 7 14 3 2 3" xfId="2928"/>
    <cellStyle name="표준 8 8 3 2 3" xfId="2929"/>
    <cellStyle name="표준 9 8 3 2 3" xfId="2930"/>
    <cellStyle name="표준 10 8 3 2 3" xfId="2931"/>
    <cellStyle name="표준 22 3 3" xfId="2932"/>
    <cellStyle name="표준 7 21 2" xfId="2933"/>
    <cellStyle name="표준 8 15 2" xfId="2934"/>
    <cellStyle name="표준 9 15 2" xfId="2935"/>
    <cellStyle name="표준 10 15 2" xfId="2936"/>
    <cellStyle name="표준 7 15 5 2" xfId="2937"/>
    <cellStyle name="표준 8 9 5 2" xfId="2938"/>
    <cellStyle name="표준 9 9 5 2" xfId="2939"/>
    <cellStyle name="표준 10 9 5 2" xfId="2940"/>
    <cellStyle name="표준 7 2 7 2" xfId="2941"/>
    <cellStyle name="표준 8 2 6 2" xfId="2942"/>
    <cellStyle name="표준 9 2 6 2" xfId="2943"/>
    <cellStyle name="표준 10 2 6 2" xfId="2944"/>
    <cellStyle name="표준 7 10 6 2" xfId="2945"/>
    <cellStyle name="표준 8 4 6 2" xfId="2946"/>
    <cellStyle name="표준 9 4 6 2" xfId="2947"/>
    <cellStyle name="표준 10 4 6 2" xfId="2948"/>
    <cellStyle name="표준 7 11 6 2" xfId="2949"/>
    <cellStyle name="표준 8 5 6 2" xfId="2950"/>
    <cellStyle name="표준 9 5 6 2" xfId="2951"/>
    <cellStyle name="표준 10 5 6 2" xfId="2952"/>
    <cellStyle name="표준 21 41 2" xfId="2953"/>
    <cellStyle name="표준 7 12 6 2" xfId="2954"/>
    <cellStyle name="표준 8 6 6 2" xfId="2955"/>
    <cellStyle name="표준 9 6 6 2" xfId="2956"/>
    <cellStyle name="표준 10 6 6 2" xfId="2957"/>
    <cellStyle name="표준 7 13 6 2" xfId="2958"/>
    <cellStyle name="표준 8 7 6 2" xfId="2959"/>
    <cellStyle name="표준 9 7 6 2" xfId="2960"/>
    <cellStyle name="표준 10 7 6 2" xfId="2961"/>
    <cellStyle name="표준 7 14 6 2" xfId="2962"/>
    <cellStyle name="표준 8 8 6 2" xfId="2963"/>
    <cellStyle name="표준 9 8 6 2" xfId="2964"/>
    <cellStyle name="표준 10 8 6 2" xfId="2965"/>
    <cellStyle name="표준 7 18 3 2" xfId="2966"/>
    <cellStyle name="표준 8 12 3 2" xfId="2967"/>
    <cellStyle name="표준 9 12 3 2" xfId="2968"/>
    <cellStyle name="표준 10 12 3 2" xfId="2969"/>
    <cellStyle name="표준 7 2 5 3 2" xfId="2970"/>
    <cellStyle name="표준 8 2 4 3 2" xfId="2971"/>
    <cellStyle name="표준 9 2 4 3 2" xfId="2972"/>
    <cellStyle name="표준 10 2 4 3 2" xfId="2973"/>
    <cellStyle name="표준 7 10 4 3 2" xfId="2974"/>
    <cellStyle name="표준 8 4 4 3 2" xfId="2975"/>
    <cellStyle name="표준 9 4 4 3 2" xfId="2976"/>
    <cellStyle name="표준 10 4 4 3 2" xfId="2977"/>
    <cellStyle name="표준 7 11 4 3 2" xfId="2978"/>
    <cellStyle name="표준 8 5 4 3 2" xfId="2979"/>
    <cellStyle name="표준 9 5 4 3 2" xfId="2980"/>
    <cellStyle name="표준 10 5 4 3 2" xfId="2981"/>
    <cellStyle name="표준 21 4 4 2" xfId="2982"/>
    <cellStyle name="표준 7 12 4 3 2" xfId="2983"/>
    <cellStyle name="표준 8 6 4 3 2" xfId="2984"/>
    <cellStyle name="표준 9 6 4 3 2" xfId="2985"/>
    <cellStyle name="표준 10 6 4 3 2" xfId="2986"/>
    <cellStyle name="표준 7 13 4 3 2" xfId="2987"/>
    <cellStyle name="표준 8 7 4 3 2" xfId="2988"/>
    <cellStyle name="표준 9 7 4 3 2" xfId="2989"/>
    <cellStyle name="표준 10 7 4 3 2" xfId="2990"/>
    <cellStyle name="표준 7 14 4 3 2" xfId="2991"/>
    <cellStyle name="표준 8 8 4 3 2" xfId="2992"/>
    <cellStyle name="표준 9 8 4 3 2" xfId="2993"/>
    <cellStyle name="표준 10 8 4 3 2" xfId="2994"/>
    <cellStyle name="표준 7 16 3 2" xfId="2995"/>
    <cellStyle name="표준 8 10 3 2" xfId="2996"/>
    <cellStyle name="표준 9 10 3 2" xfId="2997"/>
    <cellStyle name="표준 10 10 3 2" xfId="2998"/>
    <cellStyle name="표준 7 15 3 3 2" xfId="2999"/>
    <cellStyle name="표준 8 9 3 3 2" xfId="3000"/>
    <cellStyle name="표준 9 9 3 3 2" xfId="3001"/>
    <cellStyle name="표준 10 9 3 3 2" xfId="3002"/>
    <cellStyle name="표준 7 2 3 3 2" xfId="3003"/>
    <cellStyle name="표준 8 2 2 3 2" xfId="3004"/>
    <cellStyle name="표준 9 2 2 3 2" xfId="3005"/>
    <cellStyle name="표준 10 2 2 3 2" xfId="3006"/>
    <cellStyle name="표준 7 10 2 3 2" xfId="3007"/>
    <cellStyle name="표준 8 4 2 3 2" xfId="3008"/>
    <cellStyle name="표준 9 4 2 3 2" xfId="3009"/>
    <cellStyle name="표준 10 4 2 3 2" xfId="3010"/>
    <cellStyle name="표준 7 11 2 3 2" xfId="3011"/>
    <cellStyle name="표준 8 5 2 3 2" xfId="3012"/>
    <cellStyle name="표준 9 5 2 3 2" xfId="3013"/>
    <cellStyle name="표준 10 5 2 3 2" xfId="3014"/>
    <cellStyle name="표준 21 2 4 2" xfId="3015"/>
    <cellStyle name="표준 7 12 2 3 2" xfId="3016"/>
    <cellStyle name="표준 8 6 2 3 2" xfId="3017"/>
    <cellStyle name="표준 9 6 2 3 2" xfId="3018"/>
    <cellStyle name="표준 10 6 2 3 2" xfId="3019"/>
    <cellStyle name="표준 7 13 2 3 2" xfId="3020"/>
    <cellStyle name="표준 8 7 2 3 2" xfId="3021"/>
    <cellStyle name="표준 9 7 2 3 2" xfId="3022"/>
    <cellStyle name="표준 10 7 2 3 2" xfId="3023"/>
    <cellStyle name="표준 7 14 2 3 2" xfId="3024"/>
    <cellStyle name="표준 8 8 2 3 2" xfId="3025"/>
    <cellStyle name="표준 9 8 2 3 2" xfId="3026"/>
    <cellStyle name="표준 10 8 2 3 2" xfId="3027"/>
    <cellStyle name="표준 7 17 3 2" xfId="3028"/>
    <cellStyle name="표준 8 11 3 2" xfId="3029"/>
    <cellStyle name="표준 9 11 3 2" xfId="3030"/>
    <cellStyle name="표준 10 11 3 2" xfId="3031"/>
    <cellStyle name="표준 7 15 2 3 2" xfId="3032"/>
    <cellStyle name="표준 8 9 2 3 2" xfId="3033"/>
    <cellStyle name="표준 9 9 2 3 2" xfId="3034"/>
    <cellStyle name="표준 10 9 2 3 2" xfId="3035"/>
    <cellStyle name="표준 7 2 4 3 2" xfId="3036"/>
    <cellStyle name="표준 8 2 3 3 2" xfId="3037"/>
    <cellStyle name="표준 9 2 3 3 2" xfId="3038"/>
    <cellStyle name="표준 10 2 3 3 2" xfId="3039"/>
    <cellStyle name="표준 7 10 3 3 2" xfId="3040"/>
    <cellStyle name="표준 8 4 3 3 2" xfId="3041"/>
    <cellStyle name="표준 9 4 3 3 2" xfId="3042"/>
    <cellStyle name="표준 10 4 3 3 2" xfId="3043"/>
    <cellStyle name="표준 7 11 3 3 2" xfId="3044"/>
    <cellStyle name="표준 8 5 3 3 2" xfId="3045"/>
    <cellStyle name="표준 9 5 3 3 2" xfId="3046"/>
    <cellStyle name="표준 10 5 3 3 2" xfId="3047"/>
    <cellStyle name="표준 21 3 4 2" xfId="3048"/>
    <cellStyle name="표준 7 12 3 3 2" xfId="3049"/>
    <cellStyle name="표준 8 6 3 3 2" xfId="3050"/>
    <cellStyle name="표준 9 6 3 3 2" xfId="3051"/>
    <cellStyle name="표준 10 6 3 3 2" xfId="3052"/>
    <cellStyle name="표준 7 13 3 3 2" xfId="3053"/>
    <cellStyle name="표준 8 7 3 3 2" xfId="3054"/>
    <cellStyle name="표준 9 7 3 3 2" xfId="3055"/>
    <cellStyle name="표준 10 7 3 3 2" xfId="3056"/>
    <cellStyle name="표준 7 14 3 3 2" xfId="3057"/>
    <cellStyle name="표준 8 8 3 3 2" xfId="3058"/>
    <cellStyle name="표준 9 8 3 3 2" xfId="3059"/>
    <cellStyle name="표준 10 8 3 3 2" xfId="3060"/>
    <cellStyle name="표준 22 4 2" xfId="3061"/>
    <cellStyle name="표준 10 10 2 2 2" xfId="3062"/>
    <cellStyle name="표준 10 11 2 2 2" xfId="3063"/>
    <cellStyle name="표준 10 12 2 2 2" xfId="3064"/>
    <cellStyle name="표준 10 14 2 2" xfId="3065"/>
    <cellStyle name="표준 10 2 2 2 2 2" xfId="3066"/>
    <cellStyle name="표준 10 2 3 2 2 2" xfId="3067"/>
    <cellStyle name="표준 10 2 4 2 2 2" xfId="3068"/>
    <cellStyle name="표준 10 2 5 2 2" xfId="3069"/>
    <cellStyle name="표준 10 4 2 2 2 2" xfId="3070"/>
    <cellStyle name="표준 10 4 3 2 2 2" xfId="3071"/>
    <cellStyle name="표준 10 4 4 2 2 2" xfId="3072"/>
    <cellStyle name="표준 10 4 5 2 2" xfId="3073"/>
    <cellStyle name="표준 10 5 2 2 2 2" xfId="3074"/>
    <cellStyle name="표준 10 5 3 2 2 2" xfId="3075"/>
    <cellStyle name="표준 10 5 4 2 2 2" xfId="3076"/>
    <cellStyle name="표준 10 5 5 2 2" xfId="3077"/>
    <cellStyle name="표준 10 6 2 2 2 2" xfId="3078"/>
    <cellStyle name="표준 10 6 3 2 2 2" xfId="3079"/>
    <cellStyle name="표준 10 6 4 2 2 2" xfId="3080"/>
    <cellStyle name="표준 10 6 5 2 2" xfId="3081"/>
    <cellStyle name="표준 10 7 2 2 2 2" xfId="3082"/>
    <cellStyle name="표준 10 7 3 2 2 2" xfId="3083"/>
    <cellStyle name="표준 10 7 4 2 2 2" xfId="3084"/>
    <cellStyle name="표준 10 7 5 2 2" xfId="3085"/>
    <cellStyle name="표준 10 8 2 2 2 2" xfId="3086"/>
    <cellStyle name="표준 10 8 3 2 2 2" xfId="3087"/>
    <cellStyle name="표준 10 8 4 2 2 2" xfId="3088"/>
    <cellStyle name="표준 10 8 5 2 2" xfId="3089"/>
    <cellStyle name="표준 10 9 2 2 2 2" xfId="3090"/>
    <cellStyle name="표준 10 9 3 2 2 2" xfId="3091"/>
    <cellStyle name="표준 10 9 4 2 2" xfId="3092"/>
    <cellStyle name="표준 21 2 3 2 2" xfId="3093"/>
    <cellStyle name="표준 21 3 3 2 2" xfId="3094"/>
    <cellStyle name="표준 21 4 3 2 2" xfId="3095"/>
    <cellStyle name="표준 21 40 2 2" xfId="3096"/>
    <cellStyle name="표준 22 3 2 2" xfId="3097"/>
    <cellStyle name="표준 24 40" xfId="3098"/>
    <cellStyle name="표준 25 24" xfId="3099"/>
    <cellStyle name="표준 7 10 2 2 2 2" xfId="3100"/>
    <cellStyle name="표준 7 10 3 2 2 2" xfId="3101"/>
    <cellStyle name="표준 7 10 4 2 2 2" xfId="3102"/>
    <cellStyle name="표준 7 10 5 2 2" xfId="3103"/>
    <cellStyle name="표준 7 11 2 2 2 2" xfId="3104"/>
    <cellStyle name="표준 7 11 3 2 2 2" xfId="3105"/>
    <cellStyle name="표준 7 11 4 2 2 2" xfId="3106"/>
    <cellStyle name="표준 7 11 5 2 2" xfId="3107"/>
    <cellStyle name="표준 7 12 2 2 2 2" xfId="3108"/>
    <cellStyle name="표준 7 12 3 2 2 2" xfId="3109"/>
    <cellStyle name="표준 7 12 4 2 2 2" xfId="3110"/>
    <cellStyle name="표준 7 12 5 2 2" xfId="3111"/>
    <cellStyle name="표준 7 13 2 2 2 2" xfId="3112"/>
    <cellStyle name="표준 7 13 3 2 2 2" xfId="3113"/>
    <cellStyle name="표준 7 13 4 2 2 2" xfId="3114"/>
    <cellStyle name="표준 7 13 5 2 2" xfId="3115"/>
    <cellStyle name="표준 7 14 2 2 2 2" xfId="3116"/>
    <cellStyle name="표준 7 14 3 2 2 2" xfId="3117"/>
    <cellStyle name="표준 7 14 4 2 2 2" xfId="3118"/>
    <cellStyle name="표준 7 14 5 2 2" xfId="3119"/>
    <cellStyle name="표준 7 15 2 2 2 2" xfId="3120"/>
    <cellStyle name="표준 7 15 3 2 2 2" xfId="3121"/>
    <cellStyle name="표준 7 15 4 2 2" xfId="3122"/>
    <cellStyle name="표준 7 16 2 2 2" xfId="3123"/>
    <cellStyle name="표준 7 17 2 2 2" xfId="3124"/>
    <cellStyle name="표준 7 18 2 2 2" xfId="3125"/>
    <cellStyle name="표준 7 2 3 2 2 2" xfId="3126"/>
    <cellStyle name="표준 7 2 4 2 2 2" xfId="3127"/>
    <cellStyle name="표준 7 2 5 2 2 2" xfId="3128"/>
    <cellStyle name="표준 7 2 6 2 2" xfId="3129"/>
    <cellStyle name="표준 7 20 2 2" xfId="3130"/>
    <cellStyle name="표준 8 10 2 2 2" xfId="3131"/>
    <cellStyle name="표준 8 11 2 2 2" xfId="3132"/>
    <cellStyle name="표준 8 12 2 2 2" xfId="3133"/>
    <cellStyle name="표준 8 14 2 2" xfId="3134"/>
    <cellStyle name="표준 8 2 2 2 2 2" xfId="3135"/>
    <cellStyle name="표준 8 2 3 2 2 2" xfId="3136"/>
    <cellStyle name="표준 8 2 4 2 2 2" xfId="3137"/>
    <cellStyle name="표준 8 2 5 2 2" xfId="3138"/>
    <cellStyle name="표준 8 4 2 2 2 2" xfId="3139"/>
    <cellStyle name="표준 8 4 3 2 2 2" xfId="3140"/>
    <cellStyle name="표준 8 4 4 2 2 2" xfId="3141"/>
    <cellStyle name="표준 8 4 5 2 2" xfId="3142"/>
    <cellStyle name="표준 8 5 2 2 2 2" xfId="3143"/>
    <cellStyle name="표준 8 5 3 2 2 2" xfId="3144"/>
    <cellStyle name="표준 8 5 4 2 2 2" xfId="3145"/>
    <cellStyle name="표준 8 5 5 2 2" xfId="3146"/>
    <cellStyle name="표준 8 6 2 2 2 2" xfId="3147"/>
    <cellStyle name="표준 8 6 3 2 2 2" xfId="3148"/>
    <cellStyle name="표준 8 6 4 2 2 2" xfId="3149"/>
    <cellStyle name="표준 8 6 5 2 2" xfId="3150"/>
    <cellStyle name="표준 8 7 2 2 2 2" xfId="3151"/>
    <cellStyle name="표준 8 7 3 2 2 2" xfId="3152"/>
    <cellStyle name="표준 8 7 4 2 2 2" xfId="3153"/>
    <cellStyle name="표준 8 7 5 2 2" xfId="3154"/>
    <cellStyle name="표준 8 8 2 2 2 2" xfId="3155"/>
    <cellStyle name="표준 8 8 3 2 2 2" xfId="3156"/>
    <cellStyle name="표준 8 8 4 2 2 2" xfId="3157"/>
    <cellStyle name="표준 8 8 5 2 2" xfId="3158"/>
    <cellStyle name="표준 8 9 2 2 2 2" xfId="3159"/>
    <cellStyle name="표준 8 9 3 2 2 2" xfId="3160"/>
    <cellStyle name="표준 8 9 4 2 2" xfId="3161"/>
    <cellStyle name="표준 9 10 2 2 2" xfId="3162"/>
    <cellStyle name="표준 9 11 2 2 2" xfId="3163"/>
    <cellStyle name="표준 9 12 2 2 2" xfId="3164"/>
    <cellStyle name="표준 9 14 2 2" xfId="3165"/>
    <cellStyle name="표준 9 2 2 2 2 2" xfId="3166"/>
    <cellStyle name="표준 9 2 3 2 2 2" xfId="3167"/>
    <cellStyle name="표준 9 2 4 2 2 2" xfId="3168"/>
    <cellStyle name="표준 9 2 5 2 2" xfId="3169"/>
    <cellStyle name="표준 9 4 2 2 2 2" xfId="3170"/>
    <cellStyle name="표준 9 4 3 2 2 2" xfId="3171"/>
    <cellStyle name="표준 9 4 4 2 2 2" xfId="3172"/>
    <cellStyle name="표준 9 4 5 2 2" xfId="3173"/>
    <cellStyle name="표준 9 5 2 2 2 2" xfId="3174"/>
    <cellStyle name="표준 9 5 3 2 2 2" xfId="3175"/>
    <cellStyle name="표준 9 5 4 2 2 2" xfId="3176"/>
    <cellStyle name="표준 9 5 5 2 2" xfId="3177"/>
    <cellStyle name="표준 9 6 2 2 2 2" xfId="3178"/>
    <cellStyle name="표준 9 6 3 2 2 2" xfId="3179"/>
    <cellStyle name="표준 9 6 4 2 2 2" xfId="3180"/>
    <cellStyle name="표준 9 6 5 2 2" xfId="3181"/>
    <cellStyle name="표준 9 7 2 2 2 2" xfId="3182"/>
    <cellStyle name="표준 9 7 3 2 2 2" xfId="3183"/>
    <cellStyle name="표준 9 7 4 2 2 2" xfId="3184"/>
    <cellStyle name="표준 9 7 5 2 2" xfId="3185"/>
    <cellStyle name="표준 9 8 2 2 2 2" xfId="3186"/>
    <cellStyle name="표준 9 8 3 2 2 2" xfId="3187"/>
    <cellStyle name="표준 9 8 4 2 2 2" xfId="3188"/>
    <cellStyle name="표준 9 8 5 2 2" xfId="3189"/>
    <cellStyle name="표준 9 9 2 2 2 2" xfId="3190"/>
    <cellStyle name="표준 9 9 3 2 2 2" xfId="3191"/>
    <cellStyle name="표준 9 9 4 2 2" xfId="3192"/>
    <cellStyle name="쉼표 [0] 2 2" xfId="3193"/>
    <cellStyle name="쉼표 [0] 2 2 2" xfId="3194"/>
    <cellStyle name="쉼표 [0] 2 2 2 2" xfId="3195"/>
    <cellStyle name="쉼표 [0] 2 2 3" xfId="3196"/>
    <cellStyle name="쉼표 [0] 2 3" xfId="3197"/>
    <cellStyle name="쉼표 [0] 2 3 2" xfId="3198"/>
    <cellStyle name="쉼표 [0] 2 3 2 2" xfId="3199"/>
    <cellStyle name="쉼표 [0] 2 3 3" xfId="3200"/>
    <cellStyle name="쉼표 [0] 3 2" xfId="3201"/>
    <cellStyle name="통화 [0] 2" xfId="3202"/>
    <cellStyle name="통화 [0] 2 2" xfId="3203"/>
    <cellStyle name="통화 [0] 2 2 2" xfId="3204"/>
    <cellStyle name="통화 [0] 2 2 2 2" xfId="3205"/>
    <cellStyle name="통화 [0] 2 2 3" xfId="3206"/>
    <cellStyle name="통화 [0] 2 3" xfId="3207"/>
    <cellStyle name="통화 [0] 2 3 2" xfId="3208"/>
    <cellStyle name="통화 [0] 2 4" xfId="3209"/>
    <cellStyle name="표준 10 10 2 2 2 2" xfId="3210"/>
    <cellStyle name="표준 10 10 2 2 2 2 2" xfId="3211"/>
    <cellStyle name="표준 10 10 2 2 2 3" xfId="3212"/>
    <cellStyle name="표준 10 10 2 2 2 3 2" xfId="3213"/>
    <cellStyle name="표준 10 10 2 2 2 4" xfId="3214"/>
    <cellStyle name="표준 10 10 2 2 3" xfId="3215"/>
    <cellStyle name="표준 10 10 2 2 3 2" xfId="3216"/>
    <cellStyle name="표준 10 10 2 2 4" xfId="3217"/>
    <cellStyle name="표준 10 10 2 2 4 2" xfId="3218"/>
    <cellStyle name="표준 10 10 2 2 5" xfId="3219"/>
    <cellStyle name="표준 10 10 2 3 2" xfId="3220"/>
    <cellStyle name="표준 10 10 2 3 2 2" xfId="3221"/>
    <cellStyle name="표준 10 10 2 3 3" xfId="3222"/>
    <cellStyle name="표준 10 10 2 3 3 2" xfId="3223"/>
    <cellStyle name="표준 10 10 2 3 4" xfId="3224"/>
    <cellStyle name="표준 10 10 2 4" xfId="3225"/>
    <cellStyle name="표준 10 10 2 4 2" xfId="3226"/>
    <cellStyle name="표준 10 10 2 5" xfId="3227"/>
    <cellStyle name="표준 10 10 2 5 2" xfId="3228"/>
    <cellStyle name="표준 10 10 2 6" xfId="3229"/>
    <cellStyle name="표준 10 10 3 2 2" xfId="3230"/>
    <cellStyle name="표준 10 10 3 2 2 2" xfId="3231"/>
    <cellStyle name="표준 10 10 3 2 3" xfId="3232"/>
    <cellStyle name="표준 10 10 3 2 3 2" xfId="3233"/>
    <cellStyle name="표준 10 10 3 2 4" xfId="3234"/>
    <cellStyle name="표준 10 10 3 3" xfId="3235"/>
    <cellStyle name="표준 10 10 3 3 2" xfId="3236"/>
    <cellStyle name="표준 10 10 3 4" xfId="3237"/>
    <cellStyle name="표준 10 10 3 4 2" xfId="3238"/>
    <cellStyle name="표준 10 10 3 5" xfId="3239"/>
    <cellStyle name="표준 10 10 4 2" xfId="3240"/>
    <cellStyle name="표준 10 10 4 2 2" xfId="3241"/>
    <cellStyle name="표준 10 10 4 3" xfId="3242"/>
    <cellStyle name="표준 10 10 4 3 2" xfId="3243"/>
    <cellStyle name="표준 10 10 4 4" xfId="3244"/>
    <cellStyle name="표준 10 10 5" xfId="3245"/>
    <cellStyle name="표준 10 10 5 2" xfId="3246"/>
    <cellStyle name="표준 10 10 6" xfId="3247"/>
    <cellStyle name="표준 10 10 6 2" xfId="3248"/>
    <cellStyle name="표준 10 10 7" xfId="3249"/>
    <cellStyle name="표준 10 11 2 2 2 2" xfId="3250"/>
    <cellStyle name="표준 10 11 2 2 2 2 2" xfId="3251"/>
    <cellStyle name="표준 10 11 2 2 2 3" xfId="3252"/>
    <cellStyle name="표준 10 11 2 2 2 3 2" xfId="3253"/>
    <cellStyle name="표준 10 11 2 2 2 4" xfId="3254"/>
    <cellStyle name="표준 10 11 2 2 3" xfId="3255"/>
    <cellStyle name="표준 10 11 2 2 3 2" xfId="3256"/>
    <cellStyle name="표준 10 11 2 2 4" xfId="3257"/>
    <cellStyle name="표준 10 11 2 2 4 2" xfId="3258"/>
    <cellStyle name="표준 10 11 2 2 5" xfId="3259"/>
    <cellStyle name="표준 10 11 2 3 2" xfId="3260"/>
    <cellStyle name="표준 10 11 2 3 2 2" xfId="3261"/>
    <cellStyle name="표준 10 11 2 3 3" xfId="3262"/>
    <cellStyle name="표준 10 11 2 3 3 2" xfId="3263"/>
    <cellStyle name="표준 10 11 2 3 4" xfId="3264"/>
    <cellStyle name="표준 10 11 2 4" xfId="3265"/>
    <cellStyle name="표준 10 11 2 4 2" xfId="3266"/>
    <cellStyle name="표준 10 11 2 5" xfId="3267"/>
    <cellStyle name="표준 10 11 2 5 2" xfId="3268"/>
    <cellStyle name="표준 10 11 2 6" xfId="3269"/>
    <cellStyle name="표준 10 11 3 2 2" xfId="3270"/>
    <cellStyle name="표준 10 11 3 2 2 2" xfId="3271"/>
    <cellStyle name="표준 10 11 3 2 3" xfId="3272"/>
    <cellStyle name="표준 10 11 3 2 3 2" xfId="3273"/>
    <cellStyle name="표준 10 11 3 2 4" xfId="3274"/>
    <cellStyle name="표준 10 11 3 3" xfId="3275"/>
    <cellStyle name="표준 10 11 3 3 2" xfId="3276"/>
    <cellStyle name="표준 10 11 3 4" xfId="3277"/>
    <cellStyle name="표준 10 11 3 4 2" xfId="3278"/>
    <cellStyle name="표준 10 11 3 5" xfId="3279"/>
    <cellStyle name="표준 10 11 4 2" xfId="3280"/>
    <cellStyle name="표준 10 11 4 2 2" xfId="3281"/>
    <cellStyle name="표준 10 11 4 3" xfId="3282"/>
    <cellStyle name="표준 10 11 4 3 2" xfId="3283"/>
    <cellStyle name="표준 10 11 4 4" xfId="3284"/>
    <cellStyle name="표준 10 11 5" xfId="3285"/>
    <cellStyle name="표준 10 11 5 2" xfId="3286"/>
    <cellStyle name="표준 10 11 6" xfId="3287"/>
    <cellStyle name="표준 10 11 6 2" xfId="3288"/>
    <cellStyle name="표준 10 11 7" xfId="3289"/>
    <cellStyle name="표준 10 12 2 2 2 2" xfId="3290"/>
    <cellStyle name="표준 10 12 2 2 2 2 2" xfId="3291"/>
    <cellStyle name="표준 10 12 2 2 2 3" xfId="3292"/>
    <cellStyle name="표준 10 12 2 2 2 3 2" xfId="3293"/>
    <cellStyle name="표준 10 12 2 2 2 4" xfId="3294"/>
    <cellStyle name="표준 10 12 2 2 3" xfId="3295"/>
    <cellStyle name="표준 10 12 2 2 3 2" xfId="3296"/>
    <cellStyle name="표준 10 12 2 2 4" xfId="3297"/>
    <cellStyle name="표준 10 12 2 2 4 2" xfId="3298"/>
    <cellStyle name="표준 10 12 2 2 5" xfId="3299"/>
    <cellStyle name="표준 10 12 2 3 2" xfId="3300"/>
    <cellStyle name="표준 10 12 2 3 2 2" xfId="3301"/>
    <cellStyle name="표준 10 12 2 3 3" xfId="3302"/>
    <cellStyle name="표준 10 12 2 3 3 2" xfId="3303"/>
    <cellStyle name="표준 10 12 2 3 4" xfId="3304"/>
    <cellStyle name="표준 10 12 2 4" xfId="3305"/>
    <cellStyle name="표준 10 12 2 4 2" xfId="3306"/>
    <cellStyle name="표준 10 12 2 5" xfId="3307"/>
    <cellStyle name="표준 10 12 2 5 2" xfId="3308"/>
    <cellStyle name="표준 10 12 2 6" xfId="3309"/>
    <cellStyle name="표준 10 12 3 2 2" xfId="3310"/>
    <cellStyle name="표준 10 12 3 2 2 2" xfId="3311"/>
    <cellStyle name="표준 10 12 3 2 3" xfId="3312"/>
    <cellStyle name="표준 10 12 3 2 3 2" xfId="3313"/>
    <cellStyle name="표준 10 12 3 2 4" xfId="3314"/>
    <cellStyle name="표준 10 12 3 3" xfId="3315"/>
    <cellStyle name="표준 10 12 3 3 2" xfId="3316"/>
    <cellStyle name="표준 10 12 3 4" xfId="3317"/>
    <cellStyle name="표준 10 12 3 4 2" xfId="3318"/>
    <cellStyle name="표준 10 12 3 5" xfId="3319"/>
    <cellStyle name="표준 10 12 4 2" xfId="3320"/>
    <cellStyle name="표준 10 12 4 2 2" xfId="3321"/>
    <cellStyle name="표준 10 12 4 3" xfId="3322"/>
    <cellStyle name="표준 10 12 4 3 2" xfId="3323"/>
    <cellStyle name="표준 10 12 4 4" xfId="3324"/>
    <cellStyle name="표준 10 12 5" xfId="3325"/>
    <cellStyle name="표준 10 12 5 2" xfId="3326"/>
    <cellStyle name="표준 10 12 6" xfId="3327"/>
    <cellStyle name="표준 10 12 6 2" xfId="3328"/>
    <cellStyle name="표준 10 12 7" xfId="3329"/>
    <cellStyle name="표준 10 14 2 2 2" xfId="3330"/>
    <cellStyle name="표준 10 14 2 2 2 2" xfId="3331"/>
    <cellStyle name="표준 10 14 2 2 3" xfId="3332"/>
    <cellStyle name="표준 10 14 2 2 3 2" xfId="3333"/>
    <cellStyle name="표준 10 14 2 2 4" xfId="3334"/>
    <cellStyle name="표준 10 14 2 3" xfId="3335"/>
    <cellStyle name="표준 10 14 2 3 2" xfId="3336"/>
    <cellStyle name="표준 10 14 2 4" xfId="3337"/>
    <cellStyle name="표준 10 14 2 4 2" xfId="3338"/>
    <cellStyle name="표준 10 14 2 5" xfId="3339"/>
    <cellStyle name="표준 10 14 3 2" xfId="3340"/>
    <cellStyle name="표준 10 14 3 2 2" xfId="3341"/>
    <cellStyle name="표준 10 14 3 3" xfId="3342"/>
    <cellStyle name="표준 10 14 3 3 2" xfId="3343"/>
    <cellStyle name="표준 10 14 3 4" xfId="3344"/>
    <cellStyle name="표준 10 14 4" xfId="3345"/>
    <cellStyle name="표준 10 14 4 2" xfId="3346"/>
    <cellStyle name="표준 10 14 5" xfId="3347"/>
    <cellStyle name="표준 10 14 5 2" xfId="3348"/>
    <cellStyle name="표준 10 14 6" xfId="3349"/>
    <cellStyle name="표준 10 15 2 2" xfId="3350"/>
    <cellStyle name="표준 10 15 2 2 2" xfId="3351"/>
    <cellStyle name="표준 10 15 2 3" xfId="3352"/>
    <cellStyle name="표준 10 15 2 3 2" xfId="3353"/>
    <cellStyle name="표준 10 15 2 4" xfId="3354"/>
    <cellStyle name="표준 10 15 3" xfId="3355"/>
    <cellStyle name="표준 10 15 3 2" xfId="3356"/>
    <cellStyle name="표준 10 15 4" xfId="3357"/>
    <cellStyle name="표준 10 15 4 2" xfId="3358"/>
    <cellStyle name="표준 10 15 5" xfId="3359"/>
    <cellStyle name="표준 10 16 2" xfId="3360"/>
    <cellStyle name="표준 10 16 2 2" xfId="3361"/>
    <cellStyle name="표준 10 16 3" xfId="3362"/>
    <cellStyle name="표준 10 16 3 2" xfId="3363"/>
    <cellStyle name="표준 10 16 4" xfId="3364"/>
    <cellStyle name="표준 10 17" xfId="3365"/>
    <cellStyle name="표준 10 17 2" xfId="3366"/>
    <cellStyle name="표준 10 18" xfId="3367"/>
    <cellStyle name="표준 10 18 2" xfId="3368"/>
    <cellStyle name="표준 10 19" xfId="3369"/>
    <cellStyle name="표준 10 2 10" xfId="3370"/>
    <cellStyle name="표준 10 2 2 2 2 2 2" xfId="3371"/>
    <cellStyle name="표준 10 2 2 2 2 2 2 2" xfId="3372"/>
    <cellStyle name="표준 10 2 2 2 2 2 3" xfId="3373"/>
    <cellStyle name="표준 10 2 2 2 2 2 3 2" xfId="3374"/>
    <cellStyle name="표준 10 2 2 2 2 2 4" xfId="3375"/>
    <cellStyle name="표준 10 2 2 2 2 3" xfId="3376"/>
    <cellStyle name="표준 10 2 2 2 2 3 2" xfId="3377"/>
    <cellStyle name="표준 10 2 2 2 2 4" xfId="3378"/>
    <cellStyle name="표준 10 2 2 2 2 4 2" xfId="3379"/>
    <cellStyle name="표준 10 2 2 2 2 5" xfId="3380"/>
    <cellStyle name="표준 10 2 2 2 3 2" xfId="3381"/>
    <cellStyle name="표준 10 2 2 2 3 2 2" xfId="3382"/>
    <cellStyle name="표준 10 2 2 2 3 3" xfId="3383"/>
    <cellStyle name="표준 10 2 2 2 3 3 2" xfId="3384"/>
    <cellStyle name="표준 10 2 2 2 3 4" xfId="3385"/>
    <cellStyle name="표준 10 2 2 2 4" xfId="3386"/>
    <cellStyle name="표준 10 2 2 2 4 2" xfId="3387"/>
    <cellStyle name="표준 10 2 2 2 5" xfId="3388"/>
    <cellStyle name="표준 10 2 2 2 5 2" xfId="3389"/>
    <cellStyle name="표준 10 2 2 2 6" xfId="3390"/>
    <cellStyle name="표준 10 2 2 3 2 2" xfId="3391"/>
    <cellStyle name="표준 10 2 2 3 2 2 2" xfId="3392"/>
    <cellStyle name="표준 10 2 2 3 2 3" xfId="3393"/>
    <cellStyle name="표준 10 2 2 3 2 3 2" xfId="3394"/>
    <cellStyle name="표준 10 2 2 3 2 4" xfId="3395"/>
    <cellStyle name="표준 10 2 2 3 3" xfId="3396"/>
    <cellStyle name="표준 10 2 2 3 3 2" xfId="3397"/>
    <cellStyle name="표준 10 2 2 3 4" xfId="3398"/>
    <cellStyle name="표준 10 2 2 3 4 2" xfId="3399"/>
    <cellStyle name="표준 10 2 2 3 5" xfId="3400"/>
    <cellStyle name="표준 10 2 2 4 2" xfId="3401"/>
    <cellStyle name="표준 10 2 2 4 2 2" xfId="3402"/>
    <cellStyle name="표준 10 2 2 4 3" xfId="3403"/>
    <cellStyle name="표준 10 2 2 4 3 2" xfId="3404"/>
    <cellStyle name="표준 10 2 2 4 4" xfId="3405"/>
    <cellStyle name="표준 10 2 2 5" xfId="3406"/>
    <cellStyle name="표준 10 2 2 5 2" xfId="3407"/>
    <cellStyle name="표준 10 2 2 6" xfId="3408"/>
    <cellStyle name="표준 10 2 2 6 2" xfId="3409"/>
    <cellStyle name="표준 10 2 2 7" xfId="3410"/>
    <cellStyle name="표준 10 2 3 2 2 2 2" xfId="3411"/>
    <cellStyle name="표준 10 2 3 2 2 2 2 2" xfId="3412"/>
    <cellStyle name="표준 10 2 3 2 2 2 3" xfId="3413"/>
    <cellStyle name="표준 10 2 3 2 2 2 3 2" xfId="3414"/>
    <cellStyle name="표준 10 2 3 2 2 2 4" xfId="3415"/>
    <cellStyle name="표준 10 2 3 2 2 3" xfId="3416"/>
    <cellStyle name="표준 10 2 3 2 2 3 2" xfId="3417"/>
    <cellStyle name="표준 10 2 3 2 2 4" xfId="3418"/>
    <cellStyle name="표준 10 2 3 2 2 4 2" xfId="3419"/>
    <cellStyle name="표준 10 2 3 2 2 5" xfId="3420"/>
    <cellStyle name="표준 10 2 3 2 3 2" xfId="3421"/>
    <cellStyle name="표준 10 2 3 2 3 2 2" xfId="3422"/>
    <cellStyle name="표준 10 2 3 2 3 3" xfId="3423"/>
    <cellStyle name="표준 10 2 3 2 3 3 2" xfId="3424"/>
    <cellStyle name="표준 10 2 3 2 3 4" xfId="3425"/>
    <cellStyle name="표준 10 2 3 2 4" xfId="3426"/>
    <cellStyle name="표준 10 2 3 2 4 2" xfId="3427"/>
    <cellStyle name="표준 10 2 3 2 5" xfId="3428"/>
    <cellStyle name="표준 10 2 3 2 5 2" xfId="3429"/>
    <cellStyle name="표준 10 2 3 2 6" xfId="3430"/>
    <cellStyle name="표준 10 2 3 3 2 2" xfId="3431"/>
    <cellStyle name="표준 10 2 3 3 2 2 2" xfId="3432"/>
    <cellStyle name="표준 10 2 3 3 2 3" xfId="3433"/>
    <cellStyle name="표준 10 2 3 3 2 3 2" xfId="3434"/>
    <cellStyle name="표준 10 2 3 3 2 4" xfId="3435"/>
    <cellStyle name="표준 10 2 3 3 3" xfId="3436"/>
    <cellStyle name="표준 10 2 3 3 3 2" xfId="3437"/>
    <cellStyle name="표준 10 2 3 3 4" xfId="3438"/>
    <cellStyle name="표준 10 2 3 3 4 2" xfId="3439"/>
    <cellStyle name="표준 10 2 3 3 5" xfId="3440"/>
    <cellStyle name="표준 10 2 3 4 2" xfId="3441"/>
    <cellStyle name="표준 10 2 3 4 2 2" xfId="3442"/>
    <cellStyle name="표준 10 2 3 4 3" xfId="3443"/>
    <cellStyle name="표준 10 2 3 4 3 2" xfId="3444"/>
    <cellStyle name="표준 10 2 3 4 4" xfId="3445"/>
    <cellStyle name="표준 10 2 3 5" xfId="3446"/>
    <cellStyle name="표준 10 2 3 5 2" xfId="3447"/>
    <cellStyle name="표준 10 2 3 6" xfId="3448"/>
    <cellStyle name="표준 10 2 3 6 2" xfId="3449"/>
    <cellStyle name="표준 10 2 3 7" xfId="3450"/>
    <cellStyle name="표준 10 2 4 2 2 2 2" xfId="3451"/>
    <cellStyle name="표준 10 2 4 2 2 2 2 2" xfId="3452"/>
    <cellStyle name="표준 10 2 4 2 2 2 3" xfId="3453"/>
    <cellStyle name="표준 10 2 4 2 2 2 3 2" xfId="3454"/>
    <cellStyle name="표준 10 2 4 2 2 2 4" xfId="3455"/>
    <cellStyle name="표준 10 2 4 2 2 3" xfId="3456"/>
    <cellStyle name="표준 10 2 4 2 2 3 2" xfId="3457"/>
    <cellStyle name="표준 10 2 4 2 2 4" xfId="3458"/>
    <cellStyle name="표준 10 2 4 2 2 4 2" xfId="3459"/>
    <cellStyle name="표준 10 2 4 2 2 5" xfId="3460"/>
    <cellStyle name="표준 10 2 4 2 3 2" xfId="3461"/>
    <cellStyle name="표준 10 2 4 2 3 2 2" xfId="3462"/>
    <cellStyle name="표준 10 2 4 2 3 3" xfId="3463"/>
    <cellStyle name="표준 10 2 4 2 3 3 2" xfId="3464"/>
    <cellStyle name="표준 10 2 4 2 3 4" xfId="3465"/>
    <cellStyle name="표준 10 2 4 2 4" xfId="3466"/>
    <cellStyle name="표준 10 2 4 2 4 2" xfId="3467"/>
    <cellStyle name="표준 10 2 4 2 5" xfId="3468"/>
    <cellStyle name="표준 10 2 4 2 5 2" xfId="3469"/>
    <cellStyle name="표준 10 2 4 2 6" xfId="3470"/>
    <cellStyle name="표준 10 2 4 3 2 2" xfId="3471"/>
    <cellStyle name="표준 10 2 4 3 2 2 2" xfId="3472"/>
    <cellStyle name="표준 10 2 4 3 2 3" xfId="3473"/>
    <cellStyle name="표준 10 2 4 3 2 3 2" xfId="3474"/>
    <cellStyle name="표준 10 2 4 3 2 4" xfId="3475"/>
    <cellStyle name="표준 10 2 4 3 3" xfId="3476"/>
    <cellStyle name="표준 10 2 4 3 3 2" xfId="3477"/>
    <cellStyle name="표준 10 2 4 3 4" xfId="3478"/>
    <cellStyle name="표준 10 2 4 3 4 2" xfId="3479"/>
    <cellStyle name="표준 10 2 4 3 5" xfId="3480"/>
    <cellStyle name="표준 10 2 4 4 2" xfId="3481"/>
    <cellStyle name="표준 10 2 4 4 2 2" xfId="3482"/>
    <cellStyle name="표준 10 2 4 4 3" xfId="3483"/>
    <cellStyle name="표준 10 2 4 4 3 2" xfId="3484"/>
    <cellStyle name="표준 10 2 4 4 4" xfId="3485"/>
    <cellStyle name="표준 10 2 4 5" xfId="3486"/>
    <cellStyle name="표준 10 2 4 5 2" xfId="3487"/>
    <cellStyle name="표준 10 2 4 6" xfId="3488"/>
    <cellStyle name="표준 10 2 4 6 2" xfId="3489"/>
    <cellStyle name="표준 10 2 4 7" xfId="3490"/>
    <cellStyle name="표준 10 2 5 2 2 2" xfId="3491"/>
    <cellStyle name="표준 10 2 5 2 2 2 2" xfId="3492"/>
    <cellStyle name="표준 10 2 5 2 2 3" xfId="3493"/>
    <cellStyle name="표준 10 2 5 2 2 3 2" xfId="3494"/>
    <cellStyle name="표준 10 2 5 2 2 4" xfId="3495"/>
    <cellStyle name="표준 10 2 5 2 3" xfId="3496"/>
    <cellStyle name="표준 10 2 5 2 3 2" xfId="3497"/>
    <cellStyle name="표준 10 2 5 2 4" xfId="3498"/>
    <cellStyle name="표준 10 2 5 2 4 2" xfId="3499"/>
    <cellStyle name="표준 10 2 5 2 5" xfId="3500"/>
    <cellStyle name="표준 10 2 5 3 2" xfId="3501"/>
    <cellStyle name="표준 10 2 5 3 2 2" xfId="3502"/>
    <cellStyle name="표준 10 2 5 3 3" xfId="3503"/>
    <cellStyle name="표준 10 2 5 3 3 2" xfId="3504"/>
    <cellStyle name="표준 10 2 5 3 4" xfId="3505"/>
    <cellStyle name="표준 10 2 5 4" xfId="3506"/>
    <cellStyle name="표준 10 2 5 4 2" xfId="3507"/>
    <cellStyle name="표준 10 2 5 5" xfId="3508"/>
    <cellStyle name="표준 10 2 5 5 2" xfId="3509"/>
    <cellStyle name="표준 10 2 5 6" xfId="3510"/>
    <cellStyle name="표준 10 2 6 2 2" xfId="3511"/>
    <cellStyle name="표준 10 2 6 2 2 2" xfId="3512"/>
    <cellStyle name="표준 10 2 6 2 3" xfId="3513"/>
    <cellStyle name="표준 10 2 6 2 3 2" xfId="3514"/>
    <cellStyle name="표준 10 2 6 2 4" xfId="3515"/>
    <cellStyle name="표준 10 2 6 3" xfId="3516"/>
    <cellStyle name="표준 10 2 6 3 2" xfId="3517"/>
    <cellStyle name="표준 10 2 6 4" xfId="3518"/>
    <cellStyle name="표준 10 2 6 4 2" xfId="3519"/>
    <cellStyle name="표준 10 2 6 5" xfId="3520"/>
    <cellStyle name="표준 10 2 7 2" xfId="3521"/>
    <cellStyle name="표준 10 2 7 2 2" xfId="3522"/>
    <cellStyle name="표준 10 2 7 3" xfId="3523"/>
    <cellStyle name="표준 10 2 7 3 2" xfId="3524"/>
    <cellStyle name="표준 10 2 7 4" xfId="3525"/>
    <cellStyle name="표준 10 2 8" xfId="3526"/>
    <cellStyle name="표준 10 2 8 2" xfId="3527"/>
    <cellStyle name="표준 10 2 9" xfId="3528"/>
    <cellStyle name="표준 10 2 9 2" xfId="3529"/>
    <cellStyle name="표준 10 4 10" xfId="3530"/>
    <cellStyle name="표준 10 4 2 2 2 2 2" xfId="3531"/>
    <cellStyle name="표준 10 4 2 2 2 2 2 2" xfId="3532"/>
    <cellStyle name="표준 10 4 2 2 2 2 3" xfId="3533"/>
    <cellStyle name="표준 10 4 2 2 2 2 3 2" xfId="3534"/>
    <cellStyle name="표준 10 4 2 2 2 2 4" xfId="3535"/>
    <cellStyle name="표준 10 4 2 2 2 3" xfId="3536"/>
    <cellStyle name="표준 10 4 2 2 2 3 2" xfId="3537"/>
    <cellStyle name="표준 10 4 2 2 2 4" xfId="3538"/>
    <cellStyle name="표준 10 4 2 2 2 4 2" xfId="3539"/>
    <cellStyle name="표준 10 4 2 2 2 5" xfId="3540"/>
    <cellStyle name="표준 10 4 2 2 3 2" xfId="3541"/>
    <cellStyle name="표준 10 4 2 2 3 2 2" xfId="3542"/>
    <cellStyle name="표준 10 4 2 2 3 3" xfId="3543"/>
    <cellStyle name="표준 10 4 2 2 3 3 2" xfId="3544"/>
    <cellStyle name="표준 10 4 2 2 3 4" xfId="3545"/>
    <cellStyle name="표준 10 4 2 2 4" xfId="3546"/>
    <cellStyle name="표준 10 4 2 2 4 2" xfId="3547"/>
    <cellStyle name="표준 10 4 2 2 5" xfId="3548"/>
    <cellStyle name="표준 10 4 2 2 5 2" xfId="3549"/>
    <cellStyle name="표준 10 4 2 2 6" xfId="3550"/>
    <cellStyle name="표준 10 4 2 3 2 2" xfId="3551"/>
    <cellStyle name="표준 10 4 2 3 2 2 2" xfId="3552"/>
    <cellStyle name="표준 10 4 2 3 2 3" xfId="3553"/>
    <cellStyle name="표준 10 4 2 3 2 3 2" xfId="3554"/>
    <cellStyle name="표준 10 4 2 3 2 4" xfId="3555"/>
    <cellStyle name="표준 10 4 2 3 3" xfId="3556"/>
    <cellStyle name="표준 10 4 2 3 3 2" xfId="3557"/>
    <cellStyle name="표준 10 4 2 3 4" xfId="3558"/>
    <cellStyle name="표준 10 4 2 3 4 2" xfId="3559"/>
    <cellStyle name="표준 10 4 2 3 5" xfId="3560"/>
    <cellStyle name="표준 10 4 2 4 2" xfId="3561"/>
    <cellStyle name="표준 10 4 2 4 2 2" xfId="3562"/>
    <cellStyle name="표준 10 4 2 4 3" xfId="3563"/>
    <cellStyle name="표준 10 4 2 4 3 2" xfId="3564"/>
    <cellStyle name="표준 10 4 2 4 4" xfId="3565"/>
    <cellStyle name="표준 10 4 2 5" xfId="3566"/>
    <cellStyle name="표준 10 4 2 5 2" xfId="3567"/>
    <cellStyle name="표준 10 4 2 6" xfId="3568"/>
    <cellStyle name="표준 10 4 2 6 2" xfId="3569"/>
    <cellStyle name="표준 10 4 2 7" xfId="3570"/>
    <cellStyle name="표준 10 4 3 2 2 2 2" xfId="3571"/>
    <cellStyle name="표준 10 4 3 2 2 2 2 2" xfId="3572"/>
    <cellStyle name="표준 10 4 3 2 2 2 3" xfId="3573"/>
    <cellStyle name="표준 10 4 3 2 2 2 3 2" xfId="3574"/>
    <cellStyle name="표준 10 4 3 2 2 2 4" xfId="3575"/>
    <cellStyle name="표준 10 4 3 2 2 3" xfId="3576"/>
    <cellStyle name="표준 10 4 3 2 2 3 2" xfId="3577"/>
    <cellStyle name="표준 10 4 3 2 2 4" xfId="3578"/>
    <cellStyle name="표준 10 4 3 2 2 4 2" xfId="3579"/>
    <cellStyle name="표준 10 4 3 2 2 5" xfId="3580"/>
    <cellStyle name="표준 10 4 3 2 3 2" xfId="3581"/>
    <cellStyle name="표준 10 4 3 2 3 2 2" xfId="3582"/>
    <cellStyle name="표준 10 4 3 2 3 3" xfId="3583"/>
    <cellStyle name="표준 10 4 3 2 3 3 2" xfId="3584"/>
    <cellStyle name="표준 10 4 3 2 3 4" xfId="3585"/>
    <cellStyle name="표준 10 4 3 2 4" xfId="3586"/>
    <cellStyle name="표준 10 4 3 2 4 2" xfId="3587"/>
    <cellStyle name="표준 10 4 3 2 5" xfId="3588"/>
    <cellStyle name="표준 10 4 3 2 5 2" xfId="3589"/>
    <cellStyle name="표준 10 4 3 2 6" xfId="3590"/>
    <cellStyle name="표준 10 4 3 3 2 2" xfId="3591"/>
    <cellStyle name="표준 10 4 3 3 2 2 2" xfId="3592"/>
    <cellStyle name="표준 10 4 3 3 2 3" xfId="3593"/>
    <cellStyle name="표준 10 4 3 3 2 3 2" xfId="3594"/>
    <cellStyle name="표준 10 4 3 3 2 4" xfId="3595"/>
    <cellStyle name="표준 10 4 3 3 3" xfId="3596"/>
    <cellStyle name="표준 10 4 3 3 3 2" xfId="3597"/>
    <cellStyle name="표준 10 4 3 3 4" xfId="3598"/>
    <cellStyle name="표준 10 4 3 3 4 2" xfId="3599"/>
    <cellStyle name="표준 10 4 3 3 5" xfId="3600"/>
    <cellStyle name="표준 10 4 3 4 2" xfId="3601"/>
    <cellStyle name="표준 10 4 3 4 2 2" xfId="3602"/>
    <cellStyle name="표준 10 4 3 4 3" xfId="3603"/>
    <cellStyle name="표준 10 4 3 4 3 2" xfId="3604"/>
    <cellStyle name="표준 10 4 3 4 4" xfId="3605"/>
    <cellStyle name="표준 10 4 3 5" xfId="3606"/>
    <cellStyle name="표준 10 4 3 5 2" xfId="3607"/>
    <cellStyle name="표준 10 4 3 6" xfId="3608"/>
    <cellStyle name="표준 10 4 3 6 2" xfId="3609"/>
    <cellStyle name="표준 10 4 3 7" xfId="3610"/>
    <cellStyle name="표준 10 4 4 2 2 2 2" xfId="3611"/>
    <cellStyle name="표준 10 4 4 2 2 2 2 2" xfId="3612"/>
    <cellStyle name="표준 10 4 4 2 2 2 3" xfId="3613"/>
    <cellStyle name="표준 10 4 4 2 2 2 3 2" xfId="3614"/>
    <cellStyle name="표준 10 4 4 2 2 2 4" xfId="3615"/>
    <cellStyle name="표준 10 4 4 2 2 3" xfId="3616"/>
    <cellStyle name="표준 10 4 4 2 2 3 2" xfId="3617"/>
    <cellStyle name="표준 10 4 4 2 2 4" xfId="3618"/>
    <cellStyle name="표준 10 4 4 2 2 4 2" xfId="3619"/>
    <cellStyle name="표준 10 4 4 2 2 5" xfId="3620"/>
    <cellStyle name="표준 10 4 4 2 3 2" xfId="3621"/>
    <cellStyle name="표준 10 4 4 2 3 2 2" xfId="3622"/>
    <cellStyle name="표준 10 4 4 2 3 3" xfId="3623"/>
    <cellStyle name="표준 10 4 4 2 3 3 2" xfId="3624"/>
    <cellStyle name="표준 10 4 4 2 3 4" xfId="3625"/>
    <cellStyle name="표준 10 4 4 2 4" xfId="3626"/>
    <cellStyle name="표준 10 4 4 2 4 2" xfId="3627"/>
    <cellStyle name="표준 10 4 4 2 5" xfId="3628"/>
    <cellStyle name="표준 10 4 4 2 5 2" xfId="3629"/>
    <cellStyle name="표준 10 4 4 2 6" xfId="3630"/>
    <cellStyle name="표준 10 4 4 3 2 2" xfId="3631"/>
    <cellStyle name="표준 10 4 4 3 2 2 2" xfId="3632"/>
    <cellStyle name="표준 10 4 4 3 2 3" xfId="3633"/>
    <cellStyle name="표준 10 4 4 3 2 3 2" xfId="3634"/>
    <cellStyle name="표준 10 4 4 3 2 4" xfId="3635"/>
    <cellStyle name="표준 10 4 4 3 3" xfId="3636"/>
    <cellStyle name="표준 10 4 4 3 3 2" xfId="3637"/>
    <cellStyle name="표준 10 4 4 3 4" xfId="3638"/>
    <cellStyle name="표준 10 4 4 3 4 2" xfId="3639"/>
    <cellStyle name="표준 10 4 4 3 5" xfId="3640"/>
    <cellStyle name="표준 10 4 4 4 2" xfId="3641"/>
    <cellStyle name="표준 10 4 4 4 2 2" xfId="3642"/>
    <cellStyle name="표준 10 4 4 4 3" xfId="3643"/>
    <cellStyle name="표준 10 4 4 4 3 2" xfId="3644"/>
    <cellStyle name="표준 10 4 4 4 4" xfId="3645"/>
    <cellStyle name="표준 10 4 4 5" xfId="3646"/>
    <cellStyle name="표준 10 4 4 5 2" xfId="3647"/>
    <cellStyle name="표준 10 4 4 6" xfId="3648"/>
    <cellStyle name="표준 10 4 4 6 2" xfId="3649"/>
    <cellStyle name="표준 10 4 4 7" xfId="3650"/>
    <cellStyle name="표준 10 4 5 2 2 2" xfId="3651"/>
    <cellStyle name="표준 10 4 5 2 2 2 2" xfId="3652"/>
    <cellStyle name="표준 10 4 5 2 2 3" xfId="3653"/>
    <cellStyle name="표준 10 4 5 2 2 3 2" xfId="3654"/>
    <cellStyle name="표준 10 4 5 2 2 4" xfId="3655"/>
    <cellStyle name="표준 10 4 5 2 3" xfId="3656"/>
    <cellStyle name="표준 10 4 5 2 3 2" xfId="3657"/>
    <cellStyle name="표준 10 4 5 2 4" xfId="3658"/>
    <cellStyle name="표준 10 4 5 2 4 2" xfId="3659"/>
    <cellStyle name="표준 10 4 5 2 5" xfId="3660"/>
    <cellStyle name="표준 10 4 5 3 2" xfId="3661"/>
    <cellStyle name="표준 10 4 5 3 2 2" xfId="3662"/>
    <cellStyle name="표준 10 4 5 3 3" xfId="3663"/>
    <cellStyle name="표준 10 4 5 3 3 2" xfId="3664"/>
    <cellStyle name="표준 10 4 5 3 4" xfId="3665"/>
    <cellStyle name="표준 10 4 5 4" xfId="3666"/>
    <cellStyle name="표준 10 4 5 4 2" xfId="3667"/>
    <cellStyle name="표준 10 4 5 5" xfId="3668"/>
    <cellStyle name="표준 10 4 5 5 2" xfId="3669"/>
    <cellStyle name="표준 10 4 5 6" xfId="3670"/>
    <cellStyle name="표준 10 4 6 2 2" xfId="3671"/>
    <cellStyle name="표준 10 4 6 2 2 2" xfId="3672"/>
    <cellStyle name="표준 10 4 6 2 3" xfId="3673"/>
    <cellStyle name="표준 10 4 6 2 3 2" xfId="3674"/>
    <cellStyle name="표준 10 4 6 2 4" xfId="3675"/>
    <cellStyle name="표준 10 4 6 3" xfId="3676"/>
    <cellStyle name="표준 10 4 6 3 2" xfId="3677"/>
    <cellStyle name="표준 10 4 6 4" xfId="3678"/>
    <cellStyle name="표준 10 4 6 4 2" xfId="3679"/>
    <cellStyle name="표준 10 4 6 5" xfId="3680"/>
    <cellStyle name="표준 10 4 7 2" xfId="3681"/>
    <cellStyle name="표준 10 4 7 2 2" xfId="3682"/>
    <cellStyle name="표준 10 4 7 3" xfId="3683"/>
    <cellStyle name="표준 10 4 7 3 2" xfId="3684"/>
    <cellStyle name="표준 10 4 7 4" xfId="3685"/>
    <cellStyle name="표준 10 4 8" xfId="3686"/>
    <cellStyle name="표준 10 4 8 2" xfId="3687"/>
    <cellStyle name="표준 10 4 9" xfId="3688"/>
    <cellStyle name="표준 10 4 9 2" xfId="3689"/>
    <cellStyle name="표준 10 5 10" xfId="3690"/>
    <cellStyle name="표준 10 5 2 2 2 2 2" xfId="3691"/>
    <cellStyle name="표준 10 5 2 2 2 2 2 2" xfId="3692"/>
    <cellStyle name="표준 10 5 2 2 2 2 3" xfId="3693"/>
    <cellStyle name="표준 10 5 2 2 2 2 3 2" xfId="3694"/>
    <cellStyle name="표준 10 5 2 2 2 2 4" xfId="3695"/>
    <cellStyle name="표준 10 5 2 2 2 3" xfId="3696"/>
    <cellStyle name="표준 10 5 2 2 2 3 2" xfId="3697"/>
    <cellStyle name="표준 10 5 2 2 2 4" xfId="3698"/>
    <cellStyle name="표준 10 5 2 2 2 4 2" xfId="3699"/>
    <cellStyle name="표준 10 5 2 2 2 5" xfId="3700"/>
    <cellStyle name="표준 10 5 2 2 3 2" xfId="3701"/>
    <cellStyle name="표준 10 5 2 2 3 2 2" xfId="3702"/>
    <cellStyle name="표준 10 5 2 2 3 3" xfId="3703"/>
    <cellStyle name="표준 10 5 2 2 3 3 2" xfId="3704"/>
    <cellStyle name="표준 10 5 2 2 3 4" xfId="3705"/>
    <cellStyle name="표준 10 5 2 2 4" xfId="3706"/>
    <cellStyle name="표준 10 5 2 2 4 2" xfId="3707"/>
    <cellStyle name="표준 10 5 2 2 5" xfId="3708"/>
    <cellStyle name="표준 10 5 2 2 5 2" xfId="3709"/>
    <cellStyle name="표준 10 5 2 2 6" xfId="3710"/>
    <cellStyle name="표준 10 5 2 3 2 2" xfId="3711"/>
    <cellStyle name="표준 10 5 2 3 2 2 2" xfId="3712"/>
    <cellStyle name="표준 10 5 2 3 2 3" xfId="3713"/>
    <cellStyle name="표준 10 5 2 3 2 3 2" xfId="3714"/>
    <cellStyle name="표준 10 5 2 3 2 4" xfId="3715"/>
    <cellStyle name="표준 10 5 2 3 3" xfId="3716"/>
    <cellStyle name="표준 10 5 2 3 3 2" xfId="3717"/>
    <cellStyle name="표준 10 5 2 3 4" xfId="3718"/>
    <cellStyle name="표준 10 5 2 3 4 2" xfId="3719"/>
    <cellStyle name="표준 10 5 2 3 5" xfId="3720"/>
    <cellStyle name="표준 10 5 2 4 2" xfId="3721"/>
    <cellStyle name="표준 10 5 2 4 2 2" xfId="3722"/>
    <cellStyle name="표준 10 5 2 4 3" xfId="3723"/>
    <cellStyle name="표준 10 5 2 4 3 2" xfId="3724"/>
    <cellStyle name="표준 10 5 2 4 4" xfId="3725"/>
    <cellStyle name="표준 10 5 2 5" xfId="3726"/>
    <cellStyle name="표준 10 5 2 5 2" xfId="3727"/>
    <cellStyle name="표준 10 5 2 6" xfId="3728"/>
    <cellStyle name="표준 10 5 2 6 2" xfId="3729"/>
    <cellStyle name="표준 10 5 2 7" xfId="3730"/>
    <cellStyle name="표준 10 5 3 2 2 2 2" xfId="3731"/>
    <cellStyle name="표준 10 5 3 2 2 2 2 2" xfId="3732"/>
    <cellStyle name="표준 10 5 3 2 2 2 3" xfId="3733"/>
    <cellStyle name="표준 10 5 3 2 2 2 3 2" xfId="3734"/>
    <cellStyle name="표준 10 5 3 2 2 2 4" xfId="3735"/>
    <cellStyle name="표준 10 5 3 2 2 3" xfId="3736"/>
    <cellStyle name="표준 10 5 3 2 2 3 2" xfId="3737"/>
    <cellStyle name="표준 10 5 3 2 2 4" xfId="3738"/>
    <cellStyle name="표준 10 5 3 2 2 4 2" xfId="3739"/>
    <cellStyle name="표준 10 5 3 2 2 5" xfId="3740"/>
    <cellStyle name="표준 10 5 3 2 3 2" xfId="3741"/>
    <cellStyle name="표준 10 5 3 2 3 2 2" xfId="3742"/>
    <cellStyle name="표준 10 5 3 2 3 3" xfId="3743"/>
    <cellStyle name="표준 10 5 3 2 3 3 2" xfId="3744"/>
    <cellStyle name="표준 10 5 3 2 3 4" xfId="3745"/>
    <cellStyle name="표준 10 5 3 2 4" xfId="3746"/>
    <cellStyle name="표준 10 5 3 2 4 2" xfId="3747"/>
    <cellStyle name="표준 10 5 3 2 5" xfId="3748"/>
    <cellStyle name="표준 10 5 3 2 5 2" xfId="3749"/>
    <cellStyle name="표준 10 5 3 2 6" xfId="3750"/>
    <cellStyle name="표준 10 5 3 3 2 2" xfId="3751"/>
    <cellStyle name="표준 10 5 3 3 2 2 2" xfId="3752"/>
    <cellStyle name="표준 10 5 3 3 2 3" xfId="3753"/>
    <cellStyle name="표준 10 5 3 3 2 3 2" xfId="3754"/>
    <cellStyle name="표준 10 5 3 3 2 4" xfId="3755"/>
    <cellStyle name="표준 10 5 3 3 3" xfId="3756"/>
    <cellStyle name="표준 10 5 3 3 3 2" xfId="3757"/>
    <cellStyle name="표준 10 5 3 3 4" xfId="3758"/>
    <cellStyle name="표준 10 5 3 3 4 2" xfId="3759"/>
    <cellStyle name="표준 10 5 3 3 5" xfId="3760"/>
    <cellStyle name="표준 10 5 3 4 2" xfId="3761"/>
    <cellStyle name="표준 10 5 3 4 2 2" xfId="3762"/>
    <cellStyle name="표준 10 5 3 4 3" xfId="3763"/>
    <cellStyle name="표준 10 5 3 4 3 2" xfId="3764"/>
    <cellStyle name="표준 10 5 3 4 4" xfId="3765"/>
    <cellStyle name="표준 10 5 3 5" xfId="3766"/>
    <cellStyle name="표준 10 5 3 5 2" xfId="3767"/>
    <cellStyle name="표준 10 5 3 6" xfId="3768"/>
    <cellStyle name="표준 10 5 3 6 2" xfId="3769"/>
    <cellStyle name="표준 10 5 3 7" xfId="3770"/>
    <cellStyle name="표준 10 5 4 2 2 2 2" xfId="3771"/>
    <cellStyle name="표준 10 5 4 2 2 2 2 2" xfId="3772"/>
    <cellStyle name="표준 10 5 4 2 2 2 3" xfId="3773"/>
    <cellStyle name="표준 10 5 4 2 2 2 3 2" xfId="3774"/>
    <cellStyle name="표준 10 5 4 2 2 2 4" xfId="3775"/>
    <cellStyle name="표준 10 5 4 2 2 3" xfId="3776"/>
    <cellStyle name="표준 10 5 4 2 2 3 2" xfId="3777"/>
    <cellStyle name="표준 10 5 4 2 2 4" xfId="3778"/>
    <cellStyle name="표준 10 5 4 2 2 4 2" xfId="3779"/>
    <cellStyle name="표준 10 5 4 2 2 5" xfId="3780"/>
    <cellStyle name="표준 10 5 4 2 3 2" xfId="3781"/>
    <cellStyle name="표준 10 5 4 2 3 2 2" xfId="3782"/>
    <cellStyle name="표준 10 5 4 2 3 3" xfId="3783"/>
    <cellStyle name="표준 10 5 4 2 3 3 2" xfId="3784"/>
    <cellStyle name="표준 10 5 4 2 3 4" xfId="3785"/>
    <cellStyle name="표준 10 5 4 2 4" xfId="3786"/>
    <cellStyle name="표준 10 5 4 2 4 2" xfId="3787"/>
    <cellStyle name="표준 10 5 4 2 5" xfId="3788"/>
    <cellStyle name="표준 10 5 4 2 5 2" xfId="3789"/>
    <cellStyle name="표준 10 5 4 2 6" xfId="3790"/>
    <cellStyle name="표준 10 5 4 3 2 2" xfId="3791"/>
    <cellStyle name="표준 10 5 4 3 2 2 2" xfId="3792"/>
    <cellStyle name="표준 10 5 4 3 2 3" xfId="3793"/>
    <cellStyle name="표준 10 5 4 3 2 3 2" xfId="3794"/>
    <cellStyle name="표준 10 5 4 3 2 4" xfId="3795"/>
    <cellStyle name="표준 10 5 4 3 3" xfId="3796"/>
    <cellStyle name="표준 10 5 4 3 3 2" xfId="3797"/>
    <cellStyle name="표준 10 5 4 3 4" xfId="3798"/>
    <cellStyle name="표준 10 5 4 3 4 2" xfId="3799"/>
    <cellStyle name="표준 10 5 4 3 5" xfId="3800"/>
    <cellStyle name="표준 10 5 4 4 2" xfId="3801"/>
    <cellStyle name="표준 10 5 4 4 2 2" xfId="3802"/>
    <cellStyle name="표준 10 5 4 4 3" xfId="3803"/>
    <cellStyle name="표준 10 5 4 4 3 2" xfId="3804"/>
    <cellStyle name="표준 10 5 4 4 4" xfId="3805"/>
    <cellStyle name="표준 10 5 4 5" xfId="3806"/>
    <cellStyle name="표준 10 5 4 5 2" xfId="3807"/>
    <cellStyle name="표준 10 5 4 6" xfId="3808"/>
    <cellStyle name="표준 10 5 4 6 2" xfId="3809"/>
    <cellStyle name="표준 10 5 4 7" xfId="3810"/>
    <cellStyle name="표준 10 5 5 2 2 2" xfId="3811"/>
    <cellStyle name="표준 10 5 5 2 2 2 2" xfId="3812"/>
    <cellStyle name="표준 10 5 5 2 2 3" xfId="3813"/>
    <cellStyle name="표준 10 5 5 2 2 3 2" xfId="3814"/>
    <cellStyle name="표준 10 5 5 2 2 4" xfId="3815"/>
    <cellStyle name="표준 10 5 5 2 3" xfId="3816"/>
    <cellStyle name="표준 10 5 5 2 3 2" xfId="3817"/>
    <cellStyle name="표준 10 5 5 2 4" xfId="3818"/>
    <cellStyle name="표준 10 5 5 2 4 2" xfId="3819"/>
    <cellStyle name="표준 10 5 5 2 5" xfId="3820"/>
    <cellStyle name="표준 10 5 5 3 2" xfId="3821"/>
    <cellStyle name="표준 10 5 5 3 2 2" xfId="3822"/>
    <cellStyle name="표준 10 5 5 3 3" xfId="3823"/>
    <cellStyle name="표준 10 5 5 3 3 2" xfId="3824"/>
    <cellStyle name="표준 10 5 5 3 4" xfId="3825"/>
    <cellStyle name="표준 10 5 5 4" xfId="3826"/>
    <cellStyle name="표준 10 5 5 4 2" xfId="3827"/>
    <cellStyle name="표준 10 5 5 5" xfId="3828"/>
    <cellStyle name="표준 10 5 5 5 2" xfId="3829"/>
    <cellStyle name="표준 10 5 5 6" xfId="3830"/>
    <cellStyle name="표준 10 5 6 2 2" xfId="3831"/>
    <cellStyle name="표준 10 5 6 2 2 2" xfId="3832"/>
    <cellStyle name="표준 10 5 6 2 3" xfId="3833"/>
    <cellStyle name="표준 10 5 6 2 3 2" xfId="3834"/>
    <cellStyle name="표준 10 5 6 2 4" xfId="3835"/>
    <cellStyle name="표준 10 5 6 3" xfId="3836"/>
    <cellStyle name="표준 10 5 6 3 2" xfId="3837"/>
    <cellStyle name="표준 10 5 6 4" xfId="3838"/>
    <cellStyle name="표준 10 5 6 4 2" xfId="3839"/>
    <cellStyle name="표준 10 5 6 5" xfId="3840"/>
    <cellStyle name="표준 10 5 7 2" xfId="3841"/>
    <cellStyle name="표준 10 5 7 2 2" xfId="3842"/>
    <cellStyle name="표준 10 5 7 3" xfId="3843"/>
    <cellStyle name="표준 10 5 7 3 2" xfId="3844"/>
    <cellStyle name="표준 10 5 7 4" xfId="3845"/>
    <cellStyle name="표준 10 5 8" xfId="3846"/>
    <cellStyle name="표준 10 5 8 2" xfId="3847"/>
    <cellStyle name="표준 10 5 9" xfId="3848"/>
    <cellStyle name="표준 10 5 9 2" xfId="3849"/>
    <cellStyle name="표준 10 6 10" xfId="3850"/>
    <cellStyle name="표준 10 6 2 2 2 2 2" xfId="3851"/>
    <cellStyle name="표준 10 6 2 2 2 2 2 2" xfId="3852"/>
    <cellStyle name="표준 10 6 2 2 2 2 3" xfId="3853"/>
    <cellStyle name="표준 10 6 2 2 2 2 3 2" xfId="3854"/>
    <cellStyle name="표준 10 6 2 2 2 2 4" xfId="3855"/>
    <cellStyle name="표준 10 6 2 2 2 3" xfId="3856"/>
    <cellStyle name="표준 10 6 2 2 2 3 2" xfId="3857"/>
    <cellStyle name="표준 10 6 2 2 2 4" xfId="3858"/>
    <cellStyle name="표준 10 6 2 2 2 4 2" xfId="3859"/>
    <cellStyle name="표준 10 6 2 2 2 5" xfId="3860"/>
    <cellStyle name="표준 10 6 2 2 3 2" xfId="3861"/>
    <cellStyle name="표준 10 6 2 2 3 2 2" xfId="3862"/>
    <cellStyle name="표준 10 6 2 2 3 3" xfId="3863"/>
    <cellStyle name="표준 10 6 2 2 3 3 2" xfId="3864"/>
    <cellStyle name="표준 10 6 2 2 3 4" xfId="3865"/>
    <cellStyle name="표준 10 6 2 2 4" xfId="3866"/>
    <cellStyle name="표준 10 6 2 2 4 2" xfId="3867"/>
    <cellStyle name="표준 10 6 2 2 5" xfId="3868"/>
    <cellStyle name="표준 10 6 2 2 5 2" xfId="3869"/>
    <cellStyle name="표준 10 6 2 2 6" xfId="3870"/>
    <cellStyle name="표준 10 6 2 3 2 2" xfId="3871"/>
    <cellStyle name="표준 10 6 2 3 2 2 2" xfId="3872"/>
    <cellStyle name="표준 10 6 2 3 2 3" xfId="3873"/>
    <cellStyle name="표준 10 6 2 3 2 3 2" xfId="3874"/>
    <cellStyle name="표준 10 6 2 3 2 4" xfId="3875"/>
    <cellStyle name="표준 10 6 2 3 3" xfId="3876"/>
    <cellStyle name="표준 10 6 2 3 3 2" xfId="3877"/>
    <cellStyle name="표준 10 6 2 3 4" xfId="3878"/>
    <cellStyle name="표준 10 6 2 3 4 2" xfId="3879"/>
    <cellStyle name="표준 10 6 2 3 5" xfId="3880"/>
    <cellStyle name="표준 10 6 2 4 2" xfId="3881"/>
    <cellStyle name="표준 10 6 2 4 2 2" xfId="3882"/>
    <cellStyle name="표준 10 6 2 4 3" xfId="3883"/>
    <cellStyle name="표준 10 6 2 4 3 2" xfId="3884"/>
    <cellStyle name="표준 10 6 2 4 4" xfId="3885"/>
    <cellStyle name="표준 10 6 2 5" xfId="3886"/>
    <cellStyle name="표준 10 6 2 5 2" xfId="3887"/>
    <cellStyle name="표준 10 6 2 6" xfId="3888"/>
    <cellStyle name="표준 10 6 2 6 2" xfId="3889"/>
    <cellStyle name="표준 10 6 2 7" xfId="3890"/>
    <cellStyle name="표준 10 6 3 2 2 2 2" xfId="3891"/>
    <cellStyle name="표준 10 6 3 2 2 2 2 2" xfId="3892"/>
    <cellStyle name="표준 10 6 3 2 2 2 3" xfId="3893"/>
    <cellStyle name="표준 10 6 3 2 2 2 3 2" xfId="3894"/>
    <cellStyle name="표준 10 6 3 2 2 2 4" xfId="3895"/>
    <cellStyle name="표준 10 6 3 2 2 3" xfId="3896"/>
    <cellStyle name="표준 10 6 3 2 2 3 2" xfId="3897"/>
    <cellStyle name="표준 10 6 3 2 2 4" xfId="3898"/>
    <cellStyle name="표준 10 6 3 2 2 4 2" xfId="3899"/>
    <cellStyle name="표준 10 6 3 2 2 5" xfId="3900"/>
    <cellStyle name="표준 10 6 3 2 3 2" xfId="3901"/>
    <cellStyle name="표준 10 6 3 2 3 2 2" xfId="3902"/>
    <cellStyle name="표준 10 6 3 2 3 3" xfId="3903"/>
    <cellStyle name="표준 10 6 3 2 3 3 2" xfId="3904"/>
    <cellStyle name="표준 10 6 3 2 3 4" xfId="3905"/>
    <cellStyle name="표준 10 6 3 2 4" xfId="3906"/>
    <cellStyle name="표준 10 6 3 2 4 2" xfId="3907"/>
    <cellStyle name="표준 10 6 3 2 5" xfId="3908"/>
    <cellStyle name="표준 10 6 3 2 5 2" xfId="3909"/>
    <cellStyle name="표준 10 6 3 2 6" xfId="3910"/>
    <cellStyle name="표준 10 6 3 3 2 2" xfId="3911"/>
    <cellStyle name="표준 10 6 3 3 2 2 2" xfId="3912"/>
    <cellStyle name="표준 10 6 3 3 2 3" xfId="3913"/>
    <cellStyle name="표준 10 6 3 3 2 3 2" xfId="3914"/>
    <cellStyle name="표준 10 6 3 3 2 4" xfId="3915"/>
    <cellStyle name="표준 10 6 3 3 3" xfId="3916"/>
    <cellStyle name="표준 10 6 3 3 3 2" xfId="3917"/>
    <cellStyle name="표준 10 6 3 3 4" xfId="3918"/>
    <cellStyle name="표준 10 6 3 3 4 2" xfId="3919"/>
    <cellStyle name="표준 10 6 3 3 5" xfId="3920"/>
    <cellStyle name="표준 10 6 3 4 2" xfId="3921"/>
    <cellStyle name="표준 10 6 3 4 2 2" xfId="3922"/>
    <cellStyle name="표준 10 6 3 4 3" xfId="3923"/>
    <cellStyle name="표준 10 6 3 4 3 2" xfId="3924"/>
    <cellStyle name="표준 10 6 3 4 4" xfId="3925"/>
    <cellStyle name="표준 10 6 3 5" xfId="3926"/>
    <cellStyle name="표준 10 6 3 5 2" xfId="3927"/>
    <cellStyle name="표준 10 6 3 6" xfId="3928"/>
    <cellStyle name="표준 10 6 3 6 2" xfId="3929"/>
    <cellStyle name="표준 10 6 3 7" xfId="3930"/>
    <cellStyle name="표준 10 6 4 2 2 2 2" xfId="3931"/>
    <cellStyle name="표준 10 6 4 2 2 2 2 2" xfId="3932"/>
    <cellStyle name="표준 10 6 4 2 2 2 3" xfId="3933"/>
    <cellStyle name="표준 10 6 4 2 2 2 3 2" xfId="3934"/>
    <cellStyle name="표준 10 6 4 2 2 2 4" xfId="3935"/>
    <cellStyle name="표준 10 6 4 2 2 3" xfId="3936"/>
    <cellStyle name="표준 10 6 4 2 2 3 2" xfId="3937"/>
    <cellStyle name="표준 10 6 4 2 2 4" xfId="3938"/>
    <cellStyle name="표준 10 6 4 2 2 4 2" xfId="3939"/>
    <cellStyle name="표준 10 6 4 2 2 5" xfId="3940"/>
    <cellStyle name="표준 10 6 4 2 3 2" xfId="3941"/>
    <cellStyle name="표준 10 6 4 2 3 2 2" xfId="3942"/>
    <cellStyle name="표준 10 6 4 2 3 3" xfId="3943"/>
    <cellStyle name="표준 10 6 4 2 3 3 2" xfId="3944"/>
    <cellStyle name="표준 10 6 4 2 3 4" xfId="3945"/>
    <cellStyle name="표준 10 6 4 2 4" xfId="3946"/>
    <cellStyle name="표준 10 6 4 2 4 2" xfId="3947"/>
    <cellStyle name="표준 10 6 4 2 5" xfId="3948"/>
    <cellStyle name="표준 10 6 4 2 5 2" xfId="3949"/>
    <cellStyle name="표준 10 6 4 2 6" xfId="3950"/>
    <cellStyle name="표준 10 6 4 3 2 2" xfId="3951"/>
    <cellStyle name="표준 10 6 4 3 2 2 2" xfId="3952"/>
    <cellStyle name="표준 10 6 4 3 2 3" xfId="3953"/>
    <cellStyle name="표준 10 6 4 3 2 3 2" xfId="3954"/>
    <cellStyle name="표준 10 6 4 3 2 4" xfId="3955"/>
    <cellStyle name="표준 10 6 4 3 3" xfId="3956"/>
    <cellStyle name="표준 10 6 4 3 3 2" xfId="3957"/>
    <cellStyle name="표준 10 6 4 3 4" xfId="3958"/>
    <cellStyle name="표준 10 6 4 3 4 2" xfId="3959"/>
    <cellStyle name="표준 10 6 4 3 5" xfId="3960"/>
    <cellStyle name="표준 10 6 4 4 2" xfId="3961"/>
    <cellStyle name="표준 10 6 4 4 2 2" xfId="3962"/>
    <cellStyle name="표준 10 6 4 4 3" xfId="3963"/>
    <cellStyle name="표준 10 6 4 4 3 2" xfId="3964"/>
    <cellStyle name="표준 10 6 4 4 4" xfId="3965"/>
    <cellStyle name="표준 10 6 4 5" xfId="3966"/>
    <cellStyle name="표준 10 6 4 5 2" xfId="3967"/>
    <cellStyle name="표준 10 6 4 6" xfId="3968"/>
    <cellStyle name="표준 10 6 4 6 2" xfId="3969"/>
    <cellStyle name="표준 10 6 4 7" xfId="3970"/>
    <cellStyle name="표준 10 6 5 2 2 2" xfId="3971"/>
    <cellStyle name="표준 10 6 5 2 2 2 2" xfId="3972"/>
    <cellStyle name="표준 10 6 5 2 2 3" xfId="3973"/>
    <cellStyle name="표준 10 6 5 2 2 3 2" xfId="3974"/>
    <cellStyle name="표준 10 6 5 2 2 4" xfId="3975"/>
    <cellStyle name="표준 10 6 5 2 3" xfId="3976"/>
    <cellStyle name="표준 10 6 5 2 3 2" xfId="3977"/>
    <cellStyle name="표준 10 6 5 2 4" xfId="3978"/>
    <cellStyle name="표준 10 6 5 2 4 2" xfId="3979"/>
    <cellStyle name="표준 10 6 5 2 5" xfId="3980"/>
    <cellStyle name="표준 10 6 5 3 2" xfId="3981"/>
    <cellStyle name="표준 10 6 5 3 2 2" xfId="3982"/>
    <cellStyle name="표준 10 6 5 3 3" xfId="3983"/>
    <cellStyle name="표준 10 6 5 3 3 2" xfId="3984"/>
    <cellStyle name="표준 10 6 5 3 4" xfId="3985"/>
    <cellStyle name="표준 10 6 5 4" xfId="3986"/>
    <cellStyle name="표준 10 6 5 4 2" xfId="3987"/>
    <cellStyle name="표준 10 6 5 5" xfId="3988"/>
    <cellStyle name="표준 10 6 5 5 2" xfId="3989"/>
    <cellStyle name="표준 10 6 5 6" xfId="3990"/>
    <cellStyle name="표준 10 6 6 2 2" xfId="3991"/>
    <cellStyle name="표준 10 6 6 2 2 2" xfId="3992"/>
    <cellStyle name="표준 10 6 6 2 3" xfId="3993"/>
    <cellStyle name="표준 10 6 6 2 3 2" xfId="3994"/>
    <cellStyle name="표준 10 6 6 2 4" xfId="3995"/>
    <cellStyle name="표준 10 6 6 3" xfId="3996"/>
    <cellStyle name="표준 10 6 6 3 2" xfId="3997"/>
    <cellStyle name="표준 10 6 6 4" xfId="3998"/>
    <cellStyle name="표준 10 6 6 4 2" xfId="3999"/>
    <cellStyle name="표준 10 6 6 5" xfId="4000"/>
    <cellStyle name="표준 10 6 7 2" xfId="4001"/>
    <cellStyle name="표준 10 6 7 2 2" xfId="4002"/>
    <cellStyle name="표준 10 6 7 3" xfId="4003"/>
    <cellStyle name="표준 10 6 7 3 2" xfId="4004"/>
    <cellStyle name="표준 10 6 7 4" xfId="4005"/>
    <cellStyle name="표준 10 6 8" xfId="4006"/>
    <cellStyle name="표준 10 6 8 2" xfId="4007"/>
    <cellStyle name="표준 10 6 9" xfId="4008"/>
    <cellStyle name="표준 10 6 9 2" xfId="4009"/>
    <cellStyle name="표준 10 7 10" xfId="4010"/>
    <cellStyle name="표준 10 7 2 2 2 2 2" xfId="4011"/>
    <cellStyle name="표준 10 7 2 2 2 2 2 2" xfId="4012"/>
    <cellStyle name="표준 10 7 2 2 2 2 3" xfId="4013"/>
    <cellStyle name="표준 10 7 2 2 2 2 3 2" xfId="4014"/>
    <cellStyle name="표준 10 7 2 2 2 2 4" xfId="4015"/>
    <cellStyle name="표준 10 7 2 2 2 3" xfId="4016"/>
    <cellStyle name="표준 10 7 2 2 2 3 2" xfId="4017"/>
    <cellStyle name="표준 10 7 2 2 2 4" xfId="4018"/>
    <cellStyle name="표준 10 7 2 2 2 4 2" xfId="4019"/>
    <cellStyle name="표준 10 7 2 2 2 5" xfId="4020"/>
    <cellStyle name="표준 10 7 2 2 3 2" xfId="4021"/>
    <cellStyle name="표준 10 7 2 2 3 2 2" xfId="4022"/>
    <cellStyle name="표준 10 7 2 2 3 3" xfId="4023"/>
    <cellStyle name="표준 10 7 2 2 3 3 2" xfId="4024"/>
    <cellStyle name="표준 10 7 2 2 3 4" xfId="4025"/>
    <cellStyle name="표준 10 7 2 2 4" xfId="4026"/>
    <cellStyle name="표준 10 7 2 2 4 2" xfId="4027"/>
    <cellStyle name="표준 10 7 2 2 5" xfId="4028"/>
    <cellStyle name="표준 10 7 2 2 5 2" xfId="4029"/>
    <cellStyle name="표준 10 7 2 2 6" xfId="4030"/>
    <cellStyle name="표준 10 7 2 3 2 2" xfId="4031"/>
    <cellStyle name="표준 10 7 2 3 2 2 2" xfId="4032"/>
    <cellStyle name="표준 10 7 2 3 2 3" xfId="4033"/>
    <cellStyle name="표준 10 7 2 3 2 3 2" xfId="4034"/>
    <cellStyle name="표준 10 7 2 3 2 4" xfId="4035"/>
    <cellStyle name="표준 10 7 2 3 3" xfId="4036"/>
    <cellStyle name="표준 10 7 2 3 3 2" xfId="4037"/>
    <cellStyle name="표준 10 7 2 3 4" xfId="4038"/>
    <cellStyle name="표준 10 7 2 3 4 2" xfId="4039"/>
    <cellStyle name="표준 10 7 2 3 5" xfId="4040"/>
    <cellStyle name="표준 10 7 2 4 2" xfId="4041"/>
    <cellStyle name="표준 10 7 2 4 2 2" xfId="4042"/>
    <cellStyle name="표준 10 7 2 4 3" xfId="4043"/>
    <cellStyle name="표준 10 7 2 4 3 2" xfId="4044"/>
    <cellStyle name="표준 10 7 2 4 4" xfId="4045"/>
    <cellStyle name="표준 10 7 2 5" xfId="4046"/>
    <cellStyle name="표준 10 7 2 5 2" xfId="4047"/>
    <cellStyle name="표준 10 7 2 6" xfId="4048"/>
    <cellStyle name="표준 10 7 2 6 2" xfId="4049"/>
    <cellStyle name="표준 10 7 2 7" xfId="4050"/>
    <cellStyle name="표준 10 7 3 2 2 2 2" xfId="4051"/>
    <cellStyle name="표준 10 7 3 2 2 2 2 2" xfId="4052"/>
    <cellStyle name="표준 10 7 3 2 2 2 3" xfId="4053"/>
    <cellStyle name="표준 10 7 3 2 2 2 3 2" xfId="4054"/>
    <cellStyle name="표준 10 7 3 2 2 2 4" xfId="4055"/>
    <cellStyle name="표준 10 7 3 2 2 3" xfId="4056"/>
    <cellStyle name="표준 10 7 3 2 2 3 2" xfId="4057"/>
    <cellStyle name="표준 10 7 3 2 2 4" xfId="4058"/>
    <cellStyle name="표준 10 7 3 2 2 4 2" xfId="4059"/>
    <cellStyle name="표준 10 7 3 2 2 5" xfId="4060"/>
    <cellStyle name="표준 10 7 3 2 3 2" xfId="4061"/>
    <cellStyle name="표준 10 7 3 2 3 2 2" xfId="4062"/>
    <cellStyle name="표준 10 7 3 2 3 3" xfId="4063"/>
    <cellStyle name="표준 10 7 3 2 3 3 2" xfId="4064"/>
    <cellStyle name="표준 10 7 3 2 3 4" xfId="4065"/>
    <cellStyle name="표준 10 7 3 2 4" xfId="4066"/>
    <cellStyle name="표준 10 7 3 2 4 2" xfId="4067"/>
    <cellStyle name="표준 10 7 3 2 5" xfId="4068"/>
    <cellStyle name="표준 10 7 3 2 5 2" xfId="4069"/>
    <cellStyle name="표준 10 7 3 2 6" xfId="4070"/>
    <cellStyle name="표준 10 7 3 3 2 2" xfId="4071"/>
    <cellStyle name="표준 10 7 3 3 2 2 2" xfId="4072"/>
    <cellStyle name="표준 10 7 3 3 2 3" xfId="4073"/>
    <cellStyle name="표준 10 7 3 3 2 3 2" xfId="4074"/>
    <cellStyle name="표준 10 7 3 3 2 4" xfId="4075"/>
    <cellStyle name="표준 10 7 3 3 3" xfId="4076"/>
    <cellStyle name="표준 10 7 3 3 3 2" xfId="4077"/>
    <cellStyle name="표준 10 7 3 3 4" xfId="4078"/>
    <cellStyle name="표준 10 7 3 3 4 2" xfId="4079"/>
    <cellStyle name="표준 10 7 3 3 5" xfId="4080"/>
    <cellStyle name="표준 10 7 3 4 2" xfId="4081"/>
    <cellStyle name="표준 10 7 3 4 2 2" xfId="4082"/>
    <cellStyle name="표준 10 7 3 4 3" xfId="4083"/>
    <cellStyle name="표준 10 7 3 4 3 2" xfId="4084"/>
    <cellStyle name="표준 10 7 3 4 4" xfId="4085"/>
    <cellStyle name="표준 10 7 3 5" xfId="4086"/>
    <cellStyle name="표준 10 7 3 5 2" xfId="4087"/>
    <cellStyle name="표준 10 7 3 6" xfId="4088"/>
    <cellStyle name="표준 10 7 3 6 2" xfId="4089"/>
    <cellStyle name="표준 10 7 3 7" xfId="4090"/>
    <cellStyle name="표준 10 7 4 2 2 2 2" xfId="4091"/>
    <cellStyle name="표준 10 7 4 2 2 2 2 2" xfId="4092"/>
    <cellStyle name="표준 10 7 4 2 2 2 3" xfId="4093"/>
    <cellStyle name="표준 10 7 4 2 2 2 3 2" xfId="4094"/>
    <cellStyle name="표준 10 7 4 2 2 2 4" xfId="4095"/>
    <cellStyle name="표준 10 7 4 2 2 3" xfId="4096"/>
    <cellStyle name="표준 10 7 4 2 2 3 2" xfId="4097"/>
    <cellStyle name="표준 10 7 4 2 2 4" xfId="4098"/>
    <cellStyle name="표준 10 7 4 2 2 4 2" xfId="4099"/>
    <cellStyle name="표준 10 7 4 2 2 5" xfId="4100"/>
    <cellStyle name="표준 10 7 4 2 3 2" xfId="4101"/>
    <cellStyle name="표준 10 7 4 2 3 2 2" xfId="4102"/>
    <cellStyle name="표준 10 7 4 2 3 3" xfId="4103"/>
    <cellStyle name="표준 10 7 4 2 3 3 2" xfId="4104"/>
    <cellStyle name="표준 10 7 4 2 3 4" xfId="4105"/>
    <cellStyle name="표준 10 7 4 2 4" xfId="4106"/>
    <cellStyle name="표준 10 7 4 2 4 2" xfId="4107"/>
    <cellStyle name="표준 10 7 4 2 5" xfId="4108"/>
    <cellStyle name="표준 10 7 4 2 5 2" xfId="4109"/>
    <cellStyle name="표준 10 7 4 2 6" xfId="4110"/>
    <cellStyle name="표준 10 7 4 3 2 2" xfId="4111"/>
    <cellStyle name="표준 10 7 4 3 2 2 2" xfId="4112"/>
    <cellStyle name="표준 10 7 4 3 2 3" xfId="4113"/>
    <cellStyle name="표준 10 7 4 3 2 3 2" xfId="4114"/>
    <cellStyle name="표준 10 7 4 3 2 4" xfId="4115"/>
    <cellStyle name="표준 10 7 4 3 3" xfId="4116"/>
    <cellStyle name="표준 10 7 4 3 3 2" xfId="4117"/>
    <cellStyle name="표준 10 7 4 3 4" xfId="4118"/>
    <cellStyle name="표준 10 7 4 3 4 2" xfId="4119"/>
    <cellStyle name="표준 10 7 4 3 5" xfId="4120"/>
    <cellStyle name="표준 10 7 4 4 2" xfId="4121"/>
    <cellStyle name="표준 10 7 4 4 2 2" xfId="4122"/>
    <cellStyle name="표준 10 7 4 4 3" xfId="4123"/>
    <cellStyle name="표준 10 7 4 4 3 2" xfId="4124"/>
    <cellStyle name="표준 10 7 4 4 4" xfId="4125"/>
    <cellStyle name="표준 10 7 4 5" xfId="4126"/>
    <cellStyle name="표준 10 7 4 5 2" xfId="4127"/>
    <cellStyle name="표준 10 7 4 6" xfId="4128"/>
    <cellStyle name="표준 10 7 4 6 2" xfId="4129"/>
    <cellStyle name="표준 10 7 4 7" xfId="4130"/>
    <cellStyle name="표준 10 7 5 2 2 2" xfId="4131"/>
    <cellStyle name="표준 10 7 5 2 2 2 2" xfId="4132"/>
    <cellStyle name="표준 10 7 5 2 2 3" xfId="4133"/>
    <cellStyle name="표준 10 7 5 2 2 3 2" xfId="4134"/>
    <cellStyle name="표준 10 7 5 2 2 4" xfId="4135"/>
    <cellStyle name="표준 10 7 5 2 3" xfId="4136"/>
    <cellStyle name="표준 10 7 5 2 3 2" xfId="4137"/>
    <cellStyle name="표준 10 7 5 2 4" xfId="4138"/>
    <cellStyle name="표준 10 7 5 2 4 2" xfId="4139"/>
    <cellStyle name="표준 10 7 5 2 5" xfId="4140"/>
    <cellStyle name="표준 10 7 5 3 2" xfId="4141"/>
    <cellStyle name="표준 10 7 5 3 2 2" xfId="4142"/>
    <cellStyle name="표준 10 7 5 3 3" xfId="4143"/>
    <cellStyle name="표준 10 7 5 3 3 2" xfId="4144"/>
    <cellStyle name="표준 10 7 5 3 4" xfId="4145"/>
    <cellStyle name="표준 10 7 5 4" xfId="4146"/>
    <cellStyle name="표준 10 7 5 4 2" xfId="4147"/>
    <cellStyle name="표준 10 7 5 5" xfId="4148"/>
    <cellStyle name="표준 10 7 5 5 2" xfId="4149"/>
    <cellStyle name="표준 10 7 5 6" xfId="4150"/>
    <cellStyle name="표준 10 7 6 2 2" xfId="4151"/>
    <cellStyle name="표준 10 7 6 2 2 2" xfId="4152"/>
    <cellStyle name="표준 10 7 6 2 3" xfId="4153"/>
    <cellStyle name="표준 10 7 6 2 3 2" xfId="4154"/>
    <cellStyle name="표준 10 7 6 2 4" xfId="4155"/>
    <cellStyle name="표준 10 7 6 3" xfId="4156"/>
    <cellStyle name="표준 10 7 6 3 2" xfId="4157"/>
    <cellStyle name="표준 10 7 6 4" xfId="4158"/>
    <cellStyle name="표준 10 7 6 4 2" xfId="4159"/>
    <cellStyle name="표준 10 7 6 5" xfId="4160"/>
    <cellStyle name="표준 10 7 7 2" xfId="4161"/>
    <cellStyle name="표준 10 7 7 2 2" xfId="4162"/>
    <cellStyle name="표준 10 7 7 3" xfId="4163"/>
    <cellStyle name="표준 10 7 7 3 2" xfId="4164"/>
    <cellStyle name="표준 10 7 7 4" xfId="4165"/>
    <cellStyle name="표준 10 7 8" xfId="4166"/>
    <cellStyle name="표준 10 7 8 2" xfId="4167"/>
    <cellStyle name="표준 10 7 9" xfId="4168"/>
    <cellStyle name="표준 10 7 9 2" xfId="4169"/>
    <cellStyle name="표준 10 8 10" xfId="4170"/>
    <cellStyle name="표준 10 8 2 2 2 2 2" xfId="4171"/>
    <cellStyle name="표준 10 8 2 2 2 2 2 2" xfId="4172"/>
    <cellStyle name="표준 10 8 2 2 2 2 3" xfId="4173"/>
    <cellStyle name="표준 10 8 2 2 2 2 3 2" xfId="4174"/>
    <cellStyle name="표준 10 8 2 2 2 2 4" xfId="4175"/>
    <cellStyle name="표준 10 8 2 2 2 3" xfId="4176"/>
    <cellStyle name="표준 10 8 2 2 2 3 2" xfId="4177"/>
    <cellStyle name="표준 10 8 2 2 2 4" xfId="4178"/>
    <cellStyle name="표준 10 8 2 2 2 4 2" xfId="4179"/>
    <cellStyle name="표준 10 8 2 2 2 5" xfId="4180"/>
    <cellStyle name="표준 10 8 2 2 3 2" xfId="4181"/>
    <cellStyle name="표준 10 8 2 2 3 2 2" xfId="4182"/>
    <cellStyle name="표준 10 8 2 2 3 3" xfId="4183"/>
    <cellStyle name="표준 10 8 2 2 3 3 2" xfId="4184"/>
    <cellStyle name="표준 10 8 2 2 3 4" xfId="4185"/>
    <cellStyle name="표준 10 8 2 2 4" xfId="4186"/>
    <cellStyle name="표준 10 8 2 2 4 2" xfId="4187"/>
    <cellStyle name="표준 10 8 2 2 5" xfId="4188"/>
    <cellStyle name="표준 10 8 2 2 5 2" xfId="4189"/>
    <cellStyle name="표준 10 8 2 2 6" xfId="4190"/>
    <cellStyle name="표준 10 8 2 3 2 2" xfId="4191"/>
    <cellStyle name="표준 10 8 2 3 2 2 2" xfId="4192"/>
    <cellStyle name="표준 10 8 2 3 2 3" xfId="4193"/>
    <cellStyle name="표준 10 8 2 3 2 3 2" xfId="4194"/>
    <cellStyle name="표준 10 8 2 3 2 4" xfId="4195"/>
    <cellStyle name="표준 10 8 2 3 3" xfId="4196"/>
    <cellStyle name="표준 10 8 2 3 3 2" xfId="4197"/>
    <cellStyle name="표준 10 8 2 3 4" xfId="4198"/>
    <cellStyle name="표준 10 8 2 3 4 2" xfId="4199"/>
    <cellStyle name="표준 10 8 2 3 5" xfId="4200"/>
    <cellStyle name="표준 10 8 2 4 2" xfId="4201"/>
    <cellStyle name="표준 10 8 2 4 2 2" xfId="4202"/>
    <cellStyle name="표준 10 8 2 4 3" xfId="4203"/>
    <cellStyle name="표준 10 8 2 4 3 2" xfId="4204"/>
    <cellStyle name="표준 10 8 2 4 4" xfId="4205"/>
    <cellStyle name="표준 10 8 2 5" xfId="4206"/>
    <cellStyle name="표준 10 8 2 5 2" xfId="4207"/>
    <cellStyle name="표준 10 8 2 6" xfId="4208"/>
    <cellStyle name="표준 10 8 2 6 2" xfId="4209"/>
    <cellStyle name="표준 10 8 2 7" xfId="4210"/>
    <cellStyle name="표준 10 8 3 2 2 2 2" xfId="4211"/>
    <cellStyle name="표준 10 8 3 2 2 2 2 2" xfId="4212"/>
    <cellStyle name="표준 10 8 3 2 2 2 3" xfId="4213"/>
    <cellStyle name="표준 10 8 3 2 2 2 3 2" xfId="4214"/>
    <cellStyle name="표준 10 8 3 2 2 2 4" xfId="4215"/>
    <cellStyle name="표준 10 8 3 2 2 3" xfId="4216"/>
    <cellStyle name="표준 10 8 3 2 2 3 2" xfId="4217"/>
    <cellStyle name="표준 10 8 3 2 2 4" xfId="4218"/>
    <cellStyle name="표준 10 8 3 2 2 4 2" xfId="4219"/>
    <cellStyle name="표준 10 8 3 2 2 5" xfId="4220"/>
    <cellStyle name="표준 10 8 3 2 3 2" xfId="4221"/>
    <cellStyle name="표준 10 8 3 2 3 2 2" xfId="4222"/>
    <cellStyle name="표준 10 8 3 2 3 3" xfId="4223"/>
    <cellStyle name="표준 10 8 3 2 3 3 2" xfId="4224"/>
    <cellStyle name="표준 10 8 3 2 3 4" xfId="4225"/>
    <cellStyle name="표준 10 8 3 2 4" xfId="4226"/>
    <cellStyle name="표준 10 8 3 2 4 2" xfId="4227"/>
    <cellStyle name="표준 10 8 3 2 5" xfId="4228"/>
    <cellStyle name="표준 10 8 3 2 5 2" xfId="4229"/>
    <cellStyle name="표준 10 8 3 2 6" xfId="4230"/>
    <cellStyle name="표준 10 8 3 3 2 2" xfId="4231"/>
    <cellStyle name="표준 10 8 3 3 2 2 2" xfId="4232"/>
    <cellStyle name="표준 10 8 3 3 2 3" xfId="4233"/>
    <cellStyle name="표준 10 8 3 3 2 3 2" xfId="4234"/>
    <cellStyle name="표준 10 8 3 3 2 4" xfId="4235"/>
    <cellStyle name="표준 10 8 3 3 3" xfId="4236"/>
    <cellStyle name="표준 10 8 3 3 3 2" xfId="4237"/>
    <cellStyle name="표준 10 8 3 3 4" xfId="4238"/>
    <cellStyle name="표준 10 8 3 3 4 2" xfId="4239"/>
    <cellStyle name="표준 10 8 3 3 5" xfId="4240"/>
    <cellStyle name="표준 10 8 3 4 2" xfId="4241"/>
    <cellStyle name="표준 10 8 3 4 2 2" xfId="4242"/>
    <cellStyle name="표준 10 8 3 4 3" xfId="4243"/>
    <cellStyle name="표준 10 8 3 4 3 2" xfId="4244"/>
    <cellStyle name="표준 10 8 3 4 4" xfId="4245"/>
    <cellStyle name="표준 10 8 3 5" xfId="4246"/>
    <cellStyle name="표준 10 8 3 5 2" xfId="4247"/>
    <cellStyle name="표준 10 8 3 6" xfId="4248"/>
    <cellStyle name="표준 10 8 3 6 2" xfId="4249"/>
    <cellStyle name="표준 10 8 3 7" xfId="4250"/>
    <cellStyle name="표준 10 8 4 2 2 2 2" xfId="4251"/>
    <cellStyle name="표준 10 8 4 2 2 2 2 2" xfId="4252"/>
    <cellStyle name="표준 10 8 4 2 2 2 3" xfId="4253"/>
    <cellStyle name="표준 10 8 4 2 2 2 3 2" xfId="4254"/>
    <cellStyle name="표준 10 8 4 2 2 2 4" xfId="4255"/>
    <cellStyle name="표준 10 8 4 2 2 3" xfId="4256"/>
    <cellStyle name="표준 10 8 4 2 2 3 2" xfId="4257"/>
    <cellStyle name="표준 10 8 4 2 2 4" xfId="4258"/>
    <cellStyle name="표준 10 8 4 2 2 4 2" xfId="4259"/>
    <cellStyle name="표준 10 8 4 2 2 5" xfId="4260"/>
    <cellStyle name="표준 10 8 4 2 3 2" xfId="4261"/>
    <cellStyle name="표준 10 8 4 2 3 2 2" xfId="4262"/>
    <cellStyle name="표준 10 8 4 2 3 3" xfId="4263"/>
    <cellStyle name="표준 10 8 4 2 3 3 2" xfId="4264"/>
    <cellStyle name="표준 10 8 4 2 3 4" xfId="4265"/>
    <cellStyle name="표준 10 8 4 2 4" xfId="4266"/>
    <cellStyle name="표준 10 8 4 2 4 2" xfId="4267"/>
    <cellStyle name="표준 10 8 4 2 5" xfId="4268"/>
    <cellStyle name="표준 10 8 4 2 5 2" xfId="4269"/>
    <cellStyle name="표준 10 8 4 2 6" xfId="4270"/>
    <cellStyle name="표준 10 8 4 3 2 2" xfId="4271"/>
    <cellStyle name="표준 10 8 4 3 2 2 2" xfId="4272"/>
    <cellStyle name="표준 10 8 4 3 2 3" xfId="4273"/>
    <cellStyle name="표준 10 8 4 3 2 3 2" xfId="4274"/>
    <cellStyle name="표준 10 8 4 3 2 4" xfId="4275"/>
    <cellStyle name="표준 10 8 4 3 3" xfId="4276"/>
    <cellStyle name="표준 10 8 4 3 3 2" xfId="4277"/>
    <cellStyle name="표준 10 8 4 3 4" xfId="4278"/>
    <cellStyle name="표준 10 8 4 3 4 2" xfId="4279"/>
    <cellStyle name="표준 10 8 4 3 5" xfId="4280"/>
    <cellStyle name="표준 10 8 4 4 2" xfId="4281"/>
    <cellStyle name="표준 10 8 4 4 2 2" xfId="4282"/>
    <cellStyle name="표준 10 8 4 4 3" xfId="4283"/>
    <cellStyle name="표준 10 8 4 4 3 2" xfId="4284"/>
    <cellStyle name="표준 10 8 4 4 4" xfId="4285"/>
    <cellStyle name="표준 10 8 4 5" xfId="4286"/>
    <cellStyle name="표준 10 8 4 5 2" xfId="4287"/>
    <cellStyle name="표준 10 8 4 6" xfId="4288"/>
    <cellStyle name="표준 10 8 4 6 2" xfId="4289"/>
    <cellStyle name="표준 10 8 4 7" xfId="4290"/>
    <cellStyle name="표준 10 8 5 2 2 2" xfId="4291"/>
    <cellStyle name="표준 10 8 5 2 2 2 2" xfId="4292"/>
    <cellStyle name="표준 10 8 5 2 2 3" xfId="4293"/>
    <cellStyle name="표준 10 8 5 2 2 3 2" xfId="4294"/>
    <cellStyle name="표준 10 8 5 2 2 4" xfId="4295"/>
    <cellStyle name="표준 10 8 5 2 3" xfId="4296"/>
    <cellStyle name="표준 10 8 5 2 3 2" xfId="4297"/>
    <cellStyle name="표준 10 8 5 2 4" xfId="4298"/>
    <cellStyle name="표준 10 8 5 2 4 2" xfId="4299"/>
    <cellStyle name="표준 10 8 5 2 5" xfId="4300"/>
    <cellStyle name="표준 10 8 5 3 2" xfId="4301"/>
    <cellStyle name="표준 10 8 5 3 2 2" xfId="4302"/>
    <cellStyle name="표준 10 8 5 3 3" xfId="4303"/>
    <cellStyle name="표준 10 8 5 3 3 2" xfId="4304"/>
    <cellStyle name="표준 10 8 5 3 4" xfId="4305"/>
    <cellStyle name="표준 10 8 5 4" xfId="4306"/>
    <cellStyle name="표준 10 8 5 4 2" xfId="4307"/>
    <cellStyle name="표준 10 8 5 5" xfId="4308"/>
    <cellStyle name="표준 10 8 5 5 2" xfId="4309"/>
    <cellStyle name="표준 10 8 5 6" xfId="4310"/>
    <cellStyle name="표준 10 8 6 2 2" xfId="4311"/>
    <cellStyle name="표준 10 8 6 2 2 2" xfId="4312"/>
    <cellStyle name="표준 10 8 6 2 3" xfId="4313"/>
    <cellStyle name="표준 10 8 6 2 3 2" xfId="4314"/>
    <cellStyle name="표준 10 8 6 2 4" xfId="4315"/>
    <cellStyle name="표준 10 8 6 3" xfId="4316"/>
    <cellStyle name="표준 10 8 6 3 2" xfId="4317"/>
    <cellStyle name="표준 10 8 6 4" xfId="4318"/>
    <cellStyle name="표준 10 8 6 4 2" xfId="4319"/>
    <cellStyle name="표준 10 8 6 5" xfId="4320"/>
    <cellStyle name="표준 10 8 7 2" xfId="4321"/>
    <cellStyle name="표준 10 8 7 2 2" xfId="4322"/>
    <cellStyle name="표준 10 8 7 3" xfId="4323"/>
    <cellStyle name="표준 10 8 7 3 2" xfId="4324"/>
    <cellStyle name="표준 10 8 7 4" xfId="4325"/>
    <cellStyle name="표준 10 8 8" xfId="4326"/>
    <cellStyle name="표준 10 8 8 2" xfId="4327"/>
    <cellStyle name="표준 10 8 9" xfId="4328"/>
    <cellStyle name="표준 10 8 9 2" xfId="4329"/>
    <cellStyle name="표준 10 9 2 2 2 2 2" xfId="4330"/>
    <cellStyle name="표준 10 9 2 2 2 2 2 2" xfId="4331"/>
    <cellStyle name="표준 10 9 2 2 2 2 3" xfId="4332"/>
    <cellStyle name="표준 10 9 2 2 2 2 3 2" xfId="4333"/>
    <cellStyle name="표준 10 9 2 2 2 2 4" xfId="4334"/>
    <cellStyle name="표준 10 9 2 2 2 3" xfId="4335"/>
    <cellStyle name="표준 10 9 2 2 2 3 2" xfId="4336"/>
    <cellStyle name="표준 10 9 2 2 2 4" xfId="4337"/>
    <cellStyle name="표준 10 9 2 2 2 4 2" xfId="4338"/>
    <cellStyle name="표준 10 9 2 2 2 5" xfId="4339"/>
    <cellStyle name="표준 10 9 2 2 3 2" xfId="4340"/>
    <cellStyle name="표준 10 9 2 2 3 2 2" xfId="4341"/>
    <cellStyle name="표준 10 9 2 2 3 3" xfId="4342"/>
    <cellStyle name="표준 10 9 2 2 3 3 2" xfId="4343"/>
    <cellStyle name="표준 10 9 2 2 3 4" xfId="4344"/>
    <cellStyle name="표준 10 9 2 2 4" xfId="4345"/>
    <cellStyle name="표준 10 9 2 2 4 2" xfId="4346"/>
    <cellStyle name="표준 10 9 2 2 5" xfId="4347"/>
    <cellStyle name="표준 10 9 2 2 5 2" xfId="4348"/>
    <cellStyle name="표준 10 9 2 2 6" xfId="4349"/>
    <cellStyle name="표준 10 9 2 3 2 2" xfId="4350"/>
    <cellStyle name="표준 10 9 2 3 2 2 2" xfId="4351"/>
    <cellStyle name="표준 10 9 2 3 2 3" xfId="4352"/>
    <cellStyle name="표준 10 9 2 3 2 3 2" xfId="4353"/>
    <cellStyle name="표준 10 9 2 3 2 4" xfId="4354"/>
    <cellStyle name="표준 10 9 2 3 3" xfId="4355"/>
    <cellStyle name="표준 10 9 2 3 3 2" xfId="4356"/>
    <cellStyle name="표준 10 9 2 3 4" xfId="4357"/>
    <cellStyle name="표준 10 9 2 3 4 2" xfId="4358"/>
    <cellStyle name="표준 10 9 2 3 5" xfId="4359"/>
    <cellStyle name="표준 10 9 2 4 2" xfId="4360"/>
    <cellStyle name="표준 10 9 2 4 2 2" xfId="4361"/>
    <cellStyle name="표준 10 9 2 4 3" xfId="4362"/>
    <cellStyle name="표준 10 9 2 4 3 2" xfId="4363"/>
    <cellStyle name="표준 10 9 2 4 4" xfId="4364"/>
    <cellStyle name="표준 10 9 2 5" xfId="4365"/>
    <cellStyle name="표준 10 9 2 5 2" xfId="4366"/>
    <cellStyle name="표준 10 9 2 6" xfId="4367"/>
    <cellStyle name="표준 10 9 2 6 2" xfId="4368"/>
    <cellStyle name="표준 10 9 2 7" xfId="4369"/>
    <cellStyle name="표준 10 9 3 2 2 2 2" xfId="4370"/>
    <cellStyle name="표준 10 9 3 2 2 2 2 2" xfId="4371"/>
    <cellStyle name="표준 10 9 3 2 2 2 3" xfId="4372"/>
    <cellStyle name="표준 10 9 3 2 2 2 3 2" xfId="4373"/>
    <cellStyle name="표준 10 9 3 2 2 2 4" xfId="4374"/>
    <cellStyle name="표준 10 9 3 2 2 3" xfId="4375"/>
    <cellStyle name="표준 10 9 3 2 2 3 2" xfId="4376"/>
    <cellStyle name="표준 10 9 3 2 2 4" xfId="4377"/>
    <cellStyle name="표준 10 9 3 2 2 4 2" xfId="4378"/>
    <cellStyle name="표준 10 9 3 2 2 5" xfId="4379"/>
    <cellStyle name="표준 10 9 3 2 3 2" xfId="4380"/>
    <cellStyle name="표준 10 9 3 2 3 2 2" xfId="4381"/>
    <cellStyle name="표준 10 9 3 2 3 3" xfId="4382"/>
    <cellStyle name="표준 10 9 3 2 3 3 2" xfId="4383"/>
    <cellStyle name="표준 10 9 3 2 3 4" xfId="4384"/>
    <cellStyle name="표준 10 9 3 2 4" xfId="4385"/>
    <cellStyle name="표준 10 9 3 2 4 2" xfId="4386"/>
    <cellStyle name="표준 10 9 3 2 5" xfId="4387"/>
    <cellStyle name="표준 10 9 3 2 5 2" xfId="4388"/>
    <cellStyle name="표준 10 9 3 2 6" xfId="4389"/>
    <cellStyle name="표준 10 9 3 3 2 2" xfId="4390"/>
    <cellStyle name="표준 10 9 3 3 2 2 2" xfId="4391"/>
    <cellStyle name="표준 10 9 3 3 2 3" xfId="4392"/>
    <cellStyle name="표준 10 9 3 3 2 3 2" xfId="4393"/>
    <cellStyle name="표준 10 9 3 3 2 4" xfId="4394"/>
    <cellStyle name="표준 10 9 3 3 3" xfId="4395"/>
    <cellStyle name="표준 10 9 3 3 3 2" xfId="4396"/>
    <cellStyle name="표준 10 9 3 3 4" xfId="4397"/>
    <cellStyle name="표준 10 9 3 3 4 2" xfId="4398"/>
    <cellStyle name="표준 10 9 3 3 5" xfId="4399"/>
    <cellStyle name="표준 10 9 3 4 2" xfId="4400"/>
    <cellStyle name="표준 10 9 3 4 2 2" xfId="4401"/>
    <cellStyle name="표준 10 9 3 4 3" xfId="4402"/>
    <cellStyle name="표준 10 9 3 4 3 2" xfId="4403"/>
    <cellStyle name="표준 10 9 3 4 4" xfId="4404"/>
    <cellStyle name="표준 10 9 3 5" xfId="4405"/>
    <cellStyle name="표준 10 9 3 5 2" xfId="4406"/>
    <cellStyle name="표준 10 9 3 6" xfId="4407"/>
    <cellStyle name="표준 10 9 3 6 2" xfId="4408"/>
    <cellStyle name="표준 10 9 3 7" xfId="4409"/>
    <cellStyle name="표준 10 9 4 2 2 2" xfId="4410"/>
    <cellStyle name="표준 10 9 4 2 2 2 2" xfId="4411"/>
    <cellStyle name="표준 10 9 4 2 2 3" xfId="4412"/>
    <cellStyle name="표준 10 9 4 2 2 3 2" xfId="4413"/>
    <cellStyle name="표준 10 9 4 2 2 4" xfId="4414"/>
    <cellStyle name="표준 10 9 4 2 3" xfId="4415"/>
    <cellStyle name="표준 10 9 4 2 3 2" xfId="4416"/>
    <cellStyle name="표준 10 9 4 2 4" xfId="4417"/>
    <cellStyle name="표준 10 9 4 2 4 2" xfId="4418"/>
    <cellStyle name="표준 10 9 4 2 5" xfId="4419"/>
    <cellStyle name="표준 10 9 4 3 2" xfId="4420"/>
    <cellStyle name="표준 10 9 4 3 2 2" xfId="4421"/>
    <cellStyle name="표준 10 9 4 3 3" xfId="4422"/>
    <cellStyle name="표준 10 9 4 3 3 2" xfId="4423"/>
    <cellStyle name="표준 10 9 4 3 4" xfId="4424"/>
    <cellStyle name="표준 10 9 4 4" xfId="4425"/>
    <cellStyle name="표준 10 9 4 4 2" xfId="4426"/>
    <cellStyle name="표준 10 9 4 5" xfId="4427"/>
    <cellStyle name="표준 10 9 4 5 2" xfId="4428"/>
    <cellStyle name="표준 10 9 4 6" xfId="4429"/>
    <cellStyle name="표준 10 9 5 2 2" xfId="4430"/>
    <cellStyle name="표준 10 9 5 2 2 2" xfId="4431"/>
    <cellStyle name="표준 10 9 5 2 3" xfId="4432"/>
    <cellStyle name="표준 10 9 5 2 3 2" xfId="4433"/>
    <cellStyle name="표준 10 9 5 2 4" xfId="4434"/>
    <cellStyle name="표준 10 9 5 3" xfId="4435"/>
    <cellStyle name="표준 10 9 5 3 2" xfId="4436"/>
    <cellStyle name="표준 10 9 5 4" xfId="4437"/>
    <cellStyle name="표준 10 9 5 4 2" xfId="4438"/>
    <cellStyle name="표준 10 9 5 5" xfId="4439"/>
    <cellStyle name="표준 10 9 6 2" xfId="4440"/>
    <cellStyle name="표준 10 9 6 2 2" xfId="4441"/>
    <cellStyle name="표준 10 9 6 3" xfId="4442"/>
    <cellStyle name="표준 10 9 6 3 2" xfId="4443"/>
    <cellStyle name="표준 10 9 6 4" xfId="4444"/>
    <cellStyle name="표준 10 9 7" xfId="4445"/>
    <cellStyle name="표준 10 9 7 2" xfId="4446"/>
    <cellStyle name="표준 10 9 8" xfId="4447"/>
    <cellStyle name="표준 10 9 8 2" xfId="4448"/>
    <cellStyle name="표준 10 9 9" xfId="4449"/>
    <cellStyle name="표준 2 50" xfId="4450"/>
    <cellStyle name="표준 2 51" xfId="4451"/>
    <cellStyle name="표준 2 52" xfId="4452"/>
    <cellStyle name="표준 2 53" xfId="4453"/>
    <cellStyle name="표준 2 54" xfId="4454"/>
    <cellStyle name="표준 21 2 3 2 2 2" xfId="4455"/>
    <cellStyle name="표준 21 2 3 2 2 2 2" xfId="4456"/>
    <cellStyle name="표준 21 2 3 2 2 3" xfId="4457"/>
    <cellStyle name="표준 21 2 3 2 2 3 2" xfId="4458"/>
    <cellStyle name="표준 21 2 3 2 2 4" xfId="4459"/>
    <cellStyle name="표준 21 2 3 2 3" xfId="4460"/>
    <cellStyle name="표준 21 2 3 2 3 2" xfId="4461"/>
    <cellStyle name="표준 21 2 3 2 4" xfId="4462"/>
    <cellStyle name="표준 21 2 3 2 4 2" xfId="4463"/>
    <cellStyle name="표준 21 2 3 2 5" xfId="4464"/>
    <cellStyle name="표준 21 2 3 3 2" xfId="4465"/>
    <cellStyle name="표준 21 2 3 3 2 2" xfId="4466"/>
    <cellStyle name="표준 21 2 3 3 3" xfId="4467"/>
    <cellStyle name="표준 21 2 3 3 3 2" xfId="4468"/>
    <cellStyle name="표준 21 2 3 3 4" xfId="4469"/>
    <cellStyle name="표준 21 2 3 4" xfId="4470"/>
    <cellStyle name="표준 21 2 3 4 2" xfId="4471"/>
    <cellStyle name="표준 21 2 3 5" xfId="4472"/>
    <cellStyle name="표준 21 2 3 5 2" xfId="4473"/>
    <cellStyle name="표준 21 2 3 6" xfId="4474"/>
    <cellStyle name="표준 21 2 4 2 2" xfId="4475"/>
    <cellStyle name="표준 21 2 4 2 2 2" xfId="4476"/>
    <cellStyle name="표준 21 2 4 2 3" xfId="4477"/>
    <cellStyle name="표준 21 2 4 2 3 2" xfId="4478"/>
    <cellStyle name="표준 21 2 4 2 4" xfId="4479"/>
    <cellStyle name="표준 21 2 4 3" xfId="4480"/>
    <cellStyle name="표준 21 2 4 3 2" xfId="4481"/>
    <cellStyle name="표준 21 2 4 4" xfId="4482"/>
    <cellStyle name="표준 21 2 4 4 2" xfId="4483"/>
    <cellStyle name="표준 21 2 4 5" xfId="4484"/>
    <cellStyle name="표준 21 2 5 2" xfId="4485"/>
    <cellStyle name="표준 21 2 5 2 2" xfId="4486"/>
    <cellStyle name="표준 21 2 5 3" xfId="4487"/>
    <cellStyle name="표준 21 2 5 3 2" xfId="4488"/>
    <cellStyle name="표준 21 2 5 4" xfId="4489"/>
    <cellStyle name="표준 21 2 6" xfId="4490"/>
    <cellStyle name="표준 21 2 6 2" xfId="4491"/>
    <cellStyle name="표준 21 2 7" xfId="4492"/>
    <cellStyle name="표준 21 2 7 2" xfId="4493"/>
    <cellStyle name="표준 21 2 8" xfId="4494"/>
    <cellStyle name="표준 21 3 3 2 2 2" xfId="4495"/>
    <cellStyle name="표준 21 3 3 2 2 2 2" xfId="4496"/>
    <cellStyle name="표준 21 3 3 2 2 3" xfId="4497"/>
    <cellStyle name="표준 21 3 3 2 2 3 2" xfId="4498"/>
    <cellStyle name="표준 21 3 3 2 2 4" xfId="4499"/>
    <cellStyle name="표준 21 3 3 2 3" xfId="4500"/>
    <cellStyle name="표준 21 3 3 2 3 2" xfId="4501"/>
    <cellStyle name="표준 21 3 3 2 4" xfId="4502"/>
    <cellStyle name="표준 21 3 3 2 4 2" xfId="4503"/>
    <cellStyle name="표준 21 3 3 2 5" xfId="4504"/>
    <cellStyle name="표준 21 3 3 3 2" xfId="4505"/>
    <cellStyle name="표준 21 3 3 3 2 2" xfId="4506"/>
    <cellStyle name="표준 21 3 3 3 3" xfId="4507"/>
    <cellStyle name="표준 21 3 3 3 3 2" xfId="4508"/>
    <cellStyle name="표준 21 3 3 3 4" xfId="4509"/>
    <cellStyle name="표준 21 3 3 4" xfId="4510"/>
    <cellStyle name="표준 21 3 3 4 2" xfId="4511"/>
    <cellStyle name="표준 21 3 3 5" xfId="4512"/>
    <cellStyle name="표준 21 3 3 5 2" xfId="4513"/>
    <cellStyle name="표준 21 3 3 6" xfId="4514"/>
    <cellStyle name="표준 21 3 4 2 2" xfId="4515"/>
    <cellStyle name="표준 21 3 4 2 2 2" xfId="4516"/>
    <cellStyle name="표준 21 3 4 2 3" xfId="4517"/>
    <cellStyle name="표준 21 3 4 2 3 2" xfId="4518"/>
    <cellStyle name="표준 21 3 4 2 4" xfId="4519"/>
    <cellStyle name="표준 21 3 4 3" xfId="4520"/>
    <cellStyle name="표준 21 3 4 3 2" xfId="4521"/>
    <cellStyle name="표준 21 3 4 4" xfId="4522"/>
    <cellStyle name="표준 21 3 4 4 2" xfId="4523"/>
    <cellStyle name="표준 21 3 4 5" xfId="4524"/>
    <cellStyle name="표준 21 3 5 2" xfId="4525"/>
    <cellStyle name="표준 21 3 5 2 2" xfId="4526"/>
    <cellStyle name="표준 21 3 5 3" xfId="4527"/>
    <cellStyle name="표준 21 3 5 3 2" xfId="4528"/>
    <cellStyle name="표준 21 3 5 4" xfId="4529"/>
    <cellStyle name="표준 21 3 6" xfId="4530"/>
    <cellStyle name="표준 21 3 6 2" xfId="4531"/>
    <cellStyle name="표준 21 3 7" xfId="4532"/>
    <cellStyle name="표준 21 3 7 2" xfId="4533"/>
    <cellStyle name="표준 21 3 8" xfId="4534"/>
    <cellStyle name="표준 21 4 3 2 2 2" xfId="4535"/>
    <cellStyle name="표준 21 4 3 2 2 2 2" xfId="4536"/>
    <cellStyle name="표준 21 4 3 2 2 3" xfId="4537"/>
    <cellStyle name="표준 21 4 3 2 2 3 2" xfId="4538"/>
    <cellStyle name="표준 21 4 3 2 2 4" xfId="4539"/>
    <cellStyle name="표준 21 4 3 2 3" xfId="4540"/>
    <cellStyle name="표준 21 4 3 2 3 2" xfId="4541"/>
    <cellStyle name="표준 21 4 3 2 4" xfId="4542"/>
    <cellStyle name="표준 21 4 3 2 4 2" xfId="4543"/>
    <cellStyle name="표준 21 4 3 2 5" xfId="4544"/>
    <cellStyle name="표준 21 4 3 3 2" xfId="4545"/>
    <cellStyle name="표준 21 4 3 3 2 2" xfId="4546"/>
    <cellStyle name="표준 21 4 3 3 3" xfId="4547"/>
    <cellStyle name="표준 21 4 3 3 3 2" xfId="4548"/>
    <cellStyle name="표준 21 4 3 3 4" xfId="4549"/>
    <cellStyle name="표준 21 4 3 4" xfId="4550"/>
    <cellStyle name="표준 21 4 3 4 2" xfId="4551"/>
    <cellStyle name="표준 21 4 3 5" xfId="4552"/>
    <cellStyle name="표준 21 4 3 5 2" xfId="4553"/>
    <cellStyle name="표준 21 4 3 6" xfId="4554"/>
    <cellStyle name="표준 21 4 4 2 2" xfId="4555"/>
    <cellStyle name="표준 21 4 4 2 2 2" xfId="4556"/>
    <cellStyle name="표준 21 4 4 2 3" xfId="4557"/>
    <cellStyle name="표준 21 4 4 2 3 2" xfId="4558"/>
    <cellStyle name="표준 21 4 4 2 4" xfId="4559"/>
    <cellStyle name="표준 21 4 4 3" xfId="4560"/>
    <cellStyle name="표준 21 4 4 3 2" xfId="4561"/>
    <cellStyle name="표준 21 4 4 4" xfId="4562"/>
    <cellStyle name="표준 21 4 4 4 2" xfId="4563"/>
    <cellStyle name="표준 21 4 4 5" xfId="4564"/>
    <cellStyle name="표준 21 4 5 2" xfId="4565"/>
    <cellStyle name="표준 21 4 5 2 2" xfId="4566"/>
    <cellStyle name="표준 21 4 5 3" xfId="4567"/>
    <cellStyle name="표준 21 4 5 3 2" xfId="4568"/>
    <cellStyle name="표준 21 4 5 4" xfId="4569"/>
    <cellStyle name="표준 21 4 6" xfId="4570"/>
    <cellStyle name="표준 21 4 6 2" xfId="4571"/>
    <cellStyle name="표준 21 4 7" xfId="4572"/>
    <cellStyle name="표준 21 4 7 2" xfId="4573"/>
    <cellStyle name="표준 21 4 8" xfId="4574"/>
    <cellStyle name="표준 21 40 2 2 2" xfId="4575"/>
    <cellStyle name="표준 21 40 2 2 2 2" xfId="4576"/>
    <cellStyle name="표준 21 40 2 2 3" xfId="4577"/>
    <cellStyle name="표준 21 40 2 2 3 2" xfId="4578"/>
    <cellStyle name="표준 21 40 2 2 4" xfId="4579"/>
    <cellStyle name="표준 21 40 2 3" xfId="4580"/>
    <cellStyle name="표준 21 40 2 3 2" xfId="4581"/>
    <cellStyle name="표준 21 40 2 4" xfId="4582"/>
    <cellStyle name="표준 21 40 2 4 2" xfId="4583"/>
    <cellStyle name="표준 21 40 2 5" xfId="4584"/>
    <cellStyle name="표준 21 40 3 2" xfId="4585"/>
    <cellStyle name="표준 21 40 3 2 2" xfId="4586"/>
    <cellStyle name="표준 21 40 3 3" xfId="4587"/>
    <cellStyle name="표준 21 40 3 3 2" xfId="4588"/>
    <cellStyle name="표준 21 40 3 4" xfId="4589"/>
    <cellStyle name="표준 21 40 4" xfId="4590"/>
    <cellStyle name="표준 21 40 4 2" xfId="4591"/>
    <cellStyle name="표준 21 40 5" xfId="4592"/>
    <cellStyle name="표준 21 40 5 2" xfId="4593"/>
    <cellStyle name="표준 21 40 6" xfId="4594"/>
    <cellStyle name="표준 21 41 2 2" xfId="4595"/>
    <cellStyle name="표준 21 41 2 2 2" xfId="4596"/>
    <cellStyle name="표준 21 41 2 3" xfId="4597"/>
    <cellStyle name="표준 21 41 2 3 2" xfId="4598"/>
    <cellStyle name="표준 21 41 2 4" xfId="4599"/>
    <cellStyle name="표준 21 41 3" xfId="4600"/>
    <cellStyle name="표준 21 41 3 2" xfId="4601"/>
    <cellStyle name="표준 21 41 4" xfId="4602"/>
    <cellStyle name="표준 21 41 4 2" xfId="4603"/>
    <cellStyle name="표준 21 41 5" xfId="4604"/>
    <cellStyle name="표준 21 42 2" xfId="4605"/>
    <cellStyle name="표준 21 42 2 2" xfId="4606"/>
    <cellStyle name="표준 21 42 3" xfId="4607"/>
    <cellStyle name="표준 21 42 3 2" xfId="4608"/>
    <cellStyle name="표준 21 42 4" xfId="4609"/>
    <cellStyle name="표준 21 43" xfId="4610"/>
    <cellStyle name="표준 21 43 2" xfId="4611"/>
    <cellStyle name="표준 21 44" xfId="4612"/>
    <cellStyle name="표준 21 44 2" xfId="4613"/>
    <cellStyle name="표준 21 45" xfId="4614"/>
    <cellStyle name="표준 22 3 2 2 2" xfId="4615"/>
    <cellStyle name="표준 22 3 2 2 2 2" xfId="4616"/>
    <cellStyle name="표준 22 3 2 2 3" xfId="4617"/>
    <cellStyle name="표준 22 3 2 2 3 2" xfId="4618"/>
    <cellStyle name="표준 22 3 2 2 4" xfId="4619"/>
    <cellStyle name="표준 22 3 2 3" xfId="4620"/>
    <cellStyle name="표준 22 3 2 3 2" xfId="4621"/>
    <cellStyle name="표준 22 3 2 4" xfId="4622"/>
    <cellStyle name="표준 22 3 2 4 2" xfId="4623"/>
    <cellStyle name="표준 22 3 2 5" xfId="4624"/>
    <cellStyle name="표준 22 3 3 2" xfId="4625"/>
    <cellStyle name="표준 22 3 3 2 2" xfId="4626"/>
    <cellStyle name="표준 22 3 3 3" xfId="4627"/>
    <cellStyle name="표준 22 3 3 3 2" xfId="4628"/>
    <cellStyle name="표준 22 3 3 4" xfId="4629"/>
    <cellStyle name="표준 22 3 4" xfId="4630"/>
    <cellStyle name="표준 22 3 4 2" xfId="4631"/>
    <cellStyle name="표준 22 3 5" xfId="4632"/>
    <cellStyle name="표준 22 3 5 2" xfId="4633"/>
    <cellStyle name="표준 22 3 6" xfId="4634"/>
    <cellStyle name="표준 22 4 2 2" xfId="4635"/>
    <cellStyle name="표준 22 4 2 2 2" xfId="4636"/>
    <cellStyle name="표준 22 4 2 3" xfId="4637"/>
    <cellStyle name="표준 22 4 2 3 2" xfId="4638"/>
    <cellStyle name="표준 22 4 2 4" xfId="4639"/>
    <cellStyle name="표준 22 4 3" xfId="4640"/>
    <cellStyle name="표준 22 4 3 2" xfId="4641"/>
    <cellStyle name="표준 22 4 4" xfId="4642"/>
    <cellStyle name="표준 22 4 4 2" xfId="4643"/>
    <cellStyle name="표준 22 4 5" xfId="4644"/>
    <cellStyle name="표준 22 5 2" xfId="4645"/>
    <cellStyle name="표준 22 5 2 2" xfId="4646"/>
    <cellStyle name="표준 22 5 3" xfId="4647"/>
    <cellStyle name="표준 22 5 3 2" xfId="4648"/>
    <cellStyle name="표준 22 5 4" xfId="4649"/>
    <cellStyle name="표준 22 6" xfId="4650"/>
    <cellStyle name="표준 22 6 2" xfId="4651"/>
    <cellStyle name="표준 22 7" xfId="4652"/>
    <cellStyle name="표준 22 7 2" xfId="4653"/>
    <cellStyle name="표준 22 8" xfId="4654"/>
    <cellStyle name="표준 24 40 2" xfId="4655"/>
    <cellStyle name="표준 24 40 2 2" xfId="4656"/>
    <cellStyle name="표준 24 40 3" xfId="4657"/>
    <cellStyle name="표준 24 40 3 2" xfId="4658"/>
    <cellStyle name="표준 24 40 4" xfId="4659"/>
    <cellStyle name="표준 24 41" xfId="4660"/>
    <cellStyle name="표준 24 41 2" xfId="4661"/>
    <cellStyle name="표준 24 42" xfId="4662"/>
    <cellStyle name="표준 24 42 2" xfId="4663"/>
    <cellStyle name="표준 24 43" xfId="4664"/>
    <cellStyle name="표준 25 24 2" xfId="4665"/>
    <cellStyle name="표준 25 24 2 2" xfId="4666"/>
    <cellStyle name="표준 25 24 3" xfId="4667"/>
    <cellStyle name="표준 25 24 3 2" xfId="4668"/>
    <cellStyle name="표준 25 24 4" xfId="4669"/>
    <cellStyle name="표준 25 25" xfId="4670"/>
    <cellStyle name="표준 25 25 2" xfId="4671"/>
    <cellStyle name="표준 25 26" xfId="4672"/>
    <cellStyle name="표준 25 26 2" xfId="4673"/>
    <cellStyle name="표준 25 27" xfId="4674"/>
    <cellStyle name="표준 26 42" xfId="4675"/>
    <cellStyle name="표준 26 42 2" xfId="4676"/>
    <cellStyle name="표준 26 43" xfId="4677"/>
    <cellStyle name="표준 26 44" xfId="4678"/>
    <cellStyle name="표준 27 42" xfId="4679"/>
    <cellStyle name="표준 27 42 2" xfId="4680"/>
    <cellStyle name="표준 27 43" xfId="4681"/>
    <cellStyle name="표준 27 43 2" xfId="4682"/>
    <cellStyle name="표준 27 44" xfId="4683"/>
    <cellStyle name="표준 28" xfId="4684"/>
    <cellStyle name="표준 28 42" xfId="4685"/>
    <cellStyle name="표준 28 42 2" xfId="4686"/>
    <cellStyle name="표준 28 43" xfId="4687"/>
    <cellStyle name="표준 287" xfId="4688"/>
    <cellStyle name="표준 287 2" xfId="4689"/>
    <cellStyle name="표준 29" xfId="4690"/>
    <cellStyle name="표준 29 42" xfId="4691"/>
    <cellStyle name="표준 29 42 2" xfId="4692"/>
    <cellStyle name="표준 29 43" xfId="4693"/>
    <cellStyle name="표준 3 31" xfId="4694"/>
    <cellStyle name="표준 30" xfId="4695"/>
    <cellStyle name="표준 30 41" xfId="4696"/>
    <cellStyle name="표준 30 41 2" xfId="4697"/>
    <cellStyle name="표준 30 42" xfId="4698"/>
    <cellStyle name="표준 31" xfId="4699"/>
    <cellStyle name="표준 32" xfId="4700"/>
    <cellStyle name="표준 4 16" xfId="4701"/>
    <cellStyle name="표준 4 16 2" xfId="4702"/>
    <cellStyle name="표준 4 16 2 2" xfId="4703"/>
    <cellStyle name="표준 4 16 3" xfId="4704"/>
    <cellStyle name="표준 4 2 2" xfId="4705"/>
    <cellStyle name="표준 4 2 2 2" xfId="4706"/>
    <cellStyle name="표준 4 2 2 2 2" xfId="4707"/>
    <cellStyle name="표준 4 2 2 3" xfId="4708"/>
    <cellStyle name="표준 7 10 10" xfId="4709"/>
    <cellStyle name="표준 7 10 2 2 2 2 2" xfId="4710"/>
    <cellStyle name="표준 7 10 2 2 2 2 2 2" xfId="4711"/>
    <cellStyle name="표준 7 10 2 2 2 2 3" xfId="4712"/>
    <cellStyle name="표준 7 10 2 2 2 2 3 2" xfId="4713"/>
    <cellStyle name="표준 7 10 2 2 2 2 4" xfId="4714"/>
    <cellStyle name="표준 7 10 2 2 2 3" xfId="4715"/>
    <cellStyle name="표준 7 10 2 2 2 3 2" xfId="4716"/>
    <cellStyle name="표준 7 10 2 2 2 4" xfId="4717"/>
    <cellStyle name="표준 7 10 2 2 2 4 2" xfId="4718"/>
    <cellStyle name="표준 7 10 2 2 2 5" xfId="4719"/>
    <cellStyle name="표준 7 10 2 2 3 2" xfId="4720"/>
    <cellStyle name="표준 7 10 2 2 3 2 2" xfId="4721"/>
    <cellStyle name="표준 7 10 2 2 3 3" xfId="4722"/>
    <cellStyle name="표준 7 10 2 2 3 3 2" xfId="4723"/>
    <cellStyle name="표준 7 10 2 2 3 4" xfId="4724"/>
    <cellStyle name="표준 7 10 2 2 4" xfId="4725"/>
    <cellStyle name="표준 7 10 2 2 4 2" xfId="4726"/>
    <cellStyle name="표준 7 10 2 2 5" xfId="4727"/>
    <cellStyle name="표준 7 10 2 2 5 2" xfId="4728"/>
    <cellStyle name="표준 7 10 2 2 6" xfId="4729"/>
    <cellStyle name="표준 7 10 2 3 2 2" xfId="4730"/>
    <cellStyle name="표준 7 10 2 3 2 2 2" xfId="4731"/>
    <cellStyle name="표준 7 10 2 3 2 3" xfId="4732"/>
    <cellStyle name="표준 7 10 2 3 2 3 2" xfId="4733"/>
    <cellStyle name="표준 7 10 2 3 2 4" xfId="4734"/>
    <cellStyle name="표준 7 10 2 3 3" xfId="4735"/>
    <cellStyle name="표준 7 10 2 3 3 2" xfId="4736"/>
    <cellStyle name="표준 7 10 2 3 4" xfId="4737"/>
    <cellStyle name="표준 7 10 2 3 4 2" xfId="4738"/>
    <cellStyle name="표준 7 10 2 3 5" xfId="4739"/>
    <cellStyle name="표준 7 10 2 4 2" xfId="4740"/>
    <cellStyle name="표준 7 10 2 4 2 2" xfId="4741"/>
    <cellStyle name="표준 7 10 2 4 3" xfId="4742"/>
    <cellStyle name="표준 7 10 2 4 3 2" xfId="4743"/>
    <cellStyle name="표준 7 10 2 4 4" xfId="4744"/>
    <cellStyle name="표준 7 10 2 5" xfId="4745"/>
    <cellStyle name="표준 7 10 2 5 2" xfId="4746"/>
    <cellStyle name="표준 7 10 2 6" xfId="4747"/>
    <cellStyle name="표준 7 10 2 6 2" xfId="4748"/>
    <cellStyle name="표준 7 10 2 7" xfId="4749"/>
    <cellStyle name="표준 7 10 3 2 2 2 2" xfId="4750"/>
    <cellStyle name="표준 7 10 3 2 2 2 2 2" xfId="4751"/>
    <cellStyle name="표준 7 10 3 2 2 2 3" xfId="4752"/>
    <cellStyle name="표준 7 10 3 2 2 2 3 2" xfId="4753"/>
    <cellStyle name="표준 7 10 3 2 2 2 4" xfId="4754"/>
    <cellStyle name="표준 7 10 3 2 2 3" xfId="4755"/>
    <cellStyle name="표준 7 10 3 2 2 3 2" xfId="4756"/>
    <cellStyle name="표준 7 10 3 2 2 4" xfId="4757"/>
    <cellStyle name="표준 7 10 3 2 2 4 2" xfId="4758"/>
    <cellStyle name="표준 7 10 3 2 2 5" xfId="4759"/>
    <cellStyle name="표준 7 10 3 2 3 2" xfId="4760"/>
    <cellStyle name="표준 7 10 3 2 3 2 2" xfId="4761"/>
    <cellStyle name="표준 7 10 3 2 3 3" xfId="4762"/>
    <cellStyle name="표준 7 10 3 2 3 3 2" xfId="4763"/>
    <cellStyle name="표준 7 10 3 2 3 4" xfId="4764"/>
    <cellStyle name="표준 7 10 3 2 4" xfId="4765"/>
    <cellStyle name="표준 7 10 3 2 4 2" xfId="4766"/>
    <cellStyle name="표준 7 10 3 2 5" xfId="4767"/>
    <cellStyle name="표준 7 10 3 2 5 2" xfId="4768"/>
    <cellStyle name="표준 7 10 3 2 6" xfId="4769"/>
    <cellStyle name="표준 7 10 3 3 2 2" xfId="4770"/>
    <cellStyle name="표준 7 10 3 3 2 2 2" xfId="4771"/>
    <cellStyle name="표준 7 10 3 3 2 3" xfId="4772"/>
    <cellStyle name="표준 7 10 3 3 2 3 2" xfId="4773"/>
    <cellStyle name="표준 7 10 3 3 2 4" xfId="4774"/>
    <cellStyle name="표준 7 10 3 3 3" xfId="4775"/>
    <cellStyle name="표준 7 10 3 3 3 2" xfId="4776"/>
    <cellStyle name="표준 7 10 3 3 4" xfId="4777"/>
    <cellStyle name="표준 7 10 3 3 4 2" xfId="4778"/>
    <cellStyle name="표준 7 10 3 3 5" xfId="4779"/>
    <cellStyle name="표준 7 10 3 4 2" xfId="4780"/>
    <cellStyle name="표준 7 10 3 4 2 2" xfId="4781"/>
    <cellStyle name="표준 7 10 3 4 3" xfId="4782"/>
    <cellStyle name="표준 7 10 3 4 3 2" xfId="4783"/>
    <cellStyle name="표준 7 10 3 4 4" xfId="4784"/>
    <cellStyle name="표준 7 10 3 5" xfId="4785"/>
    <cellStyle name="표준 7 10 3 5 2" xfId="4786"/>
    <cellStyle name="표준 7 10 3 6" xfId="4787"/>
    <cellStyle name="표준 7 10 3 6 2" xfId="4788"/>
    <cellStyle name="표준 7 10 3 7" xfId="4789"/>
    <cellStyle name="표준 7 10 4 2 2 2 2" xfId="4790"/>
    <cellStyle name="표준 7 10 4 2 2 2 2 2" xfId="4791"/>
    <cellStyle name="표준 7 10 4 2 2 2 3" xfId="4792"/>
    <cellStyle name="표준 7 10 4 2 2 2 3 2" xfId="4793"/>
    <cellStyle name="표준 7 10 4 2 2 2 4" xfId="4794"/>
    <cellStyle name="표준 7 10 4 2 2 3" xfId="4795"/>
    <cellStyle name="표준 7 10 4 2 2 3 2" xfId="4796"/>
    <cellStyle name="표준 7 10 4 2 2 4" xfId="4797"/>
    <cellStyle name="표준 7 10 4 2 2 4 2" xfId="4798"/>
    <cellStyle name="표준 7 10 4 2 2 5" xfId="4799"/>
    <cellStyle name="표준 7 10 4 2 3 2" xfId="4800"/>
    <cellStyle name="표준 7 10 4 2 3 2 2" xfId="4801"/>
    <cellStyle name="표준 7 10 4 2 3 3" xfId="4802"/>
    <cellStyle name="표준 7 10 4 2 3 3 2" xfId="4803"/>
    <cellStyle name="표준 7 10 4 2 3 4" xfId="4804"/>
    <cellStyle name="표준 7 10 4 2 4" xfId="4805"/>
    <cellStyle name="표준 7 10 4 2 4 2" xfId="4806"/>
    <cellStyle name="표준 7 10 4 2 5" xfId="4807"/>
    <cellStyle name="표준 7 10 4 2 5 2" xfId="4808"/>
    <cellStyle name="표준 7 10 4 2 6" xfId="4809"/>
    <cellStyle name="표준 7 10 4 3 2 2" xfId="4810"/>
    <cellStyle name="표준 7 10 4 3 2 2 2" xfId="4811"/>
    <cellStyle name="표준 7 10 4 3 2 3" xfId="4812"/>
    <cellStyle name="표준 7 10 4 3 2 3 2" xfId="4813"/>
    <cellStyle name="표준 7 10 4 3 2 4" xfId="4814"/>
    <cellStyle name="표준 7 10 4 3 3" xfId="4815"/>
    <cellStyle name="표준 7 10 4 3 3 2" xfId="4816"/>
    <cellStyle name="표준 7 10 4 3 4" xfId="4817"/>
    <cellStyle name="표준 7 10 4 3 4 2" xfId="4818"/>
    <cellStyle name="표준 7 10 4 3 5" xfId="4819"/>
    <cellStyle name="표준 7 10 4 4 2" xfId="4820"/>
    <cellStyle name="표준 7 10 4 4 2 2" xfId="4821"/>
    <cellStyle name="표준 7 10 4 4 3" xfId="4822"/>
    <cellStyle name="표준 7 10 4 4 3 2" xfId="4823"/>
    <cellStyle name="표준 7 10 4 4 4" xfId="4824"/>
    <cellStyle name="표준 7 10 4 5" xfId="4825"/>
    <cellStyle name="표준 7 10 4 5 2" xfId="4826"/>
    <cellStyle name="표준 7 10 4 6" xfId="4827"/>
    <cellStyle name="표준 7 10 4 6 2" xfId="4828"/>
    <cellStyle name="표준 7 10 4 7" xfId="4829"/>
    <cellStyle name="표준 7 10 5 2 2 2" xfId="4830"/>
    <cellStyle name="표준 7 10 5 2 2 2 2" xfId="4831"/>
    <cellStyle name="표준 7 10 5 2 2 3" xfId="4832"/>
    <cellStyle name="표준 7 10 5 2 2 3 2" xfId="4833"/>
    <cellStyle name="표준 7 10 5 2 2 4" xfId="4834"/>
    <cellStyle name="표준 7 10 5 2 3" xfId="4835"/>
    <cellStyle name="표준 7 10 5 2 3 2" xfId="4836"/>
    <cellStyle name="표준 7 10 5 2 4" xfId="4837"/>
    <cellStyle name="표준 7 10 5 2 4 2" xfId="4838"/>
    <cellStyle name="표준 7 10 5 2 5" xfId="4839"/>
    <cellStyle name="표준 7 10 5 3 2" xfId="4840"/>
    <cellStyle name="표준 7 10 5 3 2 2" xfId="4841"/>
    <cellStyle name="표준 7 10 5 3 3" xfId="4842"/>
    <cellStyle name="표준 7 10 5 3 3 2" xfId="4843"/>
    <cellStyle name="표준 7 10 5 3 4" xfId="4844"/>
    <cellStyle name="표준 7 10 5 4" xfId="4845"/>
    <cellStyle name="표준 7 10 5 4 2" xfId="4846"/>
    <cellStyle name="표준 7 10 5 5" xfId="4847"/>
    <cellStyle name="표준 7 10 5 5 2" xfId="4848"/>
    <cellStyle name="표준 7 10 5 6" xfId="4849"/>
    <cellStyle name="표준 7 10 6 2 2" xfId="4850"/>
    <cellStyle name="표준 7 10 6 2 2 2" xfId="4851"/>
    <cellStyle name="표준 7 10 6 2 3" xfId="4852"/>
    <cellStyle name="표준 7 10 6 2 3 2" xfId="4853"/>
    <cellStyle name="표준 7 10 6 2 4" xfId="4854"/>
    <cellStyle name="표준 7 10 6 3" xfId="4855"/>
    <cellStyle name="표준 7 10 6 3 2" xfId="4856"/>
    <cellStyle name="표준 7 10 6 4" xfId="4857"/>
    <cellStyle name="표준 7 10 6 4 2" xfId="4858"/>
    <cellStyle name="표준 7 10 6 5" xfId="4859"/>
    <cellStyle name="표준 7 10 7 2" xfId="4860"/>
    <cellStyle name="표준 7 10 7 2 2" xfId="4861"/>
    <cellStyle name="표준 7 10 7 3" xfId="4862"/>
    <cellStyle name="표준 7 10 7 3 2" xfId="4863"/>
    <cellStyle name="표준 7 10 7 4" xfId="4864"/>
    <cellStyle name="표준 7 10 8" xfId="4865"/>
    <cellStyle name="표준 7 10 8 2" xfId="4866"/>
    <cellStyle name="표준 7 10 9" xfId="4867"/>
    <cellStyle name="표준 7 10 9 2" xfId="4868"/>
    <cellStyle name="표준 7 11 10" xfId="4869"/>
    <cellStyle name="표준 7 11 2 2 2 2 2" xfId="4870"/>
    <cellStyle name="표준 7 11 2 2 2 2 2 2" xfId="4871"/>
    <cellStyle name="표준 7 11 2 2 2 2 3" xfId="4872"/>
    <cellStyle name="표준 7 11 2 2 2 2 3 2" xfId="4873"/>
    <cellStyle name="표준 7 11 2 2 2 2 4" xfId="4874"/>
    <cellStyle name="표준 7 11 2 2 2 3" xfId="4875"/>
    <cellStyle name="표준 7 11 2 2 2 3 2" xfId="4876"/>
    <cellStyle name="표준 7 11 2 2 2 4" xfId="4877"/>
    <cellStyle name="표준 7 11 2 2 2 4 2" xfId="4878"/>
    <cellStyle name="표준 7 11 2 2 2 5" xfId="4879"/>
    <cellStyle name="표준 7 11 2 2 3 2" xfId="4880"/>
    <cellStyle name="표준 7 11 2 2 3 2 2" xfId="4881"/>
    <cellStyle name="표준 7 11 2 2 3 3" xfId="4882"/>
    <cellStyle name="표준 7 11 2 2 3 3 2" xfId="4883"/>
    <cellStyle name="표준 7 11 2 2 3 4" xfId="4884"/>
    <cellStyle name="표준 7 11 2 2 4" xfId="4885"/>
    <cellStyle name="표준 7 11 2 2 4 2" xfId="4886"/>
    <cellStyle name="표준 7 11 2 2 5" xfId="4887"/>
    <cellStyle name="표준 7 11 2 2 5 2" xfId="4888"/>
    <cellStyle name="표준 7 11 2 2 6" xfId="4889"/>
    <cellStyle name="표준 7 11 2 3 2 2" xfId="4890"/>
    <cellStyle name="표준 7 11 2 3 2 2 2" xfId="4891"/>
    <cellStyle name="표준 7 11 2 3 2 3" xfId="4892"/>
    <cellStyle name="표준 7 11 2 3 2 3 2" xfId="4893"/>
    <cellStyle name="표준 7 11 2 3 2 4" xfId="4894"/>
    <cellStyle name="표준 7 11 2 3 3" xfId="4895"/>
    <cellStyle name="표준 7 11 2 3 3 2" xfId="4896"/>
    <cellStyle name="표준 7 11 2 3 4" xfId="4897"/>
    <cellStyle name="표준 7 11 2 3 4 2" xfId="4898"/>
    <cellStyle name="표준 7 11 2 3 5" xfId="4899"/>
    <cellStyle name="표준 7 11 2 4 2" xfId="4900"/>
    <cellStyle name="표준 7 11 2 4 2 2" xfId="4901"/>
    <cellStyle name="표준 7 11 2 4 3" xfId="4902"/>
    <cellStyle name="표준 7 11 2 4 3 2" xfId="4903"/>
    <cellStyle name="표준 7 11 2 4 4" xfId="4904"/>
    <cellStyle name="표준 7 11 2 5" xfId="4905"/>
    <cellStyle name="표준 7 11 2 5 2" xfId="4906"/>
    <cellStyle name="표준 7 11 2 6" xfId="4907"/>
    <cellStyle name="표준 7 11 2 6 2" xfId="4908"/>
    <cellStyle name="표준 7 11 2 7" xfId="4909"/>
    <cellStyle name="표준 7 11 3 2 2 2 2" xfId="4910"/>
    <cellStyle name="표준 7 11 3 2 2 2 2 2" xfId="4911"/>
    <cellStyle name="표준 7 11 3 2 2 2 3" xfId="4912"/>
    <cellStyle name="표준 7 11 3 2 2 2 3 2" xfId="4913"/>
    <cellStyle name="표준 7 11 3 2 2 2 4" xfId="4914"/>
    <cellStyle name="표준 7 11 3 2 2 3" xfId="4915"/>
    <cellStyle name="표준 7 11 3 2 2 3 2" xfId="4916"/>
    <cellStyle name="표준 7 11 3 2 2 4" xfId="4917"/>
    <cellStyle name="표준 7 11 3 2 2 4 2" xfId="4918"/>
    <cellStyle name="표준 7 11 3 2 2 5" xfId="4919"/>
    <cellStyle name="표준 7 11 3 2 3 2" xfId="4920"/>
    <cellStyle name="표준 7 11 3 2 3 2 2" xfId="4921"/>
    <cellStyle name="표준 7 11 3 2 3 3" xfId="4922"/>
    <cellStyle name="표준 7 11 3 2 3 3 2" xfId="4923"/>
    <cellStyle name="표준 7 11 3 2 3 4" xfId="4924"/>
    <cellStyle name="표준 7 11 3 2 4" xfId="4925"/>
    <cellStyle name="표준 7 11 3 2 4 2" xfId="4926"/>
    <cellStyle name="표준 7 11 3 2 5" xfId="4927"/>
    <cellStyle name="표준 7 11 3 2 5 2" xfId="4928"/>
    <cellStyle name="표준 7 11 3 2 6" xfId="4929"/>
    <cellStyle name="표준 7 11 3 3 2 2" xfId="4930"/>
    <cellStyle name="표준 7 11 3 3 2 2 2" xfId="4931"/>
    <cellStyle name="표준 7 11 3 3 2 3" xfId="4932"/>
    <cellStyle name="표준 7 11 3 3 2 3 2" xfId="4933"/>
    <cellStyle name="표준 7 11 3 3 2 4" xfId="4934"/>
    <cellStyle name="표준 7 11 3 3 3" xfId="4935"/>
    <cellStyle name="표준 7 11 3 3 3 2" xfId="4936"/>
    <cellStyle name="표준 7 11 3 3 4" xfId="4937"/>
    <cellStyle name="표준 7 11 3 3 4 2" xfId="4938"/>
    <cellStyle name="표준 7 11 3 3 5" xfId="4939"/>
    <cellStyle name="표준 7 11 3 4 2" xfId="4940"/>
    <cellStyle name="표준 7 11 3 4 2 2" xfId="4941"/>
    <cellStyle name="표준 7 11 3 4 3" xfId="4942"/>
    <cellStyle name="표준 7 11 3 4 3 2" xfId="4943"/>
    <cellStyle name="표준 7 11 3 4 4" xfId="4944"/>
    <cellStyle name="표준 7 11 3 5" xfId="4945"/>
    <cellStyle name="표준 7 11 3 5 2" xfId="4946"/>
    <cellStyle name="표준 7 11 3 6" xfId="4947"/>
    <cellStyle name="표준 7 11 3 6 2" xfId="4948"/>
    <cellStyle name="표준 7 11 3 7" xfId="4949"/>
    <cellStyle name="표준 7 11 4 2 2 2 2" xfId="4950"/>
    <cellStyle name="표준 7 11 4 2 2 2 2 2" xfId="4951"/>
    <cellStyle name="표준 7 11 4 2 2 2 3" xfId="4952"/>
    <cellStyle name="표준 7 11 4 2 2 2 3 2" xfId="4953"/>
    <cellStyle name="표준 7 11 4 2 2 2 4" xfId="4954"/>
    <cellStyle name="표준 7 11 4 2 2 3" xfId="4955"/>
    <cellStyle name="표준 7 11 4 2 2 3 2" xfId="4956"/>
    <cellStyle name="표준 7 11 4 2 2 4" xfId="4957"/>
    <cellStyle name="표준 7 11 4 2 2 4 2" xfId="4958"/>
    <cellStyle name="표준 7 11 4 2 2 5" xfId="4959"/>
    <cellStyle name="표준 7 11 4 2 3 2" xfId="4960"/>
    <cellStyle name="표준 7 11 4 2 3 2 2" xfId="4961"/>
    <cellStyle name="표준 7 11 4 2 3 3" xfId="4962"/>
    <cellStyle name="표준 7 11 4 2 3 3 2" xfId="4963"/>
    <cellStyle name="표준 7 11 4 2 3 4" xfId="4964"/>
    <cellStyle name="표준 7 11 4 2 4" xfId="4965"/>
    <cellStyle name="표준 7 11 4 2 4 2" xfId="4966"/>
    <cellStyle name="표준 7 11 4 2 5" xfId="4967"/>
    <cellStyle name="표준 7 11 4 2 5 2" xfId="4968"/>
    <cellStyle name="표준 7 11 4 2 6" xfId="4969"/>
    <cellStyle name="표준 7 11 4 3 2 2" xfId="4970"/>
    <cellStyle name="표준 7 11 4 3 2 2 2" xfId="4971"/>
    <cellStyle name="표준 7 11 4 3 2 3" xfId="4972"/>
    <cellStyle name="표준 7 11 4 3 2 3 2" xfId="4973"/>
    <cellStyle name="표준 7 11 4 3 2 4" xfId="4974"/>
    <cellStyle name="표준 7 11 4 3 3" xfId="4975"/>
    <cellStyle name="표준 7 11 4 3 3 2" xfId="4976"/>
    <cellStyle name="표준 7 11 4 3 4" xfId="4977"/>
    <cellStyle name="표준 7 11 4 3 4 2" xfId="4978"/>
    <cellStyle name="표준 7 11 4 3 5" xfId="4979"/>
    <cellStyle name="표준 7 11 4 4 2" xfId="4980"/>
    <cellStyle name="표준 7 11 4 4 2 2" xfId="4981"/>
    <cellStyle name="표준 7 11 4 4 3" xfId="4982"/>
    <cellStyle name="표준 7 11 4 4 3 2" xfId="4983"/>
    <cellStyle name="표준 7 11 4 4 4" xfId="4984"/>
    <cellStyle name="표준 7 11 4 5" xfId="4985"/>
    <cellStyle name="표준 7 11 4 5 2" xfId="4986"/>
    <cellStyle name="표준 7 11 4 6" xfId="4987"/>
    <cellStyle name="표준 7 11 4 6 2" xfId="4988"/>
    <cellStyle name="표준 7 11 4 7" xfId="4989"/>
    <cellStyle name="표준 7 11 5 2 2 2" xfId="4990"/>
    <cellStyle name="표준 7 11 5 2 2 2 2" xfId="4991"/>
    <cellStyle name="표준 7 11 5 2 2 3" xfId="4992"/>
    <cellStyle name="표준 7 11 5 2 2 3 2" xfId="4993"/>
    <cellStyle name="표준 7 11 5 2 2 4" xfId="4994"/>
    <cellStyle name="표준 7 11 5 2 3" xfId="4995"/>
    <cellStyle name="표준 7 11 5 2 3 2" xfId="4996"/>
    <cellStyle name="표준 7 11 5 2 4" xfId="4997"/>
    <cellStyle name="표준 7 11 5 2 4 2" xfId="4998"/>
    <cellStyle name="표준 7 11 5 2 5" xfId="4999"/>
    <cellStyle name="표준 7 11 5 3 2" xfId="5000"/>
    <cellStyle name="표준 7 11 5 3 2 2" xfId="5001"/>
    <cellStyle name="표준 7 11 5 3 3" xfId="5002"/>
    <cellStyle name="표준 7 11 5 3 3 2" xfId="5003"/>
    <cellStyle name="표준 7 11 5 3 4" xfId="5004"/>
    <cellStyle name="표준 7 11 5 4" xfId="5005"/>
    <cellStyle name="표준 7 11 5 4 2" xfId="5006"/>
    <cellStyle name="표준 7 11 5 5" xfId="5007"/>
    <cellStyle name="표준 7 11 5 5 2" xfId="5008"/>
    <cellStyle name="표준 7 11 5 6" xfId="5009"/>
    <cellStyle name="표준 7 11 6 2 2" xfId="5010"/>
    <cellStyle name="표준 7 11 6 2 2 2" xfId="5011"/>
    <cellStyle name="표준 7 11 6 2 3" xfId="5012"/>
    <cellStyle name="표준 7 11 6 2 3 2" xfId="5013"/>
    <cellStyle name="표준 7 11 6 2 4" xfId="5014"/>
    <cellStyle name="표준 7 11 6 3" xfId="5015"/>
    <cellStyle name="표준 7 11 6 3 2" xfId="5016"/>
    <cellStyle name="표준 7 11 6 4" xfId="5017"/>
    <cellStyle name="표준 7 11 6 4 2" xfId="5018"/>
    <cellStyle name="표준 7 11 6 5" xfId="5019"/>
    <cellStyle name="표준 7 11 7 2" xfId="5020"/>
    <cellStyle name="표준 7 11 7 2 2" xfId="5021"/>
    <cellStyle name="표준 7 11 7 3" xfId="5022"/>
    <cellStyle name="표준 7 11 7 3 2" xfId="5023"/>
    <cellStyle name="표준 7 11 7 4" xfId="5024"/>
    <cellStyle name="표준 7 11 8" xfId="5025"/>
    <cellStyle name="표준 7 11 8 2" xfId="5026"/>
    <cellStyle name="표준 7 11 9" xfId="5027"/>
    <cellStyle name="표준 7 11 9 2" xfId="5028"/>
    <cellStyle name="표준 7 12 10" xfId="5029"/>
    <cellStyle name="표준 7 12 2 2 2 2 2" xfId="5030"/>
    <cellStyle name="표준 7 12 2 2 2 2 2 2" xfId="5031"/>
    <cellStyle name="표준 7 12 2 2 2 2 3" xfId="5032"/>
    <cellStyle name="표준 7 12 2 2 2 2 3 2" xfId="5033"/>
    <cellStyle name="표준 7 12 2 2 2 2 4" xfId="5034"/>
    <cellStyle name="표준 7 12 2 2 2 3" xfId="5035"/>
    <cellStyle name="표준 7 12 2 2 2 3 2" xfId="5036"/>
    <cellStyle name="표준 7 12 2 2 2 4" xfId="5037"/>
    <cellStyle name="표준 7 12 2 2 2 4 2" xfId="5038"/>
    <cellStyle name="표준 7 12 2 2 2 5" xfId="5039"/>
    <cellStyle name="표준 7 12 2 2 3 2" xfId="5040"/>
    <cellStyle name="표준 7 12 2 2 3 2 2" xfId="5041"/>
    <cellStyle name="표준 7 12 2 2 3 3" xfId="5042"/>
    <cellStyle name="표준 7 12 2 2 3 3 2" xfId="5043"/>
    <cellStyle name="표준 7 12 2 2 3 4" xfId="5044"/>
    <cellStyle name="표준 7 12 2 2 4" xfId="5045"/>
    <cellStyle name="표준 7 12 2 2 4 2" xfId="5046"/>
    <cellStyle name="표준 7 12 2 2 5" xfId="5047"/>
    <cellStyle name="표준 7 12 2 2 5 2" xfId="5048"/>
    <cellStyle name="표준 7 12 2 2 6" xfId="5049"/>
    <cellStyle name="표준 7 12 2 3 2 2" xfId="5050"/>
    <cellStyle name="표준 7 12 2 3 2 2 2" xfId="5051"/>
    <cellStyle name="표준 7 12 2 3 2 3" xfId="5052"/>
    <cellStyle name="표준 7 12 2 3 2 3 2" xfId="5053"/>
    <cellStyle name="표준 7 12 2 3 2 4" xfId="5054"/>
    <cellStyle name="표준 7 12 2 3 3" xfId="5055"/>
    <cellStyle name="표준 7 12 2 3 3 2" xfId="5056"/>
    <cellStyle name="표준 7 12 2 3 4" xfId="5057"/>
    <cellStyle name="표준 7 12 2 3 4 2" xfId="5058"/>
    <cellStyle name="표준 7 12 2 3 5" xfId="5059"/>
    <cellStyle name="표준 7 12 2 4 2" xfId="5060"/>
    <cellStyle name="표준 7 12 2 4 2 2" xfId="5061"/>
    <cellStyle name="표준 7 12 2 4 3" xfId="5062"/>
    <cellStyle name="표준 7 12 2 4 3 2" xfId="5063"/>
    <cellStyle name="표준 7 12 2 4 4" xfId="5064"/>
    <cellStyle name="표준 7 12 2 5" xfId="5065"/>
    <cellStyle name="표준 7 12 2 5 2" xfId="5066"/>
    <cellStyle name="표준 7 12 2 6" xfId="5067"/>
    <cellStyle name="표준 7 12 2 6 2" xfId="5068"/>
    <cellStyle name="표준 7 12 2 7" xfId="5069"/>
    <cellStyle name="표준 7 12 3 2 2 2 2" xfId="5070"/>
    <cellStyle name="표준 7 12 3 2 2 2 2 2" xfId="5071"/>
    <cellStyle name="표준 7 12 3 2 2 2 3" xfId="5072"/>
    <cellStyle name="표준 7 12 3 2 2 2 3 2" xfId="5073"/>
    <cellStyle name="표준 7 12 3 2 2 2 4" xfId="5074"/>
    <cellStyle name="표준 7 12 3 2 2 3" xfId="5075"/>
    <cellStyle name="표준 7 12 3 2 2 3 2" xfId="5076"/>
    <cellStyle name="표준 7 12 3 2 2 4" xfId="5077"/>
    <cellStyle name="표준 7 12 3 2 2 4 2" xfId="5078"/>
    <cellStyle name="표준 7 12 3 2 2 5" xfId="5079"/>
    <cellStyle name="표준 7 12 3 2 3 2" xfId="5080"/>
    <cellStyle name="표준 7 12 3 2 3 2 2" xfId="5081"/>
    <cellStyle name="표준 7 12 3 2 3 3" xfId="5082"/>
    <cellStyle name="표준 7 12 3 2 3 3 2" xfId="5083"/>
    <cellStyle name="표준 7 12 3 2 3 4" xfId="5084"/>
    <cellStyle name="표준 7 12 3 2 4" xfId="5085"/>
    <cellStyle name="표준 7 12 3 2 4 2" xfId="5086"/>
    <cellStyle name="표준 7 12 3 2 5" xfId="5087"/>
    <cellStyle name="표준 7 12 3 2 5 2" xfId="5088"/>
    <cellStyle name="표준 7 12 3 2 6" xfId="5089"/>
    <cellStyle name="표준 7 12 3 3 2 2" xfId="5090"/>
    <cellStyle name="표준 7 12 3 3 2 2 2" xfId="5091"/>
    <cellStyle name="표준 7 12 3 3 2 3" xfId="5092"/>
    <cellStyle name="표준 7 12 3 3 2 3 2" xfId="5093"/>
    <cellStyle name="표준 7 12 3 3 2 4" xfId="5094"/>
    <cellStyle name="표준 7 12 3 3 3" xfId="5095"/>
    <cellStyle name="표준 7 12 3 3 3 2" xfId="5096"/>
    <cellStyle name="표준 7 12 3 3 4" xfId="5097"/>
    <cellStyle name="표준 7 12 3 3 4 2" xfId="5098"/>
    <cellStyle name="표준 7 12 3 3 5" xfId="5099"/>
    <cellStyle name="표준 7 12 3 4 2" xfId="5100"/>
    <cellStyle name="표준 7 12 3 4 2 2" xfId="5101"/>
    <cellStyle name="표준 7 12 3 4 3" xfId="5102"/>
    <cellStyle name="표준 7 12 3 4 3 2" xfId="5103"/>
    <cellStyle name="표준 7 12 3 4 4" xfId="5104"/>
    <cellStyle name="표준 7 12 3 5" xfId="5105"/>
    <cellStyle name="표준 7 12 3 5 2" xfId="5106"/>
    <cellStyle name="표준 7 12 3 6" xfId="5107"/>
    <cellStyle name="표준 7 12 3 6 2" xfId="5108"/>
    <cellStyle name="표준 7 12 3 7" xfId="5109"/>
    <cellStyle name="표준 7 12 4 2 2 2 2" xfId="5110"/>
    <cellStyle name="표준 7 12 4 2 2 2 2 2" xfId="5111"/>
    <cellStyle name="표준 7 12 4 2 2 2 3" xfId="5112"/>
    <cellStyle name="표준 7 12 4 2 2 2 3 2" xfId="5113"/>
    <cellStyle name="표준 7 12 4 2 2 2 4" xfId="5114"/>
    <cellStyle name="표준 7 12 4 2 2 3" xfId="5115"/>
    <cellStyle name="표준 7 12 4 2 2 3 2" xfId="5116"/>
    <cellStyle name="표준 7 12 4 2 2 4" xfId="5117"/>
    <cellStyle name="표준 7 12 4 2 2 4 2" xfId="5118"/>
    <cellStyle name="표준 7 12 4 2 2 5" xfId="5119"/>
    <cellStyle name="표준 7 12 4 2 3 2" xfId="5120"/>
    <cellStyle name="표준 7 12 4 2 3 2 2" xfId="5121"/>
    <cellStyle name="표준 7 12 4 2 3 3" xfId="5122"/>
    <cellStyle name="표준 7 12 4 2 3 3 2" xfId="5123"/>
    <cellStyle name="표준 7 12 4 2 3 4" xfId="5124"/>
    <cellStyle name="표준 7 12 4 2 4" xfId="5125"/>
    <cellStyle name="표준 7 12 4 2 4 2" xfId="5126"/>
    <cellStyle name="표준 7 12 4 2 5" xfId="5127"/>
    <cellStyle name="표준 7 12 4 2 5 2" xfId="5128"/>
    <cellStyle name="표준 7 12 4 2 6" xfId="5129"/>
    <cellStyle name="표준 7 12 4 3 2 2" xfId="5130"/>
    <cellStyle name="표준 7 12 4 3 2 2 2" xfId="5131"/>
    <cellStyle name="표준 7 12 4 3 2 3" xfId="5132"/>
    <cellStyle name="표준 7 12 4 3 2 3 2" xfId="5133"/>
    <cellStyle name="표준 7 12 4 3 2 4" xfId="5134"/>
    <cellStyle name="표준 7 12 4 3 3" xfId="5135"/>
    <cellStyle name="표준 7 12 4 3 3 2" xfId="5136"/>
    <cellStyle name="표준 7 12 4 3 4" xfId="5137"/>
    <cellStyle name="표준 7 12 4 3 4 2" xfId="5138"/>
    <cellStyle name="표준 7 12 4 3 5" xfId="5139"/>
    <cellStyle name="표준 7 12 4 4 2" xfId="5140"/>
    <cellStyle name="표준 7 12 4 4 2 2" xfId="5141"/>
    <cellStyle name="표준 7 12 4 4 3" xfId="5142"/>
    <cellStyle name="표준 7 12 4 4 3 2" xfId="5143"/>
    <cellStyle name="표준 7 12 4 4 4" xfId="5144"/>
    <cellStyle name="표준 7 12 4 5" xfId="5145"/>
    <cellStyle name="표준 7 12 4 5 2" xfId="5146"/>
    <cellStyle name="표준 7 12 4 6" xfId="5147"/>
    <cellStyle name="표준 7 12 4 6 2" xfId="5148"/>
    <cellStyle name="표준 7 12 4 7" xfId="5149"/>
    <cellStyle name="표준 7 12 5 2 2 2" xfId="5150"/>
    <cellStyle name="표준 7 12 5 2 2 2 2" xfId="5151"/>
    <cellStyle name="표준 7 12 5 2 2 3" xfId="5152"/>
    <cellStyle name="표준 7 12 5 2 2 3 2" xfId="5153"/>
    <cellStyle name="표준 7 12 5 2 2 4" xfId="5154"/>
    <cellStyle name="표준 7 12 5 2 3" xfId="5155"/>
    <cellStyle name="표준 7 12 5 2 3 2" xfId="5156"/>
    <cellStyle name="표준 7 12 5 2 4" xfId="5157"/>
    <cellStyle name="표준 7 12 5 2 4 2" xfId="5158"/>
    <cellStyle name="표준 7 12 5 2 5" xfId="5159"/>
    <cellStyle name="표준 7 12 5 3 2" xfId="5160"/>
    <cellStyle name="표준 7 12 5 3 2 2" xfId="5161"/>
    <cellStyle name="표준 7 12 5 3 3" xfId="5162"/>
    <cellStyle name="표준 7 12 5 3 3 2" xfId="5163"/>
    <cellStyle name="표준 7 12 5 3 4" xfId="5164"/>
    <cellStyle name="표준 7 12 5 4" xfId="5165"/>
    <cellStyle name="표준 7 12 5 4 2" xfId="5166"/>
    <cellStyle name="표준 7 12 5 5" xfId="5167"/>
    <cellStyle name="표준 7 12 5 5 2" xfId="5168"/>
    <cellStyle name="표준 7 12 5 6" xfId="5169"/>
    <cellStyle name="표준 7 12 6 2 2" xfId="5170"/>
    <cellStyle name="표준 7 12 6 2 2 2" xfId="5171"/>
    <cellStyle name="표준 7 12 6 2 3" xfId="5172"/>
    <cellStyle name="표준 7 12 6 2 3 2" xfId="5173"/>
    <cellStyle name="표준 7 12 6 2 4" xfId="5174"/>
    <cellStyle name="표준 7 12 6 3" xfId="5175"/>
    <cellStyle name="표준 7 12 6 3 2" xfId="5176"/>
    <cellStyle name="표준 7 12 6 4" xfId="5177"/>
    <cellStyle name="표준 7 12 6 4 2" xfId="5178"/>
    <cellStyle name="표준 7 12 6 5" xfId="5179"/>
    <cellStyle name="표준 7 12 7 2" xfId="5180"/>
    <cellStyle name="표준 7 12 7 2 2" xfId="5181"/>
    <cellStyle name="표준 7 12 7 3" xfId="5182"/>
    <cellStyle name="표준 7 12 7 3 2" xfId="5183"/>
    <cellStyle name="표준 7 12 7 4" xfId="5184"/>
    <cellStyle name="표준 7 12 8" xfId="5185"/>
    <cellStyle name="표준 7 12 8 2" xfId="5186"/>
    <cellStyle name="표준 7 12 9" xfId="5187"/>
    <cellStyle name="표준 7 12 9 2" xfId="5188"/>
    <cellStyle name="표준 7 13 10" xfId="5189"/>
    <cellStyle name="표준 7 13 2 2 2 2 2" xfId="5190"/>
    <cellStyle name="표준 7 13 2 2 2 2 2 2" xfId="5191"/>
    <cellStyle name="표준 7 13 2 2 2 2 3" xfId="5192"/>
    <cellStyle name="표준 7 13 2 2 2 2 3 2" xfId="5193"/>
    <cellStyle name="표준 7 13 2 2 2 2 4" xfId="5194"/>
    <cellStyle name="표준 7 13 2 2 2 3" xfId="5195"/>
    <cellStyle name="표준 7 13 2 2 2 3 2" xfId="5196"/>
    <cellStyle name="표준 7 13 2 2 2 4" xfId="5197"/>
    <cellStyle name="표준 7 13 2 2 2 4 2" xfId="5198"/>
    <cellStyle name="표준 7 13 2 2 2 5" xfId="5199"/>
    <cellStyle name="표준 7 13 2 2 3 2" xfId="5200"/>
    <cellStyle name="표준 7 13 2 2 3 2 2" xfId="5201"/>
    <cellStyle name="표준 7 13 2 2 3 3" xfId="5202"/>
    <cellStyle name="표준 7 13 2 2 3 3 2" xfId="5203"/>
    <cellStyle name="표준 7 13 2 2 3 4" xfId="5204"/>
    <cellStyle name="표준 7 13 2 2 4" xfId="5205"/>
    <cellStyle name="표준 7 13 2 2 4 2" xfId="5206"/>
    <cellStyle name="표준 7 13 2 2 5" xfId="5207"/>
    <cellStyle name="표준 7 13 2 2 5 2" xfId="5208"/>
    <cellStyle name="표준 7 13 2 2 6" xfId="5209"/>
    <cellStyle name="표준 7 13 2 3 2 2" xfId="5210"/>
    <cellStyle name="표준 7 13 2 3 2 2 2" xfId="5211"/>
    <cellStyle name="표준 7 13 2 3 2 3" xfId="5212"/>
    <cellStyle name="표준 7 13 2 3 2 3 2" xfId="5213"/>
    <cellStyle name="표준 7 13 2 3 2 4" xfId="5214"/>
    <cellStyle name="표준 7 13 2 3 3" xfId="5215"/>
    <cellStyle name="표준 7 13 2 3 3 2" xfId="5216"/>
    <cellStyle name="표준 7 13 2 3 4" xfId="5217"/>
    <cellStyle name="표준 7 13 2 3 4 2" xfId="5218"/>
    <cellStyle name="표준 7 13 2 3 5" xfId="5219"/>
    <cellStyle name="표준 7 13 2 4 2" xfId="5220"/>
    <cellStyle name="표준 7 13 2 4 2 2" xfId="5221"/>
    <cellStyle name="표준 7 13 2 4 3" xfId="5222"/>
    <cellStyle name="표준 7 13 2 4 3 2" xfId="5223"/>
    <cellStyle name="표준 7 13 2 4 4" xfId="5224"/>
    <cellStyle name="표준 7 13 2 5" xfId="5225"/>
    <cellStyle name="표준 7 13 2 5 2" xfId="5226"/>
    <cellStyle name="표준 7 13 2 6" xfId="5227"/>
    <cellStyle name="표준 7 13 2 6 2" xfId="5228"/>
    <cellStyle name="표준 7 13 2 7" xfId="5229"/>
    <cellStyle name="표준 7 13 3 2 2 2 2" xfId="5230"/>
    <cellStyle name="표준 7 13 3 2 2 2 2 2" xfId="5231"/>
    <cellStyle name="표준 7 13 3 2 2 2 3" xfId="5232"/>
    <cellStyle name="표준 7 13 3 2 2 2 3 2" xfId="5233"/>
    <cellStyle name="표준 7 13 3 2 2 2 4" xfId="5234"/>
    <cellStyle name="표준 7 13 3 2 2 3" xfId="5235"/>
    <cellStyle name="표준 7 13 3 2 2 3 2" xfId="5236"/>
    <cellStyle name="표준 7 13 3 2 2 4" xfId="5237"/>
    <cellStyle name="표준 7 13 3 2 2 4 2" xfId="5238"/>
    <cellStyle name="표준 7 13 3 2 2 5" xfId="5239"/>
    <cellStyle name="표준 7 13 3 2 3 2" xfId="5240"/>
    <cellStyle name="표준 7 13 3 2 3 2 2" xfId="5241"/>
    <cellStyle name="표준 7 13 3 2 3 3" xfId="5242"/>
    <cellStyle name="표준 7 13 3 2 3 3 2" xfId="5243"/>
    <cellStyle name="표준 7 13 3 2 3 4" xfId="5244"/>
    <cellStyle name="표준 7 13 3 2 4" xfId="5245"/>
    <cellStyle name="표준 7 13 3 2 4 2" xfId="5246"/>
    <cellStyle name="표준 7 13 3 2 5" xfId="5247"/>
    <cellStyle name="표준 7 13 3 2 5 2" xfId="5248"/>
    <cellStyle name="표준 7 13 3 2 6" xfId="5249"/>
    <cellStyle name="표준 7 13 3 3 2 2" xfId="5250"/>
    <cellStyle name="표준 7 13 3 3 2 2 2" xfId="5251"/>
    <cellStyle name="표준 7 13 3 3 2 3" xfId="5252"/>
    <cellStyle name="표준 7 13 3 3 2 3 2" xfId="5253"/>
    <cellStyle name="표준 7 13 3 3 2 4" xfId="5254"/>
    <cellStyle name="표준 7 13 3 3 3" xfId="5255"/>
    <cellStyle name="표준 7 13 3 3 3 2" xfId="5256"/>
    <cellStyle name="표준 7 13 3 3 4" xfId="5257"/>
    <cellStyle name="표준 7 13 3 3 4 2" xfId="5258"/>
    <cellStyle name="표준 7 13 3 3 5" xfId="5259"/>
    <cellStyle name="표준 7 13 3 4 2" xfId="5260"/>
    <cellStyle name="표준 7 13 3 4 2 2" xfId="5261"/>
    <cellStyle name="표준 7 13 3 4 3" xfId="5262"/>
    <cellStyle name="표준 7 13 3 4 3 2" xfId="5263"/>
    <cellStyle name="표준 7 13 3 4 4" xfId="5264"/>
    <cellStyle name="표준 7 13 3 5" xfId="5265"/>
    <cellStyle name="표준 7 13 3 5 2" xfId="5266"/>
    <cellStyle name="표준 7 13 3 6" xfId="5267"/>
    <cellStyle name="표준 7 13 3 6 2" xfId="5268"/>
    <cellStyle name="표준 7 13 3 7" xfId="5269"/>
    <cellStyle name="표준 7 13 4 2 2 2 2" xfId="5270"/>
    <cellStyle name="표준 7 13 4 2 2 2 2 2" xfId="5271"/>
    <cellStyle name="표준 7 13 4 2 2 2 3" xfId="5272"/>
    <cellStyle name="표준 7 13 4 2 2 2 3 2" xfId="5273"/>
    <cellStyle name="표준 7 13 4 2 2 2 4" xfId="5274"/>
    <cellStyle name="표준 7 13 4 2 2 3" xfId="5275"/>
    <cellStyle name="표준 7 13 4 2 2 3 2" xfId="5276"/>
    <cellStyle name="표준 7 13 4 2 2 4" xfId="5277"/>
    <cellStyle name="표준 7 13 4 2 2 4 2" xfId="5278"/>
    <cellStyle name="표준 7 13 4 2 2 5" xfId="5279"/>
    <cellStyle name="표준 7 13 4 2 3 2" xfId="5280"/>
    <cellStyle name="표준 7 13 4 2 3 2 2" xfId="5281"/>
    <cellStyle name="표준 7 13 4 2 3 3" xfId="5282"/>
    <cellStyle name="표준 7 13 4 2 3 3 2" xfId="5283"/>
    <cellStyle name="표준 7 13 4 2 3 4" xfId="5284"/>
    <cellStyle name="표준 7 13 4 2 4" xfId="5285"/>
    <cellStyle name="표준 7 13 4 2 4 2" xfId="5286"/>
    <cellStyle name="표준 7 13 4 2 5" xfId="5287"/>
    <cellStyle name="표준 7 13 4 2 5 2" xfId="5288"/>
    <cellStyle name="표준 7 13 4 2 6" xfId="5289"/>
    <cellStyle name="표준 7 13 4 3 2 2" xfId="5290"/>
    <cellStyle name="표준 7 13 4 3 2 2 2" xfId="5291"/>
    <cellStyle name="표준 7 13 4 3 2 3" xfId="5292"/>
    <cellStyle name="표준 7 13 4 3 2 3 2" xfId="5293"/>
    <cellStyle name="표준 7 13 4 3 2 4" xfId="5294"/>
    <cellStyle name="표준 7 13 4 3 3" xfId="5295"/>
    <cellStyle name="표준 7 13 4 3 3 2" xfId="5296"/>
    <cellStyle name="표준 7 13 4 3 4" xfId="5297"/>
    <cellStyle name="표준 7 13 4 3 4 2" xfId="5298"/>
    <cellStyle name="표준 7 13 4 3 5" xfId="5299"/>
    <cellStyle name="표준 7 13 4 4 2" xfId="5300"/>
    <cellStyle name="표준 7 13 4 4 2 2" xfId="5301"/>
    <cellStyle name="표준 7 13 4 4 3" xfId="5302"/>
    <cellStyle name="표준 7 13 4 4 3 2" xfId="5303"/>
    <cellStyle name="표준 7 13 4 4 4" xfId="5304"/>
    <cellStyle name="표준 7 13 4 5" xfId="5305"/>
    <cellStyle name="표준 7 13 4 5 2" xfId="5306"/>
    <cellStyle name="표준 7 13 4 6" xfId="5307"/>
    <cellStyle name="표준 7 13 4 6 2" xfId="5308"/>
    <cellStyle name="표준 7 13 4 7" xfId="5309"/>
    <cellStyle name="표준 7 13 5 2 2 2" xfId="5310"/>
    <cellStyle name="표준 7 13 5 2 2 2 2" xfId="5311"/>
    <cellStyle name="표준 7 13 5 2 2 3" xfId="5312"/>
    <cellStyle name="표준 7 13 5 2 2 3 2" xfId="5313"/>
    <cellStyle name="표준 7 13 5 2 2 4" xfId="5314"/>
    <cellStyle name="표준 7 13 5 2 3" xfId="5315"/>
    <cellStyle name="표준 7 13 5 2 3 2" xfId="5316"/>
    <cellStyle name="표준 7 13 5 2 4" xfId="5317"/>
    <cellStyle name="표준 7 13 5 2 4 2" xfId="5318"/>
    <cellStyle name="표준 7 13 5 2 5" xfId="5319"/>
    <cellStyle name="표준 7 13 5 3 2" xfId="5320"/>
    <cellStyle name="표준 7 13 5 3 2 2" xfId="5321"/>
    <cellStyle name="표준 7 13 5 3 3" xfId="5322"/>
    <cellStyle name="표준 7 13 5 3 3 2" xfId="5323"/>
    <cellStyle name="표준 7 13 5 3 4" xfId="5324"/>
    <cellStyle name="표준 7 13 5 4" xfId="5325"/>
    <cellStyle name="표준 7 13 5 4 2" xfId="5326"/>
    <cellStyle name="표준 7 13 5 5" xfId="5327"/>
    <cellStyle name="표준 7 13 5 5 2" xfId="5328"/>
    <cellStyle name="표준 7 13 5 6" xfId="5329"/>
    <cellStyle name="표준 7 13 6 2 2" xfId="5330"/>
    <cellStyle name="표준 7 13 6 2 2 2" xfId="5331"/>
    <cellStyle name="표준 7 13 6 2 3" xfId="5332"/>
    <cellStyle name="표준 7 13 6 2 3 2" xfId="5333"/>
    <cellStyle name="표준 7 13 6 2 4" xfId="5334"/>
    <cellStyle name="표준 7 13 6 3" xfId="5335"/>
    <cellStyle name="표준 7 13 6 3 2" xfId="5336"/>
    <cellStyle name="표준 7 13 6 4" xfId="5337"/>
    <cellStyle name="표준 7 13 6 4 2" xfId="5338"/>
    <cellStyle name="표준 7 13 6 5" xfId="5339"/>
    <cellStyle name="표준 7 13 7 2" xfId="5340"/>
    <cellStyle name="표준 7 13 7 2 2" xfId="5341"/>
    <cellStyle name="표준 7 13 7 3" xfId="5342"/>
    <cellStyle name="표준 7 13 7 3 2" xfId="5343"/>
    <cellStyle name="표준 7 13 7 4" xfId="5344"/>
    <cellStyle name="표준 7 13 8" xfId="5345"/>
    <cellStyle name="표준 7 13 8 2" xfId="5346"/>
    <cellStyle name="표준 7 13 9" xfId="5347"/>
    <cellStyle name="표준 7 13 9 2" xfId="5348"/>
    <cellStyle name="표준 7 14 10" xfId="5349"/>
    <cellStyle name="표준 7 14 2 2 2 2 2" xfId="5350"/>
    <cellStyle name="표준 7 14 2 2 2 2 2 2" xfId="5351"/>
    <cellStyle name="표준 7 14 2 2 2 2 3" xfId="5352"/>
    <cellStyle name="표준 7 14 2 2 2 2 3 2" xfId="5353"/>
    <cellStyle name="표준 7 14 2 2 2 2 4" xfId="5354"/>
    <cellStyle name="표준 7 14 2 2 2 3" xfId="5355"/>
    <cellStyle name="표준 7 14 2 2 2 3 2" xfId="5356"/>
    <cellStyle name="표준 7 14 2 2 2 4" xfId="5357"/>
    <cellStyle name="표준 7 14 2 2 2 4 2" xfId="5358"/>
    <cellStyle name="표준 7 14 2 2 2 5" xfId="5359"/>
    <cellStyle name="표준 7 14 2 2 3 2" xfId="5360"/>
    <cellStyle name="표준 7 14 2 2 3 2 2" xfId="5361"/>
    <cellStyle name="표준 7 14 2 2 3 3" xfId="5362"/>
    <cellStyle name="표준 7 14 2 2 3 3 2" xfId="5363"/>
    <cellStyle name="표준 7 14 2 2 3 4" xfId="5364"/>
    <cellStyle name="표준 7 14 2 2 4" xfId="5365"/>
    <cellStyle name="표준 7 14 2 2 4 2" xfId="5366"/>
    <cellStyle name="표준 7 14 2 2 5" xfId="5367"/>
    <cellStyle name="표준 7 14 2 2 5 2" xfId="5368"/>
    <cellStyle name="표준 7 14 2 2 6" xfId="5369"/>
    <cellStyle name="표준 7 14 2 3 2 2" xfId="5370"/>
    <cellStyle name="표준 7 14 2 3 2 2 2" xfId="5371"/>
    <cellStyle name="표준 7 14 2 3 2 3" xfId="5372"/>
    <cellStyle name="표준 7 14 2 3 2 3 2" xfId="5373"/>
    <cellStyle name="표준 7 14 2 3 2 4" xfId="5374"/>
    <cellStyle name="표준 7 14 2 3 3" xfId="5375"/>
    <cellStyle name="표준 7 14 2 3 3 2" xfId="5376"/>
    <cellStyle name="표준 7 14 2 3 4" xfId="5377"/>
    <cellStyle name="표준 7 14 2 3 4 2" xfId="5378"/>
    <cellStyle name="표준 7 14 2 3 5" xfId="5379"/>
    <cellStyle name="표준 7 14 2 4 2" xfId="5380"/>
    <cellStyle name="표준 7 14 2 4 2 2" xfId="5381"/>
    <cellStyle name="표준 7 14 2 4 3" xfId="5382"/>
    <cellStyle name="표준 7 14 2 4 3 2" xfId="5383"/>
    <cellStyle name="표준 7 14 2 4 4" xfId="5384"/>
    <cellStyle name="표준 7 14 2 5" xfId="5385"/>
    <cellStyle name="표준 7 14 2 5 2" xfId="5386"/>
    <cellStyle name="표준 7 14 2 6" xfId="5387"/>
    <cellStyle name="표준 7 14 2 6 2" xfId="5388"/>
    <cellStyle name="표준 7 14 2 7" xfId="5389"/>
    <cellStyle name="표준 7 14 3 2 2 2 2" xfId="5390"/>
    <cellStyle name="표준 7 14 3 2 2 2 2 2" xfId="5391"/>
    <cellStyle name="표준 7 14 3 2 2 2 3" xfId="5392"/>
    <cellStyle name="표준 7 14 3 2 2 2 3 2" xfId="5393"/>
    <cellStyle name="표준 7 14 3 2 2 2 4" xfId="5394"/>
    <cellStyle name="표준 7 14 3 2 2 3" xfId="5395"/>
    <cellStyle name="표준 7 14 3 2 2 3 2" xfId="5396"/>
    <cellStyle name="표준 7 14 3 2 2 4" xfId="5397"/>
    <cellStyle name="표준 7 14 3 2 2 4 2" xfId="5398"/>
    <cellStyle name="표준 7 14 3 2 2 5" xfId="5399"/>
    <cellStyle name="표준 7 14 3 2 3 2" xfId="5400"/>
    <cellStyle name="표준 7 14 3 2 3 2 2" xfId="5401"/>
    <cellStyle name="표준 7 14 3 2 3 3" xfId="5402"/>
    <cellStyle name="표준 7 14 3 2 3 3 2" xfId="5403"/>
    <cellStyle name="표준 7 14 3 2 3 4" xfId="5404"/>
    <cellStyle name="표준 7 14 3 2 4" xfId="5405"/>
    <cellStyle name="표준 7 14 3 2 4 2" xfId="5406"/>
    <cellStyle name="표준 7 14 3 2 5" xfId="5407"/>
    <cellStyle name="표준 7 14 3 2 5 2" xfId="5408"/>
    <cellStyle name="표준 7 14 3 2 6" xfId="5409"/>
    <cellStyle name="표준 7 14 3 3 2 2" xfId="5410"/>
    <cellStyle name="표준 7 14 3 3 2 2 2" xfId="5411"/>
    <cellStyle name="표준 7 14 3 3 2 3" xfId="5412"/>
    <cellStyle name="표준 7 14 3 3 2 3 2" xfId="5413"/>
    <cellStyle name="표준 7 14 3 3 2 4" xfId="5414"/>
    <cellStyle name="표준 7 14 3 3 3" xfId="5415"/>
    <cellStyle name="표준 7 14 3 3 3 2" xfId="5416"/>
    <cellStyle name="표준 7 14 3 3 4" xfId="5417"/>
    <cellStyle name="표준 7 14 3 3 4 2" xfId="5418"/>
    <cellStyle name="표준 7 14 3 3 5" xfId="5419"/>
    <cellStyle name="표준 7 14 3 4 2" xfId="5420"/>
    <cellStyle name="표준 7 14 3 4 2 2" xfId="5421"/>
    <cellStyle name="표준 7 14 3 4 3" xfId="5422"/>
    <cellStyle name="표준 7 14 3 4 3 2" xfId="5423"/>
    <cellStyle name="표준 7 14 3 4 4" xfId="5424"/>
    <cellStyle name="표준 7 14 3 5" xfId="5425"/>
    <cellStyle name="표준 7 14 3 5 2" xfId="5426"/>
    <cellStyle name="표준 7 14 3 6" xfId="5427"/>
    <cellStyle name="표준 7 14 3 6 2" xfId="5428"/>
    <cellStyle name="표준 7 14 3 7" xfId="5429"/>
    <cellStyle name="표준 7 14 4 2 2 2 2" xfId="5430"/>
    <cellStyle name="표준 7 14 4 2 2 2 2 2" xfId="5431"/>
    <cellStyle name="표준 7 14 4 2 2 2 3" xfId="5432"/>
    <cellStyle name="표준 7 14 4 2 2 2 3 2" xfId="5433"/>
    <cellStyle name="표준 7 14 4 2 2 2 4" xfId="5434"/>
    <cellStyle name="표준 7 14 4 2 2 3" xfId="5435"/>
    <cellStyle name="표준 7 14 4 2 2 3 2" xfId="5436"/>
    <cellStyle name="표준 7 14 4 2 2 4" xfId="5437"/>
    <cellStyle name="표준 7 14 4 2 2 4 2" xfId="5438"/>
    <cellStyle name="표준 7 14 4 2 2 5" xfId="5439"/>
    <cellStyle name="표준 7 14 4 2 3 2" xfId="5440"/>
    <cellStyle name="표준 7 14 4 2 3 2 2" xfId="5441"/>
    <cellStyle name="표준 7 14 4 2 3 3" xfId="5442"/>
    <cellStyle name="표준 7 14 4 2 3 3 2" xfId="5443"/>
    <cellStyle name="표준 7 14 4 2 3 4" xfId="5444"/>
    <cellStyle name="표준 7 14 4 2 4" xfId="5445"/>
    <cellStyle name="표준 7 14 4 2 4 2" xfId="5446"/>
    <cellStyle name="표준 7 14 4 2 5" xfId="5447"/>
    <cellStyle name="표준 7 14 4 2 5 2" xfId="5448"/>
    <cellStyle name="표준 7 14 4 2 6" xfId="5449"/>
    <cellStyle name="표준 7 14 4 3 2 2" xfId="5450"/>
    <cellStyle name="표준 7 14 4 3 2 2 2" xfId="5451"/>
    <cellStyle name="표준 7 14 4 3 2 3" xfId="5452"/>
    <cellStyle name="표준 7 14 4 3 2 3 2" xfId="5453"/>
    <cellStyle name="표준 7 14 4 3 2 4" xfId="5454"/>
    <cellStyle name="표준 7 14 4 3 3" xfId="5455"/>
    <cellStyle name="표준 7 14 4 3 3 2" xfId="5456"/>
    <cellStyle name="표준 7 14 4 3 4" xfId="5457"/>
    <cellStyle name="표준 7 14 4 3 4 2" xfId="5458"/>
    <cellStyle name="표준 7 14 4 3 5" xfId="5459"/>
    <cellStyle name="표준 7 14 4 4 2" xfId="5460"/>
    <cellStyle name="표준 7 14 4 4 2 2" xfId="5461"/>
    <cellStyle name="표준 7 14 4 4 3" xfId="5462"/>
    <cellStyle name="표준 7 14 4 4 3 2" xfId="5463"/>
    <cellStyle name="표준 7 14 4 4 4" xfId="5464"/>
    <cellStyle name="표준 7 14 4 5" xfId="5465"/>
    <cellStyle name="표준 7 14 4 5 2" xfId="5466"/>
    <cellStyle name="표준 7 14 4 6" xfId="5467"/>
    <cellStyle name="표준 7 14 4 6 2" xfId="5468"/>
    <cellStyle name="표준 7 14 4 7" xfId="5469"/>
    <cellStyle name="표준 7 14 5 2 2 2" xfId="5470"/>
    <cellStyle name="표준 7 14 5 2 2 2 2" xfId="5471"/>
    <cellStyle name="표준 7 14 5 2 2 3" xfId="5472"/>
    <cellStyle name="표준 7 14 5 2 2 3 2" xfId="5473"/>
    <cellStyle name="표준 7 14 5 2 2 4" xfId="5474"/>
    <cellStyle name="표준 7 14 5 2 3" xfId="5475"/>
    <cellStyle name="표준 7 14 5 2 3 2" xfId="5476"/>
    <cellStyle name="표준 7 14 5 2 4" xfId="5477"/>
    <cellStyle name="표준 7 14 5 2 4 2" xfId="5478"/>
    <cellStyle name="표준 7 14 5 2 5" xfId="5479"/>
    <cellStyle name="표준 7 14 5 3 2" xfId="5480"/>
    <cellStyle name="표준 7 14 5 3 2 2" xfId="5481"/>
    <cellStyle name="표준 7 14 5 3 3" xfId="5482"/>
    <cellStyle name="표준 7 14 5 3 3 2" xfId="5483"/>
    <cellStyle name="표준 7 14 5 3 4" xfId="5484"/>
    <cellStyle name="표준 7 14 5 4" xfId="5485"/>
    <cellStyle name="표준 7 14 5 4 2" xfId="5486"/>
    <cellStyle name="표준 7 14 5 5" xfId="5487"/>
    <cellStyle name="표준 7 14 5 5 2" xfId="5488"/>
    <cellStyle name="표준 7 14 5 6" xfId="5489"/>
    <cellStyle name="표준 7 14 6 2 2" xfId="5490"/>
    <cellStyle name="표준 7 14 6 2 2 2" xfId="5491"/>
    <cellStyle name="표준 7 14 6 2 3" xfId="5492"/>
    <cellStyle name="표준 7 14 6 2 3 2" xfId="5493"/>
    <cellStyle name="표준 7 14 6 2 4" xfId="5494"/>
    <cellStyle name="표준 7 14 6 3" xfId="5495"/>
    <cellStyle name="표준 7 14 6 3 2" xfId="5496"/>
    <cellStyle name="표준 7 14 6 4" xfId="5497"/>
    <cellStyle name="표준 7 14 6 4 2" xfId="5498"/>
    <cellStyle name="표준 7 14 6 5" xfId="5499"/>
    <cellStyle name="표준 7 14 7 2" xfId="5500"/>
    <cellStyle name="표준 7 14 7 2 2" xfId="5501"/>
    <cellStyle name="표준 7 14 7 3" xfId="5502"/>
    <cellStyle name="표준 7 14 7 3 2" xfId="5503"/>
    <cellStyle name="표준 7 14 7 4" xfId="5504"/>
    <cellStyle name="표준 7 14 8" xfId="5505"/>
    <cellStyle name="표준 7 14 8 2" xfId="5506"/>
    <cellStyle name="표준 7 14 9" xfId="5507"/>
    <cellStyle name="표준 7 14 9 2" xfId="5508"/>
    <cellStyle name="표준 7 15 2 2 2 2 2" xfId="5509"/>
    <cellStyle name="표준 7 15 2 2 2 2 2 2" xfId="5510"/>
    <cellStyle name="표준 7 15 2 2 2 2 3" xfId="5511"/>
    <cellStyle name="표준 7 15 2 2 2 2 3 2" xfId="5512"/>
    <cellStyle name="표준 7 15 2 2 2 2 4" xfId="5513"/>
    <cellStyle name="표준 7 15 2 2 2 3" xfId="5514"/>
    <cellStyle name="표준 7 15 2 2 2 3 2" xfId="5515"/>
    <cellStyle name="표준 7 15 2 2 2 4" xfId="5516"/>
    <cellStyle name="표준 7 15 2 2 2 4 2" xfId="5517"/>
    <cellStyle name="표준 7 15 2 2 2 5" xfId="5518"/>
    <cellStyle name="표준 7 15 2 2 3 2" xfId="5519"/>
    <cellStyle name="표준 7 15 2 2 3 2 2" xfId="5520"/>
    <cellStyle name="표준 7 15 2 2 3 3" xfId="5521"/>
    <cellStyle name="표준 7 15 2 2 3 3 2" xfId="5522"/>
    <cellStyle name="표준 7 15 2 2 3 4" xfId="5523"/>
    <cellStyle name="표준 7 15 2 2 4" xfId="5524"/>
    <cellStyle name="표준 7 15 2 2 4 2" xfId="5525"/>
    <cellStyle name="표준 7 15 2 2 5" xfId="5526"/>
    <cellStyle name="표준 7 15 2 2 5 2" xfId="5527"/>
    <cellStyle name="표준 7 15 2 2 6" xfId="5528"/>
    <cellStyle name="표준 7 15 2 3 2 2" xfId="5529"/>
    <cellStyle name="표준 7 15 2 3 2 2 2" xfId="5530"/>
    <cellStyle name="표준 7 15 2 3 2 3" xfId="5531"/>
    <cellStyle name="표준 7 15 2 3 2 3 2" xfId="5532"/>
    <cellStyle name="표준 7 15 2 3 2 4" xfId="5533"/>
    <cellStyle name="표준 7 15 2 3 3" xfId="5534"/>
    <cellStyle name="표준 7 15 2 3 3 2" xfId="5535"/>
    <cellStyle name="표준 7 15 2 3 4" xfId="5536"/>
    <cellStyle name="표준 7 15 2 3 4 2" xfId="5537"/>
    <cellStyle name="표준 7 15 2 3 5" xfId="5538"/>
    <cellStyle name="표준 7 15 2 4 2" xfId="5539"/>
    <cellStyle name="표준 7 15 2 4 2 2" xfId="5540"/>
    <cellStyle name="표준 7 15 2 4 3" xfId="5541"/>
    <cellStyle name="표준 7 15 2 4 3 2" xfId="5542"/>
    <cellStyle name="표준 7 15 2 4 4" xfId="5543"/>
    <cellStyle name="표준 7 15 2 5" xfId="5544"/>
    <cellStyle name="표준 7 15 2 5 2" xfId="5545"/>
    <cellStyle name="표준 7 15 2 6" xfId="5546"/>
    <cellStyle name="표준 7 15 2 6 2" xfId="5547"/>
    <cellStyle name="표준 7 15 2 7" xfId="5548"/>
    <cellStyle name="표준 7 15 3 2 2 2 2" xfId="5549"/>
    <cellStyle name="표준 7 15 3 2 2 2 2 2" xfId="5550"/>
    <cellStyle name="표준 7 15 3 2 2 2 3" xfId="5551"/>
    <cellStyle name="표준 7 15 3 2 2 2 3 2" xfId="5552"/>
    <cellStyle name="표준 7 15 3 2 2 2 4" xfId="5553"/>
    <cellStyle name="표준 7 15 3 2 2 3" xfId="5554"/>
    <cellStyle name="표준 7 15 3 2 2 3 2" xfId="5555"/>
    <cellStyle name="표준 7 15 3 2 2 4" xfId="5556"/>
    <cellStyle name="표준 7 15 3 2 2 4 2" xfId="5557"/>
    <cellStyle name="표준 7 15 3 2 2 5" xfId="5558"/>
    <cellStyle name="표준 7 15 3 2 3 2" xfId="5559"/>
    <cellStyle name="표준 7 15 3 2 3 2 2" xfId="5560"/>
    <cellStyle name="표준 7 15 3 2 3 3" xfId="5561"/>
    <cellStyle name="표준 7 15 3 2 3 3 2" xfId="5562"/>
    <cellStyle name="표준 7 15 3 2 3 4" xfId="5563"/>
    <cellStyle name="표준 7 15 3 2 4" xfId="5564"/>
    <cellStyle name="표준 7 15 3 2 4 2" xfId="5565"/>
    <cellStyle name="표준 7 15 3 2 5" xfId="5566"/>
    <cellStyle name="표준 7 15 3 2 5 2" xfId="5567"/>
    <cellStyle name="표준 7 15 3 2 6" xfId="5568"/>
    <cellStyle name="표준 7 15 3 3 2 2" xfId="5569"/>
    <cellStyle name="표준 7 15 3 3 2 2 2" xfId="5570"/>
    <cellStyle name="표준 7 15 3 3 2 3" xfId="5571"/>
    <cellStyle name="표준 7 15 3 3 2 3 2" xfId="5572"/>
    <cellStyle name="표준 7 15 3 3 2 4" xfId="5573"/>
    <cellStyle name="표준 7 15 3 3 3" xfId="5574"/>
    <cellStyle name="표준 7 15 3 3 3 2" xfId="5575"/>
    <cellStyle name="표준 7 15 3 3 4" xfId="5576"/>
    <cellStyle name="표준 7 15 3 3 4 2" xfId="5577"/>
    <cellStyle name="표준 7 15 3 3 5" xfId="5578"/>
    <cellStyle name="표준 7 15 3 4 2" xfId="5579"/>
    <cellStyle name="표준 7 15 3 4 2 2" xfId="5580"/>
    <cellStyle name="표준 7 15 3 4 3" xfId="5581"/>
    <cellStyle name="표준 7 15 3 4 3 2" xfId="5582"/>
    <cellStyle name="표준 7 15 3 4 4" xfId="5583"/>
    <cellStyle name="표준 7 15 3 5" xfId="5584"/>
    <cellStyle name="표준 7 15 3 5 2" xfId="5585"/>
    <cellStyle name="표준 7 15 3 6" xfId="5586"/>
    <cellStyle name="표준 7 15 3 6 2" xfId="5587"/>
    <cellStyle name="표준 7 15 3 7" xfId="5588"/>
    <cellStyle name="표준 7 15 4 2 2 2" xfId="5589"/>
    <cellStyle name="표준 7 15 4 2 2 2 2" xfId="5590"/>
    <cellStyle name="표준 7 15 4 2 2 3" xfId="5591"/>
    <cellStyle name="표준 7 15 4 2 2 3 2" xfId="5592"/>
    <cellStyle name="표준 7 15 4 2 2 4" xfId="5593"/>
    <cellStyle name="표준 7 15 4 2 3" xfId="5594"/>
    <cellStyle name="표준 7 15 4 2 3 2" xfId="5595"/>
    <cellStyle name="표준 7 15 4 2 4" xfId="5596"/>
    <cellStyle name="표준 7 15 4 2 4 2" xfId="5597"/>
    <cellStyle name="표준 7 15 4 2 5" xfId="5598"/>
    <cellStyle name="표준 7 15 4 3 2" xfId="5599"/>
    <cellStyle name="표준 7 15 4 3 2 2" xfId="5600"/>
    <cellStyle name="표준 7 15 4 3 3" xfId="5601"/>
    <cellStyle name="표준 7 15 4 3 3 2" xfId="5602"/>
    <cellStyle name="표준 7 15 4 3 4" xfId="5603"/>
    <cellStyle name="표준 7 15 4 4" xfId="5604"/>
    <cellStyle name="표준 7 15 4 4 2" xfId="5605"/>
    <cellStyle name="표준 7 15 4 5" xfId="5606"/>
    <cellStyle name="표준 7 15 4 5 2" xfId="5607"/>
    <cellStyle name="표준 7 15 4 6" xfId="5608"/>
    <cellStyle name="표준 7 15 5 2 2" xfId="5609"/>
    <cellStyle name="표준 7 15 5 2 2 2" xfId="5610"/>
    <cellStyle name="표준 7 15 5 2 3" xfId="5611"/>
    <cellStyle name="표준 7 15 5 2 3 2" xfId="5612"/>
    <cellStyle name="표준 7 15 5 2 4" xfId="5613"/>
    <cellStyle name="표준 7 15 5 3" xfId="5614"/>
    <cellStyle name="표준 7 15 5 3 2" xfId="5615"/>
    <cellStyle name="표준 7 15 5 4" xfId="5616"/>
    <cellStyle name="표준 7 15 5 4 2" xfId="5617"/>
    <cellStyle name="표준 7 15 5 5" xfId="5618"/>
    <cellStyle name="표준 7 15 6 2" xfId="5619"/>
    <cellStyle name="표준 7 15 6 2 2" xfId="5620"/>
    <cellStyle name="표준 7 15 6 3" xfId="5621"/>
    <cellStyle name="표준 7 15 6 3 2" xfId="5622"/>
    <cellStyle name="표준 7 15 6 4" xfId="5623"/>
    <cellStyle name="표준 7 15 7" xfId="5624"/>
    <cellStyle name="표준 7 15 7 2" xfId="5625"/>
    <cellStyle name="표준 7 15 8" xfId="5626"/>
    <cellStyle name="표준 7 15 8 2" xfId="5627"/>
    <cellStyle name="표준 7 15 9" xfId="5628"/>
    <cellStyle name="표준 7 16 2 2 2 2" xfId="5629"/>
    <cellStyle name="표준 7 16 2 2 2 2 2" xfId="5630"/>
    <cellStyle name="표준 7 16 2 2 2 3" xfId="5631"/>
    <cellStyle name="표준 7 16 2 2 2 3 2" xfId="5632"/>
    <cellStyle name="표준 7 16 2 2 2 4" xfId="5633"/>
    <cellStyle name="표준 7 16 2 2 3" xfId="5634"/>
    <cellStyle name="표준 7 16 2 2 3 2" xfId="5635"/>
    <cellStyle name="표준 7 16 2 2 4" xfId="5636"/>
    <cellStyle name="표준 7 16 2 2 4 2" xfId="5637"/>
    <cellStyle name="표준 7 16 2 2 5" xfId="5638"/>
    <cellStyle name="표준 7 16 2 3 2" xfId="5639"/>
    <cellStyle name="표준 7 16 2 3 2 2" xfId="5640"/>
    <cellStyle name="표준 7 16 2 3 3" xfId="5641"/>
    <cellStyle name="표준 7 16 2 3 3 2" xfId="5642"/>
    <cellStyle name="표준 7 16 2 3 4" xfId="5643"/>
    <cellStyle name="표준 7 16 2 4" xfId="5644"/>
    <cellStyle name="표준 7 16 2 4 2" xfId="5645"/>
    <cellStyle name="표준 7 16 2 5" xfId="5646"/>
    <cellStyle name="표준 7 16 2 5 2" xfId="5647"/>
    <cellStyle name="표준 7 16 2 6" xfId="5648"/>
    <cellStyle name="표준 7 16 3 2 2" xfId="5649"/>
    <cellStyle name="표준 7 16 3 2 2 2" xfId="5650"/>
    <cellStyle name="표준 7 16 3 2 3" xfId="5651"/>
    <cellStyle name="표준 7 16 3 2 3 2" xfId="5652"/>
    <cellStyle name="표준 7 16 3 2 4" xfId="5653"/>
    <cellStyle name="표준 7 16 3 3" xfId="5654"/>
    <cellStyle name="표준 7 16 3 3 2" xfId="5655"/>
    <cellStyle name="표준 7 16 3 4" xfId="5656"/>
    <cellStyle name="표준 7 16 3 4 2" xfId="5657"/>
    <cellStyle name="표준 7 16 3 5" xfId="5658"/>
    <cellStyle name="표준 7 16 4 2" xfId="5659"/>
    <cellStyle name="표준 7 16 4 2 2" xfId="5660"/>
    <cellStyle name="표준 7 16 4 3" xfId="5661"/>
    <cellStyle name="표준 7 16 4 3 2" xfId="5662"/>
    <cellStyle name="표준 7 16 4 4" xfId="5663"/>
    <cellStyle name="표준 7 16 5" xfId="5664"/>
    <cellStyle name="표준 7 16 5 2" xfId="5665"/>
    <cellStyle name="표준 7 16 6" xfId="5666"/>
    <cellStyle name="표준 7 16 6 2" xfId="5667"/>
    <cellStyle name="표준 7 16 7" xfId="5668"/>
    <cellStyle name="표준 7 17 2 2 2 2" xfId="5669"/>
    <cellStyle name="표준 7 17 2 2 2 2 2" xfId="5670"/>
    <cellStyle name="표준 7 17 2 2 2 3" xfId="5671"/>
    <cellStyle name="표준 7 17 2 2 2 3 2" xfId="5672"/>
    <cellStyle name="표준 7 17 2 2 2 4" xfId="5673"/>
    <cellStyle name="표준 7 17 2 2 3" xfId="5674"/>
    <cellStyle name="표준 7 17 2 2 3 2" xfId="5675"/>
    <cellStyle name="표준 7 17 2 2 4" xfId="5676"/>
    <cellStyle name="표준 7 17 2 2 4 2" xfId="5677"/>
    <cellStyle name="표준 7 17 2 2 5" xfId="5678"/>
    <cellStyle name="표준 7 17 2 3 2" xfId="5679"/>
    <cellStyle name="표준 7 17 2 3 2 2" xfId="5680"/>
    <cellStyle name="표준 7 17 2 3 3" xfId="5681"/>
    <cellStyle name="표준 7 17 2 3 3 2" xfId="5682"/>
    <cellStyle name="표준 7 17 2 3 4" xfId="5683"/>
    <cellStyle name="표준 7 17 2 4" xfId="5684"/>
    <cellStyle name="표준 7 17 2 4 2" xfId="5685"/>
    <cellStyle name="표준 7 17 2 5" xfId="5686"/>
    <cellStyle name="표준 7 17 2 5 2" xfId="5687"/>
    <cellStyle name="표준 7 17 2 6" xfId="5688"/>
    <cellStyle name="표준 7 17 3 2 2" xfId="5689"/>
    <cellStyle name="표준 7 17 3 2 2 2" xfId="5690"/>
    <cellStyle name="표준 7 17 3 2 3" xfId="5691"/>
    <cellStyle name="표준 7 17 3 2 3 2" xfId="5692"/>
    <cellStyle name="표준 7 17 3 2 4" xfId="5693"/>
    <cellStyle name="표준 7 17 3 3" xfId="5694"/>
    <cellStyle name="표준 7 17 3 3 2" xfId="5695"/>
    <cellStyle name="표준 7 17 3 4" xfId="5696"/>
    <cellStyle name="표준 7 17 3 4 2" xfId="5697"/>
    <cellStyle name="표준 7 17 3 5" xfId="5698"/>
    <cellStyle name="표준 7 17 4 2" xfId="5699"/>
    <cellStyle name="표준 7 17 4 2 2" xfId="5700"/>
    <cellStyle name="표준 7 17 4 3" xfId="5701"/>
    <cellStyle name="표준 7 17 4 3 2" xfId="5702"/>
    <cellStyle name="표준 7 17 4 4" xfId="5703"/>
    <cellStyle name="표준 7 17 5" xfId="5704"/>
    <cellStyle name="표준 7 17 5 2" xfId="5705"/>
    <cellStyle name="표준 7 17 6" xfId="5706"/>
    <cellStyle name="표준 7 17 6 2" xfId="5707"/>
    <cellStyle name="표준 7 17 7" xfId="5708"/>
    <cellStyle name="표준 7 18 2 2 2 2" xfId="5709"/>
    <cellStyle name="표준 7 18 2 2 2 2 2" xfId="5710"/>
    <cellStyle name="표준 7 18 2 2 2 3" xfId="5711"/>
    <cellStyle name="표준 7 18 2 2 2 3 2" xfId="5712"/>
    <cellStyle name="표준 7 18 2 2 2 4" xfId="5713"/>
    <cellStyle name="표준 7 18 2 2 3" xfId="5714"/>
    <cellStyle name="표준 7 18 2 2 3 2" xfId="5715"/>
    <cellStyle name="표준 7 18 2 2 4" xfId="5716"/>
    <cellStyle name="표준 7 18 2 2 4 2" xfId="5717"/>
    <cellStyle name="표준 7 18 2 2 5" xfId="5718"/>
    <cellStyle name="표준 7 18 2 3 2" xfId="5719"/>
    <cellStyle name="표준 7 18 2 3 2 2" xfId="5720"/>
    <cellStyle name="표준 7 18 2 3 3" xfId="5721"/>
    <cellStyle name="표준 7 18 2 3 3 2" xfId="5722"/>
    <cellStyle name="표준 7 18 2 3 4" xfId="5723"/>
    <cellStyle name="표준 7 18 2 4" xfId="5724"/>
    <cellStyle name="표준 7 18 2 4 2" xfId="5725"/>
    <cellStyle name="표준 7 18 2 5" xfId="5726"/>
    <cellStyle name="표준 7 18 2 5 2" xfId="5727"/>
    <cellStyle name="표준 7 18 2 6" xfId="5728"/>
    <cellStyle name="표준 7 18 3 2 2" xfId="5729"/>
    <cellStyle name="표준 7 18 3 2 2 2" xfId="5730"/>
    <cellStyle name="표준 7 18 3 2 3" xfId="5731"/>
    <cellStyle name="표준 7 18 3 2 3 2" xfId="5732"/>
    <cellStyle name="표준 7 18 3 2 4" xfId="5733"/>
    <cellStyle name="표준 7 18 3 3" xfId="5734"/>
    <cellStyle name="표준 7 18 3 3 2" xfId="5735"/>
    <cellStyle name="표준 7 18 3 4" xfId="5736"/>
    <cellStyle name="표준 7 18 3 4 2" xfId="5737"/>
    <cellStyle name="표준 7 18 3 5" xfId="5738"/>
    <cellStyle name="표준 7 18 4 2" xfId="5739"/>
    <cellStyle name="표준 7 18 4 2 2" xfId="5740"/>
    <cellStyle name="표준 7 18 4 3" xfId="5741"/>
    <cellStyle name="표준 7 18 4 3 2" xfId="5742"/>
    <cellStyle name="표준 7 18 4 4" xfId="5743"/>
    <cellStyle name="표준 7 18 5" xfId="5744"/>
    <cellStyle name="표준 7 18 5 2" xfId="5745"/>
    <cellStyle name="표준 7 18 6" xfId="5746"/>
    <cellStyle name="표준 7 18 6 2" xfId="5747"/>
    <cellStyle name="표준 7 18 7" xfId="5748"/>
    <cellStyle name="표준 7 2 10" xfId="5749"/>
    <cellStyle name="표준 7 2 10 2" xfId="5750"/>
    <cellStyle name="표준 7 2 11" xfId="5751"/>
    <cellStyle name="표준 7 2 3 2 2 2 2" xfId="5752"/>
    <cellStyle name="표준 7 2 3 2 2 2 2 2" xfId="5753"/>
    <cellStyle name="표준 7 2 3 2 2 2 3" xfId="5754"/>
    <cellStyle name="표준 7 2 3 2 2 2 3 2" xfId="5755"/>
    <cellStyle name="표준 7 2 3 2 2 2 4" xfId="5756"/>
    <cellStyle name="표준 7 2 3 2 2 3" xfId="5757"/>
    <cellStyle name="표준 7 2 3 2 2 3 2" xfId="5758"/>
    <cellStyle name="표준 7 2 3 2 2 4" xfId="5759"/>
    <cellStyle name="표준 7 2 3 2 2 4 2" xfId="5760"/>
    <cellStyle name="표준 7 2 3 2 2 5" xfId="5761"/>
    <cellStyle name="표준 7 2 3 2 3 2" xfId="5762"/>
    <cellStyle name="표준 7 2 3 2 3 2 2" xfId="5763"/>
    <cellStyle name="표준 7 2 3 2 3 3" xfId="5764"/>
    <cellStyle name="표준 7 2 3 2 3 3 2" xfId="5765"/>
    <cellStyle name="표준 7 2 3 2 3 4" xfId="5766"/>
    <cellStyle name="표준 7 2 3 2 4" xfId="5767"/>
    <cellStyle name="표준 7 2 3 2 4 2" xfId="5768"/>
    <cellStyle name="표준 7 2 3 2 5" xfId="5769"/>
    <cellStyle name="표준 7 2 3 2 5 2" xfId="5770"/>
    <cellStyle name="표준 7 2 3 2 6" xfId="5771"/>
    <cellStyle name="표준 7 2 3 3 2 2" xfId="5772"/>
    <cellStyle name="표준 7 2 3 3 2 2 2" xfId="5773"/>
    <cellStyle name="표준 7 2 3 3 2 3" xfId="5774"/>
    <cellStyle name="표준 7 2 3 3 2 3 2" xfId="5775"/>
    <cellStyle name="표준 7 2 3 3 2 4" xfId="5776"/>
    <cellStyle name="표준 7 2 3 3 3" xfId="5777"/>
    <cellStyle name="표준 7 2 3 3 3 2" xfId="5778"/>
    <cellStyle name="표준 7 2 3 3 4" xfId="5779"/>
    <cellStyle name="표준 7 2 3 3 4 2" xfId="5780"/>
    <cellStyle name="표준 7 2 3 3 5" xfId="5781"/>
    <cellStyle name="표준 7 2 3 4 2" xfId="5782"/>
    <cellStyle name="표준 7 2 3 4 2 2" xfId="5783"/>
    <cellStyle name="표준 7 2 3 4 3" xfId="5784"/>
    <cellStyle name="표준 7 2 3 4 3 2" xfId="5785"/>
    <cellStyle name="표준 7 2 3 4 4" xfId="5786"/>
    <cellStyle name="표준 7 2 3 5" xfId="5787"/>
    <cellStyle name="표준 7 2 3 5 2" xfId="5788"/>
    <cellStyle name="표준 7 2 3 6" xfId="5789"/>
    <cellStyle name="표준 7 2 3 6 2" xfId="5790"/>
    <cellStyle name="표준 7 2 3 7" xfId="5791"/>
    <cellStyle name="표준 7 2 4 2 2 2 2" xfId="5792"/>
    <cellStyle name="표준 7 2 4 2 2 2 2 2" xfId="5793"/>
    <cellStyle name="표준 7 2 4 2 2 2 3" xfId="5794"/>
    <cellStyle name="표준 7 2 4 2 2 2 3 2" xfId="5795"/>
    <cellStyle name="표준 7 2 4 2 2 2 4" xfId="5796"/>
    <cellStyle name="표준 7 2 4 2 2 3" xfId="5797"/>
    <cellStyle name="표준 7 2 4 2 2 3 2" xfId="5798"/>
    <cellStyle name="표준 7 2 4 2 2 4" xfId="5799"/>
    <cellStyle name="표준 7 2 4 2 2 4 2" xfId="5800"/>
    <cellStyle name="표준 7 2 4 2 2 5" xfId="5801"/>
    <cellStyle name="표준 7 2 4 2 3 2" xfId="5802"/>
    <cellStyle name="표준 7 2 4 2 3 2 2" xfId="5803"/>
    <cellStyle name="표준 7 2 4 2 3 3" xfId="5804"/>
    <cellStyle name="표준 7 2 4 2 3 3 2" xfId="5805"/>
    <cellStyle name="표준 7 2 4 2 3 4" xfId="5806"/>
    <cellStyle name="표준 7 2 4 2 4" xfId="5807"/>
    <cellStyle name="표준 7 2 4 2 4 2" xfId="5808"/>
    <cellStyle name="표준 7 2 4 2 5" xfId="5809"/>
    <cellStyle name="표준 7 2 4 2 5 2" xfId="5810"/>
    <cellStyle name="표준 7 2 4 2 6" xfId="5811"/>
    <cellStyle name="표준 7 2 4 3 2 2" xfId="5812"/>
    <cellStyle name="표준 7 2 4 3 2 2 2" xfId="5813"/>
    <cellStyle name="표준 7 2 4 3 2 3" xfId="5814"/>
    <cellStyle name="표준 7 2 4 3 2 3 2" xfId="5815"/>
    <cellStyle name="표준 7 2 4 3 2 4" xfId="5816"/>
    <cellStyle name="표준 7 2 4 3 3" xfId="5817"/>
    <cellStyle name="표준 7 2 4 3 3 2" xfId="5818"/>
    <cellStyle name="표준 7 2 4 3 4" xfId="5819"/>
    <cellStyle name="표준 7 2 4 3 4 2" xfId="5820"/>
    <cellStyle name="표준 7 2 4 3 5" xfId="5821"/>
    <cellStyle name="표준 7 2 4 4 2" xfId="5822"/>
    <cellStyle name="표준 7 2 4 4 2 2" xfId="5823"/>
    <cellStyle name="표준 7 2 4 4 3" xfId="5824"/>
    <cellStyle name="표준 7 2 4 4 3 2" xfId="5825"/>
    <cellStyle name="표준 7 2 4 4 4" xfId="5826"/>
    <cellStyle name="표준 7 2 4 5" xfId="5827"/>
    <cellStyle name="표준 7 2 4 5 2" xfId="5828"/>
    <cellStyle name="표준 7 2 4 6" xfId="5829"/>
    <cellStyle name="표준 7 2 4 6 2" xfId="5830"/>
    <cellStyle name="표준 7 2 4 7" xfId="5831"/>
    <cellStyle name="표준 7 2 5 2 2 2 2" xfId="5832"/>
    <cellStyle name="표준 7 2 5 2 2 2 2 2" xfId="5833"/>
    <cellStyle name="표준 7 2 5 2 2 2 3" xfId="5834"/>
    <cellStyle name="표준 7 2 5 2 2 2 3 2" xfId="5835"/>
    <cellStyle name="표준 7 2 5 2 2 2 4" xfId="5836"/>
    <cellStyle name="표준 7 2 5 2 2 3" xfId="5837"/>
    <cellStyle name="표준 7 2 5 2 2 3 2" xfId="5838"/>
    <cellStyle name="표준 7 2 5 2 2 4" xfId="5839"/>
    <cellStyle name="표준 7 2 5 2 2 4 2" xfId="5840"/>
    <cellStyle name="표준 7 2 5 2 2 5" xfId="5841"/>
    <cellStyle name="표준 7 2 5 2 3 2" xfId="5842"/>
    <cellStyle name="표준 7 2 5 2 3 2 2" xfId="5843"/>
    <cellStyle name="표준 7 2 5 2 3 3" xfId="5844"/>
    <cellStyle name="표준 7 2 5 2 3 3 2" xfId="5845"/>
    <cellStyle name="표준 7 2 5 2 3 4" xfId="5846"/>
    <cellStyle name="표준 7 2 5 2 4" xfId="5847"/>
    <cellStyle name="표준 7 2 5 2 4 2" xfId="5848"/>
    <cellStyle name="표준 7 2 5 2 5" xfId="5849"/>
    <cellStyle name="표준 7 2 5 2 5 2" xfId="5850"/>
    <cellStyle name="표준 7 2 5 2 6" xfId="5851"/>
    <cellStyle name="표준 7 2 5 3 2 2" xfId="5852"/>
    <cellStyle name="표준 7 2 5 3 2 2 2" xfId="5853"/>
    <cellStyle name="표준 7 2 5 3 2 3" xfId="5854"/>
    <cellStyle name="표준 7 2 5 3 2 3 2" xfId="5855"/>
    <cellStyle name="표준 7 2 5 3 2 4" xfId="5856"/>
    <cellStyle name="표준 7 2 5 3 3" xfId="5857"/>
    <cellStyle name="표준 7 2 5 3 3 2" xfId="5858"/>
    <cellStyle name="표준 7 2 5 3 4" xfId="5859"/>
    <cellStyle name="표준 7 2 5 3 4 2" xfId="5860"/>
    <cellStyle name="표준 7 2 5 3 5" xfId="5861"/>
    <cellStyle name="표준 7 2 5 4 2" xfId="5862"/>
    <cellStyle name="표준 7 2 5 4 2 2" xfId="5863"/>
    <cellStyle name="표준 7 2 5 4 3" xfId="5864"/>
    <cellStyle name="표준 7 2 5 4 3 2" xfId="5865"/>
    <cellStyle name="표준 7 2 5 4 4" xfId="5866"/>
    <cellStyle name="표준 7 2 5 5" xfId="5867"/>
    <cellStyle name="표준 7 2 5 5 2" xfId="5868"/>
    <cellStyle name="표준 7 2 5 6" xfId="5869"/>
    <cellStyle name="표준 7 2 5 6 2" xfId="5870"/>
    <cellStyle name="표준 7 2 5 7" xfId="5871"/>
    <cellStyle name="표준 7 2 6 2 2 2" xfId="5872"/>
    <cellStyle name="표준 7 2 6 2 2 2 2" xfId="5873"/>
    <cellStyle name="표준 7 2 6 2 2 3" xfId="5874"/>
    <cellStyle name="표준 7 2 6 2 2 3 2" xfId="5875"/>
    <cellStyle name="표준 7 2 6 2 2 4" xfId="5876"/>
    <cellStyle name="표준 7 2 6 2 3" xfId="5877"/>
    <cellStyle name="표준 7 2 6 2 3 2" xfId="5878"/>
    <cellStyle name="표준 7 2 6 2 4" xfId="5879"/>
    <cellStyle name="표준 7 2 6 2 4 2" xfId="5880"/>
    <cellStyle name="표준 7 2 6 2 5" xfId="5881"/>
    <cellStyle name="표준 7 2 6 3 2" xfId="5882"/>
    <cellStyle name="표준 7 2 6 3 2 2" xfId="5883"/>
    <cellStyle name="표준 7 2 6 3 3" xfId="5884"/>
    <cellStyle name="표준 7 2 6 3 3 2" xfId="5885"/>
    <cellStyle name="표준 7 2 6 3 4" xfId="5886"/>
    <cellStyle name="표준 7 2 6 4" xfId="5887"/>
    <cellStyle name="표준 7 2 6 4 2" xfId="5888"/>
    <cellStyle name="표준 7 2 6 5" xfId="5889"/>
    <cellStyle name="표준 7 2 6 5 2" xfId="5890"/>
    <cellStyle name="표준 7 2 6 6" xfId="5891"/>
    <cellStyle name="표준 7 2 7 2 2" xfId="5892"/>
    <cellStyle name="표준 7 2 7 2 2 2" xfId="5893"/>
    <cellStyle name="표준 7 2 7 2 3" xfId="5894"/>
    <cellStyle name="표준 7 2 7 2 3 2" xfId="5895"/>
    <cellStyle name="표준 7 2 7 2 4" xfId="5896"/>
    <cellStyle name="표준 7 2 7 3" xfId="5897"/>
    <cellStyle name="표준 7 2 7 3 2" xfId="5898"/>
    <cellStyle name="표준 7 2 7 4" xfId="5899"/>
    <cellStyle name="표준 7 2 7 4 2" xfId="5900"/>
    <cellStyle name="표준 7 2 7 5" xfId="5901"/>
    <cellStyle name="표준 7 2 8 2" xfId="5902"/>
    <cellStyle name="표준 7 2 8 2 2" xfId="5903"/>
    <cellStyle name="표준 7 2 8 3" xfId="5904"/>
    <cellStyle name="표준 7 2 8 3 2" xfId="5905"/>
    <cellStyle name="표준 7 2 8 4" xfId="5906"/>
    <cellStyle name="표준 7 2 9" xfId="5907"/>
    <cellStyle name="표준 7 2 9 2" xfId="5908"/>
    <cellStyle name="표준 7 20 2 2 2" xfId="5909"/>
    <cellStyle name="표준 7 20 2 2 2 2" xfId="5910"/>
    <cellStyle name="표준 7 20 2 2 3" xfId="5911"/>
    <cellStyle name="표준 7 20 2 2 3 2" xfId="5912"/>
    <cellStyle name="표준 7 20 2 2 4" xfId="5913"/>
    <cellStyle name="표준 7 20 2 3" xfId="5914"/>
    <cellStyle name="표준 7 20 2 3 2" xfId="5915"/>
    <cellStyle name="표준 7 20 2 4" xfId="5916"/>
    <cellStyle name="표준 7 20 2 4 2" xfId="5917"/>
    <cellStyle name="표준 7 20 2 5" xfId="5918"/>
    <cellStyle name="표준 7 20 3 2" xfId="5919"/>
    <cellStyle name="표준 7 20 3 2 2" xfId="5920"/>
    <cellStyle name="표준 7 20 3 3" xfId="5921"/>
    <cellStyle name="표준 7 20 3 3 2" xfId="5922"/>
    <cellStyle name="표준 7 20 3 4" xfId="5923"/>
    <cellStyle name="표준 7 20 4" xfId="5924"/>
    <cellStyle name="표준 7 20 4 2" xfId="5925"/>
    <cellStyle name="표준 7 20 5" xfId="5926"/>
    <cellStyle name="표준 7 20 5 2" xfId="5927"/>
    <cellStyle name="표준 7 20 6" xfId="5928"/>
    <cellStyle name="표준 7 21 2 2" xfId="5929"/>
    <cellStyle name="표준 7 21 2 2 2" xfId="5930"/>
    <cellStyle name="표준 7 21 2 3" xfId="5931"/>
    <cellStyle name="표준 7 21 2 3 2" xfId="5932"/>
    <cellStyle name="표준 7 21 2 4" xfId="5933"/>
    <cellStyle name="표준 7 21 3" xfId="5934"/>
    <cellStyle name="표준 7 21 3 2" xfId="5935"/>
    <cellStyle name="표준 7 21 4" xfId="5936"/>
    <cellStyle name="표준 7 21 4 2" xfId="5937"/>
    <cellStyle name="표준 7 21 5" xfId="5938"/>
    <cellStyle name="표준 7 22 2" xfId="5939"/>
    <cellStyle name="표준 7 22 2 2" xfId="5940"/>
    <cellStyle name="표준 7 22 3" xfId="5941"/>
    <cellStyle name="표준 7 22 3 2" xfId="5942"/>
    <cellStyle name="표준 7 22 4" xfId="5943"/>
    <cellStyle name="표준 7 23" xfId="5944"/>
    <cellStyle name="표준 7 23 2" xfId="5945"/>
    <cellStyle name="표준 7 24" xfId="5946"/>
    <cellStyle name="표준 7 24 2" xfId="5947"/>
    <cellStyle name="표준 7 25" xfId="5948"/>
    <cellStyle name="표준 8 10 2 2 2 2" xfId="5949"/>
    <cellStyle name="표준 8 10 2 2 2 2 2" xfId="5950"/>
    <cellStyle name="표준 8 10 2 2 2 3" xfId="5951"/>
    <cellStyle name="표준 8 10 2 2 2 3 2" xfId="5952"/>
    <cellStyle name="표준 8 10 2 2 2 4" xfId="5953"/>
    <cellStyle name="표준 8 10 2 2 3" xfId="5954"/>
    <cellStyle name="표준 8 10 2 2 3 2" xfId="5955"/>
    <cellStyle name="표준 8 10 2 2 4" xfId="5956"/>
    <cellStyle name="표준 8 10 2 2 4 2" xfId="5957"/>
    <cellStyle name="표준 8 10 2 2 5" xfId="5958"/>
    <cellStyle name="표준 8 10 2 3 2" xfId="5959"/>
    <cellStyle name="표준 8 10 2 3 2 2" xfId="5960"/>
    <cellStyle name="표준 8 10 2 3 3" xfId="5961"/>
    <cellStyle name="표준 8 10 2 3 3 2" xfId="5962"/>
    <cellStyle name="표준 8 10 2 3 4" xfId="5963"/>
    <cellStyle name="표준 8 10 2 4" xfId="5964"/>
    <cellStyle name="표준 8 10 2 4 2" xfId="5965"/>
    <cellStyle name="표준 8 10 2 5" xfId="5966"/>
    <cellStyle name="표준 8 10 2 5 2" xfId="5967"/>
    <cellStyle name="표준 8 10 2 6" xfId="5968"/>
    <cellStyle name="표준 8 10 3 2 2" xfId="5969"/>
    <cellStyle name="표준 8 10 3 2 2 2" xfId="5970"/>
    <cellStyle name="표준 8 10 3 2 3" xfId="5971"/>
    <cellStyle name="표준 8 10 3 2 3 2" xfId="5972"/>
    <cellStyle name="표준 8 10 3 2 4" xfId="5973"/>
    <cellStyle name="표준 8 10 3 3" xfId="5974"/>
    <cellStyle name="표준 8 10 3 3 2" xfId="5975"/>
    <cellStyle name="표준 8 10 3 4" xfId="5976"/>
    <cellStyle name="표준 8 10 3 4 2" xfId="5977"/>
    <cellStyle name="표준 8 10 3 5" xfId="5978"/>
    <cellStyle name="표준 8 10 4 2" xfId="5979"/>
    <cellStyle name="표준 8 10 4 2 2" xfId="5980"/>
    <cellStyle name="표준 8 10 4 3" xfId="5981"/>
    <cellStyle name="표준 8 10 4 3 2" xfId="5982"/>
    <cellStyle name="표준 8 10 4 4" xfId="5983"/>
    <cellStyle name="표준 8 10 5" xfId="5984"/>
    <cellStyle name="표준 8 10 5 2" xfId="5985"/>
    <cellStyle name="표준 8 10 6" xfId="5986"/>
    <cellStyle name="표준 8 10 6 2" xfId="5987"/>
    <cellStyle name="표준 8 10 7" xfId="5988"/>
    <cellStyle name="표준 8 11 2 2 2 2" xfId="5989"/>
    <cellStyle name="표준 8 11 2 2 2 2 2" xfId="5990"/>
    <cellStyle name="표준 8 11 2 2 2 3" xfId="5991"/>
    <cellStyle name="표준 8 11 2 2 2 3 2" xfId="5992"/>
    <cellStyle name="표준 8 11 2 2 2 4" xfId="5993"/>
    <cellStyle name="표준 8 11 2 2 3" xfId="5994"/>
    <cellStyle name="표준 8 11 2 2 3 2" xfId="5995"/>
    <cellStyle name="표준 8 11 2 2 4" xfId="5996"/>
    <cellStyle name="표준 8 11 2 2 4 2" xfId="5997"/>
    <cellStyle name="표준 8 11 2 2 5" xfId="5998"/>
    <cellStyle name="표준 8 11 2 3 2" xfId="5999"/>
    <cellStyle name="표준 8 11 2 3 2 2" xfId="6000"/>
    <cellStyle name="표준 8 11 2 3 3" xfId="6001"/>
    <cellStyle name="표준 8 11 2 3 3 2" xfId="6002"/>
    <cellStyle name="표준 8 11 2 3 4" xfId="6003"/>
    <cellStyle name="표준 8 11 2 4" xfId="6004"/>
    <cellStyle name="표준 8 11 2 4 2" xfId="6005"/>
    <cellStyle name="표준 8 11 2 5" xfId="6006"/>
    <cellStyle name="표준 8 11 2 5 2" xfId="6007"/>
    <cellStyle name="표준 8 11 2 6" xfId="6008"/>
    <cellStyle name="표준 8 11 3 2 2" xfId="6009"/>
    <cellStyle name="표준 8 11 3 2 2 2" xfId="6010"/>
    <cellStyle name="표준 8 11 3 2 3" xfId="6011"/>
    <cellStyle name="표준 8 11 3 2 3 2" xfId="6012"/>
    <cellStyle name="표준 8 11 3 2 4" xfId="6013"/>
    <cellStyle name="표준 8 11 3 3" xfId="6014"/>
    <cellStyle name="표준 8 11 3 3 2" xfId="6015"/>
    <cellStyle name="표준 8 11 3 4" xfId="6016"/>
    <cellStyle name="표준 8 11 3 4 2" xfId="6017"/>
    <cellStyle name="표준 8 11 3 5" xfId="6018"/>
    <cellStyle name="표준 8 11 4 2" xfId="6019"/>
    <cellStyle name="표준 8 11 4 2 2" xfId="6020"/>
    <cellStyle name="표준 8 11 4 3" xfId="6021"/>
    <cellStyle name="표준 8 11 4 3 2" xfId="6022"/>
    <cellStyle name="표준 8 11 4 4" xfId="6023"/>
    <cellStyle name="표준 8 11 5" xfId="6024"/>
    <cellStyle name="표준 8 11 5 2" xfId="6025"/>
    <cellStyle name="표준 8 11 6" xfId="6026"/>
    <cellStyle name="표준 8 11 6 2" xfId="6027"/>
    <cellStyle name="표준 8 11 7" xfId="6028"/>
    <cellStyle name="표준 8 12 2 2 2 2" xfId="6029"/>
    <cellStyle name="표준 8 12 2 2 2 2 2" xfId="6030"/>
    <cellStyle name="표준 8 12 2 2 2 3" xfId="6031"/>
    <cellStyle name="표준 8 12 2 2 2 3 2" xfId="6032"/>
    <cellStyle name="표준 8 12 2 2 2 4" xfId="6033"/>
    <cellStyle name="표준 8 12 2 2 3" xfId="6034"/>
    <cellStyle name="표준 8 12 2 2 3 2" xfId="6035"/>
    <cellStyle name="표준 8 12 2 2 4" xfId="6036"/>
    <cellStyle name="표준 8 12 2 2 4 2" xfId="6037"/>
    <cellStyle name="표준 8 12 2 2 5" xfId="6038"/>
    <cellStyle name="표준 8 12 2 3 2" xfId="6039"/>
    <cellStyle name="표준 8 12 2 3 2 2" xfId="6040"/>
    <cellStyle name="표준 8 12 2 3 3" xfId="6041"/>
    <cellStyle name="표준 8 12 2 3 3 2" xfId="6042"/>
    <cellStyle name="표준 8 12 2 3 4" xfId="6043"/>
    <cellStyle name="표준 8 12 2 4" xfId="6044"/>
    <cellStyle name="표준 8 12 2 4 2" xfId="6045"/>
    <cellStyle name="표준 8 12 2 5" xfId="6046"/>
    <cellStyle name="표준 8 12 2 5 2" xfId="6047"/>
    <cellStyle name="표준 8 12 2 6" xfId="6048"/>
    <cellStyle name="표준 8 12 3 2 2" xfId="6049"/>
    <cellStyle name="표준 8 12 3 2 2 2" xfId="6050"/>
    <cellStyle name="표준 8 12 3 2 3" xfId="6051"/>
    <cellStyle name="표준 8 12 3 2 3 2" xfId="6052"/>
    <cellStyle name="표준 8 12 3 2 4" xfId="6053"/>
    <cellStyle name="표준 8 12 3 3" xfId="6054"/>
    <cellStyle name="표준 8 12 3 3 2" xfId="6055"/>
    <cellStyle name="표준 8 12 3 4" xfId="6056"/>
    <cellStyle name="표준 8 12 3 4 2" xfId="6057"/>
    <cellStyle name="표준 8 12 3 5" xfId="6058"/>
    <cellStyle name="표준 8 12 4 2" xfId="6059"/>
    <cellStyle name="표준 8 12 4 2 2" xfId="6060"/>
    <cellStyle name="표준 8 12 4 3" xfId="6061"/>
    <cellStyle name="표준 8 12 4 3 2" xfId="6062"/>
    <cellStyle name="표준 8 12 4 4" xfId="6063"/>
    <cellStyle name="표준 8 12 5" xfId="6064"/>
    <cellStyle name="표준 8 12 5 2" xfId="6065"/>
    <cellStyle name="표준 8 12 6" xfId="6066"/>
    <cellStyle name="표준 8 12 6 2" xfId="6067"/>
    <cellStyle name="표준 8 12 7" xfId="6068"/>
    <cellStyle name="표준 8 14 2 2 2" xfId="6069"/>
    <cellStyle name="표준 8 14 2 2 2 2" xfId="6070"/>
    <cellStyle name="표준 8 14 2 2 3" xfId="6071"/>
    <cellStyle name="표준 8 14 2 2 3 2" xfId="6072"/>
    <cellStyle name="표준 8 14 2 2 4" xfId="6073"/>
    <cellStyle name="표준 8 14 2 3" xfId="6074"/>
    <cellStyle name="표준 8 14 2 3 2" xfId="6075"/>
    <cellStyle name="표준 8 14 2 4" xfId="6076"/>
    <cellStyle name="표준 8 14 2 4 2" xfId="6077"/>
    <cellStyle name="표준 8 14 2 5" xfId="6078"/>
    <cellStyle name="표준 8 14 3 2" xfId="6079"/>
    <cellStyle name="표준 8 14 3 2 2" xfId="6080"/>
    <cellStyle name="표준 8 14 3 3" xfId="6081"/>
    <cellStyle name="표준 8 14 3 3 2" xfId="6082"/>
    <cellStyle name="표준 8 14 3 4" xfId="6083"/>
    <cellStyle name="표준 8 14 4" xfId="6084"/>
    <cellStyle name="표준 8 14 4 2" xfId="6085"/>
    <cellStyle name="표준 8 14 5" xfId="6086"/>
    <cellStyle name="표준 8 14 5 2" xfId="6087"/>
    <cellStyle name="표준 8 14 6" xfId="6088"/>
    <cellStyle name="표준 8 15 2 2" xfId="6089"/>
    <cellStyle name="표준 8 15 2 2 2" xfId="6090"/>
    <cellStyle name="표준 8 15 2 3" xfId="6091"/>
    <cellStyle name="표준 8 15 2 3 2" xfId="6092"/>
    <cellStyle name="표준 8 15 2 4" xfId="6093"/>
    <cellStyle name="표준 8 15 3" xfId="6094"/>
    <cellStyle name="표준 8 15 3 2" xfId="6095"/>
    <cellStyle name="표준 8 15 4" xfId="6096"/>
    <cellStyle name="표준 8 15 4 2" xfId="6097"/>
    <cellStyle name="표준 8 15 5" xfId="6098"/>
    <cellStyle name="표준 8 16 2" xfId="6099"/>
    <cellStyle name="표준 8 16 2 2" xfId="6100"/>
    <cellStyle name="표준 8 16 3" xfId="6101"/>
    <cellStyle name="표준 8 16 3 2" xfId="6102"/>
    <cellStyle name="표준 8 16 4" xfId="6103"/>
    <cellStyle name="표준 8 17" xfId="6104"/>
    <cellStyle name="표준 8 17 2" xfId="6105"/>
    <cellStyle name="표준 8 18" xfId="6106"/>
    <cellStyle name="표준 8 18 2" xfId="6107"/>
    <cellStyle name="표준 8 19" xfId="6108"/>
    <cellStyle name="표준 8 2 10" xfId="6109"/>
    <cellStyle name="표준 8 2 2 2 2 2 2" xfId="6110"/>
    <cellStyle name="표준 8 2 2 2 2 2 2 2" xfId="6111"/>
    <cellStyle name="표준 8 2 2 2 2 2 3" xfId="6112"/>
    <cellStyle name="표준 8 2 2 2 2 2 3 2" xfId="6113"/>
    <cellStyle name="표준 8 2 2 2 2 2 4" xfId="6114"/>
    <cellStyle name="표준 8 2 2 2 2 3" xfId="6115"/>
    <cellStyle name="표준 8 2 2 2 2 3 2" xfId="6116"/>
    <cellStyle name="표준 8 2 2 2 2 4" xfId="6117"/>
    <cellStyle name="표준 8 2 2 2 2 4 2" xfId="6118"/>
    <cellStyle name="표준 8 2 2 2 2 5" xfId="6119"/>
    <cellStyle name="표준 8 2 2 2 3 2" xfId="6120"/>
    <cellStyle name="표준 8 2 2 2 3 2 2" xfId="6121"/>
    <cellStyle name="표준 8 2 2 2 3 3" xfId="6122"/>
    <cellStyle name="표준 8 2 2 2 3 3 2" xfId="6123"/>
    <cellStyle name="표준 8 2 2 2 3 4" xfId="6124"/>
    <cellStyle name="표준 8 2 2 2 4" xfId="6125"/>
    <cellStyle name="표준 8 2 2 2 4 2" xfId="6126"/>
    <cellStyle name="표준 8 2 2 2 5" xfId="6127"/>
    <cellStyle name="표준 8 2 2 2 5 2" xfId="6128"/>
    <cellStyle name="표준 8 2 2 2 6" xfId="6129"/>
    <cellStyle name="표준 8 2 2 3 2 2" xfId="6130"/>
    <cellStyle name="표준 8 2 2 3 2 2 2" xfId="6131"/>
    <cellStyle name="표준 8 2 2 3 2 3" xfId="6132"/>
    <cellStyle name="표준 8 2 2 3 2 3 2" xfId="6133"/>
    <cellStyle name="표준 8 2 2 3 2 4" xfId="6134"/>
    <cellStyle name="표준 8 2 2 3 3" xfId="6135"/>
    <cellStyle name="표준 8 2 2 3 3 2" xfId="6136"/>
    <cellStyle name="표준 8 2 2 3 4" xfId="6137"/>
    <cellStyle name="표준 8 2 2 3 4 2" xfId="6138"/>
    <cellStyle name="표준 8 2 2 3 5" xfId="6139"/>
    <cellStyle name="표준 8 2 2 4 2" xfId="6140"/>
    <cellStyle name="표준 8 2 2 4 2 2" xfId="6141"/>
    <cellStyle name="표준 8 2 2 4 3" xfId="6142"/>
    <cellStyle name="표준 8 2 2 4 3 2" xfId="6143"/>
    <cellStyle name="표준 8 2 2 4 4" xfId="6144"/>
    <cellStyle name="표준 8 2 2 5" xfId="6145"/>
    <cellStyle name="표준 8 2 2 5 2" xfId="6146"/>
    <cellStyle name="표준 8 2 2 6" xfId="6147"/>
    <cellStyle name="표준 8 2 2 6 2" xfId="6148"/>
    <cellStyle name="표준 8 2 2 7" xfId="6149"/>
    <cellStyle name="표준 8 2 3 2 2 2 2" xfId="6150"/>
    <cellStyle name="표준 8 2 3 2 2 2 2 2" xfId="6151"/>
    <cellStyle name="표준 8 2 3 2 2 2 3" xfId="6152"/>
    <cellStyle name="표준 8 2 3 2 2 2 3 2" xfId="6153"/>
    <cellStyle name="표준 8 2 3 2 2 2 4" xfId="6154"/>
    <cellStyle name="표준 8 2 3 2 2 3" xfId="6155"/>
    <cellStyle name="표준 8 2 3 2 2 3 2" xfId="6156"/>
    <cellStyle name="표준 8 2 3 2 2 4" xfId="6157"/>
    <cellStyle name="표준 8 2 3 2 2 4 2" xfId="6158"/>
    <cellStyle name="표준 8 2 3 2 2 5" xfId="6159"/>
    <cellStyle name="표준 8 2 3 2 3 2" xfId="6160"/>
    <cellStyle name="표준 8 2 3 2 3 2 2" xfId="6161"/>
    <cellStyle name="표준 8 2 3 2 3 3" xfId="6162"/>
    <cellStyle name="표준 8 2 3 2 3 3 2" xfId="6163"/>
    <cellStyle name="표준 8 2 3 2 3 4" xfId="6164"/>
    <cellStyle name="표준 8 2 3 2 4" xfId="6165"/>
    <cellStyle name="표준 8 2 3 2 4 2" xfId="6166"/>
    <cellStyle name="표준 8 2 3 2 5" xfId="6167"/>
    <cellStyle name="표준 8 2 3 2 5 2" xfId="6168"/>
    <cellStyle name="표준 8 2 3 2 6" xfId="6169"/>
    <cellStyle name="표준 8 2 3 3 2 2" xfId="6170"/>
    <cellStyle name="표준 8 2 3 3 2 2 2" xfId="6171"/>
    <cellStyle name="표준 8 2 3 3 2 3" xfId="6172"/>
    <cellStyle name="표준 8 2 3 3 2 3 2" xfId="6173"/>
    <cellStyle name="표준 8 2 3 3 2 4" xfId="6174"/>
    <cellStyle name="표준 8 2 3 3 3" xfId="6175"/>
    <cellStyle name="표준 8 2 3 3 3 2" xfId="6176"/>
    <cellStyle name="표준 8 2 3 3 4" xfId="6177"/>
    <cellStyle name="표준 8 2 3 3 4 2" xfId="6178"/>
    <cellStyle name="표준 8 2 3 3 5" xfId="6179"/>
    <cellStyle name="표준 8 2 3 4 2" xfId="6180"/>
    <cellStyle name="표준 8 2 3 4 2 2" xfId="6181"/>
    <cellStyle name="표준 8 2 3 4 3" xfId="6182"/>
    <cellStyle name="표준 8 2 3 4 3 2" xfId="6183"/>
    <cellStyle name="표준 8 2 3 4 4" xfId="6184"/>
    <cellStyle name="표준 8 2 3 5" xfId="6185"/>
    <cellStyle name="표준 8 2 3 5 2" xfId="6186"/>
    <cellStyle name="표준 8 2 3 6" xfId="6187"/>
    <cellStyle name="표준 8 2 3 6 2" xfId="6188"/>
    <cellStyle name="표준 8 2 3 7" xfId="6189"/>
    <cellStyle name="표준 8 2 4 2 2 2 2" xfId="6190"/>
    <cellStyle name="표준 8 2 4 2 2 2 2 2" xfId="6191"/>
    <cellStyle name="표준 8 2 4 2 2 2 3" xfId="6192"/>
    <cellStyle name="표준 8 2 4 2 2 2 3 2" xfId="6193"/>
    <cellStyle name="표준 8 2 4 2 2 2 4" xfId="6194"/>
    <cellStyle name="표준 8 2 4 2 2 3" xfId="6195"/>
    <cellStyle name="표준 8 2 4 2 2 3 2" xfId="6196"/>
    <cellStyle name="표준 8 2 4 2 2 4" xfId="6197"/>
    <cellStyle name="표준 8 2 4 2 2 4 2" xfId="6198"/>
    <cellStyle name="표준 8 2 4 2 2 5" xfId="6199"/>
    <cellStyle name="표준 8 2 4 2 3 2" xfId="6200"/>
    <cellStyle name="표준 8 2 4 2 3 2 2" xfId="6201"/>
    <cellStyle name="표준 8 2 4 2 3 3" xfId="6202"/>
    <cellStyle name="표준 8 2 4 2 3 3 2" xfId="6203"/>
    <cellStyle name="표준 8 2 4 2 3 4" xfId="6204"/>
    <cellStyle name="표준 8 2 4 2 4" xfId="6205"/>
    <cellStyle name="표준 8 2 4 2 4 2" xfId="6206"/>
    <cellStyle name="표준 8 2 4 2 5" xfId="6207"/>
    <cellStyle name="표준 8 2 4 2 5 2" xfId="6208"/>
    <cellStyle name="표준 8 2 4 2 6" xfId="6209"/>
    <cellStyle name="표준 8 2 4 3 2 2" xfId="6210"/>
    <cellStyle name="표준 8 2 4 3 2 2 2" xfId="6211"/>
    <cellStyle name="표준 8 2 4 3 2 3" xfId="6212"/>
    <cellStyle name="표준 8 2 4 3 2 3 2" xfId="6213"/>
    <cellStyle name="표준 8 2 4 3 2 4" xfId="6214"/>
    <cellStyle name="표준 8 2 4 3 3" xfId="6215"/>
    <cellStyle name="표준 8 2 4 3 3 2" xfId="6216"/>
    <cellStyle name="표준 8 2 4 3 4" xfId="6217"/>
    <cellStyle name="표준 8 2 4 3 4 2" xfId="6218"/>
    <cellStyle name="표준 8 2 4 3 5" xfId="6219"/>
    <cellStyle name="표준 8 2 4 4 2" xfId="6220"/>
    <cellStyle name="표준 8 2 4 4 2 2" xfId="6221"/>
    <cellStyle name="표준 8 2 4 4 3" xfId="6222"/>
    <cellStyle name="표준 8 2 4 4 3 2" xfId="6223"/>
    <cellStyle name="표준 8 2 4 4 4" xfId="6224"/>
    <cellStyle name="표준 8 2 4 5" xfId="6225"/>
    <cellStyle name="표준 8 2 4 5 2" xfId="6226"/>
    <cellStyle name="표준 8 2 4 6" xfId="6227"/>
    <cellStyle name="표준 8 2 4 6 2" xfId="6228"/>
    <cellStyle name="표준 8 2 4 7" xfId="6229"/>
    <cellStyle name="표준 8 2 5 2 2 2" xfId="6230"/>
    <cellStyle name="표준 8 2 5 2 2 2 2" xfId="6231"/>
    <cellStyle name="표준 8 2 5 2 2 3" xfId="6232"/>
    <cellStyle name="표준 8 2 5 2 2 3 2" xfId="6233"/>
    <cellStyle name="표준 8 2 5 2 2 4" xfId="6234"/>
    <cellStyle name="표준 8 2 5 2 3" xfId="6235"/>
    <cellStyle name="표준 8 2 5 2 3 2" xfId="6236"/>
    <cellStyle name="표준 8 2 5 2 4" xfId="6237"/>
    <cellStyle name="표준 8 2 5 2 4 2" xfId="6238"/>
    <cellStyle name="표준 8 2 5 2 5" xfId="6239"/>
    <cellStyle name="표준 8 2 5 3 2" xfId="6240"/>
    <cellStyle name="표준 8 2 5 3 2 2" xfId="6241"/>
    <cellStyle name="표준 8 2 5 3 3" xfId="6242"/>
    <cellStyle name="표준 8 2 5 3 3 2" xfId="6243"/>
    <cellStyle name="표준 8 2 5 3 4" xfId="6244"/>
    <cellStyle name="표준 8 2 5 4" xfId="6245"/>
    <cellStyle name="표준 8 2 5 4 2" xfId="6246"/>
    <cellStyle name="표준 8 2 5 5" xfId="6247"/>
    <cellStyle name="표준 8 2 5 5 2" xfId="6248"/>
    <cellStyle name="표준 8 2 5 6" xfId="6249"/>
    <cellStyle name="표준 8 2 6 2 2" xfId="6250"/>
    <cellStyle name="표준 8 2 6 2 2 2" xfId="6251"/>
    <cellStyle name="표준 8 2 6 2 3" xfId="6252"/>
    <cellStyle name="표준 8 2 6 2 3 2" xfId="6253"/>
    <cellStyle name="표준 8 2 6 2 4" xfId="6254"/>
    <cellStyle name="표준 8 2 6 3" xfId="6255"/>
    <cellStyle name="표준 8 2 6 3 2" xfId="6256"/>
    <cellStyle name="표준 8 2 6 4" xfId="6257"/>
    <cellStyle name="표준 8 2 6 4 2" xfId="6258"/>
    <cellStyle name="표준 8 2 6 5" xfId="6259"/>
    <cellStyle name="표준 8 2 7 2" xfId="6260"/>
    <cellStyle name="표준 8 2 7 2 2" xfId="6261"/>
    <cellStyle name="표준 8 2 7 3" xfId="6262"/>
    <cellStyle name="표준 8 2 7 3 2" xfId="6263"/>
    <cellStyle name="표준 8 2 7 4" xfId="6264"/>
    <cellStyle name="표준 8 2 8" xfId="6265"/>
    <cellStyle name="표준 8 2 8 2" xfId="6266"/>
    <cellStyle name="표준 8 2 9" xfId="6267"/>
    <cellStyle name="표준 8 2 9 2" xfId="6268"/>
    <cellStyle name="표준 8 4 10" xfId="6269"/>
    <cellStyle name="표준 8 4 2 2 2 2 2" xfId="6270"/>
    <cellStyle name="표준 8 4 2 2 2 2 2 2" xfId="6271"/>
    <cellStyle name="표준 8 4 2 2 2 2 3" xfId="6272"/>
    <cellStyle name="표준 8 4 2 2 2 2 3 2" xfId="6273"/>
    <cellStyle name="표준 8 4 2 2 2 2 4" xfId="6274"/>
    <cellStyle name="표준 8 4 2 2 2 3" xfId="6275"/>
    <cellStyle name="표준 8 4 2 2 2 3 2" xfId="6276"/>
    <cellStyle name="표준 8 4 2 2 2 4" xfId="6277"/>
    <cellStyle name="표준 8 4 2 2 2 4 2" xfId="6278"/>
    <cellStyle name="표준 8 4 2 2 2 5" xfId="6279"/>
    <cellStyle name="표준 8 4 2 2 3 2" xfId="6280"/>
    <cellStyle name="표준 8 4 2 2 3 2 2" xfId="6281"/>
    <cellStyle name="표준 8 4 2 2 3 3" xfId="6282"/>
    <cellStyle name="표준 8 4 2 2 3 3 2" xfId="6283"/>
    <cellStyle name="표준 8 4 2 2 3 4" xfId="6284"/>
    <cellStyle name="표준 8 4 2 2 4" xfId="6285"/>
    <cellStyle name="표준 8 4 2 2 4 2" xfId="6286"/>
    <cellStyle name="표준 8 4 2 2 5" xfId="6287"/>
    <cellStyle name="표준 8 4 2 2 5 2" xfId="6288"/>
    <cellStyle name="표준 8 4 2 2 6" xfId="6289"/>
    <cellStyle name="표준 8 4 2 3 2 2" xfId="6290"/>
    <cellStyle name="표준 8 4 2 3 2 2 2" xfId="6291"/>
    <cellStyle name="표준 8 4 2 3 2 3" xfId="6292"/>
    <cellStyle name="표준 8 4 2 3 2 3 2" xfId="6293"/>
    <cellStyle name="표준 8 4 2 3 2 4" xfId="6294"/>
    <cellStyle name="표준 8 4 2 3 3" xfId="6295"/>
    <cellStyle name="표준 8 4 2 3 3 2" xfId="6296"/>
    <cellStyle name="표준 8 4 2 3 4" xfId="6297"/>
    <cellStyle name="표준 8 4 2 3 4 2" xfId="6298"/>
    <cellStyle name="표준 8 4 2 3 5" xfId="6299"/>
    <cellStyle name="표준 8 4 2 4 2" xfId="6300"/>
    <cellStyle name="표준 8 4 2 4 2 2" xfId="6301"/>
    <cellStyle name="표준 8 4 2 4 3" xfId="6302"/>
    <cellStyle name="표준 8 4 2 4 3 2" xfId="6303"/>
    <cellStyle name="표준 8 4 2 4 4" xfId="6304"/>
    <cellStyle name="표준 8 4 2 5" xfId="6305"/>
    <cellStyle name="표준 8 4 2 5 2" xfId="6306"/>
    <cellStyle name="표준 8 4 2 6" xfId="6307"/>
    <cellStyle name="표준 8 4 2 6 2" xfId="6308"/>
    <cellStyle name="표준 8 4 2 7" xfId="6309"/>
    <cellStyle name="표준 8 4 3 2 2 2 2" xfId="6310"/>
    <cellStyle name="표준 8 4 3 2 2 2 2 2" xfId="6311"/>
    <cellStyle name="표준 8 4 3 2 2 2 3" xfId="6312"/>
    <cellStyle name="표준 8 4 3 2 2 2 3 2" xfId="6313"/>
    <cellStyle name="표준 8 4 3 2 2 2 4" xfId="6314"/>
    <cellStyle name="표준 8 4 3 2 2 3" xfId="6315"/>
    <cellStyle name="표준 8 4 3 2 2 3 2" xfId="6316"/>
    <cellStyle name="표준 8 4 3 2 2 4" xfId="6317"/>
    <cellStyle name="표준 8 4 3 2 2 4 2" xfId="6318"/>
    <cellStyle name="표준 8 4 3 2 2 5" xfId="6319"/>
    <cellStyle name="표준 8 4 3 2 3 2" xfId="6320"/>
    <cellStyle name="표준 8 4 3 2 3 2 2" xfId="6321"/>
    <cellStyle name="표준 8 4 3 2 3 3" xfId="6322"/>
    <cellStyle name="표준 8 4 3 2 3 3 2" xfId="6323"/>
    <cellStyle name="표준 8 4 3 2 3 4" xfId="6324"/>
    <cellStyle name="표준 8 4 3 2 4" xfId="6325"/>
    <cellStyle name="표준 8 4 3 2 4 2" xfId="6326"/>
    <cellStyle name="표준 8 4 3 2 5" xfId="6327"/>
    <cellStyle name="표준 8 4 3 2 5 2" xfId="6328"/>
    <cellStyle name="표준 8 4 3 2 6" xfId="6329"/>
    <cellStyle name="표준 8 4 3 3 2 2" xfId="6330"/>
    <cellStyle name="표준 8 4 3 3 2 2 2" xfId="6331"/>
    <cellStyle name="표준 8 4 3 3 2 3" xfId="6332"/>
    <cellStyle name="표준 8 4 3 3 2 3 2" xfId="6333"/>
    <cellStyle name="표준 8 4 3 3 2 4" xfId="6334"/>
    <cellStyle name="표준 8 4 3 3 3" xfId="6335"/>
    <cellStyle name="표준 8 4 3 3 3 2" xfId="6336"/>
    <cellStyle name="표준 8 4 3 3 4" xfId="6337"/>
    <cellStyle name="표준 8 4 3 3 4 2" xfId="6338"/>
    <cellStyle name="표준 8 4 3 3 5" xfId="6339"/>
    <cellStyle name="표준 8 4 3 4 2" xfId="6340"/>
    <cellStyle name="표준 8 4 3 4 2 2" xfId="6341"/>
    <cellStyle name="표준 8 4 3 4 3" xfId="6342"/>
    <cellStyle name="표준 8 4 3 4 3 2" xfId="6343"/>
    <cellStyle name="표준 8 4 3 4 4" xfId="6344"/>
    <cellStyle name="표준 8 4 3 5" xfId="6345"/>
    <cellStyle name="표준 8 4 3 5 2" xfId="6346"/>
    <cellStyle name="표준 8 4 3 6" xfId="6347"/>
    <cellStyle name="표준 8 4 3 6 2" xfId="6348"/>
    <cellStyle name="표준 8 4 3 7" xfId="6349"/>
    <cellStyle name="표준 8 4 4 2 2 2 2" xfId="6350"/>
    <cellStyle name="표준 8 4 4 2 2 2 2 2" xfId="6351"/>
    <cellStyle name="표준 8 4 4 2 2 2 3" xfId="6352"/>
    <cellStyle name="표준 8 4 4 2 2 2 3 2" xfId="6353"/>
    <cellStyle name="표준 8 4 4 2 2 2 4" xfId="6354"/>
    <cellStyle name="표준 8 4 4 2 2 3" xfId="6355"/>
    <cellStyle name="표준 8 4 4 2 2 3 2" xfId="6356"/>
    <cellStyle name="표준 8 4 4 2 2 4" xfId="6357"/>
    <cellStyle name="표준 8 4 4 2 2 4 2" xfId="6358"/>
    <cellStyle name="표준 8 4 4 2 2 5" xfId="6359"/>
    <cellStyle name="표준 8 4 4 2 3 2" xfId="6360"/>
    <cellStyle name="표준 8 4 4 2 3 2 2" xfId="6361"/>
    <cellStyle name="표준 8 4 4 2 3 3" xfId="6362"/>
    <cellStyle name="표준 8 4 4 2 3 3 2" xfId="6363"/>
    <cellStyle name="표준 8 4 4 2 3 4" xfId="6364"/>
    <cellStyle name="표준 8 4 4 2 4" xfId="6365"/>
    <cellStyle name="표준 8 4 4 2 4 2" xfId="6366"/>
    <cellStyle name="표준 8 4 4 2 5" xfId="6367"/>
    <cellStyle name="표준 8 4 4 2 5 2" xfId="6368"/>
    <cellStyle name="표준 8 4 4 2 6" xfId="6369"/>
    <cellStyle name="표준 8 4 4 3 2 2" xfId="6370"/>
    <cellStyle name="표준 8 4 4 3 2 2 2" xfId="6371"/>
    <cellStyle name="표준 8 4 4 3 2 3" xfId="6372"/>
    <cellStyle name="표준 8 4 4 3 2 3 2" xfId="6373"/>
    <cellStyle name="표준 8 4 4 3 2 4" xfId="6374"/>
    <cellStyle name="표준 8 4 4 3 3" xfId="6375"/>
    <cellStyle name="표준 8 4 4 3 3 2" xfId="6376"/>
    <cellStyle name="표준 8 4 4 3 4" xfId="6377"/>
    <cellStyle name="표준 8 4 4 3 4 2" xfId="6378"/>
    <cellStyle name="표준 8 4 4 3 5" xfId="6379"/>
    <cellStyle name="표준 8 4 4 4 2" xfId="6380"/>
    <cellStyle name="표준 8 4 4 4 2 2" xfId="6381"/>
    <cellStyle name="표준 8 4 4 4 3" xfId="6382"/>
    <cellStyle name="표준 8 4 4 4 3 2" xfId="6383"/>
    <cellStyle name="표준 8 4 4 4 4" xfId="6384"/>
    <cellStyle name="표준 8 4 4 5" xfId="6385"/>
    <cellStyle name="표준 8 4 4 5 2" xfId="6386"/>
    <cellStyle name="표준 8 4 4 6" xfId="6387"/>
    <cellStyle name="표준 8 4 4 6 2" xfId="6388"/>
    <cellStyle name="표준 8 4 4 7" xfId="6389"/>
    <cellStyle name="표준 8 4 5 2 2 2" xfId="6390"/>
    <cellStyle name="표준 8 4 5 2 2 2 2" xfId="6391"/>
    <cellStyle name="표준 8 4 5 2 2 3" xfId="6392"/>
    <cellStyle name="표준 8 4 5 2 2 3 2" xfId="6393"/>
    <cellStyle name="표준 8 4 5 2 2 4" xfId="6394"/>
    <cellStyle name="표준 8 4 5 2 3" xfId="6395"/>
    <cellStyle name="표준 8 4 5 2 3 2" xfId="6396"/>
    <cellStyle name="표준 8 4 5 2 4" xfId="6397"/>
    <cellStyle name="표준 8 4 5 2 4 2" xfId="6398"/>
    <cellStyle name="표준 8 4 5 2 5" xfId="6399"/>
    <cellStyle name="표준 8 4 5 3 2" xfId="6400"/>
    <cellStyle name="표준 8 4 5 3 2 2" xfId="6401"/>
    <cellStyle name="표준 8 4 5 3 3" xfId="6402"/>
    <cellStyle name="표준 8 4 5 3 3 2" xfId="6403"/>
    <cellStyle name="표준 8 4 5 3 4" xfId="6404"/>
    <cellStyle name="표준 8 4 5 4" xfId="6405"/>
    <cellStyle name="표준 8 4 5 4 2" xfId="6406"/>
    <cellStyle name="표준 8 4 5 5" xfId="6407"/>
    <cellStyle name="표준 8 4 5 5 2" xfId="6408"/>
    <cellStyle name="표준 8 4 5 6" xfId="6409"/>
    <cellStyle name="표준 8 4 6 2 2" xfId="6410"/>
    <cellStyle name="표준 8 4 6 2 2 2" xfId="6411"/>
    <cellStyle name="표준 8 4 6 2 3" xfId="6412"/>
    <cellStyle name="표준 8 4 6 2 3 2" xfId="6413"/>
    <cellStyle name="표준 8 4 6 2 4" xfId="6414"/>
    <cellStyle name="표준 8 4 6 3" xfId="6415"/>
    <cellStyle name="표준 8 4 6 3 2" xfId="6416"/>
    <cellStyle name="표준 8 4 6 4" xfId="6417"/>
    <cellStyle name="표준 8 4 6 4 2" xfId="6418"/>
    <cellStyle name="표준 8 4 6 5" xfId="6419"/>
    <cellStyle name="표준 8 4 7 2" xfId="6420"/>
    <cellStyle name="표준 8 4 7 2 2" xfId="6421"/>
    <cellStyle name="표준 8 4 7 3" xfId="6422"/>
    <cellStyle name="표준 8 4 7 3 2" xfId="6423"/>
    <cellStyle name="표준 8 4 7 4" xfId="6424"/>
    <cellStyle name="표준 8 4 8" xfId="6425"/>
    <cellStyle name="표준 8 4 8 2" xfId="6426"/>
    <cellStyle name="표준 8 4 9" xfId="6427"/>
    <cellStyle name="표준 8 4 9 2" xfId="6428"/>
    <cellStyle name="표준 8 5 10" xfId="6429"/>
    <cellStyle name="표준 8 5 2 2 2 2 2" xfId="6430"/>
    <cellStyle name="표준 8 5 2 2 2 2 2 2" xfId="6431"/>
    <cellStyle name="표준 8 5 2 2 2 2 3" xfId="6432"/>
    <cellStyle name="표준 8 5 2 2 2 2 3 2" xfId="6433"/>
    <cellStyle name="표준 8 5 2 2 2 2 4" xfId="6434"/>
    <cellStyle name="표준 8 5 2 2 2 3" xfId="6435"/>
    <cellStyle name="표준 8 5 2 2 2 3 2" xfId="6436"/>
    <cellStyle name="표준 8 5 2 2 2 4" xfId="6437"/>
    <cellStyle name="표준 8 5 2 2 2 4 2" xfId="6438"/>
    <cellStyle name="표준 8 5 2 2 2 5" xfId="6439"/>
    <cellStyle name="표준 8 5 2 2 3 2" xfId="6440"/>
    <cellStyle name="표준 8 5 2 2 3 2 2" xfId="6441"/>
    <cellStyle name="표준 8 5 2 2 3 3" xfId="6442"/>
    <cellStyle name="표준 8 5 2 2 3 3 2" xfId="6443"/>
    <cellStyle name="표준 8 5 2 2 3 4" xfId="6444"/>
    <cellStyle name="표준 8 5 2 2 4" xfId="6445"/>
    <cellStyle name="표준 8 5 2 2 4 2" xfId="6446"/>
    <cellStyle name="표준 8 5 2 2 5" xfId="6447"/>
    <cellStyle name="표준 8 5 2 2 5 2" xfId="6448"/>
    <cellStyle name="표준 8 5 2 2 6" xfId="6449"/>
    <cellStyle name="표준 8 5 2 3 2 2" xfId="6450"/>
    <cellStyle name="표준 8 5 2 3 2 2 2" xfId="6451"/>
    <cellStyle name="표준 8 5 2 3 2 3" xfId="6452"/>
    <cellStyle name="표준 8 5 2 3 2 3 2" xfId="6453"/>
    <cellStyle name="표준 8 5 2 3 2 4" xfId="6454"/>
    <cellStyle name="표준 8 5 2 3 3" xfId="6455"/>
    <cellStyle name="표준 8 5 2 3 3 2" xfId="6456"/>
    <cellStyle name="표준 8 5 2 3 4" xfId="6457"/>
    <cellStyle name="표준 8 5 2 3 4 2" xfId="6458"/>
    <cellStyle name="표준 8 5 2 3 5" xfId="6459"/>
    <cellStyle name="표준 8 5 2 4 2" xfId="6460"/>
    <cellStyle name="표준 8 5 2 4 2 2" xfId="6461"/>
    <cellStyle name="표준 8 5 2 4 3" xfId="6462"/>
    <cellStyle name="표준 8 5 2 4 3 2" xfId="6463"/>
    <cellStyle name="표준 8 5 2 4 4" xfId="6464"/>
    <cellStyle name="표준 8 5 2 5" xfId="6465"/>
    <cellStyle name="표준 8 5 2 5 2" xfId="6466"/>
    <cellStyle name="표준 8 5 2 6" xfId="6467"/>
    <cellStyle name="표준 8 5 2 6 2" xfId="6468"/>
    <cellStyle name="표준 8 5 2 7" xfId="6469"/>
    <cellStyle name="표준 8 5 3 2 2 2 2" xfId="6470"/>
    <cellStyle name="표준 8 5 3 2 2 2 2 2" xfId="6471"/>
    <cellStyle name="표준 8 5 3 2 2 2 3" xfId="6472"/>
    <cellStyle name="표준 8 5 3 2 2 2 3 2" xfId="6473"/>
    <cellStyle name="표준 8 5 3 2 2 2 4" xfId="6474"/>
    <cellStyle name="표준 8 5 3 2 2 3" xfId="6475"/>
    <cellStyle name="표준 8 5 3 2 2 3 2" xfId="6476"/>
    <cellStyle name="표준 8 5 3 2 2 4" xfId="6477"/>
    <cellStyle name="표준 8 5 3 2 2 4 2" xfId="6478"/>
    <cellStyle name="표준 8 5 3 2 2 5" xfId="6479"/>
    <cellStyle name="표준 8 5 3 2 3 2" xfId="6480"/>
    <cellStyle name="표준 8 5 3 2 3 2 2" xfId="6481"/>
    <cellStyle name="표준 8 5 3 2 3 3" xfId="6482"/>
    <cellStyle name="표준 8 5 3 2 3 3 2" xfId="6483"/>
    <cellStyle name="표준 8 5 3 2 3 4" xfId="6484"/>
    <cellStyle name="표준 8 5 3 2 4" xfId="6485"/>
    <cellStyle name="표준 8 5 3 2 4 2" xfId="6486"/>
    <cellStyle name="표준 8 5 3 2 5" xfId="6487"/>
    <cellStyle name="표준 8 5 3 2 5 2" xfId="6488"/>
    <cellStyle name="표준 8 5 3 2 6" xfId="6489"/>
    <cellStyle name="표준 8 5 3 3 2 2" xfId="6490"/>
    <cellStyle name="표준 8 5 3 3 2 2 2" xfId="6491"/>
    <cellStyle name="표준 8 5 3 3 2 3" xfId="6492"/>
    <cellStyle name="표준 8 5 3 3 2 3 2" xfId="6493"/>
    <cellStyle name="표준 8 5 3 3 2 4" xfId="6494"/>
    <cellStyle name="표준 8 5 3 3 3" xfId="6495"/>
    <cellStyle name="표준 8 5 3 3 3 2" xfId="6496"/>
    <cellStyle name="표준 8 5 3 3 4" xfId="6497"/>
    <cellStyle name="표준 8 5 3 3 4 2" xfId="6498"/>
    <cellStyle name="표준 8 5 3 3 5" xfId="6499"/>
    <cellStyle name="표준 8 5 3 4 2" xfId="6500"/>
    <cellStyle name="표준 8 5 3 4 2 2" xfId="6501"/>
    <cellStyle name="표준 8 5 3 4 3" xfId="6502"/>
    <cellStyle name="표준 8 5 3 4 3 2" xfId="6503"/>
    <cellStyle name="표준 8 5 3 4 4" xfId="6504"/>
    <cellStyle name="표준 8 5 3 5" xfId="6505"/>
    <cellStyle name="표준 8 5 3 5 2" xfId="6506"/>
    <cellStyle name="표준 8 5 3 6" xfId="6507"/>
    <cellStyle name="표준 8 5 3 6 2" xfId="6508"/>
    <cellStyle name="표준 8 5 3 7" xfId="6509"/>
    <cellStyle name="표준 8 5 4 2 2 2 2" xfId="6510"/>
    <cellStyle name="표준 8 5 4 2 2 2 2 2" xfId="6511"/>
    <cellStyle name="표준 8 5 4 2 2 2 3" xfId="6512"/>
    <cellStyle name="표준 8 5 4 2 2 2 3 2" xfId="6513"/>
    <cellStyle name="표준 8 5 4 2 2 2 4" xfId="6514"/>
    <cellStyle name="표준 8 5 4 2 2 3" xfId="6515"/>
    <cellStyle name="표준 8 5 4 2 2 3 2" xfId="6516"/>
    <cellStyle name="표준 8 5 4 2 2 4" xfId="6517"/>
    <cellStyle name="표준 8 5 4 2 2 4 2" xfId="6518"/>
    <cellStyle name="표준 8 5 4 2 2 5" xfId="6519"/>
    <cellStyle name="표준 8 5 4 2 3 2" xfId="6520"/>
    <cellStyle name="표준 8 5 4 2 3 2 2" xfId="6521"/>
    <cellStyle name="표준 8 5 4 2 3 3" xfId="6522"/>
    <cellStyle name="표준 8 5 4 2 3 3 2" xfId="6523"/>
    <cellStyle name="표준 8 5 4 2 3 4" xfId="6524"/>
    <cellStyle name="표준 8 5 4 2 4" xfId="6525"/>
    <cellStyle name="표준 8 5 4 2 4 2" xfId="6526"/>
    <cellStyle name="표준 8 5 4 2 5" xfId="6527"/>
    <cellStyle name="표준 8 5 4 2 5 2" xfId="6528"/>
    <cellStyle name="표준 8 5 4 2 6" xfId="6529"/>
    <cellStyle name="표준 8 5 4 3 2 2" xfId="6530"/>
    <cellStyle name="표준 8 5 4 3 2 2 2" xfId="6531"/>
    <cellStyle name="표준 8 5 4 3 2 3" xfId="6532"/>
    <cellStyle name="표준 8 5 4 3 2 3 2" xfId="6533"/>
    <cellStyle name="표준 8 5 4 3 2 4" xfId="6534"/>
    <cellStyle name="표준 8 5 4 3 3" xfId="6535"/>
    <cellStyle name="표준 8 5 4 3 3 2" xfId="6536"/>
    <cellStyle name="표준 8 5 4 3 4" xfId="6537"/>
    <cellStyle name="표준 8 5 4 3 4 2" xfId="6538"/>
    <cellStyle name="표준 8 5 4 3 5" xfId="6539"/>
    <cellStyle name="표준 8 5 4 4 2" xfId="6540"/>
    <cellStyle name="표준 8 5 4 4 2 2" xfId="6541"/>
    <cellStyle name="표준 8 5 4 4 3" xfId="6542"/>
    <cellStyle name="표준 8 5 4 4 3 2" xfId="6543"/>
    <cellStyle name="표준 8 5 4 4 4" xfId="6544"/>
    <cellStyle name="표준 8 5 4 5" xfId="6545"/>
    <cellStyle name="표준 8 5 4 5 2" xfId="6546"/>
    <cellStyle name="표준 8 5 4 6" xfId="6547"/>
    <cellStyle name="표준 8 5 4 6 2" xfId="6548"/>
    <cellStyle name="표준 8 5 4 7" xfId="6549"/>
    <cellStyle name="표준 8 5 5 2 2 2" xfId="6550"/>
    <cellStyle name="표준 8 5 5 2 2 2 2" xfId="6551"/>
    <cellStyle name="표준 8 5 5 2 2 3" xfId="6552"/>
    <cellStyle name="표준 8 5 5 2 2 3 2" xfId="6553"/>
    <cellStyle name="표준 8 5 5 2 2 4" xfId="6554"/>
    <cellStyle name="표준 8 5 5 2 3" xfId="6555"/>
    <cellStyle name="표준 8 5 5 2 3 2" xfId="6556"/>
    <cellStyle name="표준 8 5 5 2 4" xfId="6557"/>
    <cellStyle name="표준 8 5 5 2 4 2" xfId="6558"/>
    <cellStyle name="표준 8 5 5 2 5" xfId="6559"/>
    <cellStyle name="표준 8 5 5 3 2" xfId="6560"/>
    <cellStyle name="표준 8 5 5 3 2 2" xfId="6561"/>
    <cellStyle name="표준 8 5 5 3 3" xfId="6562"/>
    <cellStyle name="표준 8 5 5 3 3 2" xfId="6563"/>
    <cellStyle name="표준 8 5 5 3 4" xfId="6564"/>
    <cellStyle name="표준 8 5 5 4" xfId="6565"/>
    <cellStyle name="표준 8 5 5 4 2" xfId="6566"/>
    <cellStyle name="표준 8 5 5 5" xfId="6567"/>
    <cellStyle name="표준 8 5 5 5 2" xfId="6568"/>
    <cellStyle name="표준 8 5 5 6" xfId="6569"/>
    <cellStyle name="표준 8 5 6 2 2" xfId="6570"/>
    <cellStyle name="표준 8 5 6 2 2 2" xfId="6571"/>
    <cellStyle name="표준 8 5 6 2 3" xfId="6572"/>
    <cellStyle name="표준 8 5 6 2 3 2" xfId="6573"/>
    <cellStyle name="표준 8 5 6 2 4" xfId="6574"/>
    <cellStyle name="표준 8 5 6 3" xfId="6575"/>
    <cellStyle name="표준 8 5 6 3 2" xfId="6576"/>
    <cellStyle name="표준 8 5 6 4" xfId="6577"/>
    <cellStyle name="표준 8 5 6 4 2" xfId="6578"/>
    <cellStyle name="표준 8 5 6 5" xfId="6579"/>
    <cellStyle name="표준 8 5 7 2" xfId="6580"/>
    <cellStyle name="표준 8 5 7 2 2" xfId="6581"/>
    <cellStyle name="표준 8 5 7 3" xfId="6582"/>
    <cellStyle name="표준 8 5 7 3 2" xfId="6583"/>
    <cellStyle name="표준 8 5 7 4" xfId="6584"/>
    <cellStyle name="표준 8 5 8" xfId="6585"/>
    <cellStyle name="표준 8 5 8 2" xfId="6586"/>
    <cellStyle name="표준 8 5 9" xfId="6587"/>
    <cellStyle name="표준 8 5 9 2" xfId="6588"/>
    <cellStyle name="표준 8 6 10" xfId="6589"/>
    <cellStyle name="표준 8 6 2 2 2 2 2" xfId="6590"/>
    <cellStyle name="표준 8 6 2 2 2 2 2 2" xfId="6591"/>
    <cellStyle name="표준 8 6 2 2 2 2 3" xfId="6592"/>
    <cellStyle name="표준 8 6 2 2 2 2 3 2" xfId="6593"/>
    <cellStyle name="표준 8 6 2 2 2 2 4" xfId="6594"/>
    <cellStyle name="표준 8 6 2 2 2 3" xfId="6595"/>
    <cellStyle name="표준 8 6 2 2 2 3 2" xfId="6596"/>
    <cellStyle name="표준 8 6 2 2 2 4" xfId="6597"/>
    <cellStyle name="표준 8 6 2 2 2 4 2" xfId="6598"/>
    <cellStyle name="표준 8 6 2 2 2 5" xfId="6599"/>
    <cellStyle name="표준 8 6 2 2 3 2" xfId="6600"/>
    <cellStyle name="표준 8 6 2 2 3 2 2" xfId="6601"/>
    <cellStyle name="표준 8 6 2 2 3 3" xfId="6602"/>
    <cellStyle name="표준 8 6 2 2 3 3 2" xfId="6603"/>
    <cellStyle name="표준 8 6 2 2 3 4" xfId="6604"/>
    <cellStyle name="표준 8 6 2 2 4" xfId="6605"/>
    <cellStyle name="표준 8 6 2 2 4 2" xfId="6606"/>
    <cellStyle name="표준 8 6 2 2 5" xfId="6607"/>
    <cellStyle name="표준 8 6 2 2 5 2" xfId="6608"/>
    <cellStyle name="표준 8 6 2 2 6" xfId="6609"/>
    <cellStyle name="표준 8 6 2 3 2 2" xfId="6610"/>
    <cellStyle name="표준 8 6 2 3 2 2 2" xfId="6611"/>
    <cellStyle name="표준 8 6 2 3 2 3" xfId="6612"/>
    <cellStyle name="표준 8 6 2 3 2 3 2" xfId="6613"/>
    <cellStyle name="표준 8 6 2 3 2 4" xfId="6614"/>
    <cellStyle name="표준 8 6 2 3 3" xfId="6615"/>
    <cellStyle name="표준 8 6 2 3 3 2" xfId="6616"/>
    <cellStyle name="표준 8 6 2 3 4" xfId="6617"/>
    <cellStyle name="표준 8 6 2 3 4 2" xfId="6618"/>
    <cellStyle name="표준 8 6 2 3 5" xfId="6619"/>
    <cellStyle name="표준 8 6 2 4 2" xfId="6620"/>
    <cellStyle name="표준 8 6 2 4 2 2" xfId="6621"/>
    <cellStyle name="표준 8 6 2 4 3" xfId="6622"/>
    <cellStyle name="표준 8 6 2 4 3 2" xfId="6623"/>
    <cellStyle name="표준 8 6 2 4 4" xfId="6624"/>
    <cellStyle name="표준 8 6 2 5" xfId="6625"/>
    <cellStyle name="표준 8 6 2 5 2" xfId="6626"/>
    <cellStyle name="표준 8 6 2 6" xfId="6627"/>
    <cellStyle name="표준 8 6 2 6 2" xfId="6628"/>
    <cellStyle name="표준 8 6 2 7" xfId="6629"/>
    <cellStyle name="표준 8 6 3 2 2 2 2" xfId="6630"/>
    <cellStyle name="표준 8 6 3 2 2 2 2 2" xfId="6631"/>
    <cellStyle name="표준 8 6 3 2 2 2 3" xfId="6632"/>
    <cellStyle name="표준 8 6 3 2 2 2 3 2" xfId="6633"/>
    <cellStyle name="표준 8 6 3 2 2 2 4" xfId="6634"/>
    <cellStyle name="표준 8 6 3 2 2 3" xfId="6635"/>
    <cellStyle name="표준 8 6 3 2 2 3 2" xfId="6636"/>
    <cellStyle name="표준 8 6 3 2 2 4" xfId="6637"/>
    <cellStyle name="표준 8 6 3 2 2 4 2" xfId="6638"/>
    <cellStyle name="표준 8 6 3 2 2 5" xfId="6639"/>
    <cellStyle name="표준 8 6 3 2 3 2" xfId="6640"/>
    <cellStyle name="표준 8 6 3 2 3 2 2" xfId="6641"/>
    <cellStyle name="표준 8 6 3 2 3 3" xfId="6642"/>
    <cellStyle name="표준 8 6 3 2 3 3 2" xfId="6643"/>
    <cellStyle name="표준 8 6 3 2 3 4" xfId="6644"/>
    <cellStyle name="표준 8 6 3 2 4" xfId="6645"/>
    <cellStyle name="표준 8 6 3 2 4 2" xfId="6646"/>
    <cellStyle name="표준 8 6 3 2 5" xfId="6647"/>
    <cellStyle name="표준 8 6 3 2 5 2" xfId="6648"/>
    <cellStyle name="표준 8 6 3 2 6" xfId="6649"/>
    <cellStyle name="표준 8 6 3 3 2 2" xfId="6650"/>
    <cellStyle name="표준 8 6 3 3 2 2 2" xfId="6651"/>
    <cellStyle name="표준 8 6 3 3 2 3" xfId="6652"/>
    <cellStyle name="표준 8 6 3 3 2 3 2" xfId="6653"/>
    <cellStyle name="표준 8 6 3 3 2 4" xfId="6654"/>
    <cellStyle name="표준 8 6 3 3 3" xfId="6655"/>
    <cellStyle name="표준 8 6 3 3 3 2" xfId="6656"/>
    <cellStyle name="표준 8 6 3 3 4" xfId="6657"/>
    <cellStyle name="표준 8 6 3 3 4 2" xfId="6658"/>
    <cellStyle name="표준 8 6 3 3 5" xfId="6659"/>
    <cellStyle name="표준 8 6 3 4 2" xfId="6660"/>
    <cellStyle name="표준 8 6 3 4 2 2" xfId="6661"/>
    <cellStyle name="표준 8 6 3 4 3" xfId="6662"/>
    <cellStyle name="표준 8 6 3 4 3 2" xfId="6663"/>
    <cellStyle name="표준 8 6 3 4 4" xfId="6664"/>
    <cellStyle name="표준 8 6 3 5" xfId="6665"/>
    <cellStyle name="표준 8 6 3 5 2" xfId="6666"/>
    <cellStyle name="표준 8 6 3 6" xfId="6667"/>
    <cellStyle name="표준 8 6 3 6 2" xfId="6668"/>
    <cellStyle name="표준 8 6 3 7" xfId="6669"/>
    <cellStyle name="표준 8 6 4 2 2 2 2" xfId="6670"/>
    <cellStyle name="표준 8 6 4 2 2 2 2 2" xfId="6671"/>
    <cellStyle name="표준 8 6 4 2 2 2 3" xfId="6672"/>
    <cellStyle name="표준 8 6 4 2 2 2 3 2" xfId="6673"/>
    <cellStyle name="표준 8 6 4 2 2 2 4" xfId="6674"/>
    <cellStyle name="표준 8 6 4 2 2 3" xfId="6675"/>
    <cellStyle name="표준 8 6 4 2 2 3 2" xfId="6676"/>
    <cellStyle name="표준 8 6 4 2 2 4" xfId="6677"/>
    <cellStyle name="표준 8 6 4 2 2 4 2" xfId="6678"/>
    <cellStyle name="표준 8 6 4 2 2 5" xfId="6679"/>
    <cellStyle name="표준 8 6 4 2 3 2" xfId="6680"/>
    <cellStyle name="표준 8 6 4 2 3 2 2" xfId="6681"/>
    <cellStyle name="표준 8 6 4 2 3 3" xfId="6682"/>
    <cellStyle name="표준 8 6 4 2 3 3 2" xfId="6683"/>
    <cellStyle name="표준 8 6 4 2 3 4" xfId="6684"/>
    <cellStyle name="표준 8 6 4 2 4" xfId="6685"/>
    <cellStyle name="표준 8 6 4 2 4 2" xfId="6686"/>
    <cellStyle name="표준 8 6 4 2 5" xfId="6687"/>
    <cellStyle name="표준 8 6 4 2 5 2" xfId="6688"/>
    <cellStyle name="표준 8 6 4 2 6" xfId="6689"/>
    <cellStyle name="표준 8 6 4 3 2 2" xfId="6690"/>
    <cellStyle name="표준 8 6 4 3 2 2 2" xfId="6691"/>
    <cellStyle name="표준 8 6 4 3 2 3" xfId="6692"/>
    <cellStyle name="표준 8 6 4 3 2 3 2" xfId="6693"/>
    <cellStyle name="표준 8 6 4 3 2 4" xfId="6694"/>
    <cellStyle name="표준 8 6 4 3 3" xfId="6695"/>
    <cellStyle name="표준 8 6 4 3 3 2" xfId="6696"/>
    <cellStyle name="표준 8 6 4 3 4" xfId="6697"/>
    <cellStyle name="표준 8 6 4 3 4 2" xfId="6698"/>
    <cellStyle name="표준 8 6 4 3 5" xfId="6699"/>
    <cellStyle name="표준 8 6 4 4 2" xfId="6700"/>
    <cellStyle name="표준 8 6 4 4 2 2" xfId="6701"/>
    <cellStyle name="표준 8 6 4 4 3" xfId="6702"/>
    <cellStyle name="표준 8 6 4 4 3 2" xfId="6703"/>
    <cellStyle name="표준 8 6 4 4 4" xfId="6704"/>
    <cellStyle name="표준 8 6 4 5" xfId="6705"/>
    <cellStyle name="표준 8 6 4 5 2" xfId="6706"/>
    <cellStyle name="표준 8 6 4 6" xfId="6707"/>
    <cellStyle name="표준 8 6 4 6 2" xfId="6708"/>
    <cellStyle name="표준 8 6 4 7" xfId="6709"/>
    <cellStyle name="표준 8 6 5 2 2 2" xfId="6710"/>
    <cellStyle name="표준 8 6 5 2 2 2 2" xfId="6711"/>
    <cellStyle name="표준 8 6 5 2 2 3" xfId="6712"/>
    <cellStyle name="표준 8 6 5 2 2 3 2" xfId="6713"/>
    <cellStyle name="표준 8 6 5 2 2 4" xfId="6714"/>
    <cellStyle name="표준 8 6 5 2 3" xfId="6715"/>
    <cellStyle name="표준 8 6 5 2 3 2" xfId="6716"/>
    <cellStyle name="표준 8 6 5 2 4" xfId="6717"/>
    <cellStyle name="표준 8 6 5 2 4 2" xfId="6718"/>
    <cellStyle name="표준 8 6 5 2 5" xfId="6719"/>
    <cellStyle name="표준 8 6 5 3 2" xfId="6720"/>
    <cellStyle name="표준 8 6 5 3 2 2" xfId="6721"/>
    <cellStyle name="표준 8 6 5 3 3" xfId="6722"/>
    <cellStyle name="표준 8 6 5 3 3 2" xfId="6723"/>
    <cellStyle name="표준 8 6 5 3 4" xfId="6724"/>
    <cellStyle name="표준 8 6 5 4" xfId="6725"/>
    <cellStyle name="표준 8 6 5 4 2" xfId="6726"/>
    <cellStyle name="표준 8 6 5 5" xfId="6727"/>
    <cellStyle name="표준 8 6 5 5 2" xfId="6728"/>
    <cellStyle name="표준 8 6 5 6" xfId="6729"/>
    <cellStyle name="표준 8 6 6 2 2" xfId="6730"/>
    <cellStyle name="표준 8 6 6 2 2 2" xfId="6731"/>
    <cellStyle name="표준 8 6 6 2 3" xfId="6732"/>
    <cellStyle name="표준 8 6 6 2 3 2" xfId="6733"/>
    <cellStyle name="표준 8 6 6 2 4" xfId="6734"/>
    <cellStyle name="표준 8 6 6 3" xfId="6735"/>
    <cellStyle name="표준 8 6 6 3 2" xfId="6736"/>
    <cellStyle name="표준 8 6 6 4" xfId="6737"/>
    <cellStyle name="표준 8 6 6 4 2" xfId="6738"/>
    <cellStyle name="표준 8 6 6 5" xfId="6739"/>
    <cellStyle name="표준 8 6 7 2" xfId="6740"/>
    <cellStyle name="표준 8 6 7 2 2" xfId="6741"/>
    <cellStyle name="표준 8 6 7 3" xfId="6742"/>
    <cellStyle name="표준 8 6 7 3 2" xfId="6743"/>
    <cellStyle name="표준 8 6 7 4" xfId="6744"/>
    <cellStyle name="표준 8 6 8" xfId="6745"/>
    <cellStyle name="표준 8 6 8 2" xfId="6746"/>
    <cellStyle name="표준 8 6 9" xfId="6747"/>
    <cellStyle name="표준 8 6 9 2" xfId="6748"/>
    <cellStyle name="표준 8 7 10" xfId="6749"/>
    <cellStyle name="표준 8 7 2 2 2 2 2" xfId="6750"/>
    <cellStyle name="표준 8 7 2 2 2 2 2 2" xfId="6751"/>
    <cellStyle name="표준 8 7 2 2 2 2 3" xfId="6752"/>
    <cellStyle name="표준 8 7 2 2 2 2 3 2" xfId="6753"/>
    <cellStyle name="표준 8 7 2 2 2 2 4" xfId="6754"/>
    <cellStyle name="표준 8 7 2 2 2 3" xfId="6755"/>
    <cellStyle name="표준 8 7 2 2 2 3 2" xfId="6756"/>
    <cellStyle name="표준 8 7 2 2 2 4" xfId="6757"/>
    <cellStyle name="표준 8 7 2 2 2 4 2" xfId="6758"/>
    <cellStyle name="표준 8 7 2 2 2 5" xfId="6759"/>
    <cellStyle name="표준 8 7 2 2 3 2" xfId="6760"/>
    <cellStyle name="표준 8 7 2 2 3 2 2" xfId="6761"/>
    <cellStyle name="표준 8 7 2 2 3 3" xfId="6762"/>
    <cellStyle name="표준 8 7 2 2 3 3 2" xfId="6763"/>
    <cellStyle name="표준 8 7 2 2 3 4" xfId="6764"/>
    <cellStyle name="표준 8 7 2 2 4" xfId="6765"/>
    <cellStyle name="표준 8 7 2 2 4 2" xfId="6766"/>
    <cellStyle name="표준 8 7 2 2 5" xfId="6767"/>
    <cellStyle name="표준 8 7 2 2 5 2" xfId="6768"/>
    <cellStyle name="표준 8 7 2 2 6" xfId="6769"/>
    <cellStyle name="표준 8 7 2 3 2 2" xfId="6770"/>
    <cellStyle name="표준 8 7 2 3 2 2 2" xfId="6771"/>
    <cellStyle name="표준 8 7 2 3 2 3" xfId="6772"/>
    <cellStyle name="표준 8 7 2 3 2 3 2" xfId="6773"/>
    <cellStyle name="표준 8 7 2 3 2 4" xfId="6774"/>
    <cellStyle name="표준 8 7 2 3 3" xfId="6775"/>
    <cellStyle name="표준 8 7 2 3 3 2" xfId="6776"/>
    <cellStyle name="표준 8 7 2 3 4" xfId="6777"/>
    <cellStyle name="표준 8 7 2 3 4 2" xfId="6778"/>
    <cellStyle name="표준 8 7 2 3 5" xfId="6779"/>
    <cellStyle name="표준 8 7 2 4 2" xfId="6780"/>
    <cellStyle name="표준 8 7 2 4 2 2" xfId="6781"/>
    <cellStyle name="표준 8 7 2 4 3" xfId="6782"/>
    <cellStyle name="표준 8 7 2 4 3 2" xfId="6783"/>
    <cellStyle name="표준 8 7 2 4 4" xfId="6784"/>
    <cellStyle name="표준 8 7 2 5" xfId="6785"/>
    <cellStyle name="표준 8 7 2 5 2" xfId="6786"/>
    <cellStyle name="표준 8 7 2 6" xfId="6787"/>
    <cellStyle name="표준 8 7 2 6 2" xfId="6788"/>
    <cellStyle name="표준 8 7 2 7" xfId="6789"/>
    <cellStyle name="표준 8 7 3 2 2 2 2" xfId="6790"/>
    <cellStyle name="표준 8 7 3 2 2 2 2 2" xfId="6791"/>
    <cellStyle name="표준 8 7 3 2 2 2 3" xfId="6792"/>
    <cellStyle name="표준 8 7 3 2 2 2 3 2" xfId="6793"/>
    <cellStyle name="표준 8 7 3 2 2 2 4" xfId="6794"/>
    <cellStyle name="표준 8 7 3 2 2 3" xfId="6795"/>
    <cellStyle name="표준 8 7 3 2 2 3 2" xfId="6796"/>
    <cellStyle name="표준 8 7 3 2 2 4" xfId="6797"/>
    <cellStyle name="표준 8 7 3 2 2 4 2" xfId="6798"/>
    <cellStyle name="표준 8 7 3 2 2 5" xfId="6799"/>
    <cellStyle name="표준 8 7 3 2 3 2" xfId="6800"/>
    <cellStyle name="표준 8 7 3 2 3 2 2" xfId="6801"/>
    <cellStyle name="표준 8 7 3 2 3 3" xfId="6802"/>
    <cellStyle name="표준 8 7 3 2 3 3 2" xfId="6803"/>
    <cellStyle name="표준 8 7 3 2 3 4" xfId="6804"/>
    <cellStyle name="표준 8 7 3 2 4" xfId="6805"/>
    <cellStyle name="표준 8 7 3 2 4 2" xfId="6806"/>
    <cellStyle name="표준 8 7 3 2 5" xfId="6807"/>
    <cellStyle name="표준 8 7 3 2 5 2" xfId="6808"/>
    <cellStyle name="표준 8 7 3 2 6" xfId="6809"/>
    <cellStyle name="표준 8 7 3 3 2 2" xfId="6810"/>
    <cellStyle name="표준 8 7 3 3 2 2 2" xfId="6811"/>
    <cellStyle name="표준 8 7 3 3 2 3" xfId="6812"/>
    <cellStyle name="표준 8 7 3 3 2 3 2" xfId="6813"/>
    <cellStyle name="표준 8 7 3 3 2 4" xfId="6814"/>
    <cellStyle name="표준 8 7 3 3 3" xfId="6815"/>
    <cellStyle name="표준 8 7 3 3 3 2" xfId="6816"/>
    <cellStyle name="표준 8 7 3 3 4" xfId="6817"/>
    <cellStyle name="표준 8 7 3 3 4 2" xfId="6818"/>
    <cellStyle name="표준 8 7 3 3 5" xfId="6819"/>
    <cellStyle name="표준 8 7 3 4 2" xfId="6820"/>
    <cellStyle name="표준 8 7 3 4 2 2" xfId="6821"/>
    <cellStyle name="표준 8 7 3 4 3" xfId="6822"/>
    <cellStyle name="표준 8 7 3 4 3 2" xfId="6823"/>
    <cellStyle name="표준 8 7 3 4 4" xfId="6824"/>
    <cellStyle name="표준 8 7 3 5" xfId="6825"/>
    <cellStyle name="표준 8 7 3 5 2" xfId="6826"/>
    <cellStyle name="표준 8 7 3 6" xfId="6827"/>
    <cellStyle name="표준 8 7 3 6 2" xfId="6828"/>
    <cellStyle name="표준 8 7 3 7" xfId="6829"/>
    <cellStyle name="표준 8 7 4 2 2 2 2" xfId="6830"/>
    <cellStyle name="표준 8 7 4 2 2 2 2 2" xfId="6831"/>
    <cellStyle name="표준 8 7 4 2 2 2 3" xfId="6832"/>
    <cellStyle name="표준 8 7 4 2 2 2 3 2" xfId="6833"/>
    <cellStyle name="표준 8 7 4 2 2 2 4" xfId="6834"/>
    <cellStyle name="표준 8 7 4 2 2 3" xfId="6835"/>
    <cellStyle name="표준 8 7 4 2 2 3 2" xfId="6836"/>
    <cellStyle name="표준 8 7 4 2 2 4" xfId="6837"/>
    <cellStyle name="표준 8 7 4 2 2 4 2" xfId="6838"/>
    <cellStyle name="표준 8 7 4 2 2 5" xfId="6839"/>
    <cellStyle name="표준 8 7 4 2 3 2" xfId="6840"/>
    <cellStyle name="표준 8 7 4 2 3 2 2" xfId="6841"/>
    <cellStyle name="표준 8 7 4 2 3 3" xfId="6842"/>
    <cellStyle name="표준 8 7 4 2 3 3 2" xfId="6843"/>
    <cellStyle name="표준 8 7 4 2 3 4" xfId="6844"/>
    <cellStyle name="표준 8 7 4 2 4" xfId="6845"/>
    <cellStyle name="표준 8 7 4 2 4 2" xfId="6846"/>
    <cellStyle name="표준 8 7 4 2 5" xfId="6847"/>
    <cellStyle name="표준 8 7 4 2 5 2" xfId="6848"/>
    <cellStyle name="표준 8 7 4 2 6" xfId="6849"/>
    <cellStyle name="표준 8 7 4 3 2 2" xfId="6850"/>
    <cellStyle name="표준 8 7 4 3 2 2 2" xfId="6851"/>
    <cellStyle name="표준 8 7 4 3 2 3" xfId="6852"/>
    <cellStyle name="표준 8 7 4 3 2 3 2" xfId="6853"/>
    <cellStyle name="표준 8 7 4 3 2 4" xfId="6854"/>
    <cellStyle name="표준 8 7 4 3 3" xfId="6855"/>
    <cellStyle name="표준 8 7 4 3 3 2" xfId="6856"/>
    <cellStyle name="표준 8 7 4 3 4" xfId="6857"/>
    <cellStyle name="표준 8 7 4 3 4 2" xfId="6858"/>
    <cellStyle name="표준 8 7 4 3 5" xfId="6859"/>
    <cellStyle name="표준 8 7 4 4 2" xfId="6860"/>
    <cellStyle name="표준 8 7 4 4 2 2" xfId="6861"/>
    <cellStyle name="표준 8 7 4 4 3" xfId="6862"/>
    <cellStyle name="표준 8 7 4 4 3 2" xfId="6863"/>
    <cellStyle name="표준 8 7 4 4 4" xfId="6864"/>
    <cellStyle name="표준 8 7 4 5" xfId="6865"/>
    <cellStyle name="표준 8 7 4 5 2" xfId="6866"/>
    <cellStyle name="표준 8 7 4 6" xfId="6867"/>
    <cellStyle name="표준 8 7 4 6 2" xfId="6868"/>
    <cellStyle name="표준 8 7 4 7" xfId="6869"/>
    <cellStyle name="표준 8 7 5 2 2 2" xfId="6870"/>
    <cellStyle name="표준 8 7 5 2 2 2 2" xfId="6871"/>
    <cellStyle name="표준 8 7 5 2 2 3" xfId="6872"/>
    <cellStyle name="표준 8 7 5 2 2 3 2" xfId="6873"/>
    <cellStyle name="표준 8 7 5 2 2 4" xfId="6874"/>
    <cellStyle name="표준 8 7 5 2 3" xfId="6875"/>
    <cellStyle name="표준 8 7 5 2 3 2" xfId="6876"/>
    <cellStyle name="표준 8 7 5 2 4" xfId="6877"/>
    <cellStyle name="표준 8 7 5 2 4 2" xfId="6878"/>
    <cellStyle name="표준 8 7 5 2 5" xfId="6879"/>
    <cellStyle name="표준 8 7 5 3 2" xfId="6880"/>
    <cellStyle name="표준 8 7 5 3 2 2" xfId="6881"/>
    <cellStyle name="표준 8 7 5 3 3" xfId="6882"/>
    <cellStyle name="표준 8 7 5 3 3 2" xfId="6883"/>
    <cellStyle name="표준 8 7 5 3 4" xfId="6884"/>
    <cellStyle name="표준 8 7 5 4" xfId="6885"/>
    <cellStyle name="표준 8 7 5 4 2" xfId="6886"/>
    <cellStyle name="표준 8 7 5 5" xfId="6887"/>
    <cellStyle name="표준 8 7 5 5 2" xfId="6888"/>
    <cellStyle name="표준 8 7 5 6" xfId="6889"/>
    <cellStyle name="표준 8 7 6 2 2" xfId="6890"/>
    <cellStyle name="표준 8 7 6 2 2 2" xfId="6891"/>
    <cellStyle name="표준 8 7 6 2 3" xfId="6892"/>
    <cellStyle name="표준 8 7 6 2 3 2" xfId="6893"/>
    <cellStyle name="표준 8 7 6 2 4" xfId="6894"/>
    <cellStyle name="표준 8 7 6 3" xfId="6895"/>
    <cellStyle name="표준 8 7 6 3 2" xfId="6896"/>
    <cellStyle name="표준 8 7 6 4" xfId="6897"/>
    <cellStyle name="표준 8 7 6 4 2" xfId="6898"/>
    <cellStyle name="표준 8 7 6 5" xfId="6899"/>
    <cellStyle name="표준 8 7 7 2" xfId="6900"/>
    <cellStyle name="표준 8 7 7 2 2" xfId="6901"/>
    <cellStyle name="표준 8 7 7 3" xfId="6902"/>
    <cellStyle name="표준 8 7 7 3 2" xfId="6903"/>
    <cellStyle name="표준 8 7 7 4" xfId="6904"/>
    <cellStyle name="표준 8 7 8" xfId="6905"/>
    <cellStyle name="표준 8 7 8 2" xfId="6906"/>
    <cellStyle name="표준 8 7 9" xfId="6907"/>
    <cellStyle name="표준 8 7 9 2" xfId="6908"/>
    <cellStyle name="표준 8 8 10" xfId="6909"/>
    <cellStyle name="표준 8 8 2 2 2 2 2" xfId="6910"/>
    <cellStyle name="표준 8 8 2 2 2 2 2 2" xfId="6911"/>
    <cellStyle name="표준 8 8 2 2 2 2 3" xfId="6912"/>
    <cellStyle name="표준 8 8 2 2 2 2 3 2" xfId="6913"/>
    <cellStyle name="표준 8 8 2 2 2 2 4" xfId="6914"/>
    <cellStyle name="표준 8 8 2 2 2 3" xfId="6915"/>
    <cellStyle name="표준 8 8 2 2 2 3 2" xfId="6916"/>
    <cellStyle name="표준 8 8 2 2 2 4" xfId="6917"/>
    <cellStyle name="표준 8 8 2 2 2 4 2" xfId="6918"/>
    <cellStyle name="표준 8 8 2 2 2 5" xfId="6919"/>
    <cellStyle name="표준 8 8 2 2 3 2" xfId="6920"/>
    <cellStyle name="표준 8 8 2 2 3 2 2" xfId="6921"/>
    <cellStyle name="표준 8 8 2 2 3 3" xfId="6922"/>
    <cellStyle name="표준 8 8 2 2 3 3 2" xfId="6923"/>
    <cellStyle name="표준 8 8 2 2 3 4" xfId="6924"/>
    <cellStyle name="표준 8 8 2 2 4" xfId="6925"/>
    <cellStyle name="표준 8 8 2 2 4 2" xfId="6926"/>
    <cellStyle name="표준 8 8 2 2 5" xfId="6927"/>
    <cellStyle name="표준 8 8 2 2 5 2" xfId="6928"/>
    <cellStyle name="표준 8 8 2 2 6" xfId="6929"/>
    <cellStyle name="표준 8 8 2 3 2 2" xfId="6930"/>
    <cellStyle name="표준 8 8 2 3 2 2 2" xfId="6931"/>
    <cellStyle name="표준 8 8 2 3 2 3" xfId="6932"/>
    <cellStyle name="표준 8 8 2 3 2 3 2" xfId="6933"/>
    <cellStyle name="표준 8 8 2 3 2 4" xfId="6934"/>
    <cellStyle name="표준 8 8 2 3 3" xfId="6935"/>
    <cellStyle name="표준 8 8 2 3 3 2" xfId="6936"/>
    <cellStyle name="표준 8 8 2 3 4" xfId="6937"/>
    <cellStyle name="표준 8 8 2 3 4 2" xfId="6938"/>
    <cellStyle name="표준 8 8 2 3 5" xfId="6939"/>
    <cellStyle name="표준 8 8 2 4 2" xfId="6940"/>
    <cellStyle name="표준 8 8 2 4 2 2" xfId="6941"/>
    <cellStyle name="표준 8 8 2 4 3" xfId="6942"/>
    <cellStyle name="표준 8 8 2 4 3 2" xfId="6943"/>
    <cellStyle name="표준 8 8 2 4 4" xfId="6944"/>
    <cellStyle name="표준 8 8 2 5" xfId="6945"/>
    <cellStyle name="표준 8 8 2 5 2" xfId="6946"/>
    <cellStyle name="표준 8 8 2 6" xfId="6947"/>
    <cellStyle name="표준 8 8 2 6 2" xfId="6948"/>
    <cellStyle name="표준 8 8 2 7" xfId="6949"/>
    <cellStyle name="표준 8 8 3 2 2 2 2" xfId="6950"/>
    <cellStyle name="표준 8 8 3 2 2 2 2 2" xfId="6951"/>
    <cellStyle name="표준 8 8 3 2 2 2 3" xfId="6952"/>
    <cellStyle name="표준 8 8 3 2 2 2 3 2" xfId="6953"/>
    <cellStyle name="표준 8 8 3 2 2 2 4" xfId="6954"/>
    <cellStyle name="표준 8 8 3 2 2 3" xfId="6955"/>
    <cellStyle name="표준 8 8 3 2 2 3 2" xfId="6956"/>
    <cellStyle name="표준 8 8 3 2 2 4" xfId="6957"/>
    <cellStyle name="표준 8 8 3 2 2 4 2" xfId="6958"/>
    <cellStyle name="표준 8 8 3 2 2 5" xfId="6959"/>
    <cellStyle name="표준 8 8 3 2 3 2" xfId="6960"/>
    <cellStyle name="표준 8 8 3 2 3 2 2" xfId="6961"/>
    <cellStyle name="표준 8 8 3 2 3 3" xfId="6962"/>
    <cellStyle name="표준 8 8 3 2 3 3 2" xfId="6963"/>
    <cellStyle name="표준 8 8 3 2 3 4" xfId="6964"/>
    <cellStyle name="표준 8 8 3 2 4" xfId="6965"/>
    <cellStyle name="표준 8 8 3 2 4 2" xfId="6966"/>
    <cellStyle name="표준 8 8 3 2 5" xfId="6967"/>
    <cellStyle name="표준 8 8 3 2 5 2" xfId="6968"/>
    <cellStyle name="표준 8 8 3 2 6" xfId="6969"/>
    <cellStyle name="표준 8 8 3 3 2 2" xfId="6970"/>
    <cellStyle name="표준 8 8 3 3 2 2 2" xfId="6971"/>
    <cellStyle name="표준 8 8 3 3 2 3" xfId="6972"/>
    <cellStyle name="표준 8 8 3 3 2 3 2" xfId="6973"/>
    <cellStyle name="표준 8 8 3 3 2 4" xfId="6974"/>
    <cellStyle name="표준 8 8 3 3 3" xfId="6975"/>
    <cellStyle name="표준 8 8 3 3 3 2" xfId="6976"/>
    <cellStyle name="표준 8 8 3 3 4" xfId="6977"/>
    <cellStyle name="표준 8 8 3 3 4 2" xfId="6978"/>
    <cellStyle name="표준 8 8 3 3 5" xfId="6979"/>
    <cellStyle name="표준 8 8 3 4 2" xfId="6980"/>
    <cellStyle name="표준 8 8 3 4 2 2" xfId="6981"/>
    <cellStyle name="표준 8 8 3 4 3" xfId="6982"/>
    <cellStyle name="표준 8 8 3 4 3 2" xfId="6983"/>
    <cellStyle name="표준 8 8 3 4 4" xfId="6984"/>
    <cellStyle name="표준 8 8 3 5" xfId="6985"/>
    <cellStyle name="표준 8 8 3 5 2" xfId="6986"/>
    <cellStyle name="표준 8 8 3 6" xfId="6987"/>
    <cellStyle name="표준 8 8 3 6 2" xfId="6988"/>
    <cellStyle name="표준 8 8 3 7" xfId="6989"/>
    <cellStyle name="표준 8 8 4 2 2 2 2" xfId="6990"/>
    <cellStyle name="표준 8 8 4 2 2 2 2 2" xfId="6991"/>
    <cellStyle name="표준 8 8 4 2 2 2 3" xfId="6992"/>
    <cellStyle name="표준 8 8 4 2 2 2 3 2" xfId="6993"/>
    <cellStyle name="표준 8 8 4 2 2 2 4" xfId="6994"/>
    <cellStyle name="표준 8 8 4 2 2 3" xfId="6995"/>
    <cellStyle name="표준 8 8 4 2 2 3 2" xfId="6996"/>
    <cellStyle name="표준 8 8 4 2 2 4" xfId="6997"/>
    <cellStyle name="표준 8 8 4 2 2 4 2" xfId="6998"/>
    <cellStyle name="표준 8 8 4 2 2 5" xfId="6999"/>
    <cellStyle name="표준 8 8 4 2 3 2" xfId="7000"/>
    <cellStyle name="표준 8 8 4 2 3 2 2" xfId="7001"/>
    <cellStyle name="표준 8 8 4 2 3 3" xfId="7002"/>
    <cellStyle name="표준 8 8 4 2 3 3 2" xfId="7003"/>
    <cellStyle name="표준 8 8 4 2 3 4" xfId="7004"/>
    <cellStyle name="표준 8 8 4 2 4" xfId="7005"/>
    <cellStyle name="표준 8 8 4 2 4 2" xfId="7006"/>
    <cellStyle name="표준 8 8 4 2 5" xfId="7007"/>
    <cellStyle name="표준 8 8 4 2 5 2" xfId="7008"/>
    <cellStyle name="표준 8 8 4 2 6" xfId="7009"/>
    <cellStyle name="표준 8 8 4 3 2 2" xfId="7010"/>
    <cellStyle name="표준 8 8 4 3 2 2 2" xfId="7011"/>
    <cellStyle name="표준 8 8 4 3 2 3" xfId="7012"/>
    <cellStyle name="표준 8 8 4 3 2 3 2" xfId="7013"/>
    <cellStyle name="표준 8 8 4 3 2 4" xfId="7014"/>
    <cellStyle name="표준 8 8 4 3 3" xfId="7015"/>
    <cellStyle name="표준 8 8 4 3 3 2" xfId="7016"/>
    <cellStyle name="표준 8 8 4 3 4" xfId="7017"/>
    <cellStyle name="표준 8 8 4 3 4 2" xfId="7018"/>
    <cellStyle name="표준 8 8 4 3 5" xfId="7019"/>
    <cellStyle name="표준 8 8 4 4 2" xfId="7020"/>
    <cellStyle name="표준 8 8 4 4 2 2" xfId="7021"/>
    <cellStyle name="표준 8 8 4 4 3" xfId="7022"/>
    <cellStyle name="표준 8 8 4 4 3 2" xfId="7023"/>
    <cellStyle name="표준 8 8 4 4 4" xfId="7024"/>
    <cellStyle name="표준 8 8 4 5" xfId="7025"/>
    <cellStyle name="표준 8 8 4 5 2" xfId="7026"/>
    <cellStyle name="표준 8 8 4 6" xfId="7027"/>
    <cellStyle name="표준 8 8 4 6 2" xfId="7028"/>
    <cellStyle name="표준 8 8 4 7" xfId="7029"/>
    <cellStyle name="표준 8 8 5 2 2 2" xfId="7030"/>
    <cellStyle name="표준 8 8 5 2 2 2 2" xfId="7031"/>
    <cellStyle name="표준 8 8 5 2 2 3" xfId="7032"/>
    <cellStyle name="표준 8 8 5 2 2 3 2" xfId="7033"/>
    <cellStyle name="표준 8 8 5 2 2 4" xfId="7034"/>
    <cellStyle name="표준 8 8 5 2 3" xfId="7035"/>
    <cellStyle name="표준 8 8 5 2 3 2" xfId="7036"/>
    <cellStyle name="표준 8 8 5 2 4" xfId="7037"/>
    <cellStyle name="표준 8 8 5 2 4 2" xfId="7038"/>
    <cellStyle name="표준 8 8 5 2 5" xfId="7039"/>
    <cellStyle name="표준 8 8 5 3 2" xfId="7040"/>
    <cellStyle name="표준 8 8 5 3 2 2" xfId="7041"/>
    <cellStyle name="표준 8 8 5 3 3" xfId="7042"/>
    <cellStyle name="표준 8 8 5 3 3 2" xfId="7043"/>
    <cellStyle name="표준 8 8 5 3 4" xfId="7044"/>
    <cellStyle name="표준 8 8 5 4" xfId="7045"/>
    <cellStyle name="표준 8 8 5 4 2" xfId="7046"/>
    <cellStyle name="표준 8 8 5 5" xfId="7047"/>
    <cellStyle name="표준 8 8 5 5 2" xfId="7048"/>
    <cellStyle name="표준 8 8 5 6" xfId="7049"/>
    <cellStyle name="표준 8 8 6 2 2" xfId="7050"/>
    <cellStyle name="표준 8 8 6 2 2 2" xfId="7051"/>
    <cellStyle name="표준 8 8 6 2 3" xfId="7052"/>
    <cellStyle name="표준 8 8 6 2 3 2" xfId="7053"/>
    <cellStyle name="표준 8 8 6 2 4" xfId="7054"/>
    <cellStyle name="표준 8 8 6 3" xfId="7055"/>
    <cellStyle name="표준 8 8 6 3 2" xfId="7056"/>
    <cellStyle name="표준 8 8 6 4" xfId="7057"/>
    <cellStyle name="표준 8 8 6 4 2" xfId="7058"/>
    <cellStyle name="표준 8 8 6 5" xfId="7059"/>
    <cellStyle name="표준 8 8 7 2" xfId="7060"/>
    <cellStyle name="표준 8 8 7 2 2" xfId="7061"/>
    <cellStyle name="표준 8 8 7 3" xfId="7062"/>
    <cellStyle name="표준 8 8 7 3 2" xfId="7063"/>
    <cellStyle name="표준 8 8 7 4" xfId="7064"/>
    <cellStyle name="표준 8 8 8" xfId="7065"/>
    <cellStyle name="표준 8 8 8 2" xfId="7066"/>
    <cellStyle name="표준 8 8 9" xfId="7067"/>
    <cellStyle name="표준 8 8 9 2" xfId="7068"/>
    <cellStyle name="표준 8 9 2 2 2 2 2" xfId="7069"/>
    <cellStyle name="표준 8 9 2 2 2 2 2 2" xfId="7070"/>
    <cellStyle name="표준 8 9 2 2 2 2 3" xfId="7071"/>
    <cellStyle name="표준 8 9 2 2 2 2 3 2" xfId="7072"/>
    <cellStyle name="표준 8 9 2 2 2 2 4" xfId="7073"/>
    <cellStyle name="표준 8 9 2 2 2 3" xfId="7074"/>
    <cellStyle name="표준 8 9 2 2 2 3 2" xfId="7075"/>
    <cellStyle name="표준 8 9 2 2 2 4" xfId="7076"/>
    <cellStyle name="표준 8 9 2 2 2 4 2" xfId="7077"/>
    <cellStyle name="표준 8 9 2 2 2 5" xfId="7078"/>
    <cellStyle name="표준 8 9 2 2 3 2" xfId="7079"/>
    <cellStyle name="표준 8 9 2 2 3 2 2" xfId="7080"/>
    <cellStyle name="표준 8 9 2 2 3 3" xfId="7081"/>
    <cellStyle name="표준 8 9 2 2 3 3 2" xfId="7082"/>
    <cellStyle name="표준 8 9 2 2 3 4" xfId="7083"/>
    <cellStyle name="표준 8 9 2 2 4" xfId="7084"/>
    <cellStyle name="표준 8 9 2 2 4 2" xfId="7085"/>
    <cellStyle name="표준 8 9 2 2 5" xfId="7086"/>
    <cellStyle name="표준 8 9 2 2 5 2" xfId="7087"/>
    <cellStyle name="표준 8 9 2 2 6" xfId="7088"/>
    <cellStyle name="표준 8 9 2 3 2 2" xfId="7089"/>
    <cellStyle name="표준 8 9 2 3 2 2 2" xfId="7090"/>
    <cellStyle name="표준 8 9 2 3 2 3" xfId="7091"/>
    <cellStyle name="표준 8 9 2 3 2 3 2" xfId="7092"/>
    <cellStyle name="표준 8 9 2 3 2 4" xfId="7093"/>
    <cellStyle name="표준 8 9 2 3 3" xfId="7094"/>
    <cellStyle name="표준 8 9 2 3 3 2" xfId="7095"/>
    <cellStyle name="표준 8 9 2 3 4" xfId="7096"/>
    <cellStyle name="표준 8 9 2 3 4 2" xfId="7097"/>
    <cellStyle name="표준 8 9 2 3 5" xfId="7098"/>
    <cellStyle name="표준 8 9 2 4 2" xfId="7099"/>
    <cellStyle name="표준 8 9 2 4 2 2" xfId="7100"/>
    <cellStyle name="표준 8 9 2 4 3" xfId="7101"/>
    <cellStyle name="표준 8 9 2 4 3 2" xfId="7102"/>
    <cellStyle name="표준 8 9 2 4 4" xfId="7103"/>
    <cellStyle name="표준 8 9 2 5" xfId="7104"/>
    <cellStyle name="표준 8 9 2 5 2" xfId="7105"/>
    <cellStyle name="표준 8 9 2 6" xfId="7106"/>
    <cellStyle name="표준 8 9 2 6 2" xfId="7107"/>
    <cellStyle name="표준 8 9 2 7" xfId="7108"/>
    <cellStyle name="표준 8 9 3 2 2 2 2" xfId="7109"/>
    <cellStyle name="표준 8 9 3 2 2 2 2 2" xfId="7110"/>
    <cellStyle name="표준 8 9 3 2 2 2 3" xfId="7111"/>
    <cellStyle name="표준 8 9 3 2 2 2 3 2" xfId="7112"/>
    <cellStyle name="표준 8 9 3 2 2 2 4" xfId="7113"/>
    <cellStyle name="표준 8 9 3 2 2 3" xfId="7114"/>
    <cellStyle name="표준 8 9 3 2 2 3 2" xfId="7115"/>
    <cellStyle name="표준 8 9 3 2 2 4" xfId="7116"/>
    <cellStyle name="표준 8 9 3 2 2 4 2" xfId="7117"/>
    <cellStyle name="표준 8 9 3 2 2 5" xfId="7118"/>
    <cellStyle name="표준 8 9 3 2 3 2" xfId="7119"/>
    <cellStyle name="표준 8 9 3 2 3 2 2" xfId="7120"/>
    <cellStyle name="표준 8 9 3 2 3 3" xfId="7121"/>
    <cellStyle name="표준 8 9 3 2 3 3 2" xfId="7122"/>
    <cellStyle name="표준 8 9 3 2 3 4" xfId="7123"/>
    <cellStyle name="표준 8 9 3 2 4" xfId="7124"/>
    <cellStyle name="표준 8 9 3 2 4 2" xfId="7125"/>
    <cellStyle name="표준 8 9 3 2 5" xfId="7126"/>
    <cellStyle name="표준 8 9 3 2 5 2" xfId="7127"/>
    <cellStyle name="표준 8 9 3 2 6" xfId="7128"/>
    <cellStyle name="표준 8 9 3 3 2 2" xfId="7129"/>
    <cellStyle name="표준 8 9 3 3 2 2 2" xfId="7130"/>
    <cellStyle name="표준 8 9 3 3 2 3" xfId="7131"/>
    <cellStyle name="표준 8 9 3 3 2 3 2" xfId="7132"/>
    <cellStyle name="표준 8 9 3 3 2 4" xfId="7133"/>
    <cellStyle name="표준 8 9 3 3 3" xfId="7134"/>
    <cellStyle name="표준 8 9 3 3 3 2" xfId="7135"/>
    <cellStyle name="표준 8 9 3 3 4" xfId="7136"/>
    <cellStyle name="표준 8 9 3 3 4 2" xfId="7137"/>
    <cellStyle name="표준 8 9 3 3 5" xfId="7138"/>
    <cellStyle name="표준 8 9 3 4 2" xfId="7139"/>
    <cellStyle name="표준 8 9 3 4 2 2" xfId="7140"/>
    <cellStyle name="표준 8 9 3 4 3" xfId="7141"/>
    <cellStyle name="표준 8 9 3 4 3 2" xfId="7142"/>
    <cellStyle name="표준 8 9 3 4 4" xfId="7143"/>
    <cellStyle name="표준 8 9 3 5" xfId="7144"/>
    <cellStyle name="표준 8 9 3 5 2" xfId="7145"/>
    <cellStyle name="표준 8 9 3 6" xfId="7146"/>
    <cellStyle name="표준 8 9 3 6 2" xfId="7147"/>
    <cellStyle name="표준 8 9 3 7" xfId="7148"/>
    <cellStyle name="표준 8 9 4 2 2 2" xfId="7149"/>
    <cellStyle name="표준 8 9 4 2 2 2 2" xfId="7150"/>
    <cellStyle name="표준 8 9 4 2 2 3" xfId="7151"/>
    <cellStyle name="표준 8 9 4 2 2 3 2" xfId="7152"/>
    <cellStyle name="표준 8 9 4 2 2 4" xfId="7153"/>
    <cellStyle name="표준 8 9 4 2 3" xfId="7154"/>
    <cellStyle name="표준 8 9 4 2 3 2" xfId="7155"/>
    <cellStyle name="표준 8 9 4 2 4" xfId="7156"/>
    <cellStyle name="표준 8 9 4 2 4 2" xfId="7157"/>
    <cellStyle name="표준 8 9 4 2 5" xfId="7158"/>
    <cellStyle name="표준 8 9 4 3 2" xfId="7159"/>
    <cellStyle name="표준 8 9 4 3 2 2" xfId="7160"/>
    <cellStyle name="표준 8 9 4 3 3" xfId="7161"/>
    <cellStyle name="표준 8 9 4 3 3 2" xfId="7162"/>
    <cellStyle name="표준 8 9 4 3 4" xfId="7163"/>
    <cellStyle name="표준 8 9 4 4" xfId="7164"/>
    <cellStyle name="표준 8 9 4 4 2" xfId="7165"/>
    <cellStyle name="표준 8 9 4 5" xfId="7166"/>
    <cellStyle name="표준 8 9 4 5 2" xfId="7167"/>
    <cellStyle name="표준 8 9 4 6" xfId="7168"/>
    <cellStyle name="표준 8 9 5 2 2" xfId="7169"/>
    <cellStyle name="표준 8 9 5 2 2 2" xfId="7170"/>
    <cellStyle name="표준 8 9 5 2 3" xfId="7171"/>
    <cellStyle name="표준 8 9 5 2 3 2" xfId="7172"/>
    <cellStyle name="표준 8 9 5 2 4" xfId="7173"/>
    <cellStyle name="표준 8 9 5 3" xfId="7174"/>
    <cellStyle name="표준 8 9 5 3 2" xfId="7175"/>
    <cellStyle name="표준 8 9 5 4" xfId="7176"/>
    <cellStyle name="표준 8 9 5 4 2" xfId="7177"/>
    <cellStyle name="표준 8 9 5 5" xfId="7178"/>
    <cellStyle name="표준 8 9 6 2" xfId="7179"/>
    <cellStyle name="표준 8 9 6 2 2" xfId="7180"/>
    <cellStyle name="표준 8 9 6 3" xfId="7181"/>
    <cellStyle name="표준 8 9 6 3 2" xfId="7182"/>
    <cellStyle name="표준 8 9 6 4" xfId="7183"/>
    <cellStyle name="표준 8 9 7" xfId="7184"/>
    <cellStyle name="표준 8 9 7 2" xfId="7185"/>
    <cellStyle name="표준 8 9 8" xfId="7186"/>
    <cellStyle name="표준 8 9 8 2" xfId="7187"/>
    <cellStyle name="표준 8 9 9" xfId="7188"/>
    <cellStyle name="표준 9 10 2 2 2 2" xfId="7189"/>
    <cellStyle name="표준 9 10 2 2 2 2 2" xfId="7190"/>
    <cellStyle name="표준 9 10 2 2 2 3" xfId="7191"/>
    <cellStyle name="표준 9 10 2 2 2 3 2" xfId="7192"/>
    <cellStyle name="표준 9 10 2 2 2 4" xfId="7193"/>
    <cellStyle name="표준 9 10 2 2 3" xfId="7194"/>
    <cellStyle name="표준 9 10 2 2 3 2" xfId="7195"/>
    <cellStyle name="표준 9 10 2 2 4" xfId="7196"/>
    <cellStyle name="표준 9 10 2 2 4 2" xfId="7197"/>
    <cellStyle name="표준 9 10 2 2 5" xfId="7198"/>
    <cellStyle name="표준 9 10 2 3 2" xfId="7199"/>
    <cellStyle name="표준 9 10 2 3 2 2" xfId="7200"/>
    <cellStyle name="표준 9 10 2 3 3" xfId="7201"/>
    <cellStyle name="표준 9 10 2 3 3 2" xfId="7202"/>
    <cellStyle name="표준 9 10 2 3 4" xfId="7203"/>
    <cellStyle name="표준 9 10 2 4" xfId="7204"/>
    <cellStyle name="표준 9 10 2 4 2" xfId="7205"/>
    <cellStyle name="표준 9 10 2 5" xfId="7206"/>
    <cellStyle name="표준 9 10 2 5 2" xfId="7207"/>
    <cellStyle name="표준 9 10 2 6" xfId="7208"/>
    <cellStyle name="표준 9 10 3 2 2" xfId="7209"/>
    <cellStyle name="표준 9 10 3 2 2 2" xfId="7210"/>
    <cellStyle name="표준 9 10 3 2 3" xfId="7211"/>
    <cellStyle name="표준 9 10 3 2 3 2" xfId="7212"/>
    <cellStyle name="표준 9 10 3 2 4" xfId="7213"/>
    <cellStyle name="표준 9 10 3 3" xfId="7214"/>
    <cellStyle name="표준 9 10 3 3 2" xfId="7215"/>
    <cellStyle name="표준 9 10 3 4" xfId="7216"/>
    <cellStyle name="표준 9 10 3 4 2" xfId="7217"/>
    <cellStyle name="표준 9 10 3 5" xfId="7218"/>
    <cellStyle name="표준 9 10 4 2" xfId="7219"/>
    <cellStyle name="표준 9 10 4 2 2" xfId="7220"/>
    <cellStyle name="표준 9 10 4 3" xfId="7221"/>
    <cellStyle name="표준 9 10 4 3 2" xfId="7222"/>
    <cellStyle name="표준 9 10 4 4" xfId="7223"/>
    <cellStyle name="표준 9 10 5" xfId="7224"/>
    <cellStyle name="표준 9 10 5 2" xfId="7225"/>
    <cellStyle name="표준 9 10 6" xfId="7226"/>
    <cellStyle name="표준 9 10 6 2" xfId="7227"/>
    <cellStyle name="표준 9 10 7" xfId="7228"/>
    <cellStyle name="표준 9 11 2 2 2 2" xfId="7229"/>
    <cellStyle name="표준 9 11 2 2 2 2 2" xfId="7230"/>
    <cellStyle name="표준 9 11 2 2 2 3" xfId="7231"/>
    <cellStyle name="표준 9 11 2 2 2 3 2" xfId="7232"/>
    <cellStyle name="표준 9 11 2 2 2 4" xfId="7233"/>
    <cellStyle name="표준 9 11 2 2 3" xfId="7234"/>
    <cellStyle name="표준 9 11 2 2 3 2" xfId="7235"/>
    <cellStyle name="표준 9 11 2 2 4" xfId="7236"/>
    <cellStyle name="표준 9 11 2 2 4 2" xfId="7237"/>
    <cellStyle name="표준 9 11 2 2 5" xfId="7238"/>
    <cellStyle name="표준 9 11 2 3 2" xfId="7239"/>
    <cellStyle name="표준 9 11 2 3 2 2" xfId="7240"/>
    <cellStyle name="표준 9 11 2 3 3" xfId="7241"/>
    <cellStyle name="표준 9 11 2 3 3 2" xfId="7242"/>
    <cellStyle name="표준 9 11 2 3 4" xfId="7243"/>
    <cellStyle name="표준 9 11 2 4" xfId="7244"/>
    <cellStyle name="표준 9 11 2 4 2" xfId="7245"/>
    <cellStyle name="표준 9 11 2 5" xfId="7246"/>
    <cellStyle name="표준 9 11 2 5 2" xfId="7247"/>
    <cellStyle name="표준 9 11 2 6" xfId="7248"/>
    <cellStyle name="표준 9 11 3 2 2" xfId="7249"/>
    <cellStyle name="표준 9 11 3 2 2 2" xfId="7250"/>
    <cellStyle name="표준 9 11 3 2 3" xfId="7251"/>
    <cellStyle name="표준 9 11 3 2 3 2" xfId="7252"/>
    <cellStyle name="표준 9 11 3 2 4" xfId="7253"/>
    <cellStyle name="표준 9 11 3 3" xfId="7254"/>
    <cellStyle name="표준 9 11 3 3 2" xfId="7255"/>
    <cellStyle name="표준 9 11 3 4" xfId="7256"/>
    <cellStyle name="표준 9 11 3 4 2" xfId="7257"/>
    <cellStyle name="표준 9 11 3 5" xfId="7258"/>
    <cellStyle name="표준 9 11 4 2" xfId="7259"/>
    <cellStyle name="표준 9 11 4 2 2" xfId="7260"/>
    <cellStyle name="표준 9 11 4 3" xfId="7261"/>
    <cellStyle name="표준 9 11 4 3 2" xfId="7262"/>
    <cellStyle name="표준 9 11 4 4" xfId="7263"/>
    <cellStyle name="표준 9 11 5" xfId="7264"/>
    <cellStyle name="표준 9 11 5 2" xfId="7265"/>
    <cellStyle name="표준 9 11 6" xfId="7266"/>
    <cellStyle name="표준 9 11 6 2" xfId="7267"/>
    <cellStyle name="표준 9 11 7" xfId="7268"/>
    <cellStyle name="표준 9 12 2 2 2 2" xfId="7269"/>
    <cellStyle name="표준 9 12 2 2 2 2 2" xfId="7270"/>
    <cellStyle name="표준 9 12 2 2 2 3" xfId="7271"/>
    <cellStyle name="표준 9 12 2 2 2 3 2" xfId="7272"/>
    <cellStyle name="표준 9 12 2 2 2 4" xfId="7273"/>
    <cellStyle name="표준 9 12 2 2 3" xfId="7274"/>
    <cellStyle name="표준 9 12 2 2 3 2" xfId="7275"/>
    <cellStyle name="표준 9 12 2 2 4" xfId="7276"/>
    <cellStyle name="표준 9 12 2 2 4 2" xfId="7277"/>
    <cellStyle name="표준 9 12 2 2 5" xfId="7278"/>
    <cellStyle name="표준 9 12 2 3 2" xfId="7279"/>
    <cellStyle name="표준 9 12 2 3 2 2" xfId="7280"/>
    <cellStyle name="표준 9 12 2 3 3" xfId="7281"/>
    <cellStyle name="표준 9 12 2 3 3 2" xfId="7282"/>
    <cellStyle name="표준 9 12 2 3 4" xfId="7283"/>
    <cellStyle name="표준 9 12 2 4" xfId="7284"/>
    <cellStyle name="표준 9 12 2 4 2" xfId="7285"/>
    <cellStyle name="표준 9 12 2 5" xfId="7286"/>
    <cellStyle name="표준 9 12 2 5 2" xfId="7287"/>
    <cellStyle name="표준 9 12 2 6" xfId="7288"/>
    <cellStyle name="표준 9 12 3 2 2" xfId="7289"/>
    <cellStyle name="표준 9 12 3 2 2 2" xfId="7290"/>
    <cellStyle name="표준 9 12 3 2 3" xfId="7291"/>
    <cellStyle name="표준 9 12 3 2 3 2" xfId="7292"/>
    <cellStyle name="표준 9 12 3 2 4" xfId="7293"/>
    <cellStyle name="표준 9 12 3 3" xfId="7294"/>
    <cellStyle name="표준 9 12 3 3 2" xfId="7295"/>
    <cellStyle name="표준 9 12 3 4" xfId="7296"/>
    <cellStyle name="표준 9 12 3 4 2" xfId="7297"/>
    <cellStyle name="표준 9 12 3 5" xfId="7298"/>
    <cellStyle name="표준 9 12 4 2" xfId="7299"/>
    <cellStyle name="표준 9 12 4 2 2" xfId="7300"/>
    <cellStyle name="표준 9 12 4 3" xfId="7301"/>
    <cellStyle name="표준 9 12 4 3 2" xfId="7302"/>
    <cellStyle name="표준 9 12 4 4" xfId="7303"/>
    <cellStyle name="표준 9 12 5" xfId="7304"/>
    <cellStyle name="표준 9 12 5 2" xfId="7305"/>
    <cellStyle name="표준 9 12 6" xfId="7306"/>
    <cellStyle name="표준 9 12 6 2" xfId="7307"/>
    <cellStyle name="표준 9 12 7" xfId="7308"/>
    <cellStyle name="표준 9 14 2 2 2" xfId="7309"/>
    <cellStyle name="표준 9 14 2 2 2 2" xfId="7310"/>
    <cellStyle name="표준 9 14 2 2 3" xfId="7311"/>
    <cellStyle name="표준 9 14 2 2 3 2" xfId="7312"/>
    <cellStyle name="표준 9 14 2 2 4" xfId="7313"/>
    <cellStyle name="표준 9 14 2 3" xfId="7314"/>
    <cellStyle name="표준 9 14 2 3 2" xfId="7315"/>
    <cellStyle name="표준 9 14 2 4" xfId="7316"/>
    <cellStyle name="표준 9 14 2 4 2" xfId="7317"/>
    <cellStyle name="표준 9 14 2 5" xfId="7318"/>
    <cellStyle name="표준 9 14 3 2" xfId="7319"/>
    <cellStyle name="표준 9 14 3 2 2" xfId="7320"/>
    <cellStyle name="표준 9 14 3 3" xfId="7321"/>
    <cellStyle name="표준 9 14 3 3 2" xfId="7322"/>
    <cellStyle name="표준 9 14 3 4" xfId="7323"/>
    <cellStyle name="표준 9 14 4" xfId="7324"/>
    <cellStyle name="표준 9 14 4 2" xfId="7325"/>
    <cellStyle name="표준 9 14 5" xfId="7326"/>
    <cellStyle name="표준 9 14 5 2" xfId="7327"/>
    <cellStyle name="표준 9 14 6" xfId="7328"/>
    <cellStyle name="표준 9 15 2 2" xfId="7329"/>
    <cellStyle name="표준 9 15 2 2 2" xfId="7330"/>
    <cellStyle name="표준 9 15 2 3" xfId="7331"/>
    <cellStyle name="표준 9 15 2 3 2" xfId="7332"/>
    <cellStyle name="표준 9 15 2 4" xfId="7333"/>
    <cellStyle name="표준 9 15 3" xfId="7334"/>
    <cellStyle name="표준 9 15 3 2" xfId="7335"/>
    <cellStyle name="표준 9 15 4" xfId="7336"/>
    <cellStyle name="표준 9 15 4 2" xfId="7337"/>
    <cellStyle name="표준 9 15 5" xfId="7338"/>
    <cellStyle name="표준 9 16 2" xfId="7339"/>
    <cellStyle name="표준 9 16 2 2" xfId="7340"/>
    <cellStyle name="표준 9 16 3" xfId="7341"/>
    <cellStyle name="표준 9 16 3 2" xfId="7342"/>
    <cellStyle name="표준 9 16 4" xfId="7343"/>
    <cellStyle name="표준 9 17" xfId="7344"/>
    <cellStyle name="표준 9 17 2" xfId="7345"/>
    <cellStyle name="표준 9 18" xfId="7346"/>
    <cellStyle name="표준 9 18 2" xfId="7347"/>
    <cellStyle name="표준 9 19" xfId="7348"/>
    <cellStyle name="표준 9 2 10" xfId="7349"/>
    <cellStyle name="표준 9 2 2 2 2 2 2" xfId="7350"/>
    <cellStyle name="표준 9 2 2 2 2 2 2 2" xfId="7351"/>
    <cellStyle name="표준 9 2 2 2 2 2 3" xfId="7352"/>
    <cellStyle name="표준 9 2 2 2 2 2 3 2" xfId="7353"/>
    <cellStyle name="표준 9 2 2 2 2 2 4" xfId="7354"/>
    <cellStyle name="표준 9 2 2 2 2 3" xfId="7355"/>
    <cellStyle name="표준 9 2 2 2 2 3 2" xfId="7356"/>
    <cellStyle name="표준 9 2 2 2 2 4" xfId="7357"/>
    <cellStyle name="표준 9 2 2 2 2 4 2" xfId="7358"/>
    <cellStyle name="표준 9 2 2 2 2 5" xfId="7359"/>
    <cellStyle name="표준 9 2 2 2 3 2" xfId="7360"/>
    <cellStyle name="표준 9 2 2 2 3 2 2" xfId="7361"/>
    <cellStyle name="표준 9 2 2 2 3 3" xfId="7362"/>
    <cellStyle name="표준 9 2 2 2 3 3 2" xfId="7363"/>
    <cellStyle name="표준 9 2 2 2 3 4" xfId="7364"/>
    <cellStyle name="표준 9 2 2 2 4" xfId="7365"/>
    <cellStyle name="표준 9 2 2 2 4 2" xfId="7366"/>
    <cellStyle name="표준 9 2 2 2 5" xfId="7367"/>
    <cellStyle name="표준 9 2 2 2 5 2" xfId="7368"/>
    <cellStyle name="표준 9 2 2 2 6" xfId="7369"/>
    <cellStyle name="표준 9 2 2 3 2 2" xfId="7370"/>
    <cellStyle name="표준 9 2 2 3 2 2 2" xfId="7371"/>
    <cellStyle name="표준 9 2 2 3 2 3" xfId="7372"/>
    <cellStyle name="표준 9 2 2 3 2 3 2" xfId="7373"/>
    <cellStyle name="표준 9 2 2 3 2 4" xfId="7374"/>
    <cellStyle name="표준 9 2 2 3 3" xfId="7375"/>
    <cellStyle name="표준 9 2 2 3 3 2" xfId="7376"/>
    <cellStyle name="표준 9 2 2 3 4" xfId="7377"/>
    <cellStyle name="표준 9 2 2 3 4 2" xfId="7378"/>
    <cellStyle name="표준 9 2 2 3 5" xfId="7379"/>
    <cellStyle name="표준 9 2 2 4 2" xfId="7380"/>
    <cellStyle name="표준 9 2 2 4 2 2" xfId="7381"/>
    <cellStyle name="표준 9 2 2 4 3" xfId="7382"/>
    <cellStyle name="표준 9 2 2 4 3 2" xfId="7383"/>
    <cellStyle name="표준 9 2 2 4 4" xfId="7384"/>
    <cellStyle name="표준 9 2 2 5" xfId="7385"/>
    <cellStyle name="표준 9 2 2 5 2" xfId="7386"/>
    <cellStyle name="표준 9 2 2 6" xfId="7387"/>
    <cellStyle name="표준 9 2 2 6 2" xfId="7388"/>
    <cellStyle name="표준 9 2 2 7" xfId="7389"/>
    <cellStyle name="표준 9 2 3 2 2 2 2" xfId="7390"/>
    <cellStyle name="표준 9 2 3 2 2 2 2 2" xfId="7391"/>
    <cellStyle name="표준 9 2 3 2 2 2 3" xfId="7392"/>
    <cellStyle name="표준 9 2 3 2 2 2 3 2" xfId="7393"/>
    <cellStyle name="표준 9 2 3 2 2 2 4" xfId="7394"/>
    <cellStyle name="표준 9 2 3 2 2 3" xfId="7395"/>
    <cellStyle name="표준 9 2 3 2 2 3 2" xfId="7396"/>
    <cellStyle name="표준 9 2 3 2 2 4" xfId="7397"/>
    <cellStyle name="표준 9 2 3 2 2 4 2" xfId="7398"/>
    <cellStyle name="표준 9 2 3 2 2 5" xfId="7399"/>
    <cellStyle name="표준 9 2 3 2 3 2" xfId="7400"/>
    <cellStyle name="표준 9 2 3 2 3 2 2" xfId="7401"/>
    <cellStyle name="표준 9 2 3 2 3 3" xfId="7402"/>
    <cellStyle name="표준 9 2 3 2 3 3 2" xfId="7403"/>
    <cellStyle name="표준 9 2 3 2 3 4" xfId="7404"/>
    <cellStyle name="표준 9 2 3 2 4" xfId="7405"/>
    <cellStyle name="표준 9 2 3 2 4 2" xfId="7406"/>
    <cellStyle name="표준 9 2 3 2 5" xfId="7407"/>
    <cellStyle name="표준 9 2 3 2 5 2" xfId="7408"/>
    <cellStyle name="표준 9 2 3 2 6" xfId="7409"/>
    <cellStyle name="표준 9 2 3 3 2 2" xfId="7410"/>
    <cellStyle name="표준 9 2 3 3 2 2 2" xfId="7411"/>
    <cellStyle name="표준 9 2 3 3 2 3" xfId="7412"/>
    <cellStyle name="표준 9 2 3 3 2 3 2" xfId="7413"/>
    <cellStyle name="표준 9 2 3 3 2 4" xfId="7414"/>
    <cellStyle name="표준 9 2 3 3 3" xfId="7415"/>
    <cellStyle name="표준 9 2 3 3 3 2" xfId="7416"/>
    <cellStyle name="표준 9 2 3 3 4" xfId="7417"/>
    <cellStyle name="표준 9 2 3 3 4 2" xfId="7418"/>
    <cellStyle name="표준 9 2 3 3 5" xfId="7419"/>
    <cellStyle name="표준 9 2 3 4 2" xfId="7420"/>
    <cellStyle name="표준 9 2 3 4 2 2" xfId="7421"/>
    <cellStyle name="표준 9 2 3 4 3" xfId="7422"/>
    <cellStyle name="표준 9 2 3 4 3 2" xfId="7423"/>
    <cellStyle name="표준 9 2 3 4 4" xfId="7424"/>
    <cellStyle name="표준 9 2 3 5" xfId="7425"/>
    <cellStyle name="표준 9 2 3 5 2" xfId="7426"/>
    <cellStyle name="표준 9 2 3 6" xfId="7427"/>
    <cellStyle name="표준 9 2 3 6 2" xfId="7428"/>
    <cellStyle name="표준 9 2 3 7" xfId="7429"/>
    <cellStyle name="표준 9 2 4 2 2 2 2" xfId="7430"/>
    <cellStyle name="표준 9 2 4 2 2 2 2 2" xfId="7431"/>
    <cellStyle name="표준 9 2 4 2 2 2 3" xfId="7432"/>
    <cellStyle name="표준 9 2 4 2 2 2 3 2" xfId="7433"/>
    <cellStyle name="표준 9 2 4 2 2 2 4" xfId="7434"/>
    <cellStyle name="표준 9 2 4 2 2 3" xfId="7435"/>
    <cellStyle name="표준 9 2 4 2 2 3 2" xfId="7436"/>
    <cellStyle name="표준 9 2 4 2 2 4" xfId="7437"/>
    <cellStyle name="표준 9 2 4 2 2 4 2" xfId="7438"/>
    <cellStyle name="표준 9 2 4 2 2 5" xfId="7439"/>
    <cellStyle name="표준 9 2 4 2 3 2" xfId="7440"/>
    <cellStyle name="표준 9 2 4 2 3 2 2" xfId="7441"/>
    <cellStyle name="표준 9 2 4 2 3 3" xfId="7442"/>
    <cellStyle name="표준 9 2 4 2 3 3 2" xfId="7443"/>
    <cellStyle name="표준 9 2 4 2 3 4" xfId="7444"/>
    <cellStyle name="표준 9 2 4 2 4" xfId="7445"/>
    <cellStyle name="표준 9 2 4 2 4 2" xfId="7446"/>
    <cellStyle name="표준 9 2 4 2 5" xfId="7447"/>
    <cellStyle name="표준 9 2 4 2 5 2" xfId="7448"/>
    <cellStyle name="표준 9 2 4 2 6" xfId="7449"/>
    <cellStyle name="표준 9 2 4 3 2 2" xfId="7450"/>
    <cellStyle name="표준 9 2 4 3 2 2 2" xfId="7451"/>
    <cellStyle name="표준 9 2 4 3 2 3" xfId="7452"/>
    <cellStyle name="표준 9 2 4 3 2 3 2" xfId="7453"/>
    <cellStyle name="표준 9 2 4 3 2 4" xfId="7454"/>
    <cellStyle name="표준 9 2 4 3 3" xfId="7455"/>
    <cellStyle name="표준 9 2 4 3 3 2" xfId="7456"/>
    <cellStyle name="표준 9 2 4 3 4" xfId="7457"/>
    <cellStyle name="표준 9 2 4 3 4 2" xfId="7458"/>
    <cellStyle name="표준 9 2 4 3 5" xfId="7459"/>
    <cellStyle name="표준 9 2 4 4 2" xfId="7460"/>
    <cellStyle name="표준 9 2 4 4 2 2" xfId="7461"/>
    <cellStyle name="표준 9 2 4 4 3" xfId="7462"/>
    <cellStyle name="표준 9 2 4 4 3 2" xfId="7463"/>
    <cellStyle name="표준 9 2 4 4 4" xfId="7464"/>
    <cellStyle name="표준 9 2 4 5" xfId="7465"/>
    <cellStyle name="표준 9 2 4 5 2" xfId="7466"/>
    <cellStyle name="표준 9 2 4 6" xfId="7467"/>
    <cellStyle name="표준 9 2 4 6 2" xfId="7468"/>
    <cellStyle name="표준 9 2 4 7" xfId="7469"/>
    <cellStyle name="표준 9 2 5 2 2 2" xfId="7470"/>
    <cellStyle name="표준 9 2 5 2 2 2 2" xfId="7471"/>
    <cellStyle name="표준 9 2 5 2 2 3" xfId="7472"/>
    <cellStyle name="표준 9 2 5 2 2 3 2" xfId="7473"/>
    <cellStyle name="표준 9 2 5 2 2 4" xfId="7474"/>
    <cellStyle name="표준 9 2 5 2 3" xfId="7475"/>
    <cellStyle name="표준 9 2 5 2 3 2" xfId="7476"/>
    <cellStyle name="표준 9 2 5 2 4" xfId="7477"/>
    <cellStyle name="표준 9 2 5 2 4 2" xfId="7478"/>
    <cellStyle name="표준 9 2 5 2 5" xfId="7479"/>
    <cellStyle name="표준 9 2 5 3 2" xfId="7480"/>
    <cellStyle name="표준 9 2 5 3 2 2" xfId="7481"/>
    <cellStyle name="표준 9 2 5 3 3" xfId="7482"/>
    <cellStyle name="표준 9 2 5 3 3 2" xfId="7483"/>
    <cellStyle name="표준 9 2 5 3 4" xfId="7484"/>
    <cellStyle name="표준 9 2 5 4" xfId="7485"/>
    <cellStyle name="표준 9 2 5 4 2" xfId="7486"/>
    <cellStyle name="표준 9 2 5 5" xfId="7487"/>
    <cellStyle name="표준 9 2 5 5 2" xfId="7488"/>
    <cellStyle name="표준 9 2 5 6" xfId="7489"/>
    <cellStyle name="표준 9 2 6 2 2" xfId="7490"/>
    <cellStyle name="표준 9 2 6 2 2 2" xfId="7491"/>
    <cellStyle name="표준 9 2 6 2 3" xfId="7492"/>
    <cellStyle name="표준 9 2 6 2 3 2" xfId="7493"/>
    <cellStyle name="표준 9 2 6 2 4" xfId="7494"/>
    <cellStyle name="표준 9 2 6 3" xfId="7495"/>
    <cellStyle name="표준 9 2 6 3 2" xfId="7496"/>
    <cellStyle name="표준 9 2 6 4" xfId="7497"/>
    <cellStyle name="표준 9 2 6 4 2" xfId="7498"/>
    <cellStyle name="표준 9 2 6 5" xfId="7499"/>
    <cellStyle name="표준 9 2 7 2" xfId="7500"/>
    <cellStyle name="표준 9 2 7 2 2" xfId="7501"/>
    <cellStyle name="표준 9 2 7 3" xfId="7502"/>
    <cellStyle name="표준 9 2 7 3 2" xfId="7503"/>
    <cellStyle name="표준 9 2 7 4" xfId="7504"/>
    <cellStyle name="표준 9 2 8" xfId="7505"/>
    <cellStyle name="표준 9 2 8 2" xfId="7506"/>
    <cellStyle name="표준 9 2 9" xfId="7507"/>
    <cellStyle name="표준 9 2 9 2" xfId="7508"/>
    <cellStyle name="표준 9 4 10" xfId="7509"/>
    <cellStyle name="표준 9 4 2 2 2 2 2" xfId="7510"/>
    <cellStyle name="표준 9 4 2 2 2 2 2 2" xfId="7511"/>
    <cellStyle name="표준 9 4 2 2 2 2 3" xfId="7512"/>
    <cellStyle name="표준 9 4 2 2 2 2 3 2" xfId="7513"/>
    <cellStyle name="표준 9 4 2 2 2 2 4" xfId="7514"/>
    <cellStyle name="표준 9 4 2 2 2 3" xfId="7515"/>
    <cellStyle name="표준 9 4 2 2 2 3 2" xfId="7516"/>
    <cellStyle name="표준 9 4 2 2 2 4" xfId="7517"/>
    <cellStyle name="표준 9 4 2 2 2 4 2" xfId="7518"/>
    <cellStyle name="표준 9 4 2 2 2 5" xfId="7519"/>
    <cellStyle name="표준 9 4 2 2 3 2" xfId="7520"/>
    <cellStyle name="표준 9 4 2 2 3 2 2" xfId="7521"/>
    <cellStyle name="표준 9 4 2 2 3 3" xfId="7522"/>
    <cellStyle name="표준 9 4 2 2 3 3 2" xfId="7523"/>
    <cellStyle name="표준 9 4 2 2 3 4" xfId="7524"/>
    <cellStyle name="표준 9 4 2 2 4" xfId="7525"/>
    <cellStyle name="표준 9 4 2 2 4 2" xfId="7526"/>
    <cellStyle name="표준 9 4 2 2 5" xfId="7527"/>
    <cellStyle name="표준 9 4 2 2 5 2" xfId="7528"/>
    <cellStyle name="표준 9 4 2 2 6" xfId="7529"/>
    <cellStyle name="표준 9 4 2 3 2 2" xfId="7530"/>
    <cellStyle name="표준 9 4 2 3 2 2 2" xfId="7531"/>
    <cellStyle name="표준 9 4 2 3 2 3" xfId="7532"/>
    <cellStyle name="표준 9 4 2 3 2 3 2" xfId="7533"/>
    <cellStyle name="표준 9 4 2 3 2 4" xfId="7534"/>
    <cellStyle name="표준 9 4 2 3 3" xfId="7535"/>
    <cellStyle name="표준 9 4 2 3 3 2" xfId="7536"/>
    <cellStyle name="표준 9 4 2 3 4" xfId="7537"/>
    <cellStyle name="표준 9 4 2 3 4 2" xfId="7538"/>
    <cellStyle name="표준 9 4 2 3 5" xfId="7539"/>
    <cellStyle name="표준 9 4 2 4 2" xfId="7540"/>
    <cellStyle name="표준 9 4 2 4 2 2" xfId="7541"/>
    <cellStyle name="표준 9 4 2 4 3" xfId="7542"/>
    <cellStyle name="표준 9 4 2 4 3 2" xfId="7543"/>
    <cellStyle name="표준 9 4 2 4 4" xfId="7544"/>
    <cellStyle name="표준 9 4 2 5" xfId="7545"/>
    <cellStyle name="표준 9 4 2 5 2" xfId="7546"/>
    <cellStyle name="표준 9 4 2 6" xfId="7547"/>
    <cellStyle name="표준 9 4 2 6 2" xfId="7548"/>
    <cellStyle name="표준 9 4 2 7" xfId="7549"/>
    <cellStyle name="표준 9 4 3 2 2 2 2" xfId="7550"/>
    <cellStyle name="표준 9 4 3 2 2 2 2 2" xfId="7551"/>
    <cellStyle name="표준 9 4 3 2 2 2 3" xfId="7552"/>
    <cellStyle name="표준 9 4 3 2 2 2 3 2" xfId="7553"/>
    <cellStyle name="표준 9 4 3 2 2 2 4" xfId="7554"/>
    <cellStyle name="표준 9 4 3 2 2 3" xfId="7555"/>
    <cellStyle name="표준 9 4 3 2 2 3 2" xfId="7556"/>
    <cellStyle name="표준 9 4 3 2 2 4" xfId="7557"/>
    <cellStyle name="표준 9 4 3 2 2 4 2" xfId="7558"/>
    <cellStyle name="표준 9 4 3 2 2 5" xfId="7559"/>
    <cellStyle name="표준 9 4 3 2 3 2" xfId="7560"/>
    <cellStyle name="표준 9 4 3 2 3 2 2" xfId="7561"/>
    <cellStyle name="표준 9 4 3 2 3 3" xfId="7562"/>
    <cellStyle name="표준 9 4 3 2 3 3 2" xfId="7563"/>
    <cellStyle name="표준 9 4 3 2 3 4" xfId="7564"/>
    <cellStyle name="표준 9 4 3 2 4" xfId="7565"/>
    <cellStyle name="표준 9 4 3 2 4 2" xfId="7566"/>
    <cellStyle name="표준 9 4 3 2 5" xfId="7567"/>
    <cellStyle name="표준 9 4 3 2 5 2" xfId="7568"/>
    <cellStyle name="표준 9 4 3 2 6" xfId="7569"/>
    <cellStyle name="표준 9 4 3 3 2 2" xfId="7570"/>
    <cellStyle name="표준 9 4 3 3 2 2 2" xfId="7571"/>
    <cellStyle name="표준 9 4 3 3 2 3" xfId="7572"/>
    <cellStyle name="표준 9 4 3 3 2 3 2" xfId="7573"/>
    <cellStyle name="표준 9 4 3 3 2 4" xfId="7574"/>
    <cellStyle name="표준 9 4 3 3 3" xfId="7575"/>
    <cellStyle name="표준 9 4 3 3 3 2" xfId="7576"/>
    <cellStyle name="표준 9 4 3 3 4" xfId="7577"/>
    <cellStyle name="표준 9 4 3 3 4 2" xfId="7578"/>
    <cellStyle name="표준 9 4 3 3 5" xfId="7579"/>
    <cellStyle name="표준 9 4 3 4 2" xfId="7580"/>
    <cellStyle name="표준 9 4 3 4 2 2" xfId="7581"/>
    <cellStyle name="표준 9 4 3 4 3" xfId="7582"/>
    <cellStyle name="표준 9 4 3 4 3 2" xfId="7583"/>
    <cellStyle name="표준 9 4 3 4 4" xfId="7584"/>
    <cellStyle name="표준 9 4 3 5" xfId="7585"/>
    <cellStyle name="표준 9 4 3 5 2" xfId="7586"/>
    <cellStyle name="표준 9 4 3 6" xfId="7587"/>
    <cellStyle name="표준 9 4 3 6 2" xfId="7588"/>
    <cellStyle name="표준 9 4 3 7" xfId="7589"/>
    <cellStyle name="표준 9 4 4 2 2 2 2" xfId="7590"/>
    <cellStyle name="표준 9 4 4 2 2 2 2 2" xfId="7591"/>
    <cellStyle name="표준 9 4 4 2 2 2 3" xfId="7592"/>
    <cellStyle name="표준 9 4 4 2 2 2 3 2" xfId="7593"/>
    <cellStyle name="표준 9 4 4 2 2 2 4" xfId="7594"/>
    <cellStyle name="표준 9 4 4 2 2 3" xfId="7595"/>
    <cellStyle name="표준 9 4 4 2 2 3 2" xfId="7596"/>
    <cellStyle name="표준 9 4 4 2 2 4" xfId="7597"/>
    <cellStyle name="표준 9 4 4 2 2 4 2" xfId="7598"/>
    <cellStyle name="표준 9 4 4 2 2 5" xfId="7599"/>
    <cellStyle name="표준 9 4 4 2 3 2" xfId="7600"/>
    <cellStyle name="표준 9 4 4 2 3 2 2" xfId="7601"/>
    <cellStyle name="표준 9 4 4 2 3 3" xfId="7602"/>
    <cellStyle name="표준 9 4 4 2 3 3 2" xfId="7603"/>
    <cellStyle name="표준 9 4 4 2 3 4" xfId="7604"/>
    <cellStyle name="표준 9 4 4 2 4" xfId="7605"/>
    <cellStyle name="표준 9 4 4 2 4 2" xfId="7606"/>
    <cellStyle name="표준 9 4 4 2 5" xfId="7607"/>
    <cellStyle name="표준 9 4 4 2 5 2" xfId="7608"/>
    <cellStyle name="표준 9 4 4 2 6" xfId="7609"/>
    <cellStyle name="표준 9 4 4 3 2 2" xfId="7610"/>
    <cellStyle name="표준 9 4 4 3 2 2 2" xfId="7611"/>
    <cellStyle name="표준 9 4 4 3 2 3" xfId="7612"/>
    <cellStyle name="표준 9 4 4 3 2 3 2" xfId="7613"/>
    <cellStyle name="표준 9 4 4 3 2 4" xfId="7614"/>
    <cellStyle name="표준 9 4 4 3 3" xfId="7615"/>
    <cellStyle name="표준 9 4 4 3 3 2" xfId="7616"/>
    <cellStyle name="표준 9 4 4 3 4" xfId="7617"/>
    <cellStyle name="표준 9 4 4 3 4 2" xfId="7618"/>
    <cellStyle name="표준 9 4 4 3 5" xfId="7619"/>
    <cellStyle name="표준 9 4 4 4 2" xfId="7620"/>
    <cellStyle name="표준 9 4 4 4 2 2" xfId="7621"/>
    <cellStyle name="표준 9 4 4 4 3" xfId="7622"/>
    <cellStyle name="표준 9 4 4 4 3 2" xfId="7623"/>
    <cellStyle name="표준 9 4 4 4 4" xfId="7624"/>
    <cellStyle name="표준 9 4 4 5" xfId="7625"/>
    <cellStyle name="표준 9 4 4 5 2" xfId="7626"/>
    <cellStyle name="표준 9 4 4 6" xfId="7627"/>
    <cellStyle name="표준 9 4 4 6 2" xfId="7628"/>
    <cellStyle name="표준 9 4 4 7" xfId="7629"/>
    <cellStyle name="표준 9 4 5 2 2 2" xfId="7630"/>
    <cellStyle name="표준 9 4 5 2 2 2 2" xfId="7631"/>
    <cellStyle name="표준 9 4 5 2 2 3" xfId="7632"/>
    <cellStyle name="표준 9 4 5 2 2 3 2" xfId="7633"/>
    <cellStyle name="표준 9 4 5 2 2 4" xfId="7634"/>
    <cellStyle name="표준 9 4 5 2 3" xfId="7635"/>
    <cellStyle name="표준 9 4 5 2 3 2" xfId="7636"/>
    <cellStyle name="표준 9 4 5 2 4" xfId="7637"/>
    <cellStyle name="표준 9 4 5 2 4 2" xfId="7638"/>
    <cellStyle name="표준 9 4 5 2 5" xfId="7639"/>
    <cellStyle name="표준 9 4 5 3 2" xfId="7640"/>
    <cellStyle name="표준 9 4 5 3 2 2" xfId="7641"/>
    <cellStyle name="표준 9 4 5 3 3" xfId="7642"/>
    <cellStyle name="표준 9 4 5 3 3 2" xfId="7643"/>
    <cellStyle name="표준 9 4 5 3 4" xfId="7644"/>
    <cellStyle name="표준 9 4 5 4" xfId="7645"/>
    <cellStyle name="표준 9 4 5 4 2" xfId="7646"/>
    <cellStyle name="표준 9 4 5 5" xfId="7647"/>
    <cellStyle name="표준 9 4 5 5 2" xfId="7648"/>
    <cellStyle name="표준 9 4 5 6" xfId="7649"/>
    <cellStyle name="표준 9 4 6 2 2" xfId="7650"/>
    <cellStyle name="표준 9 4 6 2 2 2" xfId="7651"/>
    <cellStyle name="표준 9 4 6 2 3" xfId="7652"/>
    <cellStyle name="표준 9 4 6 2 3 2" xfId="7653"/>
    <cellStyle name="표준 9 4 6 2 4" xfId="7654"/>
    <cellStyle name="표준 9 4 6 3" xfId="7655"/>
    <cellStyle name="표준 9 4 6 3 2" xfId="7656"/>
    <cellStyle name="표준 9 4 6 4" xfId="7657"/>
    <cellStyle name="표준 9 4 6 4 2" xfId="7658"/>
    <cellStyle name="표준 9 4 6 5" xfId="7659"/>
    <cellStyle name="표준 9 4 7 2" xfId="7660"/>
    <cellStyle name="표준 9 4 7 2 2" xfId="7661"/>
    <cellStyle name="표준 9 4 7 3" xfId="7662"/>
    <cellStyle name="표준 9 4 7 3 2" xfId="7663"/>
    <cellStyle name="표준 9 4 7 4" xfId="7664"/>
    <cellStyle name="표준 9 4 8" xfId="7665"/>
    <cellStyle name="표준 9 4 8 2" xfId="7666"/>
    <cellStyle name="표준 9 4 9" xfId="7667"/>
    <cellStyle name="표준 9 4 9 2" xfId="7668"/>
    <cellStyle name="표준 9 5 10" xfId="7669"/>
    <cellStyle name="표준 9 5 2 2 2 2 2" xfId="7670"/>
    <cellStyle name="표준 9 5 2 2 2 2 2 2" xfId="7671"/>
    <cellStyle name="표준 9 5 2 2 2 2 3" xfId="7672"/>
    <cellStyle name="표준 9 5 2 2 2 2 3 2" xfId="7673"/>
    <cellStyle name="표준 9 5 2 2 2 2 4" xfId="7674"/>
    <cellStyle name="표준 9 5 2 2 2 3" xfId="7675"/>
    <cellStyle name="표준 9 5 2 2 2 3 2" xfId="7676"/>
    <cellStyle name="표준 9 5 2 2 2 4" xfId="7677"/>
    <cellStyle name="표준 9 5 2 2 2 4 2" xfId="7678"/>
    <cellStyle name="표준 9 5 2 2 2 5" xfId="7679"/>
    <cellStyle name="표준 9 5 2 2 3 2" xfId="7680"/>
    <cellStyle name="표준 9 5 2 2 3 2 2" xfId="7681"/>
    <cellStyle name="표준 9 5 2 2 3 3" xfId="7682"/>
    <cellStyle name="표준 9 5 2 2 3 3 2" xfId="7683"/>
    <cellStyle name="표준 9 5 2 2 3 4" xfId="7684"/>
    <cellStyle name="표준 9 5 2 2 4" xfId="7685"/>
    <cellStyle name="표준 9 5 2 2 4 2" xfId="7686"/>
    <cellStyle name="표준 9 5 2 2 5" xfId="7687"/>
    <cellStyle name="표준 9 5 2 2 5 2" xfId="7688"/>
    <cellStyle name="표준 9 5 2 2 6" xfId="7689"/>
    <cellStyle name="표준 9 5 2 3 2 2" xfId="7690"/>
    <cellStyle name="표준 9 5 2 3 2 2 2" xfId="7691"/>
    <cellStyle name="표준 9 5 2 3 2 3" xfId="7692"/>
    <cellStyle name="표준 9 5 2 3 2 3 2" xfId="7693"/>
    <cellStyle name="표준 9 5 2 3 2 4" xfId="7694"/>
    <cellStyle name="표준 9 5 2 3 3" xfId="7695"/>
    <cellStyle name="표준 9 5 2 3 3 2" xfId="7696"/>
    <cellStyle name="표준 9 5 2 3 4" xfId="7697"/>
    <cellStyle name="표준 9 5 2 3 4 2" xfId="7698"/>
    <cellStyle name="표준 9 5 2 3 5" xfId="7699"/>
    <cellStyle name="표준 9 5 2 4 2" xfId="7700"/>
    <cellStyle name="표준 9 5 2 4 2 2" xfId="7701"/>
    <cellStyle name="표준 9 5 2 4 3" xfId="7702"/>
    <cellStyle name="표준 9 5 2 4 3 2" xfId="7703"/>
    <cellStyle name="표준 9 5 2 4 4" xfId="7704"/>
    <cellStyle name="표준 9 5 2 5" xfId="7705"/>
    <cellStyle name="표준 9 5 2 5 2" xfId="7706"/>
    <cellStyle name="표준 9 5 2 6" xfId="7707"/>
    <cellStyle name="표준 9 5 2 6 2" xfId="7708"/>
    <cellStyle name="표준 9 5 2 7" xfId="7709"/>
    <cellStyle name="표준 9 5 3 2 2 2 2" xfId="7710"/>
    <cellStyle name="표준 9 5 3 2 2 2 2 2" xfId="7711"/>
    <cellStyle name="표준 9 5 3 2 2 2 3" xfId="7712"/>
    <cellStyle name="표준 9 5 3 2 2 2 3 2" xfId="7713"/>
    <cellStyle name="표준 9 5 3 2 2 2 4" xfId="7714"/>
    <cellStyle name="표준 9 5 3 2 2 3" xfId="7715"/>
    <cellStyle name="표준 9 5 3 2 2 3 2" xfId="7716"/>
    <cellStyle name="표준 9 5 3 2 2 4" xfId="7717"/>
    <cellStyle name="표준 9 5 3 2 2 4 2" xfId="7718"/>
    <cellStyle name="표준 9 5 3 2 2 5" xfId="7719"/>
    <cellStyle name="표준 9 5 3 2 3 2" xfId="7720"/>
    <cellStyle name="표준 9 5 3 2 3 2 2" xfId="7721"/>
    <cellStyle name="표준 9 5 3 2 3 3" xfId="7722"/>
    <cellStyle name="표준 9 5 3 2 3 3 2" xfId="7723"/>
    <cellStyle name="표준 9 5 3 2 3 4" xfId="7724"/>
    <cellStyle name="표준 9 5 3 2 4" xfId="7725"/>
    <cellStyle name="표준 9 5 3 2 4 2" xfId="7726"/>
    <cellStyle name="표준 9 5 3 2 5" xfId="7727"/>
    <cellStyle name="표준 9 5 3 2 5 2" xfId="7728"/>
    <cellStyle name="표준 9 5 3 2 6" xfId="7729"/>
    <cellStyle name="표준 9 5 3 3 2 2" xfId="7730"/>
    <cellStyle name="표준 9 5 3 3 2 2 2" xfId="7731"/>
    <cellStyle name="표준 9 5 3 3 2 3" xfId="7732"/>
    <cellStyle name="표준 9 5 3 3 2 3 2" xfId="7733"/>
    <cellStyle name="표준 9 5 3 3 2 4" xfId="7734"/>
    <cellStyle name="표준 9 5 3 3 3" xfId="7735"/>
    <cellStyle name="표준 9 5 3 3 3 2" xfId="7736"/>
    <cellStyle name="표준 9 5 3 3 4" xfId="7737"/>
    <cellStyle name="표준 9 5 3 3 4 2" xfId="7738"/>
    <cellStyle name="표준 9 5 3 3 5" xfId="7739"/>
    <cellStyle name="표준 9 5 3 4 2" xfId="7740"/>
    <cellStyle name="표준 9 5 3 4 2 2" xfId="7741"/>
    <cellStyle name="표준 9 5 3 4 3" xfId="7742"/>
    <cellStyle name="표준 9 5 3 4 3 2" xfId="7743"/>
    <cellStyle name="표준 9 5 3 4 4" xfId="7744"/>
    <cellStyle name="표준 9 5 3 5" xfId="7745"/>
    <cellStyle name="표준 9 5 3 5 2" xfId="7746"/>
    <cellStyle name="표준 9 5 3 6" xfId="7747"/>
    <cellStyle name="표준 9 5 3 6 2" xfId="7748"/>
    <cellStyle name="표준 9 5 3 7" xfId="7749"/>
    <cellStyle name="표준 9 5 4 2 2 2 2" xfId="7750"/>
    <cellStyle name="표준 9 5 4 2 2 2 2 2" xfId="7751"/>
    <cellStyle name="표준 9 5 4 2 2 2 3" xfId="7752"/>
    <cellStyle name="표준 9 5 4 2 2 2 3 2" xfId="7753"/>
    <cellStyle name="표준 9 5 4 2 2 2 4" xfId="7754"/>
    <cellStyle name="표준 9 5 4 2 2 3" xfId="7755"/>
    <cellStyle name="표준 9 5 4 2 2 3 2" xfId="7756"/>
    <cellStyle name="표준 9 5 4 2 2 4" xfId="7757"/>
    <cellStyle name="표준 9 5 4 2 2 4 2" xfId="7758"/>
    <cellStyle name="표준 9 5 4 2 2 5" xfId="7759"/>
    <cellStyle name="표준 9 5 4 2 3 2" xfId="7760"/>
    <cellStyle name="표준 9 5 4 2 3 2 2" xfId="7761"/>
    <cellStyle name="표준 9 5 4 2 3 3" xfId="7762"/>
    <cellStyle name="표준 9 5 4 2 3 3 2" xfId="7763"/>
    <cellStyle name="표준 9 5 4 2 3 4" xfId="7764"/>
    <cellStyle name="표준 9 5 4 2 4" xfId="7765"/>
    <cellStyle name="표준 9 5 4 2 4 2" xfId="7766"/>
    <cellStyle name="표준 9 5 4 2 5" xfId="7767"/>
    <cellStyle name="표준 9 5 4 2 5 2" xfId="7768"/>
    <cellStyle name="표준 9 5 4 2 6" xfId="7769"/>
    <cellStyle name="표준 9 5 4 3 2 2" xfId="7770"/>
    <cellStyle name="표준 9 5 4 3 2 2 2" xfId="7771"/>
    <cellStyle name="표준 9 5 4 3 2 3" xfId="7772"/>
    <cellStyle name="표준 9 5 4 3 2 3 2" xfId="7773"/>
    <cellStyle name="표준 9 5 4 3 2 4" xfId="7774"/>
    <cellStyle name="표준 9 5 4 3 3" xfId="7775"/>
    <cellStyle name="표준 9 5 4 3 3 2" xfId="7776"/>
    <cellStyle name="표준 9 5 4 3 4" xfId="7777"/>
    <cellStyle name="표준 9 5 4 3 4 2" xfId="7778"/>
    <cellStyle name="표준 9 5 4 3 5" xfId="7779"/>
    <cellStyle name="표준 9 5 4 4 2" xfId="7780"/>
    <cellStyle name="표준 9 5 4 4 2 2" xfId="7781"/>
    <cellStyle name="표준 9 5 4 4 3" xfId="7782"/>
    <cellStyle name="표준 9 5 4 4 3 2" xfId="7783"/>
    <cellStyle name="표준 9 5 4 4 4" xfId="7784"/>
    <cellStyle name="표준 9 5 4 5" xfId="7785"/>
    <cellStyle name="표준 9 5 4 5 2" xfId="7786"/>
    <cellStyle name="표준 9 5 4 6" xfId="7787"/>
    <cellStyle name="표준 9 5 4 6 2" xfId="7788"/>
    <cellStyle name="표준 9 5 4 7" xfId="7789"/>
    <cellStyle name="표준 9 5 5 2 2 2" xfId="7790"/>
    <cellStyle name="표준 9 5 5 2 2 2 2" xfId="7791"/>
    <cellStyle name="표준 9 5 5 2 2 3" xfId="7792"/>
    <cellStyle name="표준 9 5 5 2 2 3 2" xfId="7793"/>
    <cellStyle name="표준 9 5 5 2 2 4" xfId="7794"/>
    <cellStyle name="표준 9 5 5 2 3" xfId="7795"/>
    <cellStyle name="표준 9 5 5 2 3 2" xfId="7796"/>
    <cellStyle name="표준 9 5 5 2 4" xfId="7797"/>
    <cellStyle name="표준 9 5 5 2 4 2" xfId="7798"/>
    <cellStyle name="표준 9 5 5 2 5" xfId="7799"/>
    <cellStyle name="표준 9 5 5 3 2" xfId="7800"/>
    <cellStyle name="표준 9 5 5 3 2 2" xfId="7801"/>
    <cellStyle name="표준 9 5 5 3 3" xfId="7802"/>
    <cellStyle name="표준 9 5 5 3 3 2" xfId="7803"/>
    <cellStyle name="표준 9 5 5 3 4" xfId="7804"/>
    <cellStyle name="표준 9 5 5 4" xfId="7805"/>
    <cellStyle name="표준 9 5 5 4 2" xfId="7806"/>
    <cellStyle name="표준 9 5 5 5" xfId="7807"/>
    <cellStyle name="표준 9 5 5 5 2" xfId="7808"/>
    <cellStyle name="표준 9 5 5 6" xfId="7809"/>
    <cellStyle name="표준 9 5 6 2 2" xfId="7810"/>
    <cellStyle name="표준 9 5 6 2 2 2" xfId="7811"/>
    <cellStyle name="표준 9 5 6 2 3" xfId="7812"/>
    <cellStyle name="표준 9 5 6 2 3 2" xfId="7813"/>
    <cellStyle name="표준 9 5 6 2 4" xfId="7814"/>
    <cellStyle name="표준 9 5 6 3" xfId="7815"/>
    <cellStyle name="표준 9 5 6 3 2" xfId="7816"/>
    <cellStyle name="표준 9 5 6 4" xfId="7817"/>
    <cellStyle name="표준 9 5 6 4 2" xfId="7818"/>
    <cellStyle name="표준 9 5 6 5" xfId="7819"/>
    <cellStyle name="표준 9 5 7 2" xfId="7820"/>
    <cellStyle name="표준 9 5 7 2 2" xfId="7821"/>
    <cellStyle name="표준 9 5 7 3" xfId="7822"/>
    <cellStyle name="표준 9 5 7 3 2" xfId="7823"/>
    <cellStyle name="표준 9 5 7 4" xfId="7824"/>
    <cellStyle name="표준 9 5 8" xfId="7825"/>
    <cellStyle name="표준 9 5 8 2" xfId="7826"/>
    <cellStyle name="표준 9 5 9" xfId="7827"/>
    <cellStyle name="표준 9 5 9 2" xfId="7828"/>
    <cellStyle name="표준 9 6 10" xfId="7829"/>
    <cellStyle name="표준 9 6 2 2 2 2 2" xfId="7830"/>
    <cellStyle name="표준 9 6 2 2 2 2 2 2" xfId="7831"/>
    <cellStyle name="표준 9 6 2 2 2 2 3" xfId="7832"/>
    <cellStyle name="표준 9 6 2 2 2 2 3 2" xfId="7833"/>
    <cellStyle name="표준 9 6 2 2 2 2 4" xfId="7834"/>
    <cellStyle name="표준 9 6 2 2 2 3" xfId="7835"/>
    <cellStyle name="표준 9 6 2 2 2 3 2" xfId="7836"/>
    <cellStyle name="표준 9 6 2 2 2 4" xfId="7837"/>
    <cellStyle name="표준 9 6 2 2 2 4 2" xfId="7838"/>
    <cellStyle name="표준 9 6 2 2 2 5" xfId="7839"/>
    <cellStyle name="표준 9 6 2 2 3 2" xfId="7840"/>
    <cellStyle name="표준 9 6 2 2 3 2 2" xfId="7841"/>
    <cellStyle name="표준 9 6 2 2 3 3" xfId="7842"/>
    <cellStyle name="표준 9 6 2 2 3 3 2" xfId="7843"/>
    <cellStyle name="표준 9 6 2 2 3 4" xfId="7844"/>
    <cellStyle name="표준 9 6 2 2 4" xfId="7845"/>
    <cellStyle name="표준 9 6 2 2 4 2" xfId="7846"/>
    <cellStyle name="표준 9 6 2 2 5" xfId="7847"/>
    <cellStyle name="표준 9 6 2 2 5 2" xfId="7848"/>
    <cellStyle name="표준 9 6 2 2 6" xfId="7849"/>
    <cellStyle name="표준 9 6 2 3 2 2" xfId="7850"/>
    <cellStyle name="표준 9 6 2 3 2 2 2" xfId="7851"/>
    <cellStyle name="표준 9 6 2 3 2 3" xfId="7852"/>
    <cellStyle name="표준 9 6 2 3 2 3 2" xfId="7853"/>
    <cellStyle name="표준 9 6 2 3 2 4" xfId="7854"/>
    <cellStyle name="표준 9 6 2 3 3" xfId="7855"/>
    <cellStyle name="표준 9 6 2 3 3 2" xfId="7856"/>
    <cellStyle name="표준 9 6 2 3 4" xfId="7857"/>
    <cellStyle name="표준 9 6 2 3 4 2" xfId="7858"/>
    <cellStyle name="표준 9 6 2 3 5" xfId="7859"/>
    <cellStyle name="표준 9 6 2 4 2" xfId="7860"/>
    <cellStyle name="표준 9 6 2 4 2 2" xfId="7861"/>
    <cellStyle name="표준 9 6 2 4 3" xfId="7862"/>
    <cellStyle name="표준 9 6 2 4 3 2" xfId="7863"/>
    <cellStyle name="표준 9 6 2 4 4" xfId="7864"/>
    <cellStyle name="표준 9 6 2 5" xfId="7865"/>
    <cellStyle name="표준 9 6 2 5 2" xfId="7866"/>
    <cellStyle name="표준 9 6 2 6" xfId="7867"/>
    <cellStyle name="표준 9 6 2 6 2" xfId="7868"/>
    <cellStyle name="표준 9 6 2 7" xfId="7869"/>
    <cellStyle name="표준 9 6 3 2 2 2 2" xfId="7870"/>
    <cellStyle name="표준 9 6 3 2 2 2 2 2" xfId="7871"/>
    <cellStyle name="표준 9 6 3 2 2 2 3" xfId="7872"/>
    <cellStyle name="표준 9 6 3 2 2 2 3 2" xfId="7873"/>
    <cellStyle name="표준 9 6 3 2 2 2 4" xfId="7874"/>
    <cellStyle name="표준 9 6 3 2 2 3" xfId="7875"/>
    <cellStyle name="표준 9 6 3 2 2 3 2" xfId="7876"/>
    <cellStyle name="표준 9 6 3 2 2 4" xfId="7877"/>
    <cellStyle name="표준 9 6 3 2 2 4 2" xfId="7878"/>
    <cellStyle name="표준 9 6 3 2 2 5" xfId="7879"/>
    <cellStyle name="표준 9 6 3 2 3 2" xfId="7880"/>
    <cellStyle name="표준 9 6 3 2 3 2 2" xfId="7881"/>
    <cellStyle name="표준 9 6 3 2 3 3" xfId="7882"/>
    <cellStyle name="표준 9 6 3 2 3 3 2" xfId="7883"/>
    <cellStyle name="표준 9 6 3 2 3 4" xfId="7884"/>
    <cellStyle name="표준 9 6 3 2 4" xfId="7885"/>
    <cellStyle name="표준 9 6 3 2 4 2" xfId="7886"/>
    <cellStyle name="표준 9 6 3 2 5" xfId="7887"/>
    <cellStyle name="표준 9 6 3 2 5 2" xfId="7888"/>
    <cellStyle name="표준 9 6 3 2 6" xfId="7889"/>
    <cellStyle name="표준 9 6 3 3 2 2" xfId="7890"/>
    <cellStyle name="표준 9 6 3 3 2 2 2" xfId="7891"/>
    <cellStyle name="표준 9 6 3 3 2 3" xfId="7892"/>
    <cellStyle name="표준 9 6 3 3 2 3 2" xfId="7893"/>
    <cellStyle name="표준 9 6 3 3 2 4" xfId="7894"/>
    <cellStyle name="표준 9 6 3 3 3" xfId="7895"/>
    <cellStyle name="표준 9 6 3 3 3 2" xfId="7896"/>
    <cellStyle name="표준 9 6 3 3 4" xfId="7897"/>
    <cellStyle name="표준 9 6 3 3 4 2" xfId="7898"/>
    <cellStyle name="표준 9 6 3 3 5" xfId="7899"/>
    <cellStyle name="표준 9 6 3 4 2" xfId="7900"/>
    <cellStyle name="표준 9 6 3 4 2 2" xfId="7901"/>
    <cellStyle name="표준 9 6 3 4 3" xfId="7902"/>
    <cellStyle name="표준 9 6 3 4 3 2" xfId="7903"/>
    <cellStyle name="표준 9 6 3 4 4" xfId="7904"/>
    <cellStyle name="표준 9 6 3 5" xfId="7905"/>
    <cellStyle name="표준 9 6 3 5 2" xfId="7906"/>
    <cellStyle name="표준 9 6 3 6" xfId="7907"/>
    <cellStyle name="표준 9 6 3 6 2" xfId="7908"/>
    <cellStyle name="표준 9 6 3 7" xfId="7909"/>
    <cellStyle name="표준 9 6 4 2 2 2 2" xfId="7910"/>
    <cellStyle name="표준 9 6 4 2 2 2 2 2" xfId="7911"/>
    <cellStyle name="표준 9 6 4 2 2 2 3" xfId="7912"/>
    <cellStyle name="표준 9 6 4 2 2 2 3 2" xfId="7913"/>
    <cellStyle name="표준 9 6 4 2 2 2 4" xfId="7914"/>
    <cellStyle name="표준 9 6 4 2 2 3" xfId="7915"/>
    <cellStyle name="표준 9 6 4 2 2 3 2" xfId="7916"/>
    <cellStyle name="표준 9 6 4 2 2 4" xfId="7917"/>
    <cellStyle name="표준 9 6 4 2 2 4 2" xfId="7918"/>
    <cellStyle name="표준 9 6 4 2 2 5" xfId="7919"/>
    <cellStyle name="표준 9 6 4 2 3 2" xfId="7920"/>
    <cellStyle name="표준 9 6 4 2 3 2 2" xfId="7921"/>
    <cellStyle name="표준 9 6 4 2 3 3" xfId="7922"/>
    <cellStyle name="표준 9 6 4 2 3 3 2" xfId="7923"/>
    <cellStyle name="표준 9 6 4 2 3 4" xfId="7924"/>
    <cellStyle name="표준 9 6 4 2 4" xfId="7925"/>
    <cellStyle name="표준 9 6 4 2 4 2" xfId="7926"/>
    <cellStyle name="표준 9 6 4 2 5" xfId="7927"/>
    <cellStyle name="표준 9 6 4 2 5 2" xfId="7928"/>
    <cellStyle name="표준 9 6 4 2 6" xfId="7929"/>
    <cellStyle name="표준 9 6 4 3 2 2" xfId="7930"/>
    <cellStyle name="표준 9 6 4 3 2 2 2" xfId="7931"/>
    <cellStyle name="표준 9 6 4 3 2 3" xfId="7932"/>
    <cellStyle name="표준 9 6 4 3 2 3 2" xfId="7933"/>
    <cellStyle name="표준 9 6 4 3 2 4" xfId="7934"/>
    <cellStyle name="표준 9 6 4 3 3" xfId="7935"/>
    <cellStyle name="표준 9 6 4 3 3 2" xfId="7936"/>
    <cellStyle name="표준 9 6 4 3 4" xfId="7937"/>
    <cellStyle name="표준 9 6 4 3 4 2" xfId="7938"/>
    <cellStyle name="표준 9 6 4 3 5" xfId="7939"/>
    <cellStyle name="표준 9 6 4 4 2" xfId="7940"/>
    <cellStyle name="표준 9 6 4 4 2 2" xfId="7941"/>
    <cellStyle name="표준 9 6 4 4 3" xfId="7942"/>
    <cellStyle name="표준 9 6 4 4 3 2" xfId="7943"/>
    <cellStyle name="표준 9 6 4 4 4" xfId="7944"/>
    <cellStyle name="표준 9 6 4 5" xfId="7945"/>
    <cellStyle name="표준 9 6 4 5 2" xfId="7946"/>
    <cellStyle name="표준 9 6 4 6" xfId="7947"/>
    <cellStyle name="표준 9 6 4 6 2" xfId="7948"/>
    <cellStyle name="표준 9 6 4 7" xfId="7949"/>
    <cellStyle name="표준 9 6 5 2 2 2" xfId="7950"/>
    <cellStyle name="표준 9 6 5 2 2 2 2" xfId="7951"/>
    <cellStyle name="표준 9 6 5 2 2 3" xfId="7952"/>
    <cellStyle name="표준 9 6 5 2 2 3 2" xfId="7953"/>
    <cellStyle name="표준 9 6 5 2 2 4" xfId="7954"/>
    <cellStyle name="표준 9 6 5 2 3" xfId="7955"/>
    <cellStyle name="표준 9 6 5 2 3 2" xfId="7956"/>
    <cellStyle name="표준 9 6 5 2 4" xfId="7957"/>
    <cellStyle name="표준 9 6 5 2 4 2" xfId="7958"/>
    <cellStyle name="표준 9 6 5 2 5" xfId="7959"/>
    <cellStyle name="표준 9 6 5 3 2" xfId="7960"/>
    <cellStyle name="표준 9 6 5 3 2 2" xfId="7961"/>
    <cellStyle name="표준 9 6 5 3 3" xfId="7962"/>
    <cellStyle name="표준 9 6 5 3 3 2" xfId="7963"/>
    <cellStyle name="표준 9 6 5 3 4" xfId="7964"/>
    <cellStyle name="표준 9 6 5 4" xfId="7965"/>
    <cellStyle name="표준 9 6 5 4 2" xfId="7966"/>
    <cellStyle name="표준 9 6 5 5" xfId="7967"/>
    <cellStyle name="표준 9 6 5 5 2" xfId="7968"/>
    <cellStyle name="표준 9 6 5 6" xfId="7969"/>
    <cellStyle name="표준 9 6 6 2 2" xfId="7970"/>
    <cellStyle name="표준 9 6 6 2 2 2" xfId="7971"/>
    <cellStyle name="표준 9 6 6 2 3" xfId="7972"/>
    <cellStyle name="표준 9 6 6 2 3 2" xfId="7973"/>
    <cellStyle name="표준 9 6 6 2 4" xfId="7974"/>
    <cellStyle name="표준 9 6 6 3" xfId="7975"/>
    <cellStyle name="표준 9 6 6 3 2" xfId="7976"/>
    <cellStyle name="표준 9 6 6 4" xfId="7977"/>
    <cellStyle name="표준 9 6 6 4 2" xfId="7978"/>
    <cellStyle name="표준 9 6 6 5" xfId="7979"/>
    <cellStyle name="표준 9 6 7 2" xfId="7980"/>
    <cellStyle name="표준 9 6 7 2 2" xfId="7981"/>
    <cellStyle name="표준 9 6 7 3" xfId="7982"/>
    <cellStyle name="표준 9 6 7 3 2" xfId="7983"/>
    <cellStyle name="표준 9 6 7 4" xfId="7984"/>
    <cellStyle name="표준 9 6 8" xfId="7985"/>
    <cellStyle name="표준 9 6 8 2" xfId="7986"/>
    <cellStyle name="표준 9 6 9" xfId="7987"/>
    <cellStyle name="표준 9 6 9 2" xfId="7988"/>
    <cellStyle name="표준 9 7 10" xfId="7989"/>
    <cellStyle name="표준 9 7 2 2 2 2 2" xfId="7990"/>
    <cellStyle name="표준 9 7 2 2 2 2 2 2" xfId="7991"/>
    <cellStyle name="표준 9 7 2 2 2 2 3" xfId="7992"/>
    <cellStyle name="표준 9 7 2 2 2 2 3 2" xfId="7993"/>
    <cellStyle name="표준 9 7 2 2 2 2 4" xfId="7994"/>
    <cellStyle name="표준 9 7 2 2 2 3" xfId="7995"/>
    <cellStyle name="표준 9 7 2 2 2 3 2" xfId="7996"/>
    <cellStyle name="표준 9 7 2 2 2 4" xfId="7997"/>
    <cellStyle name="표준 9 7 2 2 2 4 2" xfId="7998"/>
    <cellStyle name="표준 9 7 2 2 2 5" xfId="7999"/>
    <cellStyle name="표준 9 7 2 2 3 2" xfId="8000"/>
    <cellStyle name="표준 9 7 2 2 3 2 2" xfId="8001"/>
    <cellStyle name="표준 9 7 2 2 3 3" xfId="8002"/>
    <cellStyle name="표준 9 7 2 2 3 3 2" xfId="8003"/>
    <cellStyle name="표준 9 7 2 2 3 4" xfId="8004"/>
    <cellStyle name="표준 9 7 2 2 4" xfId="8005"/>
    <cellStyle name="표준 9 7 2 2 4 2" xfId="8006"/>
    <cellStyle name="표준 9 7 2 2 5" xfId="8007"/>
    <cellStyle name="표준 9 7 2 2 5 2" xfId="8008"/>
    <cellStyle name="표준 9 7 2 2 6" xfId="8009"/>
    <cellStyle name="표준 9 7 2 3 2 2" xfId="8010"/>
    <cellStyle name="표준 9 7 2 3 2 2 2" xfId="8011"/>
    <cellStyle name="표준 9 7 2 3 2 3" xfId="8012"/>
    <cellStyle name="표준 9 7 2 3 2 3 2" xfId="8013"/>
    <cellStyle name="표준 9 7 2 3 2 4" xfId="8014"/>
    <cellStyle name="표준 9 7 2 3 3" xfId="8015"/>
    <cellStyle name="표준 9 7 2 3 3 2" xfId="8016"/>
    <cellStyle name="표준 9 7 2 3 4" xfId="8017"/>
    <cellStyle name="표준 9 7 2 3 4 2" xfId="8018"/>
    <cellStyle name="표준 9 7 2 3 5" xfId="8019"/>
    <cellStyle name="표준 9 7 2 4 2" xfId="8020"/>
    <cellStyle name="표준 9 7 2 4 2 2" xfId="8021"/>
    <cellStyle name="표준 9 7 2 4 3" xfId="8022"/>
    <cellStyle name="표준 9 7 2 4 3 2" xfId="8023"/>
    <cellStyle name="표준 9 7 2 4 4" xfId="8024"/>
    <cellStyle name="표준 9 7 2 5" xfId="8025"/>
    <cellStyle name="표준 9 7 2 5 2" xfId="8026"/>
    <cellStyle name="표준 9 7 2 6" xfId="8027"/>
    <cellStyle name="표준 9 7 2 6 2" xfId="8028"/>
    <cellStyle name="표준 9 7 2 7" xfId="8029"/>
    <cellStyle name="표준 9 7 3 2 2 2 2" xfId="8030"/>
    <cellStyle name="표준 9 7 3 2 2 2 2 2" xfId="8031"/>
    <cellStyle name="표준 9 7 3 2 2 2 3" xfId="8032"/>
    <cellStyle name="표준 9 7 3 2 2 2 3 2" xfId="8033"/>
    <cellStyle name="표준 9 7 3 2 2 2 4" xfId="8034"/>
    <cellStyle name="표준 9 7 3 2 2 3" xfId="8035"/>
    <cellStyle name="표준 9 7 3 2 2 3 2" xfId="8036"/>
    <cellStyle name="표준 9 7 3 2 2 4" xfId="8037"/>
    <cellStyle name="표준 9 7 3 2 2 4 2" xfId="8038"/>
    <cellStyle name="표준 9 7 3 2 2 5" xfId="8039"/>
    <cellStyle name="표준 9 7 3 2 3 2" xfId="8040"/>
    <cellStyle name="표준 9 7 3 2 3 2 2" xfId="8041"/>
    <cellStyle name="표준 9 7 3 2 3 3" xfId="8042"/>
    <cellStyle name="표준 9 7 3 2 3 3 2" xfId="8043"/>
    <cellStyle name="표준 9 7 3 2 3 4" xfId="8044"/>
    <cellStyle name="표준 9 7 3 2 4" xfId="8045"/>
    <cellStyle name="표준 9 7 3 2 4 2" xfId="8046"/>
    <cellStyle name="표준 9 7 3 2 5" xfId="8047"/>
    <cellStyle name="표준 9 7 3 2 5 2" xfId="8048"/>
    <cellStyle name="표준 9 7 3 2 6" xfId="8049"/>
    <cellStyle name="표준 9 7 3 3 2 2" xfId="8050"/>
    <cellStyle name="표준 9 7 3 3 2 2 2" xfId="8051"/>
    <cellStyle name="표준 9 7 3 3 2 3" xfId="8052"/>
    <cellStyle name="표준 9 7 3 3 2 3 2" xfId="8053"/>
    <cellStyle name="표준 9 7 3 3 2 4" xfId="8054"/>
    <cellStyle name="표준 9 7 3 3 3" xfId="8055"/>
    <cellStyle name="표준 9 7 3 3 3 2" xfId="8056"/>
    <cellStyle name="표준 9 7 3 3 4" xfId="8057"/>
    <cellStyle name="표준 9 7 3 3 4 2" xfId="8058"/>
    <cellStyle name="표준 9 7 3 3 5" xfId="8059"/>
    <cellStyle name="표준 9 7 3 4 2" xfId="8060"/>
    <cellStyle name="표준 9 7 3 4 2 2" xfId="8061"/>
    <cellStyle name="표준 9 7 3 4 3" xfId="8062"/>
    <cellStyle name="표준 9 7 3 4 3 2" xfId="8063"/>
    <cellStyle name="표준 9 7 3 4 4" xfId="8064"/>
    <cellStyle name="표준 9 7 3 5" xfId="8065"/>
    <cellStyle name="표준 9 7 3 5 2" xfId="8066"/>
    <cellStyle name="표준 9 7 3 6" xfId="8067"/>
    <cellStyle name="표준 9 7 3 6 2" xfId="8068"/>
    <cellStyle name="표준 9 7 3 7" xfId="8069"/>
    <cellStyle name="표준 9 7 4 2 2 2 2" xfId="8070"/>
    <cellStyle name="표준 9 7 4 2 2 2 2 2" xfId="8071"/>
    <cellStyle name="표준 9 7 4 2 2 2 3" xfId="8072"/>
    <cellStyle name="표준 9 7 4 2 2 2 3 2" xfId="8073"/>
    <cellStyle name="표준 9 7 4 2 2 2 4" xfId="8074"/>
    <cellStyle name="표준 9 7 4 2 2 3" xfId="8075"/>
    <cellStyle name="표준 9 7 4 2 2 3 2" xfId="8076"/>
    <cellStyle name="표준 9 7 4 2 2 4" xfId="8077"/>
    <cellStyle name="표준 9 7 4 2 2 4 2" xfId="8078"/>
    <cellStyle name="표준 9 7 4 2 2 5" xfId="8079"/>
    <cellStyle name="표준 9 7 4 2 3 2" xfId="8080"/>
    <cellStyle name="표준 9 7 4 2 3 2 2" xfId="8081"/>
    <cellStyle name="표준 9 7 4 2 3 3" xfId="8082"/>
    <cellStyle name="표준 9 7 4 2 3 3 2" xfId="8083"/>
    <cellStyle name="표준 9 7 4 2 3 4" xfId="8084"/>
    <cellStyle name="표준 9 7 4 2 4" xfId="8085"/>
    <cellStyle name="표준 9 7 4 2 4 2" xfId="8086"/>
    <cellStyle name="표준 9 7 4 2 5" xfId="8087"/>
    <cellStyle name="표준 9 7 4 2 5 2" xfId="8088"/>
    <cellStyle name="표준 9 7 4 2 6" xfId="8089"/>
    <cellStyle name="표준 9 7 4 3 2 2" xfId="8090"/>
    <cellStyle name="표준 9 7 4 3 2 2 2" xfId="8091"/>
    <cellStyle name="표준 9 7 4 3 2 3" xfId="8092"/>
    <cellStyle name="표준 9 7 4 3 2 3 2" xfId="8093"/>
    <cellStyle name="표준 9 7 4 3 2 4" xfId="8094"/>
    <cellStyle name="표준 9 7 4 3 3" xfId="8095"/>
    <cellStyle name="표준 9 7 4 3 3 2" xfId="8096"/>
    <cellStyle name="표준 9 7 4 3 4" xfId="8097"/>
    <cellStyle name="표준 9 7 4 3 4 2" xfId="8098"/>
    <cellStyle name="표준 9 7 4 3 5" xfId="8099"/>
    <cellStyle name="표준 9 7 4 4 2" xfId="8100"/>
    <cellStyle name="표준 9 7 4 4 2 2" xfId="8101"/>
    <cellStyle name="표준 9 7 4 4 3" xfId="8102"/>
    <cellStyle name="표준 9 7 4 4 3 2" xfId="8103"/>
    <cellStyle name="표준 9 7 4 4 4" xfId="8104"/>
    <cellStyle name="표준 9 7 4 5" xfId="8105"/>
    <cellStyle name="표준 9 7 4 5 2" xfId="8106"/>
    <cellStyle name="표준 9 7 4 6" xfId="8107"/>
    <cellStyle name="표준 9 7 4 6 2" xfId="8108"/>
    <cellStyle name="표준 9 7 4 7" xfId="8109"/>
    <cellStyle name="표준 9 7 5 2 2 2" xfId="8110"/>
    <cellStyle name="표준 9 7 5 2 2 2 2" xfId="8111"/>
    <cellStyle name="표준 9 7 5 2 2 3" xfId="8112"/>
    <cellStyle name="표준 9 7 5 2 2 3 2" xfId="8113"/>
    <cellStyle name="표준 9 7 5 2 2 4" xfId="8114"/>
    <cellStyle name="표준 9 7 5 2 3" xfId="8115"/>
    <cellStyle name="표준 9 7 5 2 3 2" xfId="8116"/>
    <cellStyle name="표준 9 7 5 2 4" xfId="8117"/>
    <cellStyle name="표준 9 7 5 2 4 2" xfId="8118"/>
    <cellStyle name="표준 9 7 5 2 5" xfId="8119"/>
    <cellStyle name="표준 9 7 5 3 2" xfId="8120"/>
    <cellStyle name="표준 9 7 5 3 2 2" xfId="8121"/>
    <cellStyle name="표준 9 7 5 3 3" xfId="8122"/>
    <cellStyle name="표준 9 7 5 3 3 2" xfId="8123"/>
    <cellStyle name="표준 9 7 5 3 4" xfId="8124"/>
    <cellStyle name="표준 9 7 5 4" xfId="8125"/>
    <cellStyle name="표준 9 7 5 4 2" xfId="8126"/>
    <cellStyle name="표준 9 7 5 5" xfId="8127"/>
    <cellStyle name="표준 9 7 5 5 2" xfId="8128"/>
    <cellStyle name="표준 9 7 5 6" xfId="8129"/>
    <cellStyle name="표준 9 7 6 2 2" xfId="8130"/>
    <cellStyle name="표준 9 7 6 2 2 2" xfId="8131"/>
    <cellStyle name="표준 9 7 6 2 3" xfId="8132"/>
    <cellStyle name="표준 9 7 6 2 3 2" xfId="8133"/>
    <cellStyle name="표준 9 7 6 2 4" xfId="8134"/>
    <cellStyle name="표준 9 7 6 3" xfId="8135"/>
    <cellStyle name="표준 9 7 6 3 2" xfId="8136"/>
    <cellStyle name="표준 9 7 6 4" xfId="8137"/>
    <cellStyle name="표준 9 7 6 4 2" xfId="8138"/>
    <cellStyle name="표준 9 7 6 5" xfId="8139"/>
    <cellStyle name="표준 9 7 7 2" xfId="8140"/>
    <cellStyle name="표준 9 7 7 2 2" xfId="8141"/>
    <cellStyle name="표준 9 7 7 3" xfId="8142"/>
    <cellStyle name="표준 9 7 7 3 2" xfId="8143"/>
    <cellStyle name="표준 9 7 7 4" xfId="8144"/>
    <cellStyle name="표준 9 7 8" xfId="8145"/>
    <cellStyle name="표준 9 7 8 2" xfId="8146"/>
    <cellStyle name="표준 9 7 9" xfId="8147"/>
    <cellStyle name="표준 9 7 9 2" xfId="8148"/>
    <cellStyle name="표준 9 8 10" xfId="8149"/>
    <cellStyle name="표준 9 8 2 2 2 2 2" xfId="8150"/>
    <cellStyle name="표준 9 8 2 2 2 2 2 2" xfId="8151"/>
    <cellStyle name="표준 9 8 2 2 2 2 3" xfId="8152"/>
    <cellStyle name="표준 9 8 2 2 2 2 3 2" xfId="8153"/>
    <cellStyle name="표준 9 8 2 2 2 2 4" xfId="8154"/>
    <cellStyle name="표준 9 8 2 2 2 3" xfId="8155"/>
    <cellStyle name="표준 9 8 2 2 2 3 2" xfId="8156"/>
    <cellStyle name="표준 9 8 2 2 2 4" xfId="8157"/>
    <cellStyle name="표준 9 8 2 2 2 4 2" xfId="8158"/>
    <cellStyle name="표준 9 8 2 2 2 5" xfId="8159"/>
    <cellStyle name="표준 9 8 2 2 3 2" xfId="8160"/>
    <cellStyle name="표준 9 8 2 2 3 2 2" xfId="8161"/>
    <cellStyle name="표준 9 8 2 2 3 3" xfId="8162"/>
    <cellStyle name="표준 9 8 2 2 3 3 2" xfId="8163"/>
    <cellStyle name="표준 9 8 2 2 3 4" xfId="8164"/>
    <cellStyle name="표준 9 8 2 2 4" xfId="8165"/>
    <cellStyle name="표준 9 8 2 2 4 2" xfId="8166"/>
    <cellStyle name="표준 9 8 2 2 5" xfId="8167"/>
    <cellStyle name="표준 9 8 2 2 5 2" xfId="8168"/>
    <cellStyle name="표준 9 8 2 2 6" xfId="8169"/>
    <cellStyle name="표준 9 8 2 3 2 2" xfId="8170"/>
    <cellStyle name="표준 9 8 2 3 2 2 2" xfId="8171"/>
    <cellStyle name="표준 9 8 2 3 2 3" xfId="8172"/>
    <cellStyle name="표준 9 8 2 3 2 3 2" xfId="8173"/>
    <cellStyle name="표준 9 8 2 3 2 4" xfId="8174"/>
    <cellStyle name="표준 9 8 2 3 3" xfId="8175"/>
    <cellStyle name="표준 9 8 2 3 3 2" xfId="8176"/>
    <cellStyle name="표준 9 8 2 3 4" xfId="8177"/>
    <cellStyle name="표준 9 8 2 3 4 2" xfId="8178"/>
    <cellStyle name="표준 9 8 2 3 5" xfId="8179"/>
    <cellStyle name="표준 9 8 2 4 2" xfId="8180"/>
    <cellStyle name="표준 9 8 2 4 2 2" xfId="8181"/>
    <cellStyle name="표준 9 8 2 4 3" xfId="8182"/>
    <cellStyle name="표준 9 8 2 4 3 2" xfId="8183"/>
    <cellStyle name="표준 9 8 2 4 4" xfId="8184"/>
    <cellStyle name="표준 9 8 2 5" xfId="8185"/>
    <cellStyle name="표준 9 8 2 5 2" xfId="8186"/>
    <cellStyle name="표준 9 8 2 6" xfId="8187"/>
    <cellStyle name="표준 9 8 2 6 2" xfId="8188"/>
    <cellStyle name="표준 9 8 2 7" xfId="8189"/>
    <cellStyle name="표준 9 8 3 2 2 2 2" xfId="8190"/>
    <cellStyle name="표준 9 8 3 2 2 2 2 2" xfId="8191"/>
    <cellStyle name="표준 9 8 3 2 2 2 3" xfId="8192"/>
    <cellStyle name="표준 9 8 3 2 2 2 3 2" xfId="8193"/>
    <cellStyle name="표준 9 8 3 2 2 2 4" xfId="8194"/>
    <cellStyle name="표준 9 8 3 2 2 3" xfId="8195"/>
    <cellStyle name="표준 9 8 3 2 2 3 2" xfId="8196"/>
    <cellStyle name="표준 9 8 3 2 2 4" xfId="8197"/>
    <cellStyle name="표준 9 8 3 2 2 4 2" xfId="8198"/>
    <cellStyle name="표준 9 8 3 2 2 5" xfId="8199"/>
    <cellStyle name="표준 9 8 3 2 3 2" xfId="8200"/>
    <cellStyle name="표준 9 8 3 2 3 2 2" xfId="8201"/>
    <cellStyle name="표준 9 8 3 2 3 3" xfId="8202"/>
    <cellStyle name="표준 9 8 3 2 3 3 2" xfId="8203"/>
    <cellStyle name="표준 9 8 3 2 3 4" xfId="8204"/>
    <cellStyle name="표준 9 8 3 2 4" xfId="8205"/>
    <cellStyle name="표준 9 8 3 2 4 2" xfId="8206"/>
    <cellStyle name="표준 9 8 3 2 5" xfId="8207"/>
    <cellStyle name="표준 9 8 3 2 5 2" xfId="8208"/>
    <cellStyle name="표준 9 8 3 2 6" xfId="8209"/>
    <cellStyle name="표준 9 8 3 3 2 2" xfId="8210"/>
    <cellStyle name="표준 9 8 3 3 2 2 2" xfId="8211"/>
    <cellStyle name="표준 9 8 3 3 2 3" xfId="8212"/>
    <cellStyle name="표준 9 8 3 3 2 3 2" xfId="8213"/>
    <cellStyle name="표준 9 8 3 3 2 4" xfId="8214"/>
    <cellStyle name="표준 9 8 3 3 3" xfId="8215"/>
    <cellStyle name="표준 9 8 3 3 3 2" xfId="8216"/>
    <cellStyle name="표준 9 8 3 3 4" xfId="8217"/>
    <cellStyle name="표준 9 8 3 3 4 2" xfId="8218"/>
    <cellStyle name="표준 9 8 3 3 5" xfId="8219"/>
    <cellStyle name="표준 9 8 3 4 2" xfId="8220"/>
    <cellStyle name="표준 9 8 3 4 2 2" xfId="8221"/>
    <cellStyle name="표준 9 8 3 4 3" xfId="8222"/>
    <cellStyle name="표준 9 8 3 4 3 2" xfId="8223"/>
    <cellStyle name="표준 9 8 3 4 4" xfId="8224"/>
    <cellStyle name="표준 9 8 3 5" xfId="8225"/>
    <cellStyle name="표준 9 8 3 5 2" xfId="8226"/>
    <cellStyle name="표준 9 8 3 6" xfId="8227"/>
    <cellStyle name="표준 9 8 3 6 2" xfId="8228"/>
    <cellStyle name="표준 9 8 3 7" xfId="8229"/>
    <cellStyle name="표준 9 8 4 2 2 2 2" xfId="8230"/>
    <cellStyle name="표준 9 8 4 2 2 2 2 2" xfId="8231"/>
    <cellStyle name="표준 9 8 4 2 2 2 3" xfId="8232"/>
    <cellStyle name="표준 9 8 4 2 2 2 3 2" xfId="8233"/>
    <cellStyle name="표준 9 8 4 2 2 2 4" xfId="8234"/>
    <cellStyle name="표준 9 8 4 2 2 3" xfId="8235"/>
    <cellStyle name="표준 9 8 4 2 2 3 2" xfId="8236"/>
    <cellStyle name="표준 9 8 4 2 2 4" xfId="8237"/>
    <cellStyle name="표준 9 8 4 2 2 4 2" xfId="8238"/>
    <cellStyle name="표준 9 8 4 2 2 5" xfId="8239"/>
    <cellStyle name="표준 9 8 4 2 3 2" xfId="8240"/>
    <cellStyle name="표준 9 8 4 2 3 2 2" xfId="8241"/>
    <cellStyle name="표준 9 8 4 2 3 3" xfId="8242"/>
    <cellStyle name="표준 9 8 4 2 3 3 2" xfId="8243"/>
    <cellStyle name="표준 9 8 4 2 3 4" xfId="8244"/>
    <cellStyle name="표준 9 8 4 2 4" xfId="8245"/>
    <cellStyle name="표준 9 8 4 2 4 2" xfId="8246"/>
    <cellStyle name="표준 9 8 4 2 5" xfId="8247"/>
    <cellStyle name="표준 9 8 4 2 5 2" xfId="8248"/>
    <cellStyle name="표준 9 8 4 2 6" xfId="8249"/>
    <cellStyle name="표준 9 8 4 3 2 2" xfId="8250"/>
    <cellStyle name="표준 9 8 4 3 2 2 2" xfId="8251"/>
    <cellStyle name="표준 9 8 4 3 2 3" xfId="8252"/>
    <cellStyle name="표준 9 8 4 3 2 3 2" xfId="8253"/>
    <cellStyle name="표준 9 8 4 3 2 4" xfId="8254"/>
    <cellStyle name="표준 9 8 4 3 3" xfId="8255"/>
    <cellStyle name="표준 9 8 4 3 3 2" xfId="8256"/>
    <cellStyle name="표준 9 8 4 3 4" xfId="8257"/>
    <cellStyle name="표준 9 8 4 3 4 2" xfId="8258"/>
    <cellStyle name="표준 9 8 4 3 5" xfId="8259"/>
    <cellStyle name="표준 9 8 4 4 2" xfId="8260"/>
    <cellStyle name="표준 9 8 4 4 2 2" xfId="8261"/>
    <cellStyle name="표준 9 8 4 4 3" xfId="8262"/>
    <cellStyle name="표준 9 8 4 4 3 2" xfId="8263"/>
    <cellStyle name="표준 9 8 4 4 4" xfId="8264"/>
    <cellStyle name="표준 9 8 4 5" xfId="8265"/>
    <cellStyle name="표준 9 8 4 5 2" xfId="8266"/>
    <cellStyle name="표준 9 8 4 6" xfId="8267"/>
    <cellStyle name="표준 9 8 4 6 2" xfId="8268"/>
    <cellStyle name="표준 9 8 4 7" xfId="8269"/>
    <cellStyle name="표준 9 8 5 2 2 2" xfId="8270"/>
    <cellStyle name="표준 9 8 5 2 2 2 2" xfId="8271"/>
    <cellStyle name="표준 9 8 5 2 2 3" xfId="8272"/>
    <cellStyle name="표준 9 8 5 2 2 3 2" xfId="8273"/>
    <cellStyle name="표준 9 8 5 2 2 4" xfId="8274"/>
    <cellStyle name="표준 9 8 5 2 3" xfId="8275"/>
    <cellStyle name="표준 9 8 5 2 3 2" xfId="8276"/>
    <cellStyle name="표준 9 8 5 2 4" xfId="8277"/>
    <cellStyle name="표준 9 8 5 2 4 2" xfId="8278"/>
    <cellStyle name="표준 9 8 5 2 5" xfId="8279"/>
    <cellStyle name="표준 9 8 5 3 2" xfId="8280"/>
    <cellStyle name="표준 9 8 5 3 2 2" xfId="8281"/>
    <cellStyle name="표준 9 8 5 3 3" xfId="8282"/>
    <cellStyle name="표준 9 8 5 3 3 2" xfId="8283"/>
    <cellStyle name="표준 9 8 5 3 4" xfId="8284"/>
    <cellStyle name="표준 9 8 5 4" xfId="8285"/>
    <cellStyle name="표준 9 8 5 4 2" xfId="8286"/>
    <cellStyle name="표준 9 8 5 5" xfId="8287"/>
    <cellStyle name="표준 9 8 5 5 2" xfId="8288"/>
    <cellStyle name="표준 9 8 5 6" xfId="8289"/>
    <cellStyle name="표준 9 8 6 2 2" xfId="8290"/>
    <cellStyle name="표준 9 8 6 2 2 2" xfId="8291"/>
    <cellStyle name="표준 9 8 6 2 3" xfId="8292"/>
    <cellStyle name="표준 9 8 6 2 3 2" xfId="8293"/>
    <cellStyle name="표준 9 8 6 2 4" xfId="8294"/>
    <cellStyle name="표준 9 8 6 3" xfId="8295"/>
    <cellStyle name="표준 9 8 6 3 2" xfId="8296"/>
    <cellStyle name="표준 9 8 6 4" xfId="8297"/>
    <cellStyle name="표준 9 8 6 4 2" xfId="8298"/>
    <cellStyle name="표준 9 8 6 5" xfId="8299"/>
    <cellStyle name="표준 9 8 7 2" xfId="8300"/>
    <cellStyle name="표준 9 8 7 2 2" xfId="8301"/>
    <cellStyle name="표준 9 8 7 3" xfId="8302"/>
    <cellStyle name="표준 9 8 7 3 2" xfId="8303"/>
    <cellStyle name="표준 9 8 7 4" xfId="8304"/>
    <cellStyle name="표준 9 8 8" xfId="8305"/>
    <cellStyle name="표준 9 8 8 2" xfId="8306"/>
    <cellStyle name="표준 9 8 9" xfId="8307"/>
    <cellStyle name="표준 9 8 9 2" xfId="8308"/>
    <cellStyle name="표준 9 9 2 2 2 2 2" xfId="8309"/>
    <cellStyle name="표준 9 9 2 2 2 2 2 2" xfId="8310"/>
    <cellStyle name="표준 9 9 2 2 2 2 3" xfId="8311"/>
    <cellStyle name="표준 9 9 2 2 2 2 3 2" xfId="8312"/>
    <cellStyle name="표준 9 9 2 2 2 2 4" xfId="8313"/>
    <cellStyle name="표준 9 9 2 2 2 3" xfId="8314"/>
    <cellStyle name="표준 9 9 2 2 2 3 2" xfId="8315"/>
    <cellStyle name="표준 9 9 2 2 2 4" xfId="8316"/>
    <cellStyle name="표준 9 9 2 2 2 4 2" xfId="8317"/>
    <cellStyle name="표준 9 9 2 2 2 5" xfId="8318"/>
    <cellStyle name="표준 9 9 2 2 3 2" xfId="8319"/>
    <cellStyle name="표준 9 9 2 2 3 2 2" xfId="8320"/>
    <cellStyle name="표준 9 9 2 2 3 3" xfId="8321"/>
    <cellStyle name="표준 9 9 2 2 3 3 2" xfId="8322"/>
    <cellStyle name="표준 9 9 2 2 3 4" xfId="8323"/>
    <cellStyle name="표준 9 9 2 2 4" xfId="8324"/>
    <cellStyle name="표준 9 9 2 2 4 2" xfId="8325"/>
    <cellStyle name="표준 9 9 2 2 5" xfId="8326"/>
    <cellStyle name="표준 9 9 2 2 5 2" xfId="8327"/>
    <cellStyle name="표준 9 9 2 2 6" xfId="8328"/>
    <cellStyle name="표준 9 9 2 3 2 2" xfId="8329"/>
    <cellStyle name="표준 9 9 2 3 2 2 2" xfId="8330"/>
    <cellStyle name="표준 9 9 2 3 2 3" xfId="8331"/>
    <cellStyle name="표준 9 9 2 3 2 3 2" xfId="8332"/>
    <cellStyle name="표준 9 9 2 3 2 4" xfId="8333"/>
    <cellStyle name="표준 9 9 2 3 3" xfId="8334"/>
    <cellStyle name="표준 9 9 2 3 3 2" xfId="8335"/>
    <cellStyle name="표준 9 9 2 3 4" xfId="8336"/>
    <cellStyle name="표준 9 9 2 3 4 2" xfId="8337"/>
    <cellStyle name="표준 9 9 2 3 5" xfId="8338"/>
    <cellStyle name="표준 9 9 2 4 2" xfId="8339"/>
    <cellStyle name="표준 9 9 2 4 2 2" xfId="8340"/>
    <cellStyle name="표준 9 9 2 4 3" xfId="8341"/>
    <cellStyle name="표준 9 9 2 4 3 2" xfId="8342"/>
    <cellStyle name="표준 9 9 2 4 4" xfId="8343"/>
    <cellStyle name="표준 9 9 2 5" xfId="8344"/>
    <cellStyle name="표준 9 9 2 5 2" xfId="8345"/>
    <cellStyle name="표준 9 9 2 6" xfId="8346"/>
    <cellStyle name="표준 9 9 2 6 2" xfId="8347"/>
    <cellStyle name="표준 9 9 2 7" xfId="8348"/>
    <cellStyle name="표준 9 9 3 2 2 2 2" xfId="8349"/>
    <cellStyle name="표준 9 9 3 2 2 2 2 2" xfId="8350"/>
    <cellStyle name="표준 9 9 3 2 2 2 3" xfId="8351"/>
    <cellStyle name="표준 9 9 3 2 2 2 3 2" xfId="8352"/>
    <cellStyle name="표준 9 9 3 2 2 2 4" xfId="8353"/>
    <cellStyle name="표준 9 9 3 2 2 3" xfId="8354"/>
    <cellStyle name="표준 9 9 3 2 2 3 2" xfId="8355"/>
    <cellStyle name="표준 9 9 3 2 2 4" xfId="8356"/>
    <cellStyle name="표준 9 9 3 2 2 4 2" xfId="8357"/>
    <cellStyle name="표준 9 9 3 2 2 5" xfId="8358"/>
    <cellStyle name="표준 9 9 3 2 3 2" xfId="8359"/>
    <cellStyle name="표준 9 9 3 2 3 2 2" xfId="8360"/>
    <cellStyle name="표준 9 9 3 2 3 3" xfId="8361"/>
    <cellStyle name="표준 9 9 3 2 3 3 2" xfId="8362"/>
    <cellStyle name="표준 9 9 3 2 3 4" xfId="8363"/>
    <cellStyle name="표준 9 9 3 2 4" xfId="8364"/>
    <cellStyle name="표준 9 9 3 2 4 2" xfId="8365"/>
    <cellStyle name="표준 9 9 3 2 5" xfId="8366"/>
    <cellStyle name="표준 9 9 3 2 5 2" xfId="8367"/>
    <cellStyle name="표준 9 9 3 2 6" xfId="8368"/>
    <cellStyle name="표준 9 9 3 3 2 2" xfId="8369"/>
    <cellStyle name="표준 9 9 3 3 2 2 2" xfId="8370"/>
    <cellStyle name="표준 9 9 3 3 2 3" xfId="8371"/>
    <cellStyle name="표준 9 9 3 3 2 3 2" xfId="8372"/>
    <cellStyle name="표준 9 9 3 3 2 4" xfId="8373"/>
    <cellStyle name="표준 9 9 3 3 3" xfId="8374"/>
    <cellStyle name="표준 9 9 3 3 3 2" xfId="8375"/>
    <cellStyle name="표준 9 9 3 3 4" xfId="8376"/>
    <cellStyle name="표준 9 9 3 3 4 2" xfId="8377"/>
    <cellStyle name="표준 9 9 3 3 5" xfId="8378"/>
    <cellStyle name="표준 9 9 3 4 2" xfId="8379"/>
    <cellStyle name="표준 9 9 3 4 2 2" xfId="8380"/>
    <cellStyle name="표준 9 9 3 4 3" xfId="8381"/>
    <cellStyle name="표준 9 9 3 4 3 2" xfId="8382"/>
    <cellStyle name="표준 9 9 3 4 4" xfId="8383"/>
    <cellStyle name="표준 9 9 3 5" xfId="8384"/>
    <cellStyle name="표준 9 9 3 5 2" xfId="8385"/>
    <cellStyle name="표준 9 9 3 6" xfId="8386"/>
    <cellStyle name="표준 9 9 3 6 2" xfId="8387"/>
    <cellStyle name="표준 9 9 3 7" xfId="8388"/>
    <cellStyle name="표준 9 9 4 2 2 2" xfId="8389"/>
    <cellStyle name="표준 9 9 4 2 2 2 2" xfId="8390"/>
    <cellStyle name="표준 9 9 4 2 2 3" xfId="8391"/>
    <cellStyle name="표준 9 9 4 2 2 3 2" xfId="8392"/>
    <cellStyle name="표준 9 9 4 2 2 4" xfId="8393"/>
    <cellStyle name="표준 9 9 4 2 3" xfId="8394"/>
    <cellStyle name="표준 9 9 4 2 3 2" xfId="8395"/>
    <cellStyle name="표준 9 9 4 2 4" xfId="8396"/>
    <cellStyle name="표준 9 9 4 2 4 2" xfId="8397"/>
    <cellStyle name="표준 9 9 4 2 5" xfId="8398"/>
    <cellStyle name="표준 9 9 4 3 2" xfId="8399"/>
    <cellStyle name="표준 9 9 4 3 2 2" xfId="8400"/>
    <cellStyle name="표준 9 9 4 3 3" xfId="8401"/>
    <cellStyle name="표준 9 9 4 3 3 2" xfId="8402"/>
    <cellStyle name="표준 9 9 4 3 4" xfId="8403"/>
    <cellStyle name="표준 9 9 4 4" xfId="8404"/>
    <cellStyle name="표준 9 9 4 4 2" xfId="8405"/>
    <cellStyle name="표준 9 9 4 5" xfId="8406"/>
    <cellStyle name="표준 9 9 4 5 2" xfId="8407"/>
    <cellStyle name="표준 9 9 4 6" xfId="8408"/>
    <cellStyle name="표준 9 9 5 2 2" xfId="8409"/>
    <cellStyle name="표준 9 9 5 2 2 2" xfId="8410"/>
    <cellStyle name="표준 9 9 5 2 3" xfId="8411"/>
    <cellStyle name="표준 9 9 5 2 3 2" xfId="8412"/>
    <cellStyle name="표준 9 9 5 2 4" xfId="8413"/>
    <cellStyle name="표준 9 9 5 3" xfId="8414"/>
    <cellStyle name="표준 9 9 5 3 2" xfId="8415"/>
    <cellStyle name="표준 9 9 5 4" xfId="8416"/>
    <cellStyle name="표준 9 9 5 4 2" xfId="8417"/>
    <cellStyle name="표준 9 9 5 5" xfId="8418"/>
    <cellStyle name="표준 9 9 6 2" xfId="8419"/>
    <cellStyle name="표준 9 9 6 2 2" xfId="8420"/>
    <cellStyle name="표준 9 9 6 3" xfId="8421"/>
    <cellStyle name="표준 9 9 6 3 2" xfId="8422"/>
    <cellStyle name="표준 9 9 6 4" xfId="8423"/>
    <cellStyle name="표준 9 9 7" xfId="8424"/>
    <cellStyle name="표준 9 9 7 2" xfId="8425"/>
    <cellStyle name="표준 9 9 8" xfId="8426"/>
    <cellStyle name="표준 9 9 8 2" xfId="8427"/>
    <cellStyle name="표준 9 9 9" xfId="8428"/>
    <cellStyle name="하이퍼링크 2" xfId="8429"/>
    <cellStyle name="하이퍼링크 3" xfId="8430"/>
    <cellStyle name="표준 33" xfId="8431"/>
    <cellStyle name="표준 34" xfId="8432"/>
    <cellStyle name="표준 35" xfId="8433"/>
    <cellStyle name="표준 36" xfId="8434"/>
    <cellStyle name="표준 37" xfId="8435"/>
    <cellStyle name="표준 38" xfId="8436"/>
    <cellStyle name="표준 40" xfId="8437"/>
    <cellStyle name="표준 41" xfId="8438"/>
    <cellStyle name="표준 42" xfId="8439"/>
    <cellStyle name="표준 39" xfId="8440"/>
    <cellStyle name="표준 10 10 2 2 2 2 2 2" xfId="8441"/>
    <cellStyle name="표준 43" xfId="8442"/>
    <cellStyle name="표준 44" xfId="8443"/>
    <cellStyle name="표준 45" xfId="8444"/>
    <cellStyle name="표준 46" xfId="8445"/>
    <cellStyle name="표준 287 3" xfId="8446"/>
    <cellStyle name="계산 10 2" xfId="8447"/>
    <cellStyle name="계산 10 2 2" xfId="8448"/>
    <cellStyle name="계산 10 2 3" xfId="8449"/>
    <cellStyle name="계산 10 3" xfId="8450"/>
    <cellStyle name="계산 10 3 2" xfId="8451"/>
    <cellStyle name="계산 10 3 3" xfId="8452"/>
    <cellStyle name="계산 10 4" xfId="8453"/>
    <cellStyle name="계산 10 5" xfId="8454"/>
    <cellStyle name="계산 11 2" xfId="8455"/>
    <cellStyle name="계산 11 2 2" xfId="8456"/>
    <cellStyle name="계산 11 2 3" xfId="8457"/>
    <cellStyle name="계산 11 3" xfId="8458"/>
    <cellStyle name="계산 11 3 2" xfId="8459"/>
    <cellStyle name="계산 11 3 3" xfId="8460"/>
    <cellStyle name="계산 11 4" xfId="8461"/>
    <cellStyle name="계산 11 5" xfId="8462"/>
    <cellStyle name="계산 12 2" xfId="8463"/>
    <cellStyle name="계산 12 2 2" xfId="8464"/>
    <cellStyle name="계산 12 2 3" xfId="8465"/>
    <cellStyle name="계산 12 3" xfId="8466"/>
    <cellStyle name="계산 12 3 2" xfId="8467"/>
    <cellStyle name="계산 12 3 3" xfId="8468"/>
    <cellStyle name="계산 12 4" xfId="8469"/>
    <cellStyle name="계산 12 5" xfId="8470"/>
    <cellStyle name="계산 2 10 2" xfId="8471"/>
    <cellStyle name="계산 2 10 2 2" xfId="8472"/>
    <cellStyle name="계산 2 10 2 3" xfId="8473"/>
    <cellStyle name="계산 2 10 3" xfId="8474"/>
    <cellStyle name="계산 2 10 3 2" xfId="8475"/>
    <cellStyle name="계산 2 10 3 3" xfId="8476"/>
    <cellStyle name="계산 2 10 4" xfId="8477"/>
    <cellStyle name="계산 2 10 5" xfId="8478"/>
    <cellStyle name="계산 2 11" xfId="8479"/>
    <cellStyle name="계산 2 11 2" xfId="8480"/>
    <cellStyle name="계산 2 11 3" xfId="8481"/>
    <cellStyle name="계산 2 12" xfId="8482"/>
    <cellStyle name="계산 2 12 2" xfId="8483"/>
    <cellStyle name="계산 2 12 3" xfId="8484"/>
    <cellStyle name="계산 2 13" xfId="8485"/>
    <cellStyle name="계산 2 14" xfId="8486"/>
    <cellStyle name="계산 2 2 2" xfId="8487"/>
    <cellStyle name="계산 2 2 2 2" xfId="8488"/>
    <cellStyle name="계산 2 2 2 3" xfId="8489"/>
    <cellStyle name="계산 2 2 3" xfId="8490"/>
    <cellStyle name="계산 2 2 3 2" xfId="8491"/>
    <cellStyle name="계산 2 2 3 3" xfId="8492"/>
    <cellStyle name="계산 2 2 4" xfId="8493"/>
    <cellStyle name="계산 2 2 5" xfId="8494"/>
    <cellStyle name="계산 2 3 2" xfId="8495"/>
    <cellStyle name="계산 2 3 2 2" xfId="8496"/>
    <cellStyle name="계산 2 3 2 3" xfId="8497"/>
    <cellStyle name="계산 2 3 3" xfId="8498"/>
    <cellStyle name="계산 2 3 3 2" xfId="8499"/>
    <cellStyle name="계산 2 3 3 3" xfId="8500"/>
    <cellStyle name="계산 2 3 4" xfId="8501"/>
    <cellStyle name="계산 2 3 5" xfId="8502"/>
    <cellStyle name="계산 2 4 2" xfId="8503"/>
    <cellStyle name="계산 2 4 2 2" xfId="8504"/>
    <cellStyle name="계산 2 4 2 3" xfId="8505"/>
    <cellStyle name="계산 2 4 3" xfId="8506"/>
    <cellStyle name="계산 2 4 3 2" xfId="8507"/>
    <cellStyle name="계산 2 4 3 3" xfId="8508"/>
    <cellStyle name="계산 2 4 4" xfId="8509"/>
    <cellStyle name="계산 2 4 5" xfId="8510"/>
    <cellStyle name="계산 2 5 2" xfId="8511"/>
    <cellStyle name="계산 2 5 2 2" xfId="8512"/>
    <cellStyle name="계산 2 5 2 3" xfId="8513"/>
    <cellStyle name="계산 2 5 3" xfId="8514"/>
    <cellStyle name="계산 2 5 3 2" xfId="8515"/>
    <cellStyle name="계산 2 5 3 3" xfId="8516"/>
    <cellStyle name="계산 2 5 4" xfId="8517"/>
    <cellStyle name="계산 2 5 5" xfId="8518"/>
    <cellStyle name="계산 2 6 2" xfId="8519"/>
    <cellStyle name="계산 2 6 2 2" xfId="8520"/>
    <cellStyle name="계산 2 6 2 3" xfId="8521"/>
    <cellStyle name="계산 2 6 3" xfId="8522"/>
    <cellStyle name="계산 2 6 3 2" xfId="8523"/>
    <cellStyle name="계산 2 6 3 3" xfId="8524"/>
    <cellStyle name="계산 2 6 4" xfId="8525"/>
    <cellStyle name="계산 2 6 5" xfId="8526"/>
    <cellStyle name="계산 2 7 2" xfId="8527"/>
    <cellStyle name="계산 2 7 2 2" xfId="8528"/>
    <cellStyle name="계산 2 7 2 3" xfId="8529"/>
    <cellStyle name="계산 2 7 3" xfId="8530"/>
    <cellStyle name="계산 2 7 3 2" xfId="8531"/>
    <cellStyle name="계산 2 7 3 3" xfId="8532"/>
    <cellStyle name="계산 2 7 4" xfId="8533"/>
    <cellStyle name="계산 2 7 5" xfId="8534"/>
    <cellStyle name="계산 2 8 2" xfId="8535"/>
    <cellStyle name="계산 2 8 2 2" xfId="8536"/>
    <cellStyle name="계산 2 8 2 3" xfId="8537"/>
    <cellStyle name="계산 2 8 3" xfId="8538"/>
    <cellStyle name="계산 2 8 3 2" xfId="8539"/>
    <cellStyle name="계산 2 8 3 3" xfId="8540"/>
    <cellStyle name="계산 2 8 4" xfId="8541"/>
    <cellStyle name="계산 2 8 5" xfId="8542"/>
    <cellStyle name="계산 2 9 2" xfId="8543"/>
    <cellStyle name="계산 2 9 2 2" xfId="8544"/>
    <cellStyle name="계산 2 9 2 3" xfId="8545"/>
    <cellStyle name="계산 2 9 3" xfId="8546"/>
    <cellStyle name="계산 2 9 3 2" xfId="8547"/>
    <cellStyle name="계산 2 9 3 3" xfId="8548"/>
    <cellStyle name="계산 2 9 4" xfId="8549"/>
    <cellStyle name="계산 2 9 5" xfId="8550"/>
    <cellStyle name="계산 3 2 2" xfId="8551"/>
    <cellStyle name="계산 3 2 2 2" xfId="8552"/>
    <cellStyle name="계산 3 2 2 3" xfId="8553"/>
    <cellStyle name="계산 3 2 3" xfId="8554"/>
    <cellStyle name="계산 3 2 3 2" xfId="8555"/>
    <cellStyle name="계산 3 2 3 3" xfId="8556"/>
    <cellStyle name="계산 3 2 4" xfId="8557"/>
    <cellStyle name="계산 3 2 5" xfId="8558"/>
    <cellStyle name="계산 3 3 2" xfId="8559"/>
    <cellStyle name="계산 3 3 2 2" xfId="8560"/>
    <cellStyle name="계산 3 3 2 3" xfId="8561"/>
    <cellStyle name="계산 3 3 3" xfId="8562"/>
    <cellStyle name="계산 3 3 3 2" xfId="8563"/>
    <cellStyle name="계산 3 3 3 3" xfId="8564"/>
    <cellStyle name="계산 3 3 4" xfId="8565"/>
    <cellStyle name="계산 3 3 5" xfId="8566"/>
    <cellStyle name="계산 3 4 2" xfId="8567"/>
    <cellStyle name="계산 3 4 2 2" xfId="8568"/>
    <cellStyle name="계산 3 4 2 3" xfId="8569"/>
    <cellStyle name="계산 3 4 3" xfId="8570"/>
    <cellStyle name="계산 3 4 3 2" xfId="8571"/>
    <cellStyle name="계산 3 4 3 3" xfId="8572"/>
    <cellStyle name="계산 3 4 4" xfId="8573"/>
    <cellStyle name="계산 3 4 5" xfId="8574"/>
    <cellStyle name="계산 3 5" xfId="8575"/>
    <cellStyle name="계산 3 5 2" xfId="8576"/>
    <cellStyle name="계산 3 5 3" xfId="8577"/>
    <cellStyle name="계산 3 6" xfId="8578"/>
    <cellStyle name="계산 3 6 2" xfId="8579"/>
    <cellStyle name="계산 3 6 3" xfId="8580"/>
    <cellStyle name="계산 3 7" xfId="8581"/>
    <cellStyle name="계산 3 8" xfId="8582"/>
    <cellStyle name="계산 4 2" xfId="8583"/>
    <cellStyle name="계산 4 2 2" xfId="8584"/>
    <cellStyle name="계산 4 2 3" xfId="8585"/>
    <cellStyle name="계산 4 3" xfId="8586"/>
    <cellStyle name="계산 4 3 2" xfId="8587"/>
    <cellStyle name="계산 4 3 3" xfId="8588"/>
    <cellStyle name="계산 4 4" xfId="8589"/>
    <cellStyle name="계산 4 5" xfId="8590"/>
    <cellStyle name="계산 5 2" xfId="8591"/>
    <cellStyle name="계산 5 2 2" xfId="8592"/>
    <cellStyle name="계산 5 2 3" xfId="8593"/>
    <cellStyle name="계산 5 3" xfId="8594"/>
    <cellStyle name="계산 5 3 2" xfId="8595"/>
    <cellStyle name="계산 5 3 3" xfId="8596"/>
    <cellStyle name="계산 5 4" xfId="8597"/>
    <cellStyle name="계산 5 5" xfId="8598"/>
    <cellStyle name="계산 6 2" xfId="8599"/>
    <cellStyle name="계산 6 2 2" xfId="8600"/>
    <cellStyle name="계산 6 2 3" xfId="8601"/>
    <cellStyle name="계산 6 3" xfId="8602"/>
    <cellStyle name="계산 6 3 2" xfId="8603"/>
    <cellStyle name="계산 6 3 3" xfId="8604"/>
    <cellStyle name="계산 6 4" xfId="8605"/>
    <cellStyle name="계산 6 5" xfId="8606"/>
    <cellStyle name="계산 7 2 2" xfId="8607"/>
    <cellStyle name="계산 7 2 2 2" xfId="8608"/>
    <cellStyle name="계산 7 2 2 3" xfId="8609"/>
    <cellStyle name="계산 7 2 3" xfId="8610"/>
    <cellStyle name="계산 7 2 3 2" xfId="8611"/>
    <cellStyle name="계산 7 2 3 3" xfId="8612"/>
    <cellStyle name="계산 7 2 4" xfId="8613"/>
    <cellStyle name="계산 7 2 5" xfId="8614"/>
    <cellStyle name="계산 7 3" xfId="8615"/>
    <cellStyle name="계산 7 3 2" xfId="8616"/>
    <cellStyle name="계산 7 3 3" xfId="8617"/>
    <cellStyle name="계산 7 4" xfId="8618"/>
    <cellStyle name="계산 7 4 2" xfId="8619"/>
    <cellStyle name="계산 7 4 3" xfId="8620"/>
    <cellStyle name="계산 7 5" xfId="8621"/>
    <cellStyle name="계산 7 6" xfId="8622"/>
    <cellStyle name="계산 8 2" xfId="8623"/>
    <cellStyle name="계산 8 2 2" xfId="8624"/>
    <cellStyle name="계산 8 2 3" xfId="8625"/>
    <cellStyle name="계산 8 3" xfId="8626"/>
    <cellStyle name="계산 8 3 2" xfId="8627"/>
    <cellStyle name="계산 8 3 3" xfId="8628"/>
    <cellStyle name="계산 8 4" xfId="8629"/>
    <cellStyle name="계산 8 5" xfId="8630"/>
    <cellStyle name="계산 9 2" xfId="8631"/>
    <cellStyle name="계산 9 2 2" xfId="8632"/>
    <cellStyle name="계산 9 2 3" xfId="8633"/>
    <cellStyle name="계산 9 3" xfId="8634"/>
    <cellStyle name="계산 9 3 2" xfId="8635"/>
    <cellStyle name="계산 9 3 3" xfId="8636"/>
    <cellStyle name="계산 9 4" xfId="8637"/>
    <cellStyle name="계산 9 5" xfId="8638"/>
    <cellStyle name="메모 10 10" xfId="8639"/>
    <cellStyle name="메모 10 10 2" xfId="8640"/>
    <cellStyle name="메모 10 11" xfId="8641"/>
    <cellStyle name="메모 10 11 2" xfId="8642"/>
    <cellStyle name="메모 10 12" xfId="8643"/>
    <cellStyle name="메모 10 13" xfId="8644"/>
    <cellStyle name="메모 10 2 2" xfId="8645"/>
    <cellStyle name="메모 10 2 2 2" xfId="8646"/>
    <cellStyle name="메모 10 2 3" xfId="8647"/>
    <cellStyle name="메모 10 2 3 2" xfId="8648"/>
    <cellStyle name="메모 10 2 4" xfId="8649"/>
    <cellStyle name="메모 10 2 5" xfId="8650"/>
    <cellStyle name="메모 10 3 2" xfId="8651"/>
    <cellStyle name="메모 10 3 2 2" xfId="8652"/>
    <cellStyle name="메모 10 3 3" xfId="8653"/>
    <cellStyle name="메모 10 3 3 2" xfId="8654"/>
    <cellStyle name="메모 10 3 4" xfId="8655"/>
    <cellStyle name="메모 10 3 5" xfId="8656"/>
    <cellStyle name="메모 10 4 2" xfId="8657"/>
    <cellStyle name="메모 10 4 2 2" xfId="8658"/>
    <cellStyle name="메모 10 4 3" xfId="8659"/>
    <cellStyle name="메모 10 4 3 2" xfId="8660"/>
    <cellStyle name="메모 10 4 4" xfId="8661"/>
    <cellStyle name="메모 10 4 5" xfId="8662"/>
    <cellStyle name="메모 10 5 2" xfId="8663"/>
    <cellStyle name="메모 10 5 2 2" xfId="8664"/>
    <cellStyle name="메모 10 5 3" xfId="8665"/>
    <cellStyle name="메모 10 5 3 2" xfId="8666"/>
    <cellStyle name="메모 10 5 4" xfId="8667"/>
    <cellStyle name="메모 10 5 5" xfId="8668"/>
    <cellStyle name="메모 10 6 2" xfId="8669"/>
    <cellStyle name="메모 10 6 2 2" xfId="8670"/>
    <cellStyle name="메모 10 6 3" xfId="8671"/>
    <cellStyle name="메모 10 6 3 2" xfId="8672"/>
    <cellStyle name="메모 10 6 4" xfId="8673"/>
    <cellStyle name="메모 10 6 5" xfId="8674"/>
    <cellStyle name="메모 10 7 2" xfId="8675"/>
    <cellStyle name="메모 10 7 2 2" xfId="8676"/>
    <cellStyle name="메모 10 7 3" xfId="8677"/>
    <cellStyle name="메모 10 7 3 2" xfId="8678"/>
    <cellStyle name="메모 10 7 4" xfId="8679"/>
    <cellStyle name="메모 10 7 5" xfId="8680"/>
    <cellStyle name="메모 10 8 2" xfId="8681"/>
    <cellStyle name="메모 10 8 2 2" xfId="8682"/>
    <cellStyle name="메모 10 8 3" xfId="8683"/>
    <cellStyle name="메모 10 8 3 2" xfId="8684"/>
    <cellStyle name="메모 10 8 4" xfId="8685"/>
    <cellStyle name="메모 10 8 5" xfId="8686"/>
    <cellStyle name="메모 10 9 2" xfId="8687"/>
    <cellStyle name="메모 10 9 2 2" xfId="8688"/>
    <cellStyle name="메모 10 9 3" xfId="8689"/>
    <cellStyle name="메모 10 9 3 2" xfId="8690"/>
    <cellStyle name="메모 10 9 4" xfId="8691"/>
    <cellStyle name="메모 10 9 5" xfId="8692"/>
    <cellStyle name="메모 11 10" xfId="8693"/>
    <cellStyle name="메모 11 10 2" xfId="8694"/>
    <cellStyle name="메모 11 11" xfId="8695"/>
    <cellStyle name="메모 11 11 2" xfId="8696"/>
    <cellStyle name="메모 11 12" xfId="8697"/>
    <cellStyle name="메모 11 13" xfId="8698"/>
    <cellStyle name="메모 11 2 2" xfId="8699"/>
    <cellStyle name="메모 11 2 2 2" xfId="8700"/>
    <cellStyle name="메모 11 2 3" xfId="8701"/>
    <cellStyle name="메모 11 2 3 2" xfId="8702"/>
    <cellStyle name="메모 11 2 4" xfId="8703"/>
    <cellStyle name="메모 11 2 5" xfId="8704"/>
    <cellStyle name="메모 11 3 2" xfId="8705"/>
    <cellStyle name="메모 11 3 2 2" xfId="8706"/>
    <cellStyle name="메모 11 3 3" xfId="8707"/>
    <cellStyle name="메모 11 3 3 2" xfId="8708"/>
    <cellStyle name="메모 11 3 4" xfId="8709"/>
    <cellStyle name="메모 11 3 5" xfId="8710"/>
    <cellStyle name="메모 11 4 2" xfId="8711"/>
    <cellStyle name="메모 11 4 2 2" xfId="8712"/>
    <cellStyle name="메모 11 4 3" xfId="8713"/>
    <cellStyle name="메모 11 4 3 2" xfId="8714"/>
    <cellStyle name="메모 11 4 4" xfId="8715"/>
    <cellStyle name="메모 11 4 5" xfId="8716"/>
    <cellStyle name="메모 11 5 2" xfId="8717"/>
    <cellStyle name="메모 11 5 2 2" xfId="8718"/>
    <cellStyle name="메모 11 5 3" xfId="8719"/>
    <cellStyle name="메모 11 5 3 2" xfId="8720"/>
    <cellStyle name="메모 11 5 4" xfId="8721"/>
    <cellStyle name="메모 11 5 5" xfId="8722"/>
    <cellStyle name="메모 11 6 2" xfId="8723"/>
    <cellStyle name="메모 11 6 2 2" xfId="8724"/>
    <cellStyle name="메모 11 6 3" xfId="8725"/>
    <cellStyle name="메모 11 6 3 2" xfId="8726"/>
    <cellStyle name="메모 11 6 4" xfId="8727"/>
    <cellStyle name="메모 11 6 5" xfId="8728"/>
    <cellStyle name="메모 11 7 2" xfId="8729"/>
    <cellStyle name="메모 11 7 2 2" xfId="8730"/>
    <cellStyle name="메모 11 7 3" xfId="8731"/>
    <cellStyle name="메모 11 7 3 2" xfId="8732"/>
    <cellStyle name="메모 11 7 4" xfId="8733"/>
    <cellStyle name="메모 11 7 5" xfId="8734"/>
    <cellStyle name="메모 11 8 2" xfId="8735"/>
    <cellStyle name="메모 11 8 2 2" xfId="8736"/>
    <cellStyle name="메모 11 8 3" xfId="8737"/>
    <cellStyle name="메모 11 8 3 2" xfId="8738"/>
    <cellStyle name="메모 11 8 4" xfId="8739"/>
    <cellStyle name="메모 11 8 5" xfId="8740"/>
    <cellStyle name="메모 11 9 2" xfId="8741"/>
    <cellStyle name="메모 11 9 2 2" xfId="8742"/>
    <cellStyle name="메모 11 9 3" xfId="8743"/>
    <cellStyle name="메모 11 9 3 2" xfId="8744"/>
    <cellStyle name="메모 11 9 4" xfId="8745"/>
    <cellStyle name="메모 11 9 5" xfId="8746"/>
    <cellStyle name="메모 12 10" xfId="8747"/>
    <cellStyle name="메모 12 10 2" xfId="8748"/>
    <cellStyle name="메모 12 11" xfId="8749"/>
    <cellStyle name="메모 12 12" xfId="8750"/>
    <cellStyle name="메모 12 2 2" xfId="8751"/>
    <cellStyle name="메모 12 2 2 2" xfId="8752"/>
    <cellStyle name="메모 12 2 3" xfId="8753"/>
    <cellStyle name="메모 12 2 3 2" xfId="8754"/>
    <cellStyle name="메모 12 2 4" xfId="8755"/>
    <cellStyle name="메모 12 2 5" xfId="8756"/>
    <cellStyle name="메모 12 3 2" xfId="8757"/>
    <cellStyle name="메모 12 3 2 2" xfId="8758"/>
    <cellStyle name="메모 12 3 3" xfId="8759"/>
    <cellStyle name="메모 12 3 3 2" xfId="8760"/>
    <cellStyle name="메모 12 3 4" xfId="8761"/>
    <cellStyle name="메모 12 3 5" xfId="8762"/>
    <cellStyle name="메모 12 4 2" xfId="8763"/>
    <cellStyle name="메모 12 4 2 2" xfId="8764"/>
    <cellStyle name="메모 12 4 3" xfId="8765"/>
    <cellStyle name="메모 12 4 3 2" xfId="8766"/>
    <cellStyle name="메모 12 4 4" xfId="8767"/>
    <cellStyle name="메모 12 4 5" xfId="8768"/>
    <cellStyle name="메모 12 5 2" xfId="8769"/>
    <cellStyle name="메모 12 5 2 2" xfId="8770"/>
    <cellStyle name="메모 12 5 3" xfId="8771"/>
    <cellStyle name="메모 12 5 3 2" xfId="8772"/>
    <cellStyle name="메모 12 5 4" xfId="8773"/>
    <cellStyle name="메모 12 5 5" xfId="8774"/>
    <cellStyle name="메모 12 6 2" xfId="8775"/>
    <cellStyle name="메모 12 6 2 2" xfId="8776"/>
    <cellStyle name="메모 12 6 3" xfId="8777"/>
    <cellStyle name="메모 12 6 3 2" xfId="8778"/>
    <cellStyle name="메모 12 6 4" xfId="8779"/>
    <cellStyle name="메모 12 6 5" xfId="8780"/>
    <cellStyle name="메모 12 7 2" xfId="8781"/>
    <cellStyle name="메모 12 7 2 2" xfId="8782"/>
    <cellStyle name="메모 12 7 3" xfId="8783"/>
    <cellStyle name="메모 12 7 3 2" xfId="8784"/>
    <cellStyle name="메모 12 7 4" xfId="8785"/>
    <cellStyle name="메모 12 7 5" xfId="8786"/>
    <cellStyle name="메모 12 8 2" xfId="8787"/>
    <cellStyle name="메모 12 8 2 2" xfId="8788"/>
    <cellStyle name="메모 12 8 3" xfId="8789"/>
    <cellStyle name="메모 12 8 3 2" xfId="8790"/>
    <cellStyle name="메모 12 8 4" xfId="8791"/>
    <cellStyle name="메모 12 8 5" xfId="8792"/>
    <cellStyle name="메모 12 9" xfId="8793"/>
    <cellStyle name="메모 12 9 2" xfId="8794"/>
    <cellStyle name="메모 13 10" xfId="8795"/>
    <cellStyle name="메모 13 10 2" xfId="8796"/>
    <cellStyle name="메모 13 11" xfId="8797"/>
    <cellStyle name="메모 13 12" xfId="8798"/>
    <cellStyle name="메모 13 2 2" xfId="8799"/>
    <cellStyle name="메모 13 2 2 2" xfId="8800"/>
    <cellStyle name="메모 13 2 3" xfId="8801"/>
    <cellStyle name="메모 13 2 3 2" xfId="8802"/>
    <cellStyle name="메모 13 2 4" xfId="8803"/>
    <cellStyle name="메모 13 2 5" xfId="8804"/>
    <cellStyle name="메모 13 3 2" xfId="8805"/>
    <cellStyle name="메모 13 3 2 2" xfId="8806"/>
    <cellStyle name="메모 13 3 3" xfId="8807"/>
    <cellStyle name="메모 13 3 3 2" xfId="8808"/>
    <cellStyle name="메모 13 3 4" xfId="8809"/>
    <cellStyle name="메모 13 3 5" xfId="8810"/>
    <cellStyle name="메모 13 4 2" xfId="8811"/>
    <cellStyle name="메모 13 4 2 2" xfId="8812"/>
    <cellStyle name="메모 13 4 3" xfId="8813"/>
    <cellStyle name="메모 13 4 3 2" xfId="8814"/>
    <cellStyle name="메모 13 4 4" xfId="8815"/>
    <cellStyle name="메모 13 4 5" xfId="8816"/>
    <cellStyle name="메모 13 5 2" xfId="8817"/>
    <cellStyle name="메모 13 5 2 2" xfId="8818"/>
    <cellStyle name="메모 13 5 3" xfId="8819"/>
    <cellStyle name="메모 13 5 3 2" xfId="8820"/>
    <cellStyle name="메모 13 5 4" xfId="8821"/>
    <cellStyle name="메모 13 5 5" xfId="8822"/>
    <cellStyle name="메모 13 6 2" xfId="8823"/>
    <cellStyle name="메모 13 6 2 2" xfId="8824"/>
    <cellStyle name="메모 13 6 3" xfId="8825"/>
    <cellStyle name="메모 13 6 3 2" xfId="8826"/>
    <cellStyle name="메모 13 6 4" xfId="8827"/>
    <cellStyle name="메모 13 6 5" xfId="8828"/>
    <cellStyle name="메모 13 7 2" xfId="8829"/>
    <cellStyle name="메모 13 7 2 2" xfId="8830"/>
    <cellStyle name="메모 13 7 3" xfId="8831"/>
    <cellStyle name="메모 13 7 3 2" xfId="8832"/>
    <cellStyle name="메모 13 7 4" xfId="8833"/>
    <cellStyle name="메모 13 7 5" xfId="8834"/>
    <cellStyle name="메모 13 8 2" xfId="8835"/>
    <cellStyle name="메모 13 8 2 2" xfId="8836"/>
    <cellStyle name="메모 13 8 3" xfId="8837"/>
    <cellStyle name="메모 13 8 3 2" xfId="8838"/>
    <cellStyle name="메모 13 8 4" xfId="8839"/>
    <cellStyle name="메모 13 8 5" xfId="8840"/>
    <cellStyle name="메모 13 9" xfId="8841"/>
    <cellStyle name="메모 13 9 2" xfId="8842"/>
    <cellStyle name="메모 14 10" xfId="8843"/>
    <cellStyle name="메모 14 10 2" xfId="8844"/>
    <cellStyle name="메모 14 11" xfId="8845"/>
    <cellStyle name="메모 14 12" xfId="8846"/>
    <cellStyle name="메모 14 2 2" xfId="8847"/>
    <cellStyle name="메모 14 2 2 2" xfId="8848"/>
    <cellStyle name="메모 14 2 3" xfId="8849"/>
    <cellStyle name="메모 14 2 3 2" xfId="8850"/>
    <cellStyle name="메모 14 2 4" xfId="8851"/>
    <cellStyle name="메모 14 2 5" xfId="8852"/>
    <cellStyle name="메모 14 3 2" xfId="8853"/>
    <cellStyle name="메모 14 3 2 2" xfId="8854"/>
    <cellStyle name="메모 14 3 3" xfId="8855"/>
    <cellStyle name="메모 14 3 3 2" xfId="8856"/>
    <cellStyle name="메모 14 3 4" xfId="8857"/>
    <cellStyle name="메모 14 3 5" xfId="8858"/>
    <cellStyle name="메모 14 4 2" xfId="8859"/>
    <cellStyle name="메모 14 4 2 2" xfId="8860"/>
    <cellStyle name="메모 14 4 3" xfId="8861"/>
    <cellStyle name="메모 14 4 3 2" xfId="8862"/>
    <cellStyle name="메모 14 4 4" xfId="8863"/>
    <cellStyle name="메모 14 4 5" xfId="8864"/>
    <cellStyle name="메모 14 5 2" xfId="8865"/>
    <cellStyle name="메모 14 5 2 2" xfId="8866"/>
    <cellStyle name="메모 14 5 3" xfId="8867"/>
    <cellStyle name="메모 14 5 3 2" xfId="8868"/>
    <cellStyle name="메모 14 5 4" xfId="8869"/>
    <cellStyle name="메모 14 5 5" xfId="8870"/>
    <cellStyle name="메모 14 6 2" xfId="8871"/>
    <cellStyle name="메모 14 6 2 2" xfId="8872"/>
    <cellStyle name="메모 14 6 3" xfId="8873"/>
    <cellStyle name="메모 14 6 3 2" xfId="8874"/>
    <cellStyle name="메모 14 6 4" xfId="8875"/>
    <cellStyle name="메모 14 6 5" xfId="8876"/>
    <cellStyle name="메모 14 7 2" xfId="8877"/>
    <cellStyle name="메모 14 7 2 2" xfId="8878"/>
    <cellStyle name="메모 14 7 3" xfId="8879"/>
    <cellStyle name="메모 14 7 3 2" xfId="8880"/>
    <cellStyle name="메모 14 7 4" xfId="8881"/>
    <cellStyle name="메모 14 7 5" xfId="8882"/>
    <cellStyle name="메모 14 8 2" xfId="8883"/>
    <cellStyle name="메모 14 8 2 2" xfId="8884"/>
    <cellStyle name="메모 14 8 3" xfId="8885"/>
    <cellStyle name="메모 14 8 3 2" xfId="8886"/>
    <cellStyle name="메모 14 8 4" xfId="8887"/>
    <cellStyle name="메모 14 8 5" xfId="8888"/>
    <cellStyle name="메모 14 9" xfId="8889"/>
    <cellStyle name="메모 14 9 2" xfId="8890"/>
    <cellStyle name="메모 15 10" xfId="8891"/>
    <cellStyle name="메모 15 10 2" xfId="8892"/>
    <cellStyle name="메모 15 11" xfId="8893"/>
    <cellStyle name="메모 15 12" xfId="8894"/>
    <cellStyle name="메모 15 2 2" xfId="8895"/>
    <cellStyle name="메모 15 2 2 2" xfId="8896"/>
    <cellStyle name="메모 15 2 3" xfId="8897"/>
    <cellStyle name="메모 15 2 3 2" xfId="8898"/>
    <cellStyle name="메모 15 2 4" xfId="8899"/>
    <cellStyle name="메모 15 2 5" xfId="8900"/>
    <cellStyle name="메모 15 3 2" xfId="8901"/>
    <cellStyle name="메모 15 3 2 2" xfId="8902"/>
    <cellStyle name="메모 15 3 3" xfId="8903"/>
    <cellStyle name="메모 15 3 3 2" xfId="8904"/>
    <cellStyle name="메모 15 3 4" xfId="8905"/>
    <cellStyle name="메모 15 3 5" xfId="8906"/>
    <cellStyle name="메모 15 4 2" xfId="8907"/>
    <cellStyle name="메모 15 4 2 2" xfId="8908"/>
    <cellStyle name="메모 15 4 3" xfId="8909"/>
    <cellStyle name="메모 15 4 3 2" xfId="8910"/>
    <cellStyle name="메모 15 4 4" xfId="8911"/>
    <cellStyle name="메모 15 4 5" xfId="8912"/>
    <cellStyle name="메모 15 5 2" xfId="8913"/>
    <cellStyle name="메모 15 5 2 2" xfId="8914"/>
    <cellStyle name="메모 15 5 3" xfId="8915"/>
    <cellStyle name="메모 15 5 3 2" xfId="8916"/>
    <cellStyle name="메모 15 5 4" xfId="8917"/>
    <cellStyle name="메모 15 5 5" xfId="8918"/>
    <cellStyle name="메모 15 6 2" xfId="8919"/>
    <cellStyle name="메모 15 6 2 2" xfId="8920"/>
    <cellStyle name="메모 15 6 3" xfId="8921"/>
    <cellStyle name="메모 15 6 3 2" xfId="8922"/>
    <cellStyle name="메모 15 6 4" xfId="8923"/>
    <cellStyle name="메모 15 6 5" xfId="8924"/>
    <cellStyle name="메모 15 7 2" xfId="8925"/>
    <cellStyle name="메모 15 7 2 2" xfId="8926"/>
    <cellStyle name="메모 15 7 3" xfId="8927"/>
    <cellStyle name="메모 15 7 3 2" xfId="8928"/>
    <cellStyle name="메모 15 7 4" xfId="8929"/>
    <cellStyle name="메모 15 7 5" xfId="8930"/>
    <cellStyle name="메모 15 8 2" xfId="8931"/>
    <cellStyle name="메모 15 8 2 2" xfId="8932"/>
    <cellStyle name="메모 15 8 3" xfId="8933"/>
    <cellStyle name="메모 15 8 3 2" xfId="8934"/>
    <cellStyle name="메모 15 8 4" xfId="8935"/>
    <cellStyle name="메모 15 8 5" xfId="8936"/>
    <cellStyle name="메모 15 9" xfId="8937"/>
    <cellStyle name="메모 15 9 2" xfId="8938"/>
    <cellStyle name="메모 16 10" xfId="8939"/>
    <cellStyle name="메모 16 10 2" xfId="8940"/>
    <cellStyle name="메모 16 11" xfId="8941"/>
    <cellStyle name="메모 16 12" xfId="8942"/>
    <cellStyle name="메모 16 2 2" xfId="8943"/>
    <cellStyle name="메모 16 2 2 2" xfId="8944"/>
    <cellStyle name="메모 16 2 3" xfId="8945"/>
    <cellStyle name="메모 16 2 3 2" xfId="8946"/>
    <cellStyle name="메모 16 2 4" xfId="8947"/>
    <cellStyle name="메모 16 2 5" xfId="8948"/>
    <cellStyle name="메모 16 3 2" xfId="8949"/>
    <cellStyle name="메모 16 3 2 2" xfId="8950"/>
    <cellStyle name="메모 16 3 3" xfId="8951"/>
    <cellStyle name="메모 16 3 3 2" xfId="8952"/>
    <cellStyle name="메모 16 3 4" xfId="8953"/>
    <cellStyle name="메모 16 3 5" xfId="8954"/>
    <cellStyle name="메모 16 4 2" xfId="8955"/>
    <cellStyle name="메모 16 4 2 2" xfId="8956"/>
    <cellStyle name="메모 16 4 3" xfId="8957"/>
    <cellStyle name="메모 16 4 3 2" xfId="8958"/>
    <cellStyle name="메모 16 4 4" xfId="8959"/>
    <cellStyle name="메모 16 4 5" xfId="8960"/>
    <cellStyle name="메모 16 5 2" xfId="8961"/>
    <cellStyle name="메모 16 5 2 2" xfId="8962"/>
    <cellStyle name="메모 16 5 3" xfId="8963"/>
    <cellStyle name="메모 16 5 3 2" xfId="8964"/>
    <cellStyle name="메모 16 5 4" xfId="8965"/>
    <cellStyle name="메모 16 5 5" xfId="8966"/>
    <cellStyle name="메모 16 6 2" xfId="8967"/>
    <cellStyle name="메모 16 6 2 2" xfId="8968"/>
    <cellStyle name="메모 16 6 3" xfId="8969"/>
    <cellStyle name="메모 16 6 3 2" xfId="8970"/>
    <cellStyle name="메모 16 6 4" xfId="8971"/>
    <cellStyle name="메모 16 6 5" xfId="8972"/>
    <cellStyle name="메모 16 7 2" xfId="8973"/>
    <cellStyle name="메모 16 7 2 2" xfId="8974"/>
    <cellStyle name="메모 16 7 3" xfId="8975"/>
    <cellStyle name="메모 16 7 3 2" xfId="8976"/>
    <cellStyle name="메모 16 7 4" xfId="8977"/>
    <cellStyle name="메모 16 7 5" xfId="8978"/>
    <cellStyle name="메모 16 8 2" xfId="8979"/>
    <cellStyle name="메모 16 8 2 2" xfId="8980"/>
    <cellStyle name="메모 16 8 3" xfId="8981"/>
    <cellStyle name="메모 16 8 3 2" xfId="8982"/>
    <cellStyle name="메모 16 8 4" xfId="8983"/>
    <cellStyle name="메모 16 8 5" xfId="8984"/>
    <cellStyle name="메모 16 9" xfId="8985"/>
    <cellStyle name="메모 16 9 2" xfId="8986"/>
    <cellStyle name="메모 17 10" xfId="8987"/>
    <cellStyle name="메모 17 10 2" xfId="8988"/>
    <cellStyle name="메모 17 11" xfId="8989"/>
    <cellStyle name="메모 17 12" xfId="8990"/>
    <cellStyle name="메모 17 2 2" xfId="8991"/>
    <cellStyle name="메모 17 2 2 2" xfId="8992"/>
    <cellStyle name="메모 17 2 3" xfId="8993"/>
    <cellStyle name="메모 17 2 3 2" xfId="8994"/>
    <cellStyle name="메모 17 2 4" xfId="8995"/>
    <cellStyle name="메모 17 2 5" xfId="8996"/>
    <cellStyle name="메모 17 3 2" xfId="8997"/>
    <cellStyle name="메모 17 3 2 2" xfId="8998"/>
    <cellStyle name="메모 17 3 3" xfId="8999"/>
    <cellStyle name="메모 17 3 3 2" xfId="9000"/>
    <cellStyle name="메모 17 3 4" xfId="9001"/>
    <cellStyle name="메모 17 3 5" xfId="9002"/>
    <cellStyle name="메모 17 4 2" xfId="9003"/>
    <cellStyle name="메모 17 4 2 2" xfId="9004"/>
    <cellStyle name="메모 17 4 3" xfId="9005"/>
    <cellStyle name="메모 17 4 3 2" xfId="9006"/>
    <cellStyle name="메모 17 4 4" xfId="9007"/>
    <cellStyle name="메모 17 4 5" xfId="9008"/>
    <cellStyle name="메모 17 5 2" xfId="9009"/>
    <cellStyle name="메모 17 5 2 2" xfId="9010"/>
    <cellStyle name="메모 17 5 3" xfId="9011"/>
    <cellStyle name="메모 17 5 3 2" xfId="9012"/>
    <cellStyle name="메모 17 5 4" xfId="9013"/>
    <cellStyle name="메모 17 5 5" xfId="9014"/>
    <cellStyle name="메모 17 6 2" xfId="9015"/>
    <cellStyle name="메모 17 6 2 2" xfId="9016"/>
    <cellStyle name="메모 17 6 3" xfId="9017"/>
    <cellStyle name="메모 17 6 3 2" xfId="9018"/>
    <cellStyle name="메모 17 6 4" xfId="9019"/>
    <cellStyle name="메모 17 6 5" xfId="9020"/>
    <cellStyle name="메모 17 7 2" xfId="9021"/>
    <cellStyle name="메모 17 7 2 2" xfId="9022"/>
    <cellStyle name="메모 17 7 3" xfId="9023"/>
    <cellStyle name="메모 17 7 3 2" xfId="9024"/>
    <cellStyle name="메모 17 7 4" xfId="9025"/>
    <cellStyle name="메모 17 7 5" xfId="9026"/>
    <cellStyle name="메모 17 8 2" xfId="9027"/>
    <cellStyle name="메모 17 8 2 2" xfId="9028"/>
    <cellStyle name="메모 17 8 3" xfId="9029"/>
    <cellStyle name="메모 17 8 3 2" xfId="9030"/>
    <cellStyle name="메모 17 8 4" xfId="9031"/>
    <cellStyle name="메모 17 8 5" xfId="9032"/>
    <cellStyle name="메모 17 9" xfId="9033"/>
    <cellStyle name="메모 17 9 2" xfId="9034"/>
    <cellStyle name="메모 18 10" xfId="9035"/>
    <cellStyle name="메모 18 10 2" xfId="9036"/>
    <cellStyle name="메모 18 11" xfId="9037"/>
    <cellStyle name="메모 18 12" xfId="9038"/>
    <cellStyle name="메모 18 2 2" xfId="9039"/>
    <cellStyle name="메모 18 2 2 2" xfId="9040"/>
    <cellStyle name="메모 18 2 3" xfId="9041"/>
    <cellStyle name="메모 18 2 3 2" xfId="9042"/>
    <cellStyle name="메모 18 2 4" xfId="9043"/>
    <cellStyle name="메모 18 2 5" xfId="9044"/>
    <cellStyle name="메모 18 3 2" xfId="9045"/>
    <cellStyle name="메모 18 3 2 2" xfId="9046"/>
    <cellStyle name="메모 18 3 3" xfId="9047"/>
    <cellStyle name="메모 18 3 3 2" xfId="9048"/>
    <cellStyle name="메모 18 3 4" xfId="9049"/>
    <cellStyle name="메모 18 3 5" xfId="9050"/>
    <cellStyle name="메모 18 4 2" xfId="9051"/>
    <cellStyle name="메모 18 4 2 2" xfId="9052"/>
    <cellStyle name="메모 18 4 3" xfId="9053"/>
    <cellStyle name="메모 18 4 3 2" xfId="9054"/>
    <cellStyle name="메모 18 4 4" xfId="9055"/>
    <cellStyle name="메모 18 4 5" xfId="9056"/>
    <cellStyle name="메모 18 5 2" xfId="9057"/>
    <cellStyle name="메모 18 5 2 2" xfId="9058"/>
    <cellStyle name="메모 18 5 3" xfId="9059"/>
    <cellStyle name="메모 18 5 3 2" xfId="9060"/>
    <cellStyle name="메모 18 5 4" xfId="9061"/>
    <cellStyle name="메모 18 5 5" xfId="9062"/>
    <cellStyle name="메모 18 6 2" xfId="9063"/>
    <cellStyle name="메모 18 6 2 2" xfId="9064"/>
    <cellStyle name="메모 18 6 3" xfId="9065"/>
    <cellStyle name="메모 18 6 3 2" xfId="9066"/>
    <cellStyle name="메모 18 6 4" xfId="9067"/>
    <cellStyle name="메모 18 6 5" xfId="9068"/>
    <cellStyle name="메모 18 7 2" xfId="9069"/>
    <cellStyle name="메모 18 7 2 2" xfId="9070"/>
    <cellStyle name="메모 18 7 3" xfId="9071"/>
    <cellStyle name="메모 18 7 3 2" xfId="9072"/>
    <cellStyle name="메모 18 7 4" xfId="9073"/>
    <cellStyle name="메모 18 7 5" xfId="9074"/>
    <cellStyle name="메모 18 8 2" xfId="9075"/>
    <cellStyle name="메모 18 8 2 2" xfId="9076"/>
    <cellStyle name="메모 18 8 3" xfId="9077"/>
    <cellStyle name="메모 18 8 3 2" xfId="9078"/>
    <cellStyle name="메모 18 8 4" xfId="9079"/>
    <cellStyle name="메모 18 8 5" xfId="9080"/>
    <cellStyle name="메모 18 9" xfId="9081"/>
    <cellStyle name="메모 18 9 2" xfId="9082"/>
    <cellStyle name="메모 19 2" xfId="9083"/>
    <cellStyle name="메모 19 2 2" xfId="9084"/>
    <cellStyle name="메모 19 3" xfId="9085"/>
    <cellStyle name="메모 19 3 2" xfId="9086"/>
    <cellStyle name="메모 19 4" xfId="9087"/>
    <cellStyle name="메모 19 5" xfId="9088"/>
    <cellStyle name="메모 2 10 2" xfId="9089"/>
    <cellStyle name="메모 2 10 2 2" xfId="9090"/>
    <cellStyle name="메모 2 10 3" xfId="9091"/>
    <cellStyle name="메모 2 10 3 2" xfId="9092"/>
    <cellStyle name="메모 2 10 4" xfId="9093"/>
    <cellStyle name="메모 2 10 5" xfId="9094"/>
    <cellStyle name="메모 2 11 2 2 2" xfId="9095"/>
    <cellStyle name="메모 2 11 2 2 2 2" xfId="9096"/>
    <cellStyle name="메모 2 11 2 2 3" xfId="9097"/>
    <cellStyle name="메모 2 11 2 2 3 2" xfId="9098"/>
    <cellStyle name="메모 2 11 2 2 4" xfId="9099"/>
    <cellStyle name="메모 2 11 2 2 5" xfId="9100"/>
    <cellStyle name="메모 2 11 2 3 2" xfId="9101"/>
    <cellStyle name="메모 2 11 2 3 2 2" xfId="9102"/>
    <cellStyle name="메모 2 11 2 3 3" xfId="9103"/>
    <cellStyle name="메모 2 11 2 3 3 2" xfId="9104"/>
    <cellStyle name="메모 2 11 2 3 4" xfId="9105"/>
    <cellStyle name="메모 2 11 2 3 5" xfId="9106"/>
    <cellStyle name="메모 2 11 2 4" xfId="9107"/>
    <cellStyle name="메모 2 11 2 4 2" xfId="9108"/>
    <cellStyle name="메모 2 11 2 5" xfId="9109"/>
    <cellStyle name="메모 2 11 2 5 2" xfId="9110"/>
    <cellStyle name="메모 2 11 2 6" xfId="9111"/>
    <cellStyle name="메모 2 11 2 7" xfId="9112"/>
    <cellStyle name="메모 2 11 3 2" xfId="9113"/>
    <cellStyle name="메모 2 11 3 2 2" xfId="9114"/>
    <cellStyle name="메모 2 11 3 3" xfId="9115"/>
    <cellStyle name="메모 2 11 3 3 2" xfId="9116"/>
    <cellStyle name="메모 2 11 3 4" xfId="9117"/>
    <cellStyle name="메모 2 11 3 5" xfId="9118"/>
    <cellStyle name="메모 2 11 4" xfId="9119"/>
    <cellStyle name="메모 2 11 4 2" xfId="9120"/>
    <cellStyle name="메모 2 11 5" xfId="9121"/>
    <cellStyle name="메모 2 11 5 2" xfId="9122"/>
    <cellStyle name="메모 2 11 6" xfId="9123"/>
    <cellStyle name="메모 2 11 7" xfId="9124"/>
    <cellStyle name="메모 2 12 2" xfId="9125"/>
    <cellStyle name="메모 2 12 2 2" xfId="9126"/>
    <cellStyle name="메모 2 12 3" xfId="9127"/>
    <cellStyle name="메모 2 12 3 2" xfId="9128"/>
    <cellStyle name="메모 2 12 4" xfId="9129"/>
    <cellStyle name="메모 2 12 5" xfId="9130"/>
    <cellStyle name="메모 2 13 2" xfId="9131"/>
    <cellStyle name="메모 2 13 2 2" xfId="9132"/>
    <cellStyle name="메모 2 13 3" xfId="9133"/>
    <cellStyle name="메모 2 13 3 2" xfId="9134"/>
    <cellStyle name="메모 2 13 4" xfId="9135"/>
    <cellStyle name="메모 2 13 5" xfId="9136"/>
    <cellStyle name="메모 2 14 2 2 2" xfId="9137"/>
    <cellStyle name="메모 2 14 2 2 2 2" xfId="9138"/>
    <cellStyle name="메모 2 14 2 2 3" xfId="9139"/>
    <cellStyle name="메모 2 14 2 2 3 2" xfId="9140"/>
    <cellStyle name="메모 2 14 2 2 4" xfId="9141"/>
    <cellStyle name="메모 2 14 2 2 5" xfId="9142"/>
    <cellStyle name="메모 2 14 2 3 2" xfId="9143"/>
    <cellStyle name="메모 2 14 2 3 2 2" xfId="9144"/>
    <cellStyle name="메모 2 14 2 3 3" xfId="9145"/>
    <cellStyle name="메모 2 14 2 3 3 2" xfId="9146"/>
    <cellStyle name="메모 2 14 2 3 4" xfId="9147"/>
    <cellStyle name="메모 2 14 2 3 5" xfId="9148"/>
    <cellStyle name="메모 2 14 2 4" xfId="9149"/>
    <cellStyle name="메모 2 14 2 4 2" xfId="9150"/>
    <cellStyle name="메모 2 14 2 5" xfId="9151"/>
    <cellStyle name="메모 2 14 2 5 2" xfId="9152"/>
    <cellStyle name="메모 2 14 2 6" xfId="9153"/>
    <cellStyle name="메모 2 14 2 7" xfId="9154"/>
    <cellStyle name="메모 2 14 3 2" xfId="9155"/>
    <cellStyle name="메모 2 14 3 2 2" xfId="9156"/>
    <cellStyle name="메모 2 14 3 3" xfId="9157"/>
    <cellStyle name="메모 2 14 3 3 2" xfId="9158"/>
    <cellStyle name="메모 2 14 3 4" xfId="9159"/>
    <cellStyle name="메모 2 14 3 5" xfId="9160"/>
    <cellStyle name="메모 2 14 4" xfId="9161"/>
    <cellStyle name="메모 2 14 4 2" xfId="9162"/>
    <cellStyle name="메모 2 14 5" xfId="9163"/>
    <cellStyle name="메모 2 14 5 2" xfId="9164"/>
    <cellStyle name="메모 2 14 6" xfId="9165"/>
    <cellStyle name="메모 2 14 7" xfId="9166"/>
    <cellStyle name="메모 2 15 2" xfId="9167"/>
    <cellStyle name="메모 2 15 2 2" xfId="9168"/>
    <cellStyle name="메모 2 15 3" xfId="9169"/>
    <cellStyle name="메모 2 15 3 2" xfId="9170"/>
    <cellStyle name="메모 2 15 4" xfId="9171"/>
    <cellStyle name="메모 2 15 5" xfId="9172"/>
    <cellStyle name="메모 2 16 2" xfId="9173"/>
    <cellStyle name="메모 2 16 2 2" xfId="9174"/>
    <cellStyle name="메모 2 16 3" xfId="9175"/>
    <cellStyle name="메모 2 16 3 2" xfId="9176"/>
    <cellStyle name="메모 2 16 4" xfId="9177"/>
    <cellStyle name="메모 2 16 5" xfId="9178"/>
    <cellStyle name="메모 2 17 2 2 2" xfId="9179"/>
    <cellStyle name="메모 2 17 2 2 2 2" xfId="9180"/>
    <cellStyle name="메모 2 17 2 2 3" xfId="9181"/>
    <cellStyle name="메모 2 17 2 2 3 2" xfId="9182"/>
    <cellStyle name="메모 2 17 2 2 4" xfId="9183"/>
    <cellStyle name="메모 2 17 2 2 5" xfId="9184"/>
    <cellStyle name="메모 2 17 2 3 2" xfId="9185"/>
    <cellStyle name="메모 2 17 2 3 2 2" xfId="9186"/>
    <cellStyle name="메모 2 17 2 3 3" xfId="9187"/>
    <cellStyle name="메모 2 17 2 3 3 2" xfId="9188"/>
    <cellStyle name="메모 2 17 2 3 4" xfId="9189"/>
    <cellStyle name="메모 2 17 2 3 5" xfId="9190"/>
    <cellStyle name="메모 2 17 2 4" xfId="9191"/>
    <cellStyle name="메모 2 17 2 4 2" xfId="9192"/>
    <cellStyle name="메모 2 17 2 5" xfId="9193"/>
    <cellStyle name="메모 2 17 2 5 2" xfId="9194"/>
    <cellStyle name="메모 2 17 2 6" xfId="9195"/>
    <cellStyle name="메모 2 17 2 7" xfId="9196"/>
    <cellStyle name="메모 2 17 3 2" xfId="9197"/>
    <cellStyle name="메모 2 17 3 2 2" xfId="9198"/>
    <cellStyle name="메모 2 17 3 3" xfId="9199"/>
    <cellStyle name="메모 2 17 3 3 2" xfId="9200"/>
    <cellStyle name="메모 2 17 3 4" xfId="9201"/>
    <cellStyle name="메모 2 17 3 5" xfId="9202"/>
    <cellStyle name="메모 2 17 4" xfId="9203"/>
    <cellStyle name="메모 2 17 4 2" xfId="9204"/>
    <cellStyle name="메모 2 17 5" xfId="9205"/>
    <cellStyle name="메모 2 17 5 2" xfId="9206"/>
    <cellStyle name="메모 2 17 6" xfId="9207"/>
    <cellStyle name="메모 2 17 7" xfId="9208"/>
    <cellStyle name="메모 2 18 2" xfId="9209"/>
    <cellStyle name="메모 2 18 2 2" xfId="9210"/>
    <cellStyle name="메모 2 18 3" xfId="9211"/>
    <cellStyle name="메모 2 18 3 2" xfId="9212"/>
    <cellStyle name="메모 2 18 4" xfId="9213"/>
    <cellStyle name="메모 2 18 5" xfId="9214"/>
    <cellStyle name="메모 2 19 2" xfId="9215"/>
    <cellStyle name="메모 2 19 2 2" xfId="9216"/>
    <cellStyle name="메모 2 19 3" xfId="9217"/>
    <cellStyle name="메모 2 19 3 2" xfId="9218"/>
    <cellStyle name="메모 2 19 4" xfId="9219"/>
    <cellStyle name="메모 2 19 5" xfId="9220"/>
    <cellStyle name="메모 2 2 2" xfId="9221"/>
    <cellStyle name="메모 2 2 2 2" xfId="9222"/>
    <cellStyle name="메모 2 2 3" xfId="9223"/>
    <cellStyle name="메모 2 2 3 2" xfId="9224"/>
    <cellStyle name="메모 2 2 4" xfId="9225"/>
    <cellStyle name="메모 2 2 5" xfId="9226"/>
    <cellStyle name="메모 2 20 2" xfId="9227"/>
    <cellStyle name="메모 2 20 2 2" xfId="9228"/>
    <cellStyle name="메모 2 20 3" xfId="9229"/>
    <cellStyle name="메모 2 20 3 2" xfId="9230"/>
    <cellStyle name="메모 2 20 4" xfId="9231"/>
    <cellStyle name="메모 2 20 5" xfId="9232"/>
    <cellStyle name="메모 2 21 2" xfId="9233"/>
    <cellStyle name="메모 2 21 2 2" xfId="9234"/>
    <cellStyle name="메모 2 21 3" xfId="9235"/>
    <cellStyle name="메모 2 21 3 2" xfId="9236"/>
    <cellStyle name="메모 2 21 4" xfId="9237"/>
    <cellStyle name="메모 2 21 5" xfId="9238"/>
    <cellStyle name="메모 2 22" xfId="9239"/>
    <cellStyle name="메모 2 22 2" xfId="9240"/>
    <cellStyle name="메모 2 23" xfId="9241"/>
    <cellStyle name="메모 2 23 2" xfId="9242"/>
    <cellStyle name="메모 2 24" xfId="9243"/>
    <cellStyle name="메모 2 25" xfId="9244"/>
    <cellStyle name="메모 2 3 2" xfId="9245"/>
    <cellStyle name="메모 2 3 2 2" xfId="9246"/>
    <cellStyle name="메모 2 3 3" xfId="9247"/>
    <cellStyle name="메모 2 3 3 2" xfId="9248"/>
    <cellStyle name="메모 2 3 4" xfId="9249"/>
    <cellStyle name="메모 2 3 5" xfId="9250"/>
    <cellStyle name="메모 2 4 2" xfId="9251"/>
    <cellStyle name="메모 2 4 2 2" xfId="9252"/>
    <cellStyle name="메모 2 4 3" xfId="9253"/>
    <cellStyle name="메모 2 4 3 2" xfId="9254"/>
    <cellStyle name="메모 2 4 4" xfId="9255"/>
    <cellStyle name="메모 2 4 5" xfId="9256"/>
    <cellStyle name="메모 2 5 2" xfId="9257"/>
    <cellStyle name="메모 2 5 2 2" xfId="9258"/>
    <cellStyle name="메모 2 5 3" xfId="9259"/>
    <cellStyle name="메모 2 5 3 2" xfId="9260"/>
    <cellStyle name="메모 2 5 4" xfId="9261"/>
    <cellStyle name="메모 2 5 5" xfId="9262"/>
    <cellStyle name="메모 2 6 2" xfId="9263"/>
    <cellStyle name="메모 2 6 2 2" xfId="9264"/>
    <cellStyle name="메모 2 6 3" xfId="9265"/>
    <cellStyle name="메모 2 6 3 2" xfId="9266"/>
    <cellStyle name="메모 2 6 4" xfId="9267"/>
    <cellStyle name="메모 2 6 5" xfId="9268"/>
    <cellStyle name="메모 2 7 2 2 2 2 2" xfId="9269"/>
    <cellStyle name="메모 2 7 2 2 2 2 2 2" xfId="9270"/>
    <cellStyle name="메모 2 7 2 2 2 2 3" xfId="9271"/>
    <cellStyle name="메모 2 7 2 2 2 2 3 2" xfId="9272"/>
    <cellStyle name="메모 2 7 2 2 2 2 4" xfId="9273"/>
    <cellStyle name="메모 2 7 2 2 2 2 5" xfId="9274"/>
    <cellStyle name="메모 2 7 2 2 2 3 2" xfId="9275"/>
    <cellStyle name="메모 2 7 2 2 2 3 2 2" xfId="9276"/>
    <cellStyle name="메모 2 7 2 2 2 3 3" xfId="9277"/>
    <cellStyle name="메모 2 7 2 2 2 3 3 2" xfId="9278"/>
    <cellStyle name="메모 2 7 2 2 2 3 4" xfId="9279"/>
    <cellStyle name="메모 2 7 2 2 2 3 5" xfId="9280"/>
    <cellStyle name="메모 2 7 2 2 2 4" xfId="9281"/>
    <cellStyle name="메모 2 7 2 2 2 4 2" xfId="9282"/>
    <cellStyle name="메모 2 7 2 2 2 5" xfId="9283"/>
    <cellStyle name="메모 2 7 2 2 2 5 2" xfId="9284"/>
    <cellStyle name="메모 2 7 2 2 2 6" xfId="9285"/>
    <cellStyle name="메모 2 7 2 2 2 7" xfId="9286"/>
    <cellStyle name="메모 2 7 2 2 3 2" xfId="9287"/>
    <cellStyle name="메모 2 7 2 2 3 2 2" xfId="9288"/>
    <cellStyle name="메모 2 7 2 2 3 3" xfId="9289"/>
    <cellStyle name="메모 2 7 2 2 3 3 2" xfId="9290"/>
    <cellStyle name="메모 2 7 2 2 3 4" xfId="9291"/>
    <cellStyle name="메모 2 7 2 2 3 5" xfId="9292"/>
    <cellStyle name="메모 2 7 2 2 4" xfId="9293"/>
    <cellStyle name="메모 2 7 2 2 4 2" xfId="9294"/>
    <cellStyle name="메모 2 7 2 2 5" xfId="9295"/>
    <cellStyle name="메모 2 7 2 2 5 2" xfId="9296"/>
    <cellStyle name="메모 2 7 2 2 6" xfId="9297"/>
    <cellStyle name="메모 2 7 2 2 7" xfId="9298"/>
    <cellStyle name="메모 2 7 2 3 2" xfId="9299"/>
    <cellStyle name="메모 2 7 2 3 2 2" xfId="9300"/>
    <cellStyle name="메모 2 7 2 3 3" xfId="9301"/>
    <cellStyle name="메모 2 7 2 3 3 2" xfId="9302"/>
    <cellStyle name="메모 2 7 2 3 4" xfId="9303"/>
    <cellStyle name="메모 2 7 2 3 5" xfId="9304"/>
    <cellStyle name="메모 2 7 2 4 2" xfId="9305"/>
    <cellStyle name="메모 2 7 2 4 2 2" xfId="9306"/>
    <cellStyle name="메모 2 7 2 4 3" xfId="9307"/>
    <cellStyle name="메모 2 7 2 4 3 2" xfId="9308"/>
    <cellStyle name="메모 2 7 2 4 4" xfId="9309"/>
    <cellStyle name="메모 2 7 2 4 5" xfId="9310"/>
    <cellStyle name="메모 2 7 2 5" xfId="9311"/>
    <cellStyle name="메모 2 7 2 5 2" xfId="9312"/>
    <cellStyle name="메모 2 7 2 6" xfId="9313"/>
    <cellStyle name="메모 2 7 2 6 2" xfId="9314"/>
    <cellStyle name="메모 2 7 2 7" xfId="9315"/>
    <cellStyle name="메모 2 7 2 8" xfId="9316"/>
    <cellStyle name="메모 2 7 3 2 2" xfId="9317"/>
    <cellStyle name="메모 2 7 3 2 2 2" xfId="9318"/>
    <cellStyle name="메모 2 7 3 2 3" xfId="9319"/>
    <cellStyle name="메모 2 7 3 2 3 2" xfId="9320"/>
    <cellStyle name="메모 2 7 3 2 4" xfId="9321"/>
    <cellStyle name="메모 2 7 3 2 5" xfId="9322"/>
    <cellStyle name="메모 2 7 3 3 2" xfId="9323"/>
    <cellStyle name="메모 2 7 3 3 2 2" xfId="9324"/>
    <cellStyle name="메모 2 7 3 3 3" xfId="9325"/>
    <cellStyle name="메모 2 7 3 3 3 2" xfId="9326"/>
    <cellStyle name="메모 2 7 3 3 4" xfId="9327"/>
    <cellStyle name="메모 2 7 3 3 5" xfId="9328"/>
    <cellStyle name="메모 2 7 3 4" xfId="9329"/>
    <cellStyle name="메모 2 7 3 4 2" xfId="9330"/>
    <cellStyle name="메모 2 7 3 5" xfId="9331"/>
    <cellStyle name="메모 2 7 3 5 2" xfId="9332"/>
    <cellStyle name="메모 2 7 3 6" xfId="9333"/>
    <cellStyle name="메모 2 7 3 7" xfId="9334"/>
    <cellStyle name="메모 2 7 4 2" xfId="9335"/>
    <cellStyle name="메모 2 7 4 2 2" xfId="9336"/>
    <cellStyle name="메모 2 7 4 3" xfId="9337"/>
    <cellStyle name="메모 2 7 4 3 2" xfId="9338"/>
    <cellStyle name="메모 2 7 4 4" xfId="9339"/>
    <cellStyle name="메모 2 7 4 5" xfId="9340"/>
    <cellStyle name="메모 2 7 5" xfId="9341"/>
    <cellStyle name="메모 2 7 5 2" xfId="9342"/>
    <cellStyle name="메모 2 7 6" xfId="9343"/>
    <cellStyle name="메모 2 7 6 2" xfId="9344"/>
    <cellStyle name="메모 2 7 7" xfId="9345"/>
    <cellStyle name="메모 2 7 8" xfId="9346"/>
    <cellStyle name="메모 2 8 2" xfId="9347"/>
    <cellStyle name="메모 2 8 2 2" xfId="9348"/>
    <cellStyle name="메모 2 8 3" xfId="9349"/>
    <cellStyle name="메모 2 8 3 2" xfId="9350"/>
    <cellStyle name="메모 2 8 4" xfId="9351"/>
    <cellStyle name="메모 2 8 5" xfId="9352"/>
    <cellStyle name="메모 2 9 2" xfId="9353"/>
    <cellStyle name="메모 2 9 2 2" xfId="9354"/>
    <cellStyle name="메모 2 9 3" xfId="9355"/>
    <cellStyle name="메모 2 9 3 2" xfId="9356"/>
    <cellStyle name="메모 2 9 4" xfId="9357"/>
    <cellStyle name="메모 2 9 5" xfId="9358"/>
    <cellStyle name="메모 20 2" xfId="9359"/>
    <cellStyle name="메모 20 2 2" xfId="9360"/>
    <cellStyle name="메모 20 3" xfId="9361"/>
    <cellStyle name="메모 20 3 2" xfId="9362"/>
    <cellStyle name="메모 20 4" xfId="9363"/>
    <cellStyle name="메모 20 5" xfId="9364"/>
    <cellStyle name="메모 3 2 2" xfId="9365"/>
    <cellStyle name="메모 3 2 2 2" xfId="9366"/>
    <cellStyle name="메모 3 2 3" xfId="9367"/>
    <cellStyle name="메모 3 2 3 2" xfId="9368"/>
    <cellStyle name="메모 3 2 4" xfId="9369"/>
    <cellStyle name="메모 3 2 5" xfId="9370"/>
    <cellStyle name="메모 3 3 2" xfId="9371"/>
    <cellStyle name="메모 3 3 2 2" xfId="9372"/>
    <cellStyle name="메모 3 3 3" xfId="9373"/>
    <cellStyle name="메모 3 3 3 2" xfId="9374"/>
    <cellStyle name="메모 3 3 4" xfId="9375"/>
    <cellStyle name="메모 3 3 5" xfId="9376"/>
    <cellStyle name="메모 3 4 2" xfId="9377"/>
    <cellStyle name="메모 3 4 2 2" xfId="9378"/>
    <cellStyle name="메모 3 4 3" xfId="9379"/>
    <cellStyle name="메모 3 4 3 2" xfId="9380"/>
    <cellStyle name="메모 3 4 4" xfId="9381"/>
    <cellStyle name="메모 3 4 5" xfId="9382"/>
    <cellStyle name="메모 3 5" xfId="9383"/>
    <cellStyle name="메모 3 5 2" xfId="9384"/>
    <cellStyle name="메모 3 6" xfId="9385"/>
    <cellStyle name="메모 3 6 2" xfId="9386"/>
    <cellStyle name="메모 3 7" xfId="9387"/>
    <cellStyle name="메모 3 8" xfId="9388"/>
    <cellStyle name="메모 4 2" xfId="9389"/>
    <cellStyle name="메모 4 2 2" xfId="9390"/>
    <cellStyle name="메모 4 3" xfId="9391"/>
    <cellStyle name="메모 4 3 2" xfId="9392"/>
    <cellStyle name="메모 4 4" xfId="9393"/>
    <cellStyle name="메모 4 5" xfId="9394"/>
    <cellStyle name="메모 5 2" xfId="9395"/>
    <cellStyle name="메모 5 2 2" xfId="9396"/>
    <cellStyle name="메모 5 3" xfId="9397"/>
    <cellStyle name="메모 5 3 2" xfId="9398"/>
    <cellStyle name="메모 5 4" xfId="9399"/>
    <cellStyle name="메모 5 5" xfId="9400"/>
    <cellStyle name="메모 6 2" xfId="9401"/>
    <cellStyle name="메모 6 2 2" xfId="9402"/>
    <cellStyle name="메모 6 3" xfId="9403"/>
    <cellStyle name="메모 6 3 2" xfId="9404"/>
    <cellStyle name="메모 6 4" xfId="9405"/>
    <cellStyle name="메모 6 5" xfId="9406"/>
    <cellStyle name="메모 7 2 2" xfId="9407"/>
    <cellStyle name="메모 7 2 2 2" xfId="9408"/>
    <cellStyle name="메모 7 2 3" xfId="9409"/>
    <cellStyle name="메모 7 2 3 2" xfId="9410"/>
    <cellStyle name="메모 7 2 4" xfId="9411"/>
    <cellStyle name="메모 7 2 5" xfId="9412"/>
    <cellStyle name="메모 7 3" xfId="9413"/>
    <cellStyle name="메모 7 3 2" xfId="9414"/>
    <cellStyle name="메모 7 4" xfId="9415"/>
    <cellStyle name="메모 7 4 2" xfId="9416"/>
    <cellStyle name="메모 7 5" xfId="9417"/>
    <cellStyle name="메모 7 6" xfId="9418"/>
    <cellStyle name="메모 8 2" xfId="9419"/>
    <cellStyle name="메모 8 2 2" xfId="9420"/>
    <cellStyle name="메모 8 3" xfId="9421"/>
    <cellStyle name="메모 8 3 2" xfId="9422"/>
    <cellStyle name="메모 8 4" xfId="9423"/>
    <cellStyle name="메모 8 5" xfId="9424"/>
    <cellStyle name="메모 9 10 2" xfId="9425"/>
    <cellStyle name="메모 9 10 2 2" xfId="9426"/>
    <cellStyle name="메모 9 10 3" xfId="9427"/>
    <cellStyle name="메모 9 10 3 2" xfId="9428"/>
    <cellStyle name="메모 9 10 4" xfId="9429"/>
    <cellStyle name="메모 9 10 5" xfId="9430"/>
    <cellStyle name="메모 9 11" xfId="9431"/>
    <cellStyle name="메모 9 11 2" xfId="9432"/>
    <cellStyle name="메모 9 12" xfId="9433"/>
    <cellStyle name="메모 9 12 2" xfId="9434"/>
    <cellStyle name="메모 9 13" xfId="9435"/>
    <cellStyle name="메모 9 14" xfId="9436"/>
    <cellStyle name="메모 9 2 2" xfId="9437"/>
    <cellStyle name="메모 9 2 2 2" xfId="9438"/>
    <cellStyle name="메모 9 2 3" xfId="9439"/>
    <cellStyle name="메모 9 2 3 2" xfId="9440"/>
    <cellStyle name="메모 9 2 4" xfId="9441"/>
    <cellStyle name="메모 9 2 5" xfId="9442"/>
    <cellStyle name="메모 9 3 2" xfId="9443"/>
    <cellStyle name="메모 9 3 2 2" xfId="9444"/>
    <cellStyle name="메모 9 3 3" xfId="9445"/>
    <cellStyle name="메모 9 3 3 2" xfId="9446"/>
    <cellStyle name="메모 9 3 4" xfId="9447"/>
    <cellStyle name="메모 9 3 5" xfId="9448"/>
    <cellStyle name="메모 9 4 2" xfId="9449"/>
    <cellStyle name="메모 9 4 2 2" xfId="9450"/>
    <cellStyle name="메모 9 4 3" xfId="9451"/>
    <cellStyle name="메모 9 4 3 2" xfId="9452"/>
    <cellStyle name="메모 9 4 4" xfId="9453"/>
    <cellStyle name="메모 9 4 5" xfId="9454"/>
    <cellStyle name="메모 9 5 2" xfId="9455"/>
    <cellStyle name="메모 9 5 2 2" xfId="9456"/>
    <cellStyle name="메모 9 5 3" xfId="9457"/>
    <cellStyle name="메모 9 5 3 2" xfId="9458"/>
    <cellStyle name="메모 9 5 4" xfId="9459"/>
    <cellStyle name="메모 9 5 5" xfId="9460"/>
    <cellStyle name="메모 9 6 2" xfId="9461"/>
    <cellStyle name="메모 9 6 2 2" xfId="9462"/>
    <cellStyle name="메모 9 6 3" xfId="9463"/>
    <cellStyle name="메모 9 6 3 2" xfId="9464"/>
    <cellStyle name="메모 9 6 4" xfId="9465"/>
    <cellStyle name="메모 9 6 5" xfId="9466"/>
    <cellStyle name="메모 9 7 2" xfId="9467"/>
    <cellStyle name="메모 9 7 2 2" xfId="9468"/>
    <cellStyle name="메모 9 7 3" xfId="9469"/>
    <cellStyle name="메모 9 7 3 2" xfId="9470"/>
    <cellStyle name="메모 9 7 4" xfId="9471"/>
    <cellStyle name="메모 9 7 5" xfId="9472"/>
    <cellStyle name="메모 9 8 2" xfId="9473"/>
    <cellStyle name="메모 9 8 2 2" xfId="9474"/>
    <cellStyle name="메모 9 8 3" xfId="9475"/>
    <cellStyle name="메모 9 8 3 2" xfId="9476"/>
    <cellStyle name="메모 9 8 4" xfId="9477"/>
    <cellStyle name="메모 9 8 5" xfId="9478"/>
    <cellStyle name="메모 9 9 2" xfId="9479"/>
    <cellStyle name="메모 9 9 2 2" xfId="9480"/>
    <cellStyle name="메모 9 9 3" xfId="9481"/>
    <cellStyle name="메모 9 9 3 2" xfId="9482"/>
    <cellStyle name="메모 9 9 4" xfId="9483"/>
    <cellStyle name="메모 9 9 5" xfId="9484"/>
    <cellStyle name="쉼표 [0] 2 2 2 2 2" xfId="9485"/>
    <cellStyle name="쉼표 [0] 2 2 2 3" xfId="9486"/>
    <cellStyle name="쉼표 [0] 2 2 2 3 2" xfId="9487"/>
    <cellStyle name="쉼표 [0] 2 2 2 4" xfId="9488"/>
    <cellStyle name="쉼표 [0] 2 2 2 5" xfId="9489"/>
    <cellStyle name="쉼표 [0] 2 2 3 2" xfId="9490"/>
    <cellStyle name="쉼표 [0] 2 2 4" xfId="9491"/>
    <cellStyle name="쉼표 [0] 2 2 4 2" xfId="9492"/>
    <cellStyle name="쉼표 [0] 2 2 5" xfId="9493"/>
    <cellStyle name="쉼표 [0] 2 2 6" xfId="9494"/>
    <cellStyle name="쉼표 [0] 2 3 2 2 2" xfId="9495"/>
    <cellStyle name="쉼표 [0] 2 3 2 3" xfId="9496"/>
    <cellStyle name="쉼표 [0] 2 3 2 3 2" xfId="9497"/>
    <cellStyle name="쉼표 [0] 2 3 2 4" xfId="9498"/>
    <cellStyle name="쉼표 [0] 2 3 2 5" xfId="9499"/>
    <cellStyle name="쉼표 [0] 2 3 3 2" xfId="9500"/>
    <cellStyle name="쉼표 [0] 2 3 4" xfId="9501"/>
    <cellStyle name="쉼표 [0] 2 3 4 2" xfId="9502"/>
    <cellStyle name="쉼표 [0] 2 3 5" xfId="9503"/>
    <cellStyle name="쉼표 [0] 2 3 6" xfId="9504"/>
    <cellStyle name="요약 10 2" xfId="9505"/>
    <cellStyle name="요약 10 2 2" xfId="9506"/>
    <cellStyle name="요약 10 2 3" xfId="9507"/>
    <cellStyle name="요약 10 3" xfId="9508"/>
    <cellStyle name="요약 10 3 2" xfId="9509"/>
    <cellStyle name="요약 10 3 3" xfId="9510"/>
    <cellStyle name="요약 10 4" xfId="9511"/>
    <cellStyle name="요약 10 5" xfId="9512"/>
    <cellStyle name="요약 11 2" xfId="9513"/>
    <cellStyle name="요약 11 2 2" xfId="9514"/>
    <cellStyle name="요약 11 2 3" xfId="9515"/>
    <cellStyle name="요약 11 3" xfId="9516"/>
    <cellStyle name="요약 11 3 2" xfId="9517"/>
    <cellStyle name="요약 11 3 3" xfId="9518"/>
    <cellStyle name="요약 11 4" xfId="9519"/>
    <cellStyle name="요약 11 5" xfId="9520"/>
    <cellStyle name="요약 12 2" xfId="9521"/>
    <cellStyle name="요약 12 2 2" xfId="9522"/>
    <cellStyle name="요약 12 2 3" xfId="9523"/>
    <cellStyle name="요약 12 3" xfId="9524"/>
    <cellStyle name="요약 12 3 2" xfId="9525"/>
    <cellStyle name="요약 12 3 3" xfId="9526"/>
    <cellStyle name="요약 12 4" xfId="9527"/>
    <cellStyle name="요약 12 5" xfId="9528"/>
    <cellStyle name="요약 2 10 2" xfId="9529"/>
    <cellStyle name="요약 2 10 2 2" xfId="9530"/>
    <cellStyle name="요약 2 10 2 3" xfId="9531"/>
    <cellStyle name="요약 2 10 3" xfId="9532"/>
    <cellStyle name="요약 2 10 3 2" xfId="9533"/>
    <cellStyle name="요약 2 10 3 3" xfId="9534"/>
    <cellStyle name="요약 2 10 4" xfId="9535"/>
    <cellStyle name="요약 2 10 5" xfId="9536"/>
    <cellStyle name="요약 2 11" xfId="9537"/>
    <cellStyle name="요약 2 11 2" xfId="9538"/>
    <cellStyle name="요약 2 11 3" xfId="9539"/>
    <cellStyle name="요약 2 12" xfId="9540"/>
    <cellStyle name="요약 2 12 2" xfId="9541"/>
    <cellStyle name="요약 2 12 3" xfId="9542"/>
    <cellStyle name="요약 2 13" xfId="9543"/>
    <cellStyle name="요약 2 14" xfId="9544"/>
    <cellStyle name="요약 2 2 2" xfId="9545"/>
    <cellStyle name="요약 2 2 2 2" xfId="9546"/>
    <cellStyle name="요약 2 2 2 3" xfId="9547"/>
    <cellStyle name="요약 2 2 3" xfId="9548"/>
    <cellStyle name="요약 2 2 3 2" xfId="9549"/>
    <cellStyle name="요약 2 2 3 3" xfId="9550"/>
    <cellStyle name="요약 2 2 4" xfId="9551"/>
    <cellStyle name="요약 2 2 5" xfId="9552"/>
    <cellStyle name="요약 2 3 2" xfId="9553"/>
    <cellStyle name="요약 2 3 2 2" xfId="9554"/>
    <cellStyle name="요약 2 3 2 3" xfId="9555"/>
    <cellStyle name="요약 2 3 3" xfId="9556"/>
    <cellStyle name="요약 2 3 3 2" xfId="9557"/>
    <cellStyle name="요약 2 3 3 3" xfId="9558"/>
    <cellStyle name="요약 2 3 4" xfId="9559"/>
    <cellStyle name="요약 2 3 5" xfId="9560"/>
    <cellStyle name="요약 2 4 2" xfId="9561"/>
    <cellStyle name="요약 2 4 2 2" xfId="9562"/>
    <cellStyle name="요약 2 4 2 3" xfId="9563"/>
    <cellStyle name="요약 2 4 3" xfId="9564"/>
    <cellStyle name="요약 2 4 3 2" xfId="9565"/>
    <cellStyle name="요약 2 4 3 3" xfId="9566"/>
    <cellStyle name="요약 2 4 4" xfId="9567"/>
    <cellStyle name="요약 2 4 5" xfId="9568"/>
    <cellStyle name="요약 2 5 2" xfId="9569"/>
    <cellStyle name="요약 2 5 2 2" xfId="9570"/>
    <cellStyle name="요약 2 5 2 3" xfId="9571"/>
    <cellStyle name="요약 2 5 3" xfId="9572"/>
    <cellStyle name="요약 2 5 3 2" xfId="9573"/>
    <cellStyle name="요약 2 5 3 3" xfId="9574"/>
    <cellStyle name="요약 2 5 4" xfId="9575"/>
    <cellStyle name="요약 2 5 5" xfId="9576"/>
    <cellStyle name="요약 2 6 2" xfId="9577"/>
    <cellStyle name="요약 2 6 2 2" xfId="9578"/>
    <cellStyle name="요약 2 6 2 3" xfId="9579"/>
    <cellStyle name="요약 2 6 3" xfId="9580"/>
    <cellStyle name="요약 2 6 3 2" xfId="9581"/>
    <cellStyle name="요약 2 6 3 3" xfId="9582"/>
    <cellStyle name="요약 2 6 4" xfId="9583"/>
    <cellStyle name="요약 2 6 5" xfId="9584"/>
    <cellStyle name="요약 2 7 2" xfId="9585"/>
    <cellStyle name="요약 2 7 2 2" xfId="9586"/>
    <cellStyle name="요약 2 7 2 3" xfId="9587"/>
    <cellStyle name="요약 2 7 3" xfId="9588"/>
    <cellStyle name="요약 2 7 3 2" xfId="9589"/>
    <cellStyle name="요약 2 7 3 3" xfId="9590"/>
    <cellStyle name="요약 2 7 4" xfId="9591"/>
    <cellStyle name="요약 2 7 5" xfId="9592"/>
    <cellStyle name="요약 2 8 2" xfId="9593"/>
    <cellStyle name="요약 2 8 2 2" xfId="9594"/>
    <cellStyle name="요약 2 8 2 3" xfId="9595"/>
    <cellStyle name="요약 2 8 3" xfId="9596"/>
    <cellStyle name="요약 2 8 3 2" xfId="9597"/>
    <cellStyle name="요약 2 8 3 3" xfId="9598"/>
    <cellStyle name="요약 2 8 4" xfId="9599"/>
    <cellStyle name="요약 2 8 5" xfId="9600"/>
    <cellStyle name="요약 2 9 2" xfId="9601"/>
    <cellStyle name="요약 2 9 2 2" xfId="9602"/>
    <cellStyle name="요약 2 9 2 3" xfId="9603"/>
    <cellStyle name="요약 2 9 3" xfId="9604"/>
    <cellStyle name="요약 2 9 3 2" xfId="9605"/>
    <cellStyle name="요약 2 9 3 3" xfId="9606"/>
    <cellStyle name="요약 2 9 4" xfId="9607"/>
    <cellStyle name="요약 2 9 5" xfId="9608"/>
    <cellStyle name="요약 3 2 2" xfId="9609"/>
    <cellStyle name="요약 3 2 2 2" xfId="9610"/>
    <cellStyle name="요약 3 2 2 3" xfId="9611"/>
    <cellStyle name="요약 3 2 3" xfId="9612"/>
    <cellStyle name="요약 3 2 3 2" xfId="9613"/>
    <cellStyle name="요약 3 2 3 3" xfId="9614"/>
    <cellStyle name="요약 3 2 4" xfId="9615"/>
    <cellStyle name="요약 3 2 5" xfId="9616"/>
    <cellStyle name="요약 3 3 2" xfId="9617"/>
    <cellStyle name="요약 3 3 2 2" xfId="9618"/>
    <cellStyle name="요약 3 3 2 3" xfId="9619"/>
    <cellStyle name="요약 3 3 3" xfId="9620"/>
    <cellStyle name="요약 3 3 3 2" xfId="9621"/>
    <cellStyle name="요약 3 3 3 3" xfId="9622"/>
    <cellStyle name="요약 3 3 4" xfId="9623"/>
    <cellStyle name="요약 3 3 5" xfId="9624"/>
    <cellStyle name="요약 3 4 2" xfId="9625"/>
    <cellStyle name="요약 3 4 2 2" xfId="9626"/>
    <cellStyle name="요약 3 4 2 3" xfId="9627"/>
    <cellStyle name="요약 3 4 3" xfId="9628"/>
    <cellStyle name="요약 3 4 3 2" xfId="9629"/>
    <cellStyle name="요약 3 4 3 3" xfId="9630"/>
    <cellStyle name="요약 3 4 4" xfId="9631"/>
    <cellStyle name="요약 3 4 5" xfId="9632"/>
    <cellStyle name="요약 3 5" xfId="9633"/>
    <cellStyle name="요약 3 5 2" xfId="9634"/>
    <cellStyle name="요약 3 5 3" xfId="9635"/>
    <cellStyle name="요약 3 6" xfId="9636"/>
    <cellStyle name="요약 3 6 2" xfId="9637"/>
    <cellStyle name="요약 3 6 3" xfId="9638"/>
    <cellStyle name="요약 3 7" xfId="9639"/>
    <cellStyle name="요약 3 8" xfId="9640"/>
    <cellStyle name="요약 4 2" xfId="9641"/>
    <cellStyle name="요약 4 2 2" xfId="9642"/>
    <cellStyle name="요약 4 2 3" xfId="9643"/>
    <cellStyle name="요약 4 3" xfId="9644"/>
    <cellStyle name="요약 4 3 2" xfId="9645"/>
    <cellStyle name="요약 4 3 3" xfId="9646"/>
    <cellStyle name="요약 4 4" xfId="9647"/>
    <cellStyle name="요약 4 5" xfId="9648"/>
    <cellStyle name="요약 5 2" xfId="9649"/>
    <cellStyle name="요약 5 2 2" xfId="9650"/>
    <cellStyle name="요약 5 2 3" xfId="9651"/>
    <cellStyle name="요약 5 3" xfId="9652"/>
    <cellStyle name="요약 5 3 2" xfId="9653"/>
    <cellStyle name="요약 5 3 3" xfId="9654"/>
    <cellStyle name="요약 5 4" xfId="9655"/>
    <cellStyle name="요약 5 5" xfId="9656"/>
    <cellStyle name="요약 6 2" xfId="9657"/>
    <cellStyle name="요약 6 2 2" xfId="9658"/>
    <cellStyle name="요약 6 2 3" xfId="9659"/>
    <cellStyle name="요약 6 3" xfId="9660"/>
    <cellStyle name="요약 6 3 2" xfId="9661"/>
    <cellStyle name="요약 6 3 3" xfId="9662"/>
    <cellStyle name="요약 6 4" xfId="9663"/>
    <cellStyle name="요약 6 5" xfId="9664"/>
    <cellStyle name="요약 7 2 2" xfId="9665"/>
    <cellStyle name="요약 7 2 2 2" xfId="9666"/>
    <cellStyle name="요약 7 2 2 3" xfId="9667"/>
    <cellStyle name="요약 7 2 3" xfId="9668"/>
    <cellStyle name="요약 7 2 3 2" xfId="9669"/>
    <cellStyle name="요약 7 2 3 3" xfId="9670"/>
    <cellStyle name="요약 7 2 4" xfId="9671"/>
    <cellStyle name="요약 7 2 5" xfId="9672"/>
    <cellStyle name="요약 7 3" xfId="9673"/>
    <cellStyle name="요약 7 3 2" xfId="9674"/>
    <cellStyle name="요약 7 3 3" xfId="9675"/>
    <cellStyle name="요약 7 4" xfId="9676"/>
    <cellStyle name="요약 7 4 2" xfId="9677"/>
    <cellStyle name="요약 7 4 3" xfId="9678"/>
    <cellStyle name="요약 7 5" xfId="9679"/>
    <cellStyle name="요약 7 6" xfId="9680"/>
    <cellStyle name="요약 8 2" xfId="9681"/>
    <cellStyle name="요약 8 2 2" xfId="9682"/>
    <cellStyle name="요약 8 2 3" xfId="9683"/>
    <cellStyle name="요약 8 3" xfId="9684"/>
    <cellStyle name="요약 8 3 2" xfId="9685"/>
    <cellStyle name="요약 8 3 3" xfId="9686"/>
    <cellStyle name="요약 8 4" xfId="9687"/>
    <cellStyle name="요약 8 5" xfId="9688"/>
    <cellStyle name="요약 9 2" xfId="9689"/>
    <cellStyle name="요약 9 2 2" xfId="9690"/>
    <cellStyle name="요약 9 2 3" xfId="9691"/>
    <cellStyle name="요약 9 3" xfId="9692"/>
    <cellStyle name="요약 9 3 2" xfId="9693"/>
    <cellStyle name="요약 9 3 3" xfId="9694"/>
    <cellStyle name="요약 9 4" xfId="9695"/>
    <cellStyle name="요약 9 5" xfId="9696"/>
    <cellStyle name="입력 10 10" xfId="9697"/>
    <cellStyle name="입력 10 10 2" xfId="9698"/>
    <cellStyle name="입력 10 10 3" xfId="9699"/>
    <cellStyle name="입력 10 11" xfId="9700"/>
    <cellStyle name="입력 10 11 2" xfId="9701"/>
    <cellStyle name="입력 10 11 3" xfId="9702"/>
    <cellStyle name="입력 10 12" xfId="9703"/>
    <cellStyle name="입력 10 13" xfId="9704"/>
    <cellStyle name="입력 10 2 2" xfId="9705"/>
    <cellStyle name="입력 10 2 2 2" xfId="9706"/>
    <cellStyle name="입력 10 2 2 3" xfId="9707"/>
    <cellStyle name="입력 10 2 3" xfId="9708"/>
    <cellStyle name="입력 10 2 3 2" xfId="9709"/>
    <cellStyle name="입력 10 2 3 3" xfId="9710"/>
    <cellStyle name="입력 10 2 4" xfId="9711"/>
    <cellStyle name="입력 10 2 5" xfId="9712"/>
    <cellStyle name="입력 10 3 2" xfId="9713"/>
    <cellStyle name="입력 10 3 2 2" xfId="9714"/>
    <cellStyle name="입력 10 3 2 3" xfId="9715"/>
    <cellStyle name="입력 10 3 3" xfId="9716"/>
    <cellStyle name="입력 10 3 3 2" xfId="9717"/>
    <cellStyle name="입력 10 3 3 3" xfId="9718"/>
    <cellStyle name="입력 10 3 4" xfId="9719"/>
    <cellStyle name="입력 10 3 5" xfId="9720"/>
    <cellStyle name="입력 10 4 2" xfId="9721"/>
    <cellStyle name="입력 10 4 2 2" xfId="9722"/>
    <cellStyle name="입력 10 4 2 3" xfId="9723"/>
    <cellStyle name="입력 10 4 3" xfId="9724"/>
    <cellStyle name="입력 10 4 3 2" xfId="9725"/>
    <cellStyle name="입력 10 4 3 3" xfId="9726"/>
    <cellStyle name="입력 10 4 4" xfId="9727"/>
    <cellStyle name="입력 10 4 5" xfId="9728"/>
    <cellStyle name="입력 10 5 2" xfId="9729"/>
    <cellStyle name="입력 10 5 2 2" xfId="9730"/>
    <cellStyle name="입력 10 5 2 3" xfId="9731"/>
    <cellStyle name="입력 10 5 3" xfId="9732"/>
    <cellStyle name="입력 10 5 3 2" xfId="9733"/>
    <cellStyle name="입력 10 5 3 3" xfId="9734"/>
    <cellStyle name="입력 10 5 4" xfId="9735"/>
    <cellStyle name="입력 10 5 5" xfId="9736"/>
    <cellStyle name="입력 10 6 2" xfId="9737"/>
    <cellStyle name="입력 10 6 2 2" xfId="9738"/>
    <cellStyle name="입력 10 6 2 3" xfId="9739"/>
    <cellStyle name="입력 10 6 3" xfId="9740"/>
    <cellStyle name="입력 10 6 3 2" xfId="9741"/>
    <cellStyle name="입력 10 6 3 3" xfId="9742"/>
    <cellStyle name="입력 10 6 4" xfId="9743"/>
    <cellStyle name="입력 10 6 5" xfId="9744"/>
    <cellStyle name="입력 10 7 2" xfId="9745"/>
    <cellStyle name="입력 10 7 2 2" xfId="9746"/>
    <cellStyle name="입력 10 7 2 3" xfId="9747"/>
    <cellStyle name="입력 10 7 3" xfId="9748"/>
    <cellStyle name="입력 10 7 3 2" xfId="9749"/>
    <cellStyle name="입력 10 7 3 3" xfId="9750"/>
    <cellStyle name="입력 10 7 4" xfId="9751"/>
    <cellStyle name="입력 10 7 5" xfId="9752"/>
    <cellStyle name="입력 10 8 2" xfId="9753"/>
    <cellStyle name="입력 10 8 2 2" xfId="9754"/>
    <cellStyle name="입력 10 8 2 3" xfId="9755"/>
    <cellStyle name="입력 10 8 3" xfId="9756"/>
    <cellStyle name="입력 10 8 3 2" xfId="9757"/>
    <cellStyle name="입력 10 8 3 3" xfId="9758"/>
    <cellStyle name="입력 10 8 4" xfId="9759"/>
    <cellStyle name="입력 10 8 5" xfId="9760"/>
    <cellStyle name="입력 10 9 2" xfId="9761"/>
    <cellStyle name="입력 10 9 2 2" xfId="9762"/>
    <cellStyle name="입력 10 9 2 3" xfId="9763"/>
    <cellStyle name="입력 10 9 3" xfId="9764"/>
    <cellStyle name="입력 10 9 3 2" xfId="9765"/>
    <cellStyle name="입력 10 9 3 3" xfId="9766"/>
    <cellStyle name="입력 10 9 4" xfId="9767"/>
    <cellStyle name="입력 10 9 5" xfId="9768"/>
    <cellStyle name="입력 11 10" xfId="9769"/>
    <cellStyle name="입력 11 10 2" xfId="9770"/>
    <cellStyle name="입력 11 10 3" xfId="9771"/>
    <cellStyle name="입력 11 11" xfId="9772"/>
    <cellStyle name="입력 11 11 2" xfId="9773"/>
    <cellStyle name="입력 11 11 3" xfId="9774"/>
    <cellStyle name="입력 11 12" xfId="9775"/>
    <cellStyle name="입력 11 13" xfId="9776"/>
    <cellStyle name="입력 11 2 2" xfId="9777"/>
    <cellStyle name="입력 11 2 2 2" xfId="9778"/>
    <cellStyle name="입력 11 2 2 3" xfId="9779"/>
    <cellStyle name="입력 11 2 3" xfId="9780"/>
    <cellStyle name="입력 11 2 3 2" xfId="9781"/>
    <cellStyle name="입력 11 2 3 3" xfId="9782"/>
    <cellStyle name="입력 11 2 4" xfId="9783"/>
    <cellStyle name="입력 11 2 5" xfId="9784"/>
    <cellStyle name="입력 11 3 2" xfId="9785"/>
    <cellStyle name="입력 11 3 2 2" xfId="9786"/>
    <cellStyle name="입력 11 3 2 3" xfId="9787"/>
    <cellStyle name="입력 11 3 3" xfId="9788"/>
    <cellStyle name="입력 11 3 3 2" xfId="9789"/>
    <cellStyle name="입력 11 3 3 3" xfId="9790"/>
    <cellStyle name="입력 11 3 4" xfId="9791"/>
    <cellStyle name="입력 11 3 5" xfId="9792"/>
    <cellStyle name="입력 11 4 2" xfId="9793"/>
    <cellStyle name="입력 11 4 2 2" xfId="9794"/>
    <cellStyle name="입력 11 4 2 3" xfId="9795"/>
    <cellStyle name="입력 11 4 3" xfId="9796"/>
    <cellStyle name="입력 11 4 3 2" xfId="9797"/>
    <cellStyle name="입력 11 4 3 3" xfId="9798"/>
    <cellStyle name="입력 11 4 4" xfId="9799"/>
    <cellStyle name="입력 11 4 5" xfId="9800"/>
    <cellStyle name="입력 11 5 2" xfId="9801"/>
    <cellStyle name="입력 11 5 2 2" xfId="9802"/>
    <cellStyle name="입력 11 5 2 3" xfId="9803"/>
    <cellStyle name="입력 11 5 3" xfId="9804"/>
    <cellStyle name="입력 11 5 3 2" xfId="9805"/>
    <cellStyle name="입력 11 5 3 3" xfId="9806"/>
    <cellStyle name="입력 11 5 4" xfId="9807"/>
    <cellStyle name="입력 11 5 5" xfId="9808"/>
    <cellStyle name="입력 11 6 2" xfId="9809"/>
    <cellStyle name="입력 11 6 2 2" xfId="9810"/>
    <cellStyle name="입력 11 6 2 3" xfId="9811"/>
    <cellStyle name="입력 11 6 3" xfId="9812"/>
    <cellStyle name="입력 11 6 3 2" xfId="9813"/>
    <cellStyle name="입력 11 6 3 3" xfId="9814"/>
    <cellStyle name="입력 11 6 4" xfId="9815"/>
    <cellStyle name="입력 11 6 5" xfId="9816"/>
    <cellStyle name="입력 11 7 2" xfId="9817"/>
    <cellStyle name="입력 11 7 2 2" xfId="9818"/>
    <cellStyle name="입력 11 7 2 3" xfId="9819"/>
    <cellStyle name="입력 11 7 3" xfId="9820"/>
    <cellStyle name="입력 11 7 3 2" xfId="9821"/>
    <cellStyle name="입력 11 7 3 3" xfId="9822"/>
    <cellStyle name="입력 11 7 4" xfId="9823"/>
    <cellStyle name="입력 11 7 5" xfId="9824"/>
    <cellStyle name="입력 11 8 2" xfId="9825"/>
    <cellStyle name="입력 11 8 2 2" xfId="9826"/>
    <cellStyle name="입력 11 8 2 3" xfId="9827"/>
    <cellStyle name="입력 11 8 3" xfId="9828"/>
    <cellStyle name="입력 11 8 3 2" xfId="9829"/>
    <cellStyle name="입력 11 8 3 3" xfId="9830"/>
    <cellStyle name="입력 11 8 4" xfId="9831"/>
    <cellStyle name="입력 11 8 5" xfId="9832"/>
    <cellStyle name="입력 11 9 2" xfId="9833"/>
    <cellStyle name="입력 11 9 2 2" xfId="9834"/>
    <cellStyle name="입력 11 9 2 3" xfId="9835"/>
    <cellStyle name="입력 11 9 3" xfId="9836"/>
    <cellStyle name="입력 11 9 3 2" xfId="9837"/>
    <cellStyle name="입력 11 9 3 3" xfId="9838"/>
    <cellStyle name="입력 11 9 4" xfId="9839"/>
    <cellStyle name="입력 11 9 5" xfId="9840"/>
    <cellStyle name="입력 12 10" xfId="9841"/>
    <cellStyle name="입력 12 10 2" xfId="9842"/>
    <cellStyle name="입력 12 10 3" xfId="9843"/>
    <cellStyle name="입력 12 11" xfId="9844"/>
    <cellStyle name="입력 12 12" xfId="9845"/>
    <cellStyle name="입력 12 2 2" xfId="9846"/>
    <cellStyle name="입력 12 2 2 2" xfId="9847"/>
    <cellStyle name="입력 12 2 2 3" xfId="9848"/>
    <cellStyle name="입력 12 2 3" xfId="9849"/>
    <cellStyle name="입력 12 2 3 2" xfId="9850"/>
    <cellStyle name="입력 12 2 3 3" xfId="9851"/>
    <cellStyle name="입력 12 2 4" xfId="9852"/>
    <cellStyle name="입력 12 2 5" xfId="9853"/>
    <cellStyle name="입력 12 3 2" xfId="9854"/>
    <cellStyle name="입력 12 3 2 2" xfId="9855"/>
    <cellStyle name="입력 12 3 2 3" xfId="9856"/>
    <cellStyle name="입력 12 3 3" xfId="9857"/>
    <cellStyle name="입력 12 3 3 2" xfId="9858"/>
    <cellStyle name="입력 12 3 3 3" xfId="9859"/>
    <cellStyle name="입력 12 3 4" xfId="9860"/>
    <cellStyle name="입력 12 3 5" xfId="9861"/>
    <cellStyle name="입력 12 4 2" xfId="9862"/>
    <cellStyle name="입력 12 4 2 2" xfId="9863"/>
    <cellStyle name="입력 12 4 2 3" xfId="9864"/>
    <cellStyle name="입력 12 4 3" xfId="9865"/>
    <cellStyle name="입력 12 4 3 2" xfId="9866"/>
    <cellStyle name="입력 12 4 3 3" xfId="9867"/>
    <cellStyle name="입력 12 4 4" xfId="9868"/>
    <cellStyle name="입력 12 4 5" xfId="9869"/>
    <cellStyle name="입력 12 5 2" xfId="9870"/>
    <cellStyle name="입력 12 5 2 2" xfId="9871"/>
    <cellStyle name="입력 12 5 2 3" xfId="9872"/>
    <cellStyle name="입력 12 5 3" xfId="9873"/>
    <cellStyle name="입력 12 5 3 2" xfId="9874"/>
    <cellStyle name="입력 12 5 3 3" xfId="9875"/>
    <cellStyle name="입력 12 5 4" xfId="9876"/>
    <cellStyle name="입력 12 5 5" xfId="9877"/>
    <cellStyle name="입력 12 6 2" xfId="9878"/>
    <cellStyle name="입력 12 6 2 2" xfId="9879"/>
    <cellStyle name="입력 12 6 2 3" xfId="9880"/>
    <cellStyle name="입력 12 6 3" xfId="9881"/>
    <cellStyle name="입력 12 6 3 2" xfId="9882"/>
    <cellStyle name="입력 12 6 3 3" xfId="9883"/>
    <cellStyle name="입력 12 6 4" xfId="9884"/>
    <cellStyle name="입력 12 6 5" xfId="9885"/>
    <cellStyle name="입력 12 7 2" xfId="9886"/>
    <cellStyle name="입력 12 7 2 2" xfId="9887"/>
    <cellStyle name="입력 12 7 2 3" xfId="9888"/>
    <cellStyle name="입력 12 7 3" xfId="9889"/>
    <cellStyle name="입력 12 7 3 2" xfId="9890"/>
    <cellStyle name="입력 12 7 3 3" xfId="9891"/>
    <cellStyle name="입력 12 7 4" xfId="9892"/>
    <cellStyle name="입력 12 7 5" xfId="9893"/>
    <cellStyle name="입력 12 8 2" xfId="9894"/>
    <cellStyle name="입력 12 8 2 2" xfId="9895"/>
    <cellStyle name="입력 12 8 2 3" xfId="9896"/>
    <cellStyle name="입력 12 8 3" xfId="9897"/>
    <cellStyle name="입력 12 8 3 2" xfId="9898"/>
    <cellStyle name="입력 12 8 3 3" xfId="9899"/>
    <cellStyle name="입력 12 8 4" xfId="9900"/>
    <cellStyle name="입력 12 8 5" xfId="9901"/>
    <cellStyle name="입력 12 9" xfId="9902"/>
    <cellStyle name="입력 12 9 2" xfId="9903"/>
    <cellStyle name="입력 12 9 3" xfId="9904"/>
    <cellStyle name="입력 13 10" xfId="9905"/>
    <cellStyle name="입력 13 10 2" xfId="9906"/>
    <cellStyle name="입력 13 10 3" xfId="9907"/>
    <cellStyle name="입력 13 11" xfId="9908"/>
    <cellStyle name="입력 13 12" xfId="9909"/>
    <cellStyle name="입력 13 2 2" xfId="9910"/>
    <cellStyle name="입력 13 2 2 2" xfId="9911"/>
    <cellStyle name="입력 13 2 2 3" xfId="9912"/>
    <cellStyle name="입력 13 2 3" xfId="9913"/>
    <cellStyle name="입력 13 2 3 2" xfId="9914"/>
    <cellStyle name="입력 13 2 3 3" xfId="9915"/>
    <cellStyle name="입력 13 2 4" xfId="9916"/>
    <cellStyle name="입력 13 2 5" xfId="9917"/>
    <cellStyle name="입력 13 3 2" xfId="9918"/>
    <cellStyle name="입력 13 3 2 2" xfId="9919"/>
    <cellStyle name="입력 13 3 2 3" xfId="9920"/>
    <cellStyle name="입력 13 3 3" xfId="9921"/>
    <cellStyle name="입력 13 3 3 2" xfId="9922"/>
    <cellStyle name="입력 13 3 3 3" xfId="9923"/>
    <cellStyle name="입력 13 3 4" xfId="9924"/>
    <cellStyle name="입력 13 3 5" xfId="9925"/>
    <cellStyle name="입력 13 4 2" xfId="9926"/>
    <cellStyle name="입력 13 4 2 2" xfId="9927"/>
    <cellStyle name="입력 13 4 2 3" xfId="9928"/>
    <cellStyle name="입력 13 4 3" xfId="9929"/>
    <cellStyle name="입력 13 4 3 2" xfId="9930"/>
    <cellStyle name="입력 13 4 3 3" xfId="9931"/>
    <cellStyle name="입력 13 4 4" xfId="9932"/>
    <cellStyle name="입력 13 4 5" xfId="9933"/>
    <cellStyle name="입력 13 5 2" xfId="9934"/>
    <cellStyle name="입력 13 5 2 2" xfId="9935"/>
    <cellStyle name="입력 13 5 2 3" xfId="9936"/>
    <cellStyle name="입력 13 5 3" xfId="9937"/>
    <cellStyle name="입력 13 5 3 2" xfId="9938"/>
    <cellStyle name="입력 13 5 3 3" xfId="9939"/>
    <cellStyle name="입력 13 5 4" xfId="9940"/>
    <cellStyle name="입력 13 5 5" xfId="9941"/>
    <cellStyle name="입력 13 6 2" xfId="9942"/>
    <cellStyle name="입력 13 6 2 2" xfId="9943"/>
    <cellStyle name="입력 13 6 2 3" xfId="9944"/>
    <cellStyle name="입력 13 6 3" xfId="9945"/>
    <cellStyle name="입력 13 6 3 2" xfId="9946"/>
    <cellStyle name="입력 13 6 3 3" xfId="9947"/>
    <cellStyle name="입력 13 6 4" xfId="9948"/>
    <cellStyle name="입력 13 6 5" xfId="9949"/>
    <cellStyle name="입력 13 7 2" xfId="9950"/>
    <cellStyle name="입력 13 7 2 2" xfId="9951"/>
    <cellStyle name="입력 13 7 2 3" xfId="9952"/>
    <cellStyle name="입력 13 7 3" xfId="9953"/>
    <cellStyle name="입력 13 7 3 2" xfId="9954"/>
    <cellStyle name="입력 13 7 3 3" xfId="9955"/>
    <cellStyle name="입력 13 7 4" xfId="9956"/>
    <cellStyle name="입력 13 7 5" xfId="9957"/>
    <cellStyle name="입력 13 8 2" xfId="9958"/>
    <cellStyle name="입력 13 8 2 2" xfId="9959"/>
    <cellStyle name="입력 13 8 2 3" xfId="9960"/>
    <cellStyle name="입력 13 8 3" xfId="9961"/>
    <cellStyle name="입력 13 8 3 2" xfId="9962"/>
    <cellStyle name="입력 13 8 3 3" xfId="9963"/>
    <cellStyle name="입력 13 8 4" xfId="9964"/>
    <cellStyle name="입력 13 8 5" xfId="9965"/>
    <cellStyle name="입력 13 9" xfId="9966"/>
    <cellStyle name="입력 13 9 2" xfId="9967"/>
    <cellStyle name="입력 13 9 3" xfId="9968"/>
    <cellStyle name="입력 14 10" xfId="9969"/>
    <cellStyle name="입력 14 10 2" xfId="9970"/>
    <cellStyle name="입력 14 10 3" xfId="9971"/>
    <cellStyle name="입력 14 11" xfId="9972"/>
    <cellStyle name="입력 14 12" xfId="9973"/>
    <cellStyle name="입력 14 2 2" xfId="9974"/>
    <cellStyle name="입력 14 2 2 2" xfId="9975"/>
    <cellStyle name="입력 14 2 2 3" xfId="9976"/>
    <cellStyle name="입력 14 2 3" xfId="9977"/>
    <cellStyle name="입력 14 2 3 2" xfId="9978"/>
    <cellStyle name="입력 14 2 3 3" xfId="9979"/>
    <cellStyle name="입력 14 2 4" xfId="9980"/>
    <cellStyle name="입력 14 2 5" xfId="9981"/>
    <cellStyle name="입력 14 3 2" xfId="9982"/>
    <cellStyle name="입력 14 3 2 2" xfId="9983"/>
    <cellStyle name="입력 14 3 2 3" xfId="9984"/>
    <cellStyle name="입력 14 3 3" xfId="9985"/>
    <cellStyle name="입력 14 3 3 2" xfId="9986"/>
    <cellStyle name="입력 14 3 3 3" xfId="9987"/>
    <cellStyle name="입력 14 3 4" xfId="9988"/>
    <cellStyle name="입력 14 3 5" xfId="9989"/>
    <cellStyle name="입력 14 4 2" xfId="9990"/>
    <cellStyle name="입력 14 4 2 2" xfId="9991"/>
    <cellStyle name="입력 14 4 2 3" xfId="9992"/>
    <cellStyle name="입력 14 4 3" xfId="9993"/>
    <cellStyle name="입력 14 4 3 2" xfId="9994"/>
    <cellStyle name="입력 14 4 3 3" xfId="9995"/>
    <cellStyle name="입력 14 4 4" xfId="9996"/>
    <cellStyle name="입력 14 4 5" xfId="9997"/>
    <cellStyle name="입력 14 5 2" xfId="9998"/>
    <cellStyle name="입력 14 5 2 2" xfId="9999"/>
    <cellStyle name="입력 14 5 2 3" xfId="10000"/>
    <cellStyle name="입력 14 5 3" xfId="10001"/>
    <cellStyle name="입력 14 5 3 2" xfId="10002"/>
    <cellStyle name="입력 14 5 3 3" xfId="10003"/>
    <cellStyle name="입력 14 5 4" xfId="10004"/>
    <cellStyle name="입력 14 5 5" xfId="10005"/>
    <cellStyle name="입력 14 6 2" xfId="10006"/>
    <cellStyle name="입력 14 6 2 2" xfId="10007"/>
    <cellStyle name="입력 14 6 2 3" xfId="10008"/>
    <cellStyle name="입력 14 6 3" xfId="10009"/>
    <cellStyle name="입력 14 6 3 2" xfId="10010"/>
    <cellStyle name="입력 14 6 3 3" xfId="10011"/>
    <cellStyle name="입력 14 6 4" xfId="10012"/>
    <cellStyle name="입력 14 6 5" xfId="10013"/>
    <cellStyle name="입력 14 7 2" xfId="10014"/>
    <cellStyle name="입력 14 7 2 2" xfId="10015"/>
    <cellStyle name="입력 14 7 2 3" xfId="10016"/>
    <cellStyle name="입력 14 7 3" xfId="10017"/>
    <cellStyle name="입력 14 7 3 2" xfId="10018"/>
    <cellStyle name="입력 14 7 3 3" xfId="10019"/>
    <cellStyle name="입력 14 7 4" xfId="10020"/>
    <cellStyle name="입력 14 7 5" xfId="10021"/>
    <cellStyle name="입력 14 8 2" xfId="10022"/>
    <cellStyle name="입력 14 8 2 2" xfId="10023"/>
    <cellStyle name="입력 14 8 2 3" xfId="10024"/>
    <cellStyle name="입력 14 8 3" xfId="10025"/>
    <cellStyle name="입력 14 8 3 2" xfId="10026"/>
    <cellStyle name="입력 14 8 3 3" xfId="10027"/>
    <cellStyle name="입력 14 8 4" xfId="10028"/>
    <cellStyle name="입력 14 8 5" xfId="10029"/>
    <cellStyle name="입력 14 9" xfId="10030"/>
    <cellStyle name="입력 14 9 2" xfId="10031"/>
    <cellStyle name="입력 14 9 3" xfId="10032"/>
    <cellStyle name="입력 15 10" xfId="10033"/>
    <cellStyle name="입력 15 10 2" xfId="10034"/>
    <cellStyle name="입력 15 10 3" xfId="10035"/>
    <cellStyle name="입력 15 11" xfId="10036"/>
    <cellStyle name="입력 15 12" xfId="10037"/>
    <cellStyle name="입력 15 2 2" xfId="10038"/>
    <cellStyle name="입력 15 2 2 2" xfId="10039"/>
    <cellStyle name="입력 15 2 2 3" xfId="10040"/>
    <cellStyle name="입력 15 2 3" xfId="10041"/>
    <cellStyle name="입력 15 2 3 2" xfId="10042"/>
    <cellStyle name="입력 15 2 3 3" xfId="10043"/>
    <cellStyle name="입력 15 2 4" xfId="10044"/>
    <cellStyle name="입력 15 2 5" xfId="10045"/>
    <cellStyle name="입력 15 3 2" xfId="10046"/>
    <cellStyle name="입력 15 3 2 2" xfId="10047"/>
    <cellStyle name="입력 15 3 2 3" xfId="10048"/>
    <cellStyle name="입력 15 3 3" xfId="10049"/>
    <cellStyle name="입력 15 3 3 2" xfId="10050"/>
    <cellStyle name="입력 15 3 3 3" xfId="10051"/>
    <cellStyle name="입력 15 3 4" xfId="10052"/>
    <cellStyle name="입력 15 3 5" xfId="10053"/>
    <cellStyle name="입력 15 4 2" xfId="10054"/>
    <cellStyle name="입력 15 4 2 2" xfId="10055"/>
    <cellStyle name="입력 15 4 2 3" xfId="10056"/>
    <cellStyle name="입력 15 4 3" xfId="10057"/>
    <cellStyle name="입력 15 4 3 2" xfId="10058"/>
    <cellStyle name="입력 15 4 3 3" xfId="10059"/>
    <cellStyle name="입력 15 4 4" xfId="10060"/>
    <cellStyle name="입력 15 4 5" xfId="10061"/>
    <cellStyle name="입력 15 5 2" xfId="10062"/>
    <cellStyle name="입력 15 5 2 2" xfId="10063"/>
    <cellStyle name="입력 15 5 2 3" xfId="10064"/>
    <cellStyle name="입력 15 5 3" xfId="10065"/>
    <cellStyle name="입력 15 5 3 2" xfId="10066"/>
    <cellStyle name="입력 15 5 3 3" xfId="10067"/>
    <cellStyle name="입력 15 5 4" xfId="10068"/>
    <cellStyle name="입력 15 5 5" xfId="10069"/>
    <cellStyle name="입력 15 6 2" xfId="10070"/>
    <cellStyle name="입력 15 6 2 2" xfId="10071"/>
    <cellStyle name="입력 15 6 2 3" xfId="10072"/>
    <cellStyle name="입력 15 6 3" xfId="10073"/>
    <cellStyle name="입력 15 6 3 2" xfId="10074"/>
    <cellStyle name="입력 15 6 3 3" xfId="10075"/>
    <cellStyle name="입력 15 6 4" xfId="10076"/>
    <cellStyle name="입력 15 6 5" xfId="10077"/>
    <cellStyle name="입력 15 7 2" xfId="10078"/>
    <cellStyle name="입력 15 7 2 2" xfId="10079"/>
    <cellStyle name="입력 15 7 2 3" xfId="10080"/>
    <cellStyle name="입력 15 7 3" xfId="10081"/>
    <cellStyle name="입력 15 7 3 2" xfId="10082"/>
    <cellStyle name="입력 15 7 3 3" xfId="10083"/>
    <cellStyle name="입력 15 7 4" xfId="10084"/>
    <cellStyle name="입력 15 7 5" xfId="10085"/>
    <cellStyle name="입력 15 8 2" xfId="10086"/>
    <cellStyle name="입력 15 8 2 2" xfId="10087"/>
    <cellStyle name="입력 15 8 2 3" xfId="10088"/>
    <cellStyle name="입력 15 8 3" xfId="10089"/>
    <cellStyle name="입력 15 8 3 2" xfId="10090"/>
    <cellStyle name="입력 15 8 3 3" xfId="10091"/>
    <cellStyle name="입력 15 8 4" xfId="10092"/>
    <cellStyle name="입력 15 8 5" xfId="10093"/>
    <cellStyle name="입력 15 9" xfId="10094"/>
    <cellStyle name="입력 15 9 2" xfId="10095"/>
    <cellStyle name="입력 15 9 3" xfId="10096"/>
    <cellStyle name="입력 16 10" xfId="10097"/>
    <cellStyle name="입력 16 10 2" xfId="10098"/>
    <cellStyle name="입력 16 10 3" xfId="10099"/>
    <cellStyle name="입력 16 11" xfId="10100"/>
    <cellStyle name="입력 16 12" xfId="10101"/>
    <cellStyle name="입력 16 2 2" xfId="10102"/>
    <cellStyle name="입력 16 2 2 2" xfId="10103"/>
    <cellStyle name="입력 16 2 2 3" xfId="10104"/>
    <cellStyle name="입력 16 2 3" xfId="10105"/>
    <cellStyle name="입력 16 2 3 2" xfId="10106"/>
    <cellStyle name="입력 16 2 3 3" xfId="10107"/>
    <cellStyle name="입력 16 2 4" xfId="10108"/>
    <cellStyle name="입력 16 2 5" xfId="10109"/>
    <cellStyle name="입력 16 3 2" xfId="10110"/>
    <cellStyle name="입력 16 3 2 2" xfId="10111"/>
    <cellStyle name="입력 16 3 2 3" xfId="10112"/>
    <cellStyle name="입력 16 3 3" xfId="10113"/>
    <cellStyle name="입력 16 3 3 2" xfId="10114"/>
    <cellStyle name="입력 16 3 3 3" xfId="10115"/>
    <cellStyle name="입력 16 3 4" xfId="10116"/>
    <cellStyle name="입력 16 3 5" xfId="10117"/>
    <cellStyle name="입력 16 4 2" xfId="10118"/>
    <cellStyle name="입력 16 4 2 2" xfId="10119"/>
    <cellStyle name="입력 16 4 2 3" xfId="10120"/>
    <cellStyle name="입력 16 4 3" xfId="10121"/>
    <cellStyle name="입력 16 4 3 2" xfId="10122"/>
    <cellStyle name="입력 16 4 3 3" xfId="10123"/>
    <cellStyle name="입력 16 4 4" xfId="10124"/>
    <cellStyle name="입력 16 4 5" xfId="10125"/>
    <cellStyle name="입력 16 5 2" xfId="10126"/>
    <cellStyle name="입력 16 5 2 2" xfId="10127"/>
    <cellStyle name="입력 16 5 2 3" xfId="10128"/>
    <cellStyle name="입력 16 5 3" xfId="10129"/>
    <cellStyle name="입력 16 5 3 2" xfId="10130"/>
    <cellStyle name="입력 16 5 3 3" xfId="10131"/>
    <cellStyle name="입력 16 5 4" xfId="10132"/>
    <cellStyle name="입력 16 5 5" xfId="10133"/>
    <cellStyle name="입력 16 6 2" xfId="10134"/>
    <cellStyle name="입력 16 6 2 2" xfId="10135"/>
    <cellStyle name="입력 16 6 2 3" xfId="10136"/>
    <cellStyle name="입력 16 6 3" xfId="10137"/>
    <cellStyle name="입력 16 6 3 2" xfId="10138"/>
    <cellStyle name="입력 16 6 3 3" xfId="10139"/>
    <cellStyle name="입력 16 6 4" xfId="10140"/>
    <cellStyle name="입력 16 6 5" xfId="10141"/>
    <cellStyle name="입력 16 7 2" xfId="10142"/>
    <cellStyle name="입력 16 7 2 2" xfId="10143"/>
    <cellStyle name="입력 16 7 2 3" xfId="10144"/>
    <cellStyle name="입력 16 7 3" xfId="10145"/>
    <cellStyle name="입력 16 7 3 2" xfId="10146"/>
    <cellStyle name="입력 16 7 3 3" xfId="10147"/>
    <cellStyle name="입력 16 7 4" xfId="10148"/>
    <cellStyle name="입력 16 7 5" xfId="10149"/>
    <cellStyle name="입력 16 8 2" xfId="10150"/>
    <cellStyle name="입력 16 8 2 2" xfId="10151"/>
    <cellStyle name="입력 16 8 2 3" xfId="10152"/>
    <cellStyle name="입력 16 8 3" xfId="10153"/>
    <cellStyle name="입력 16 8 3 2" xfId="10154"/>
    <cellStyle name="입력 16 8 3 3" xfId="10155"/>
    <cellStyle name="입력 16 8 4" xfId="10156"/>
    <cellStyle name="입력 16 8 5" xfId="10157"/>
    <cellStyle name="입력 16 9" xfId="10158"/>
    <cellStyle name="입력 16 9 2" xfId="10159"/>
    <cellStyle name="입력 16 9 3" xfId="10160"/>
    <cellStyle name="입력 17 10" xfId="10161"/>
    <cellStyle name="입력 17 10 2" xfId="10162"/>
    <cellStyle name="입력 17 10 3" xfId="10163"/>
    <cellStyle name="입력 17 11" xfId="10164"/>
    <cellStyle name="입력 17 12" xfId="10165"/>
    <cellStyle name="입력 17 2 2" xfId="10166"/>
    <cellStyle name="입력 17 2 2 2" xfId="10167"/>
    <cellStyle name="입력 17 2 2 3" xfId="10168"/>
    <cellStyle name="입력 17 2 3" xfId="10169"/>
    <cellStyle name="입력 17 2 3 2" xfId="10170"/>
    <cellStyle name="입력 17 2 3 3" xfId="10171"/>
    <cellStyle name="입력 17 2 4" xfId="10172"/>
    <cellStyle name="입력 17 2 5" xfId="10173"/>
    <cellStyle name="입력 17 3 2" xfId="10174"/>
    <cellStyle name="입력 17 3 2 2" xfId="10175"/>
    <cellStyle name="입력 17 3 2 3" xfId="10176"/>
    <cellStyle name="입력 17 3 3" xfId="10177"/>
    <cellStyle name="입력 17 3 3 2" xfId="10178"/>
    <cellStyle name="입력 17 3 3 3" xfId="10179"/>
    <cellStyle name="입력 17 3 4" xfId="10180"/>
    <cellStyle name="입력 17 3 5" xfId="10181"/>
    <cellStyle name="입력 17 4 2" xfId="10182"/>
    <cellStyle name="입력 17 4 2 2" xfId="10183"/>
    <cellStyle name="입력 17 4 2 3" xfId="10184"/>
    <cellStyle name="입력 17 4 3" xfId="10185"/>
    <cellStyle name="입력 17 4 3 2" xfId="10186"/>
    <cellStyle name="입력 17 4 3 3" xfId="10187"/>
    <cellStyle name="입력 17 4 4" xfId="10188"/>
    <cellStyle name="입력 17 4 5" xfId="10189"/>
    <cellStyle name="입력 17 5 2" xfId="10190"/>
    <cellStyle name="입력 17 5 2 2" xfId="10191"/>
    <cellStyle name="입력 17 5 2 3" xfId="10192"/>
    <cellStyle name="입력 17 5 3" xfId="10193"/>
    <cellStyle name="입력 17 5 3 2" xfId="10194"/>
    <cellStyle name="입력 17 5 3 3" xfId="10195"/>
    <cellStyle name="입력 17 5 4" xfId="10196"/>
    <cellStyle name="입력 17 5 5" xfId="10197"/>
    <cellStyle name="입력 17 6 2" xfId="10198"/>
    <cellStyle name="입력 17 6 2 2" xfId="10199"/>
    <cellStyle name="입력 17 6 2 3" xfId="10200"/>
    <cellStyle name="입력 17 6 3" xfId="10201"/>
    <cellStyle name="입력 17 6 3 2" xfId="10202"/>
    <cellStyle name="입력 17 6 3 3" xfId="10203"/>
    <cellStyle name="입력 17 6 4" xfId="10204"/>
    <cellStyle name="입력 17 6 5" xfId="10205"/>
    <cellStyle name="입력 17 7 2" xfId="10206"/>
    <cellStyle name="입력 17 7 2 2" xfId="10207"/>
    <cellStyle name="입력 17 7 2 3" xfId="10208"/>
    <cellStyle name="입력 17 7 3" xfId="10209"/>
    <cellStyle name="입력 17 7 3 2" xfId="10210"/>
    <cellStyle name="입력 17 7 3 3" xfId="10211"/>
    <cellStyle name="입력 17 7 4" xfId="10212"/>
    <cellStyle name="입력 17 7 5" xfId="10213"/>
    <cellStyle name="입력 17 8 2" xfId="10214"/>
    <cellStyle name="입력 17 8 2 2" xfId="10215"/>
    <cellStyle name="입력 17 8 2 3" xfId="10216"/>
    <cellStyle name="입력 17 8 3" xfId="10217"/>
    <cellStyle name="입력 17 8 3 2" xfId="10218"/>
    <cellStyle name="입력 17 8 3 3" xfId="10219"/>
    <cellStyle name="입력 17 8 4" xfId="10220"/>
    <cellStyle name="입력 17 8 5" xfId="10221"/>
    <cellStyle name="입력 17 9" xfId="10222"/>
    <cellStyle name="입력 17 9 2" xfId="10223"/>
    <cellStyle name="입력 17 9 3" xfId="10224"/>
    <cellStyle name="입력 18 10" xfId="10225"/>
    <cellStyle name="입력 18 10 2" xfId="10226"/>
    <cellStyle name="입력 18 10 3" xfId="10227"/>
    <cellStyle name="입력 18 11" xfId="10228"/>
    <cellStyle name="입력 18 12" xfId="10229"/>
    <cellStyle name="입력 18 2 2" xfId="10230"/>
    <cellStyle name="입력 18 2 2 2" xfId="10231"/>
    <cellStyle name="입력 18 2 2 3" xfId="10232"/>
    <cellStyle name="입력 18 2 3" xfId="10233"/>
    <cellStyle name="입력 18 2 3 2" xfId="10234"/>
    <cellStyle name="입력 18 2 3 3" xfId="10235"/>
    <cellStyle name="입력 18 2 4" xfId="10236"/>
    <cellStyle name="입력 18 2 5" xfId="10237"/>
    <cellStyle name="입력 18 3 2" xfId="10238"/>
    <cellStyle name="입력 18 3 2 2" xfId="10239"/>
    <cellStyle name="입력 18 3 2 3" xfId="10240"/>
    <cellStyle name="입력 18 3 3" xfId="10241"/>
    <cellStyle name="입력 18 3 3 2" xfId="10242"/>
    <cellStyle name="입력 18 3 3 3" xfId="10243"/>
    <cellStyle name="입력 18 3 4" xfId="10244"/>
    <cellStyle name="입력 18 3 5" xfId="10245"/>
    <cellStyle name="입력 18 4 2" xfId="10246"/>
    <cellStyle name="입력 18 4 2 2" xfId="10247"/>
    <cellStyle name="입력 18 4 2 3" xfId="10248"/>
    <cellStyle name="입력 18 4 3" xfId="10249"/>
    <cellStyle name="입력 18 4 3 2" xfId="10250"/>
    <cellStyle name="입력 18 4 3 3" xfId="10251"/>
    <cellStyle name="입력 18 4 4" xfId="10252"/>
    <cellStyle name="입력 18 4 5" xfId="10253"/>
    <cellStyle name="입력 18 5 2" xfId="10254"/>
    <cellStyle name="입력 18 5 2 2" xfId="10255"/>
    <cellStyle name="입력 18 5 2 3" xfId="10256"/>
    <cellStyle name="입력 18 5 3" xfId="10257"/>
    <cellStyle name="입력 18 5 3 2" xfId="10258"/>
    <cellStyle name="입력 18 5 3 3" xfId="10259"/>
    <cellStyle name="입력 18 5 4" xfId="10260"/>
    <cellStyle name="입력 18 5 5" xfId="10261"/>
    <cellStyle name="입력 18 6 2" xfId="10262"/>
    <cellStyle name="입력 18 6 2 2" xfId="10263"/>
    <cellStyle name="입력 18 6 2 3" xfId="10264"/>
    <cellStyle name="입력 18 6 3" xfId="10265"/>
    <cellStyle name="입력 18 6 3 2" xfId="10266"/>
    <cellStyle name="입력 18 6 3 3" xfId="10267"/>
    <cellStyle name="입력 18 6 4" xfId="10268"/>
    <cellStyle name="입력 18 6 5" xfId="10269"/>
    <cellStyle name="입력 18 7 2" xfId="10270"/>
    <cellStyle name="입력 18 7 2 2" xfId="10271"/>
    <cellStyle name="입력 18 7 2 3" xfId="10272"/>
    <cellStyle name="입력 18 7 3" xfId="10273"/>
    <cellStyle name="입력 18 7 3 2" xfId="10274"/>
    <cellStyle name="입력 18 7 3 3" xfId="10275"/>
    <cellStyle name="입력 18 7 4" xfId="10276"/>
    <cellStyle name="입력 18 7 5" xfId="10277"/>
    <cellStyle name="입력 18 8 2" xfId="10278"/>
    <cellStyle name="입력 18 8 2 2" xfId="10279"/>
    <cellStyle name="입력 18 8 2 3" xfId="10280"/>
    <cellStyle name="입력 18 8 3" xfId="10281"/>
    <cellStyle name="입력 18 8 3 2" xfId="10282"/>
    <cellStyle name="입력 18 8 3 3" xfId="10283"/>
    <cellStyle name="입력 18 8 4" xfId="10284"/>
    <cellStyle name="입력 18 8 5" xfId="10285"/>
    <cellStyle name="입력 18 9" xfId="10286"/>
    <cellStyle name="입력 18 9 2" xfId="10287"/>
    <cellStyle name="입력 18 9 3" xfId="10288"/>
    <cellStyle name="입력 19 2" xfId="10289"/>
    <cellStyle name="입력 19 2 2" xfId="10290"/>
    <cellStyle name="입력 19 2 3" xfId="10291"/>
    <cellStyle name="입력 19 3" xfId="10292"/>
    <cellStyle name="입력 19 3 2" xfId="10293"/>
    <cellStyle name="입력 19 3 3" xfId="10294"/>
    <cellStyle name="입력 19 4" xfId="10295"/>
    <cellStyle name="입력 19 5" xfId="10296"/>
    <cellStyle name="입력 2 10 2" xfId="10297"/>
    <cellStyle name="입력 2 10 2 2" xfId="10298"/>
    <cellStyle name="입력 2 10 2 3" xfId="10299"/>
    <cellStyle name="입력 2 10 3" xfId="10300"/>
    <cellStyle name="입력 2 10 3 2" xfId="10301"/>
    <cellStyle name="입력 2 10 3 3" xfId="10302"/>
    <cellStyle name="입력 2 10 4" xfId="10303"/>
    <cellStyle name="입력 2 10 5" xfId="10304"/>
    <cellStyle name="입력 2 11 2 2 2" xfId="10305"/>
    <cellStyle name="입력 2 11 2 2 2 2" xfId="10306"/>
    <cellStyle name="입력 2 11 2 2 2 3" xfId="10307"/>
    <cellStyle name="입력 2 11 2 2 3" xfId="10308"/>
    <cellStyle name="입력 2 11 2 2 3 2" xfId="10309"/>
    <cellStyle name="입력 2 11 2 2 3 3" xfId="10310"/>
    <cellStyle name="입력 2 11 2 2 4" xfId="10311"/>
    <cellStyle name="입력 2 11 2 2 5" xfId="10312"/>
    <cellStyle name="입력 2 11 2 3 2" xfId="10313"/>
    <cellStyle name="입력 2 11 2 3 2 2" xfId="10314"/>
    <cellStyle name="입력 2 11 2 3 2 3" xfId="10315"/>
    <cellStyle name="입력 2 11 2 3 3" xfId="10316"/>
    <cellStyle name="입력 2 11 2 3 3 2" xfId="10317"/>
    <cellStyle name="입력 2 11 2 3 3 3" xfId="10318"/>
    <cellStyle name="입력 2 11 2 3 4" xfId="10319"/>
    <cellStyle name="입력 2 11 2 3 5" xfId="10320"/>
    <cellStyle name="입력 2 11 2 4" xfId="10321"/>
    <cellStyle name="입력 2 11 2 4 2" xfId="10322"/>
    <cellStyle name="입력 2 11 2 4 3" xfId="10323"/>
    <cellStyle name="입력 2 11 2 5" xfId="10324"/>
    <cellStyle name="입력 2 11 2 5 2" xfId="10325"/>
    <cellStyle name="입력 2 11 2 5 3" xfId="10326"/>
    <cellStyle name="입력 2 11 2 6" xfId="10327"/>
    <cellStyle name="입력 2 11 2 7" xfId="10328"/>
    <cellStyle name="입력 2 11 3 2" xfId="10329"/>
    <cellStyle name="입력 2 11 3 2 2" xfId="10330"/>
    <cellStyle name="입력 2 11 3 2 3" xfId="10331"/>
    <cellStyle name="입력 2 11 3 3" xfId="10332"/>
    <cellStyle name="입력 2 11 3 3 2" xfId="10333"/>
    <cellStyle name="입력 2 11 3 3 3" xfId="10334"/>
    <cellStyle name="입력 2 11 3 4" xfId="10335"/>
    <cellStyle name="입력 2 11 3 5" xfId="10336"/>
    <cellStyle name="입력 2 11 4" xfId="10337"/>
    <cellStyle name="입력 2 11 4 2" xfId="10338"/>
    <cellStyle name="입력 2 11 4 3" xfId="10339"/>
    <cellStyle name="입력 2 11 5" xfId="10340"/>
    <cellStyle name="입력 2 11 5 2" xfId="10341"/>
    <cellStyle name="입력 2 11 5 3" xfId="10342"/>
    <cellStyle name="입력 2 11 6" xfId="10343"/>
    <cellStyle name="입력 2 11 7" xfId="10344"/>
    <cellStyle name="입력 2 12 2" xfId="10345"/>
    <cellStyle name="입력 2 12 2 2" xfId="10346"/>
    <cellStyle name="입력 2 12 2 3" xfId="10347"/>
    <cellStyle name="입력 2 12 3" xfId="10348"/>
    <cellStyle name="입력 2 12 3 2" xfId="10349"/>
    <cellStyle name="입력 2 12 3 3" xfId="10350"/>
    <cellStyle name="입력 2 12 4" xfId="10351"/>
    <cellStyle name="입력 2 12 5" xfId="10352"/>
    <cellStyle name="입력 2 13 2" xfId="10353"/>
    <cellStyle name="입력 2 13 2 2" xfId="10354"/>
    <cellStyle name="입력 2 13 2 3" xfId="10355"/>
    <cellStyle name="입력 2 13 3" xfId="10356"/>
    <cellStyle name="입력 2 13 3 2" xfId="10357"/>
    <cellStyle name="입력 2 13 3 3" xfId="10358"/>
    <cellStyle name="입력 2 13 4" xfId="10359"/>
    <cellStyle name="입력 2 13 5" xfId="10360"/>
    <cellStyle name="입력 2 14 2 2 2" xfId="10361"/>
    <cellStyle name="입력 2 14 2 2 2 2" xfId="10362"/>
    <cellStyle name="입력 2 14 2 2 2 3" xfId="10363"/>
    <cellStyle name="입력 2 14 2 2 3" xfId="10364"/>
    <cellStyle name="입력 2 14 2 2 3 2" xfId="10365"/>
    <cellStyle name="입력 2 14 2 2 3 3" xfId="10366"/>
    <cellStyle name="입력 2 14 2 2 4" xfId="10367"/>
    <cellStyle name="입력 2 14 2 2 5" xfId="10368"/>
    <cellStyle name="입력 2 14 2 3 2" xfId="10369"/>
    <cellStyle name="입력 2 14 2 3 2 2" xfId="10370"/>
    <cellStyle name="입력 2 14 2 3 2 3" xfId="10371"/>
    <cellStyle name="입력 2 14 2 3 3" xfId="10372"/>
    <cellStyle name="입력 2 14 2 3 3 2" xfId="10373"/>
    <cellStyle name="입력 2 14 2 3 3 3" xfId="10374"/>
    <cellStyle name="입력 2 14 2 3 4" xfId="10375"/>
    <cellStyle name="입력 2 14 2 3 5" xfId="10376"/>
    <cellStyle name="입력 2 14 2 4" xfId="10377"/>
    <cellStyle name="입력 2 14 2 4 2" xfId="10378"/>
    <cellStyle name="입력 2 14 2 4 3" xfId="10379"/>
    <cellStyle name="입력 2 14 2 5" xfId="10380"/>
    <cellStyle name="입력 2 14 2 5 2" xfId="10381"/>
    <cellStyle name="입력 2 14 2 5 3" xfId="10382"/>
    <cellStyle name="입력 2 14 2 6" xfId="10383"/>
    <cellStyle name="입력 2 14 2 7" xfId="10384"/>
    <cellStyle name="입력 2 14 3 2" xfId="10385"/>
    <cellStyle name="입력 2 14 3 2 2" xfId="10386"/>
    <cellStyle name="입력 2 14 3 2 3" xfId="10387"/>
    <cellStyle name="입력 2 14 3 3" xfId="10388"/>
    <cellStyle name="입력 2 14 3 3 2" xfId="10389"/>
    <cellStyle name="입력 2 14 3 3 3" xfId="10390"/>
    <cellStyle name="입력 2 14 3 4" xfId="10391"/>
    <cellStyle name="입력 2 14 3 5" xfId="10392"/>
    <cellStyle name="입력 2 14 4" xfId="10393"/>
    <cellStyle name="입력 2 14 4 2" xfId="10394"/>
    <cellStyle name="입력 2 14 4 3" xfId="10395"/>
    <cellStyle name="입력 2 14 5" xfId="10396"/>
    <cellStyle name="입력 2 14 5 2" xfId="10397"/>
    <cellStyle name="입력 2 14 5 3" xfId="10398"/>
    <cellStyle name="입력 2 14 6" xfId="10399"/>
    <cellStyle name="입력 2 14 7" xfId="10400"/>
    <cellStyle name="입력 2 15 2" xfId="10401"/>
    <cellStyle name="입력 2 15 2 2" xfId="10402"/>
    <cellStyle name="입력 2 15 2 3" xfId="10403"/>
    <cellStyle name="입력 2 15 3" xfId="10404"/>
    <cellStyle name="입력 2 15 3 2" xfId="10405"/>
    <cellStyle name="입력 2 15 3 3" xfId="10406"/>
    <cellStyle name="입력 2 15 4" xfId="10407"/>
    <cellStyle name="입력 2 15 5" xfId="10408"/>
    <cellStyle name="입력 2 16 2" xfId="10409"/>
    <cellStyle name="입력 2 16 2 2" xfId="10410"/>
    <cellStyle name="입력 2 16 2 3" xfId="10411"/>
    <cellStyle name="입력 2 16 3" xfId="10412"/>
    <cellStyle name="입력 2 16 3 2" xfId="10413"/>
    <cellStyle name="입력 2 16 3 3" xfId="10414"/>
    <cellStyle name="입력 2 16 4" xfId="10415"/>
    <cellStyle name="입력 2 16 5" xfId="10416"/>
    <cellStyle name="입력 2 17 2 2 2" xfId="10417"/>
    <cellStyle name="입력 2 17 2 2 2 2" xfId="10418"/>
    <cellStyle name="입력 2 17 2 2 2 3" xfId="10419"/>
    <cellStyle name="입력 2 17 2 2 3" xfId="10420"/>
    <cellStyle name="입력 2 17 2 2 3 2" xfId="10421"/>
    <cellStyle name="입력 2 17 2 2 3 3" xfId="10422"/>
    <cellStyle name="입력 2 17 2 2 4" xfId="10423"/>
    <cellStyle name="입력 2 17 2 2 5" xfId="10424"/>
    <cellStyle name="입력 2 17 2 3 2" xfId="10425"/>
    <cellStyle name="입력 2 17 2 3 2 2" xfId="10426"/>
    <cellStyle name="입력 2 17 2 3 2 3" xfId="10427"/>
    <cellStyle name="입력 2 17 2 3 3" xfId="10428"/>
    <cellStyle name="입력 2 17 2 3 3 2" xfId="10429"/>
    <cellStyle name="입력 2 17 2 3 3 3" xfId="10430"/>
    <cellStyle name="입력 2 17 2 3 4" xfId="10431"/>
    <cellStyle name="입력 2 17 2 3 5" xfId="10432"/>
    <cellStyle name="입력 2 17 2 4" xfId="10433"/>
    <cellStyle name="입력 2 17 2 4 2" xfId="10434"/>
    <cellStyle name="입력 2 17 2 4 3" xfId="10435"/>
    <cellStyle name="입력 2 17 2 5" xfId="10436"/>
    <cellStyle name="입력 2 17 2 5 2" xfId="10437"/>
    <cellStyle name="입력 2 17 2 5 3" xfId="10438"/>
    <cellStyle name="입력 2 17 2 6" xfId="10439"/>
    <cellStyle name="입력 2 17 2 7" xfId="10440"/>
    <cellStyle name="입력 2 17 3 2" xfId="10441"/>
    <cellStyle name="입력 2 17 3 2 2" xfId="10442"/>
    <cellStyle name="입력 2 17 3 2 3" xfId="10443"/>
    <cellStyle name="입력 2 17 3 3" xfId="10444"/>
    <cellStyle name="입력 2 17 3 3 2" xfId="10445"/>
    <cellStyle name="입력 2 17 3 3 3" xfId="10446"/>
    <cellStyle name="입력 2 17 3 4" xfId="10447"/>
    <cellStyle name="입력 2 17 3 5" xfId="10448"/>
    <cellStyle name="입력 2 17 4" xfId="10449"/>
    <cellStyle name="입력 2 17 4 2" xfId="10450"/>
    <cellStyle name="입력 2 17 4 3" xfId="10451"/>
    <cellStyle name="입력 2 17 5" xfId="10452"/>
    <cellStyle name="입력 2 17 5 2" xfId="10453"/>
    <cellStyle name="입력 2 17 5 3" xfId="10454"/>
    <cellStyle name="입력 2 17 6" xfId="10455"/>
    <cellStyle name="입력 2 17 7" xfId="10456"/>
    <cellStyle name="입력 2 18 2" xfId="10457"/>
    <cellStyle name="입력 2 18 2 2" xfId="10458"/>
    <cellStyle name="입력 2 18 2 3" xfId="10459"/>
    <cellStyle name="입력 2 18 3" xfId="10460"/>
    <cellStyle name="입력 2 18 3 2" xfId="10461"/>
    <cellStyle name="입력 2 18 3 3" xfId="10462"/>
    <cellStyle name="입력 2 18 4" xfId="10463"/>
    <cellStyle name="입력 2 18 5" xfId="10464"/>
    <cellStyle name="입력 2 19 2" xfId="10465"/>
    <cellStyle name="입력 2 19 2 2" xfId="10466"/>
    <cellStyle name="입력 2 19 2 3" xfId="10467"/>
    <cellStyle name="입력 2 19 3" xfId="10468"/>
    <cellStyle name="입력 2 19 3 2" xfId="10469"/>
    <cellStyle name="입력 2 19 3 3" xfId="10470"/>
    <cellStyle name="입력 2 19 4" xfId="10471"/>
    <cellStyle name="입력 2 19 5" xfId="10472"/>
    <cellStyle name="입력 2 2 2" xfId="10473"/>
    <cellStyle name="입력 2 2 2 2" xfId="10474"/>
    <cellStyle name="입력 2 2 2 3" xfId="10475"/>
    <cellStyle name="입력 2 2 3" xfId="10476"/>
    <cellStyle name="입력 2 2 3 2" xfId="10477"/>
    <cellStyle name="입력 2 2 3 3" xfId="10478"/>
    <cellStyle name="입력 2 2 4" xfId="10479"/>
    <cellStyle name="입력 2 2 5" xfId="10480"/>
    <cellStyle name="입력 2 20 2" xfId="10481"/>
    <cellStyle name="입력 2 20 2 2" xfId="10482"/>
    <cellStyle name="입력 2 20 2 3" xfId="10483"/>
    <cellStyle name="입력 2 20 3" xfId="10484"/>
    <cellStyle name="입력 2 20 3 2" xfId="10485"/>
    <cellStyle name="입력 2 20 3 3" xfId="10486"/>
    <cellStyle name="입력 2 20 4" xfId="10487"/>
    <cellStyle name="입력 2 20 5" xfId="10488"/>
    <cellStyle name="입력 2 21 2" xfId="10489"/>
    <cellStyle name="입력 2 21 2 2" xfId="10490"/>
    <cellStyle name="입력 2 21 2 3" xfId="10491"/>
    <cellStyle name="입력 2 21 3" xfId="10492"/>
    <cellStyle name="입력 2 21 3 2" xfId="10493"/>
    <cellStyle name="입력 2 21 3 3" xfId="10494"/>
    <cellStyle name="입력 2 21 4" xfId="10495"/>
    <cellStyle name="입력 2 21 5" xfId="10496"/>
    <cellStyle name="입력 2 22" xfId="10497"/>
    <cellStyle name="입력 2 22 2" xfId="10498"/>
    <cellStyle name="입력 2 22 3" xfId="10499"/>
    <cellStyle name="입력 2 23" xfId="10500"/>
    <cellStyle name="입력 2 23 2" xfId="10501"/>
    <cellStyle name="입력 2 23 3" xfId="10502"/>
    <cellStyle name="입력 2 24" xfId="10503"/>
    <cellStyle name="입력 2 25" xfId="10504"/>
    <cellStyle name="입력 2 3 2" xfId="10505"/>
    <cellStyle name="입력 2 3 2 2" xfId="10506"/>
    <cellStyle name="입력 2 3 2 3" xfId="10507"/>
    <cellStyle name="입력 2 3 3" xfId="10508"/>
    <cellStyle name="입력 2 3 3 2" xfId="10509"/>
    <cellStyle name="입력 2 3 3 3" xfId="10510"/>
    <cellStyle name="입력 2 3 4" xfId="10511"/>
    <cellStyle name="입력 2 3 5" xfId="10512"/>
    <cellStyle name="입력 2 4 2" xfId="10513"/>
    <cellStyle name="입력 2 4 2 2" xfId="10514"/>
    <cellStyle name="입력 2 4 2 3" xfId="10515"/>
    <cellStyle name="입력 2 4 3" xfId="10516"/>
    <cellStyle name="입력 2 4 3 2" xfId="10517"/>
    <cellStyle name="입력 2 4 3 3" xfId="10518"/>
    <cellStyle name="입력 2 4 4" xfId="10519"/>
    <cellStyle name="입력 2 4 5" xfId="10520"/>
    <cellStyle name="입력 2 5 2" xfId="10521"/>
    <cellStyle name="입력 2 5 2 2" xfId="10522"/>
    <cellStyle name="입력 2 5 2 3" xfId="10523"/>
    <cellStyle name="입력 2 5 3" xfId="10524"/>
    <cellStyle name="입력 2 5 3 2" xfId="10525"/>
    <cellStyle name="입력 2 5 3 3" xfId="10526"/>
    <cellStyle name="입력 2 5 4" xfId="10527"/>
    <cellStyle name="입력 2 5 5" xfId="10528"/>
    <cellStyle name="입력 2 6 2" xfId="10529"/>
    <cellStyle name="입력 2 6 2 2" xfId="10530"/>
    <cellStyle name="입력 2 6 2 3" xfId="10531"/>
    <cellStyle name="입력 2 6 3" xfId="10532"/>
    <cellStyle name="입력 2 6 3 2" xfId="10533"/>
    <cellStyle name="입력 2 6 3 3" xfId="10534"/>
    <cellStyle name="입력 2 6 4" xfId="10535"/>
    <cellStyle name="입력 2 6 5" xfId="10536"/>
    <cellStyle name="입력 2 7 2 2 2 2 2" xfId="10537"/>
    <cellStyle name="입력 2 7 2 2 2 2 2 2" xfId="10538"/>
    <cellStyle name="입력 2 7 2 2 2 2 2 3" xfId="10539"/>
    <cellStyle name="입력 2 7 2 2 2 2 3" xfId="10540"/>
    <cellStyle name="입력 2 7 2 2 2 2 3 2" xfId="10541"/>
    <cellStyle name="입력 2 7 2 2 2 2 3 3" xfId="10542"/>
    <cellStyle name="입력 2 7 2 2 2 2 4" xfId="10543"/>
    <cellStyle name="입력 2 7 2 2 2 2 5" xfId="10544"/>
    <cellStyle name="입력 2 7 2 2 2 3 2" xfId="10545"/>
    <cellStyle name="입력 2 7 2 2 2 3 2 2" xfId="10546"/>
    <cellStyle name="입력 2 7 2 2 2 3 2 3" xfId="10547"/>
    <cellStyle name="입력 2 7 2 2 2 3 3" xfId="10548"/>
    <cellStyle name="입력 2 7 2 2 2 3 3 2" xfId="10549"/>
    <cellStyle name="입력 2 7 2 2 2 3 3 3" xfId="10550"/>
    <cellStyle name="입력 2 7 2 2 2 3 4" xfId="10551"/>
    <cellStyle name="입력 2 7 2 2 2 3 5" xfId="10552"/>
    <cellStyle name="입력 2 7 2 2 2 4" xfId="10553"/>
    <cellStyle name="입력 2 7 2 2 2 4 2" xfId="10554"/>
    <cellStyle name="입력 2 7 2 2 2 4 3" xfId="10555"/>
    <cellStyle name="입력 2 7 2 2 2 5" xfId="10556"/>
    <cellStyle name="입력 2 7 2 2 2 5 2" xfId="10557"/>
    <cellStyle name="입력 2 7 2 2 2 5 3" xfId="10558"/>
    <cellStyle name="입력 2 7 2 2 2 6" xfId="10559"/>
    <cellStyle name="입력 2 7 2 2 2 7" xfId="10560"/>
    <cellStyle name="입력 2 7 2 2 3 2" xfId="10561"/>
    <cellStyle name="입력 2 7 2 2 3 2 2" xfId="10562"/>
    <cellStyle name="입력 2 7 2 2 3 2 3" xfId="10563"/>
    <cellStyle name="입력 2 7 2 2 3 3" xfId="10564"/>
    <cellStyle name="입력 2 7 2 2 3 3 2" xfId="10565"/>
    <cellStyle name="입력 2 7 2 2 3 3 3" xfId="10566"/>
    <cellStyle name="입력 2 7 2 2 3 4" xfId="10567"/>
    <cellStyle name="입력 2 7 2 2 3 5" xfId="10568"/>
    <cellStyle name="입력 2 7 2 2 4" xfId="10569"/>
    <cellStyle name="입력 2 7 2 2 4 2" xfId="10570"/>
    <cellStyle name="입력 2 7 2 2 4 3" xfId="10571"/>
    <cellStyle name="입력 2 7 2 2 5" xfId="10572"/>
    <cellStyle name="입력 2 7 2 2 5 2" xfId="10573"/>
    <cellStyle name="입력 2 7 2 2 5 3" xfId="10574"/>
    <cellStyle name="입력 2 7 2 2 6" xfId="10575"/>
    <cellStyle name="입력 2 7 2 2 7" xfId="10576"/>
    <cellStyle name="입력 2 7 2 3 2" xfId="10577"/>
    <cellStyle name="입력 2 7 2 3 2 2" xfId="10578"/>
    <cellStyle name="입력 2 7 2 3 2 3" xfId="10579"/>
    <cellStyle name="입력 2 7 2 3 3" xfId="10580"/>
    <cellStyle name="입력 2 7 2 3 3 2" xfId="10581"/>
    <cellStyle name="입력 2 7 2 3 3 3" xfId="10582"/>
    <cellStyle name="입력 2 7 2 3 4" xfId="10583"/>
    <cellStyle name="입력 2 7 2 3 5" xfId="10584"/>
    <cellStyle name="입력 2 7 2 4 2" xfId="10585"/>
    <cellStyle name="입력 2 7 2 4 2 2" xfId="10586"/>
    <cellStyle name="입력 2 7 2 4 2 3" xfId="10587"/>
    <cellStyle name="입력 2 7 2 4 3" xfId="10588"/>
    <cellStyle name="입력 2 7 2 4 3 2" xfId="10589"/>
    <cellStyle name="입력 2 7 2 4 3 3" xfId="10590"/>
    <cellStyle name="입력 2 7 2 4 4" xfId="10591"/>
    <cellStyle name="입력 2 7 2 4 5" xfId="10592"/>
    <cellStyle name="입력 2 7 2 5" xfId="10593"/>
    <cellStyle name="입력 2 7 2 5 2" xfId="10594"/>
    <cellStyle name="입력 2 7 2 5 3" xfId="10595"/>
    <cellStyle name="입력 2 7 2 6" xfId="10596"/>
    <cellStyle name="입력 2 7 2 6 2" xfId="10597"/>
    <cellStyle name="입력 2 7 2 6 3" xfId="10598"/>
    <cellStyle name="입력 2 7 2 7" xfId="10599"/>
    <cellStyle name="입력 2 7 2 8" xfId="10600"/>
    <cellStyle name="입력 2 7 3 2 2" xfId="10601"/>
    <cellStyle name="입력 2 7 3 2 2 2" xfId="10602"/>
    <cellStyle name="입력 2 7 3 2 2 3" xfId="10603"/>
    <cellStyle name="입력 2 7 3 2 3" xfId="10604"/>
    <cellStyle name="입력 2 7 3 2 3 2" xfId="10605"/>
    <cellStyle name="입력 2 7 3 2 3 3" xfId="10606"/>
    <cellStyle name="입력 2 7 3 2 4" xfId="10607"/>
    <cellStyle name="입력 2 7 3 2 5" xfId="10608"/>
    <cellStyle name="입력 2 7 3 3 2" xfId="10609"/>
    <cellStyle name="입력 2 7 3 3 2 2" xfId="10610"/>
    <cellStyle name="입력 2 7 3 3 2 3" xfId="10611"/>
    <cellStyle name="입력 2 7 3 3 3" xfId="10612"/>
    <cellStyle name="입력 2 7 3 3 3 2" xfId="10613"/>
    <cellStyle name="입력 2 7 3 3 3 3" xfId="10614"/>
    <cellStyle name="입력 2 7 3 3 4" xfId="10615"/>
    <cellStyle name="입력 2 7 3 3 5" xfId="10616"/>
    <cellStyle name="입력 2 7 3 4" xfId="10617"/>
    <cellStyle name="입력 2 7 3 4 2" xfId="10618"/>
    <cellStyle name="입력 2 7 3 4 3" xfId="10619"/>
    <cellStyle name="입력 2 7 3 5" xfId="10620"/>
    <cellStyle name="입력 2 7 3 5 2" xfId="10621"/>
    <cellStyle name="입력 2 7 3 5 3" xfId="10622"/>
    <cellStyle name="입력 2 7 3 6" xfId="10623"/>
    <cellStyle name="입력 2 7 3 7" xfId="10624"/>
    <cellStyle name="입력 2 7 4 2" xfId="10625"/>
    <cellStyle name="입력 2 7 4 2 2" xfId="10626"/>
    <cellStyle name="입력 2 7 4 2 3" xfId="10627"/>
    <cellStyle name="입력 2 7 4 3" xfId="10628"/>
    <cellStyle name="입력 2 7 4 3 2" xfId="10629"/>
    <cellStyle name="입력 2 7 4 3 3" xfId="10630"/>
    <cellStyle name="입력 2 7 4 4" xfId="10631"/>
    <cellStyle name="입력 2 7 4 5" xfId="10632"/>
    <cellStyle name="입력 2 7 5" xfId="10633"/>
    <cellStyle name="입력 2 7 5 2" xfId="10634"/>
    <cellStyle name="입력 2 7 5 3" xfId="10635"/>
    <cellStyle name="입력 2 7 6" xfId="10636"/>
    <cellStyle name="입력 2 7 6 2" xfId="10637"/>
    <cellStyle name="입력 2 7 6 3" xfId="10638"/>
    <cellStyle name="입력 2 7 7" xfId="10639"/>
    <cellStyle name="입력 2 7 8" xfId="10640"/>
    <cellStyle name="입력 2 8 2" xfId="10641"/>
    <cellStyle name="입력 2 8 2 2" xfId="10642"/>
    <cellStyle name="입력 2 8 2 3" xfId="10643"/>
    <cellStyle name="입력 2 8 3" xfId="10644"/>
    <cellStyle name="입력 2 8 3 2" xfId="10645"/>
    <cellStyle name="입력 2 8 3 3" xfId="10646"/>
    <cellStyle name="입력 2 8 4" xfId="10647"/>
    <cellStyle name="입력 2 8 5" xfId="10648"/>
    <cellStyle name="입력 2 9 2" xfId="10649"/>
    <cellStyle name="입력 2 9 2 2" xfId="10650"/>
    <cellStyle name="입력 2 9 2 3" xfId="10651"/>
    <cellStyle name="입력 2 9 3" xfId="10652"/>
    <cellStyle name="입력 2 9 3 2" xfId="10653"/>
    <cellStyle name="입력 2 9 3 3" xfId="10654"/>
    <cellStyle name="입력 2 9 4" xfId="10655"/>
    <cellStyle name="입력 2 9 5" xfId="10656"/>
    <cellStyle name="입력 20 2" xfId="10657"/>
    <cellStyle name="입력 20 2 2" xfId="10658"/>
    <cellStyle name="입력 20 2 3" xfId="10659"/>
    <cellStyle name="입력 20 3" xfId="10660"/>
    <cellStyle name="입력 20 3 2" xfId="10661"/>
    <cellStyle name="입력 20 3 3" xfId="10662"/>
    <cellStyle name="입력 20 4" xfId="10663"/>
    <cellStyle name="입력 20 5" xfId="10664"/>
    <cellStyle name="입력 3 2 2" xfId="10665"/>
    <cellStyle name="입력 3 2 2 2" xfId="10666"/>
    <cellStyle name="입력 3 2 2 3" xfId="10667"/>
    <cellStyle name="입력 3 2 3" xfId="10668"/>
    <cellStyle name="입력 3 2 3 2" xfId="10669"/>
    <cellStyle name="입력 3 2 3 3" xfId="10670"/>
    <cellStyle name="입력 3 2 4" xfId="10671"/>
    <cellStyle name="입력 3 2 5" xfId="10672"/>
    <cellStyle name="입력 3 3 2" xfId="10673"/>
    <cellStyle name="입력 3 3 2 2" xfId="10674"/>
    <cellStyle name="입력 3 3 2 3" xfId="10675"/>
    <cellStyle name="입력 3 3 3" xfId="10676"/>
    <cellStyle name="입력 3 3 3 2" xfId="10677"/>
    <cellStyle name="입력 3 3 3 3" xfId="10678"/>
    <cellStyle name="입력 3 3 4" xfId="10679"/>
    <cellStyle name="입력 3 3 5" xfId="10680"/>
    <cellStyle name="입력 3 4 2" xfId="10681"/>
    <cellStyle name="입력 3 4 2 2" xfId="10682"/>
    <cellStyle name="입력 3 4 2 3" xfId="10683"/>
    <cellStyle name="입력 3 4 3" xfId="10684"/>
    <cellStyle name="입력 3 4 3 2" xfId="10685"/>
    <cellStyle name="입력 3 4 3 3" xfId="10686"/>
    <cellStyle name="입력 3 4 4" xfId="10687"/>
    <cellStyle name="입력 3 4 5" xfId="10688"/>
    <cellStyle name="입력 3 5" xfId="10689"/>
    <cellStyle name="입력 3 5 2" xfId="10690"/>
    <cellStyle name="입력 3 5 3" xfId="10691"/>
    <cellStyle name="입력 3 6" xfId="10692"/>
    <cellStyle name="입력 3 6 2" xfId="10693"/>
    <cellStyle name="입력 3 6 3" xfId="10694"/>
    <cellStyle name="입력 3 7" xfId="10695"/>
    <cellStyle name="입력 3 8" xfId="10696"/>
    <cellStyle name="입력 4 2" xfId="10697"/>
    <cellStyle name="입력 4 2 2" xfId="10698"/>
    <cellStyle name="입력 4 2 3" xfId="10699"/>
    <cellStyle name="입력 4 3" xfId="10700"/>
    <cellStyle name="입력 4 3 2" xfId="10701"/>
    <cellStyle name="입력 4 3 3" xfId="10702"/>
    <cellStyle name="입력 4 4" xfId="10703"/>
    <cellStyle name="입력 4 5" xfId="10704"/>
    <cellStyle name="입력 5 2" xfId="10705"/>
    <cellStyle name="입력 5 2 2" xfId="10706"/>
    <cellStyle name="입력 5 2 3" xfId="10707"/>
    <cellStyle name="입력 5 3" xfId="10708"/>
    <cellStyle name="입력 5 3 2" xfId="10709"/>
    <cellStyle name="입력 5 3 3" xfId="10710"/>
    <cellStyle name="입력 5 4" xfId="10711"/>
    <cellStyle name="입력 5 5" xfId="10712"/>
    <cellStyle name="입력 6 2" xfId="10713"/>
    <cellStyle name="입력 6 2 2" xfId="10714"/>
    <cellStyle name="입력 6 2 3" xfId="10715"/>
    <cellStyle name="입력 6 3" xfId="10716"/>
    <cellStyle name="입력 6 3 2" xfId="10717"/>
    <cellStyle name="입력 6 3 3" xfId="10718"/>
    <cellStyle name="입력 6 4" xfId="10719"/>
    <cellStyle name="입력 6 5" xfId="10720"/>
    <cellStyle name="입력 7 2 2" xfId="10721"/>
    <cellStyle name="입력 7 2 2 2" xfId="10722"/>
    <cellStyle name="입력 7 2 2 3" xfId="10723"/>
    <cellStyle name="입력 7 2 3" xfId="10724"/>
    <cellStyle name="입력 7 2 3 2" xfId="10725"/>
    <cellStyle name="입력 7 2 3 3" xfId="10726"/>
    <cellStyle name="입력 7 2 4" xfId="10727"/>
    <cellStyle name="입력 7 2 5" xfId="10728"/>
    <cellStyle name="입력 7 3" xfId="10729"/>
    <cellStyle name="입력 7 3 2" xfId="10730"/>
    <cellStyle name="입력 7 3 3" xfId="10731"/>
    <cellStyle name="입력 7 4" xfId="10732"/>
    <cellStyle name="입력 7 4 2" xfId="10733"/>
    <cellStyle name="입력 7 4 3" xfId="10734"/>
    <cellStyle name="입력 7 5" xfId="10735"/>
    <cellStyle name="입력 7 6" xfId="10736"/>
    <cellStyle name="입력 8 2" xfId="10737"/>
    <cellStyle name="입력 8 2 2" xfId="10738"/>
    <cellStyle name="입력 8 2 3" xfId="10739"/>
    <cellStyle name="입력 8 3" xfId="10740"/>
    <cellStyle name="입력 8 3 2" xfId="10741"/>
    <cellStyle name="입력 8 3 3" xfId="10742"/>
    <cellStyle name="입력 8 4" xfId="10743"/>
    <cellStyle name="입력 8 5" xfId="10744"/>
    <cellStyle name="입력 9 10 2" xfId="10745"/>
    <cellStyle name="입력 9 10 2 2" xfId="10746"/>
    <cellStyle name="입력 9 10 2 3" xfId="10747"/>
    <cellStyle name="입력 9 10 3" xfId="10748"/>
    <cellStyle name="입력 9 10 3 2" xfId="10749"/>
    <cellStyle name="입력 9 10 3 3" xfId="10750"/>
    <cellStyle name="입력 9 10 4" xfId="10751"/>
    <cellStyle name="입력 9 10 5" xfId="10752"/>
    <cellStyle name="입력 9 11" xfId="10753"/>
    <cellStyle name="입력 9 11 2" xfId="10754"/>
    <cellStyle name="입력 9 11 3" xfId="10755"/>
    <cellStyle name="입력 9 12" xfId="10756"/>
    <cellStyle name="입력 9 12 2" xfId="10757"/>
    <cellStyle name="입력 9 12 3" xfId="10758"/>
    <cellStyle name="입력 9 13" xfId="10759"/>
    <cellStyle name="입력 9 14" xfId="10760"/>
    <cellStyle name="입력 9 2 2" xfId="10761"/>
    <cellStyle name="입력 9 2 2 2" xfId="10762"/>
    <cellStyle name="입력 9 2 2 3" xfId="10763"/>
    <cellStyle name="입력 9 2 3" xfId="10764"/>
    <cellStyle name="입력 9 2 3 2" xfId="10765"/>
    <cellStyle name="입력 9 2 3 3" xfId="10766"/>
    <cellStyle name="입력 9 2 4" xfId="10767"/>
    <cellStyle name="입력 9 2 5" xfId="10768"/>
    <cellStyle name="입력 9 3 2" xfId="10769"/>
    <cellStyle name="입력 9 3 2 2" xfId="10770"/>
    <cellStyle name="입력 9 3 2 3" xfId="10771"/>
    <cellStyle name="입력 9 3 3" xfId="10772"/>
    <cellStyle name="입력 9 3 3 2" xfId="10773"/>
    <cellStyle name="입력 9 3 3 3" xfId="10774"/>
    <cellStyle name="입력 9 3 4" xfId="10775"/>
    <cellStyle name="입력 9 3 5" xfId="10776"/>
    <cellStyle name="입력 9 4 2" xfId="10777"/>
    <cellStyle name="입력 9 4 2 2" xfId="10778"/>
    <cellStyle name="입력 9 4 2 3" xfId="10779"/>
    <cellStyle name="입력 9 4 3" xfId="10780"/>
    <cellStyle name="입력 9 4 3 2" xfId="10781"/>
    <cellStyle name="입력 9 4 3 3" xfId="10782"/>
    <cellStyle name="입력 9 4 4" xfId="10783"/>
    <cellStyle name="입력 9 4 5" xfId="10784"/>
    <cellStyle name="입력 9 5 2" xfId="10785"/>
    <cellStyle name="입력 9 5 2 2" xfId="10786"/>
    <cellStyle name="입력 9 5 2 3" xfId="10787"/>
    <cellStyle name="입력 9 5 3" xfId="10788"/>
    <cellStyle name="입력 9 5 3 2" xfId="10789"/>
    <cellStyle name="입력 9 5 3 3" xfId="10790"/>
    <cellStyle name="입력 9 5 4" xfId="10791"/>
    <cellStyle name="입력 9 5 5" xfId="10792"/>
    <cellStyle name="입력 9 6 2" xfId="10793"/>
    <cellStyle name="입력 9 6 2 2" xfId="10794"/>
    <cellStyle name="입력 9 6 2 3" xfId="10795"/>
    <cellStyle name="입력 9 6 3" xfId="10796"/>
    <cellStyle name="입력 9 6 3 2" xfId="10797"/>
    <cellStyle name="입력 9 6 3 3" xfId="10798"/>
    <cellStyle name="입력 9 6 4" xfId="10799"/>
    <cellStyle name="입력 9 6 5" xfId="10800"/>
    <cellStyle name="입력 9 7 2" xfId="10801"/>
    <cellStyle name="입력 9 7 2 2" xfId="10802"/>
    <cellStyle name="입력 9 7 2 3" xfId="10803"/>
    <cellStyle name="입력 9 7 3" xfId="10804"/>
    <cellStyle name="입력 9 7 3 2" xfId="10805"/>
    <cellStyle name="입력 9 7 3 3" xfId="10806"/>
    <cellStyle name="입력 9 7 4" xfId="10807"/>
    <cellStyle name="입력 9 7 5" xfId="10808"/>
    <cellStyle name="입력 9 8 2" xfId="10809"/>
    <cellStyle name="입력 9 8 2 2" xfId="10810"/>
    <cellStyle name="입력 9 8 2 3" xfId="10811"/>
    <cellStyle name="입력 9 8 3" xfId="10812"/>
    <cellStyle name="입력 9 8 3 2" xfId="10813"/>
    <cellStyle name="입력 9 8 3 3" xfId="10814"/>
    <cellStyle name="입력 9 8 4" xfId="10815"/>
    <cellStyle name="입력 9 8 5" xfId="10816"/>
    <cellStyle name="입력 9 9 2" xfId="10817"/>
    <cellStyle name="입력 9 9 2 2" xfId="10818"/>
    <cellStyle name="입력 9 9 2 3" xfId="10819"/>
    <cellStyle name="입력 9 9 3" xfId="10820"/>
    <cellStyle name="입력 9 9 3 2" xfId="10821"/>
    <cellStyle name="입력 9 9 3 3" xfId="10822"/>
    <cellStyle name="입력 9 9 4" xfId="10823"/>
    <cellStyle name="입력 9 9 5" xfId="10824"/>
    <cellStyle name="출력 10 2" xfId="10825"/>
    <cellStyle name="출력 10 2 2" xfId="10826"/>
    <cellStyle name="출력 10 2 3" xfId="10827"/>
    <cellStyle name="출력 10 3" xfId="10828"/>
    <cellStyle name="출력 10 3 2" xfId="10829"/>
    <cellStyle name="출력 10 3 3" xfId="10830"/>
    <cellStyle name="출력 10 4" xfId="10831"/>
    <cellStyle name="출력 10 5" xfId="10832"/>
    <cellStyle name="출력 11 2" xfId="10833"/>
    <cellStyle name="출력 11 2 2" xfId="10834"/>
    <cellStyle name="출력 11 2 3" xfId="10835"/>
    <cellStyle name="출력 11 3" xfId="10836"/>
    <cellStyle name="출력 11 3 2" xfId="10837"/>
    <cellStyle name="출력 11 3 3" xfId="10838"/>
    <cellStyle name="출력 11 4" xfId="10839"/>
    <cellStyle name="출력 11 5" xfId="10840"/>
    <cellStyle name="출력 12 2" xfId="10841"/>
    <cellStyle name="출력 12 2 2" xfId="10842"/>
    <cellStyle name="출력 12 2 3" xfId="10843"/>
    <cellStyle name="출력 12 3" xfId="10844"/>
    <cellStyle name="출력 12 3 2" xfId="10845"/>
    <cellStyle name="출력 12 3 3" xfId="10846"/>
    <cellStyle name="출력 12 4" xfId="10847"/>
    <cellStyle name="출력 12 5" xfId="10848"/>
    <cellStyle name="출력 2 10 2" xfId="10849"/>
    <cellStyle name="출력 2 10 2 2" xfId="10850"/>
    <cellStyle name="출력 2 10 2 3" xfId="10851"/>
    <cellStyle name="출력 2 10 3" xfId="10852"/>
    <cellStyle name="출력 2 10 3 2" xfId="10853"/>
    <cellStyle name="출력 2 10 3 3" xfId="10854"/>
    <cellStyle name="출력 2 10 4" xfId="10855"/>
    <cellStyle name="출력 2 10 5" xfId="10856"/>
    <cellStyle name="출력 2 11" xfId="10857"/>
    <cellStyle name="출력 2 11 2" xfId="10858"/>
    <cellStyle name="출력 2 11 3" xfId="10859"/>
    <cellStyle name="출력 2 12" xfId="10860"/>
    <cellStyle name="출력 2 12 2" xfId="10861"/>
    <cellStyle name="출력 2 12 3" xfId="10862"/>
    <cellStyle name="출력 2 13" xfId="10863"/>
    <cellStyle name="출력 2 14" xfId="10864"/>
    <cellStyle name="출력 2 2 2" xfId="10865"/>
    <cellStyle name="출력 2 2 2 2" xfId="10866"/>
    <cellStyle name="출력 2 2 2 3" xfId="10867"/>
    <cellStyle name="출력 2 2 3" xfId="10868"/>
    <cellStyle name="출력 2 2 3 2" xfId="10869"/>
    <cellStyle name="출력 2 2 3 3" xfId="10870"/>
    <cellStyle name="출력 2 2 4" xfId="10871"/>
    <cellStyle name="출력 2 2 5" xfId="10872"/>
    <cellStyle name="출력 2 3 2" xfId="10873"/>
    <cellStyle name="출력 2 3 2 2" xfId="10874"/>
    <cellStyle name="출력 2 3 2 3" xfId="10875"/>
    <cellStyle name="출력 2 3 3" xfId="10876"/>
    <cellStyle name="출력 2 3 3 2" xfId="10877"/>
    <cellStyle name="출력 2 3 3 3" xfId="10878"/>
    <cellStyle name="출력 2 3 4" xfId="10879"/>
    <cellStyle name="출력 2 3 5" xfId="10880"/>
    <cellStyle name="출력 2 4 2" xfId="10881"/>
    <cellStyle name="출력 2 4 2 2" xfId="10882"/>
    <cellStyle name="출력 2 4 2 3" xfId="10883"/>
    <cellStyle name="출력 2 4 3" xfId="10884"/>
    <cellStyle name="출력 2 4 3 2" xfId="10885"/>
    <cellStyle name="출력 2 4 3 3" xfId="10886"/>
    <cellStyle name="출력 2 4 4" xfId="10887"/>
    <cellStyle name="출력 2 4 5" xfId="10888"/>
    <cellStyle name="출력 2 5 2" xfId="10889"/>
    <cellStyle name="출력 2 5 2 2" xfId="10890"/>
    <cellStyle name="출력 2 5 2 3" xfId="10891"/>
    <cellStyle name="출력 2 5 3" xfId="10892"/>
    <cellStyle name="출력 2 5 3 2" xfId="10893"/>
    <cellStyle name="출력 2 5 3 3" xfId="10894"/>
    <cellStyle name="출력 2 5 4" xfId="10895"/>
    <cellStyle name="출력 2 5 5" xfId="10896"/>
    <cellStyle name="출력 2 6 2" xfId="10897"/>
    <cellStyle name="출력 2 6 2 2" xfId="10898"/>
    <cellStyle name="출력 2 6 2 3" xfId="10899"/>
    <cellStyle name="출력 2 6 3" xfId="10900"/>
    <cellStyle name="출력 2 6 3 2" xfId="10901"/>
    <cellStyle name="출력 2 6 3 3" xfId="10902"/>
    <cellStyle name="출력 2 6 4" xfId="10903"/>
    <cellStyle name="출력 2 6 5" xfId="10904"/>
    <cellStyle name="출력 2 7 2" xfId="10905"/>
    <cellStyle name="출력 2 7 2 2" xfId="10906"/>
    <cellStyle name="출력 2 7 2 3" xfId="10907"/>
    <cellStyle name="출력 2 7 3" xfId="10908"/>
    <cellStyle name="출력 2 7 3 2" xfId="10909"/>
    <cellStyle name="출력 2 7 3 3" xfId="10910"/>
    <cellStyle name="출력 2 7 4" xfId="10911"/>
    <cellStyle name="출력 2 7 5" xfId="10912"/>
    <cellStyle name="출력 2 8 2" xfId="10913"/>
    <cellStyle name="출력 2 8 2 2" xfId="10914"/>
    <cellStyle name="출력 2 8 2 3" xfId="10915"/>
    <cellStyle name="출력 2 8 3" xfId="10916"/>
    <cellStyle name="출력 2 8 3 2" xfId="10917"/>
    <cellStyle name="출력 2 8 3 3" xfId="10918"/>
    <cellStyle name="출력 2 8 4" xfId="10919"/>
    <cellStyle name="출력 2 8 5" xfId="10920"/>
    <cellStyle name="출력 2 9 2" xfId="10921"/>
    <cellStyle name="출력 2 9 2 2" xfId="10922"/>
    <cellStyle name="출력 2 9 2 3" xfId="10923"/>
    <cellStyle name="출력 2 9 3" xfId="10924"/>
    <cellStyle name="출력 2 9 3 2" xfId="10925"/>
    <cellStyle name="출력 2 9 3 3" xfId="10926"/>
    <cellStyle name="출력 2 9 4" xfId="10927"/>
    <cellStyle name="출력 2 9 5" xfId="10928"/>
    <cellStyle name="출력 3 2 2" xfId="10929"/>
    <cellStyle name="출력 3 2 2 2" xfId="10930"/>
    <cellStyle name="출력 3 2 2 3" xfId="10931"/>
    <cellStyle name="출력 3 2 3" xfId="10932"/>
    <cellStyle name="출력 3 2 3 2" xfId="10933"/>
    <cellStyle name="출력 3 2 3 3" xfId="10934"/>
    <cellStyle name="출력 3 2 4" xfId="10935"/>
    <cellStyle name="출력 3 2 5" xfId="10936"/>
    <cellStyle name="출력 3 3 2" xfId="10937"/>
    <cellStyle name="출력 3 3 2 2" xfId="10938"/>
    <cellStyle name="출력 3 3 2 3" xfId="10939"/>
    <cellStyle name="출력 3 3 3" xfId="10940"/>
    <cellStyle name="출력 3 3 3 2" xfId="10941"/>
    <cellStyle name="출력 3 3 3 3" xfId="10942"/>
    <cellStyle name="출력 3 3 4" xfId="10943"/>
    <cellStyle name="출력 3 3 5" xfId="10944"/>
    <cellStyle name="출력 3 4 2" xfId="10945"/>
    <cellStyle name="출력 3 4 2 2" xfId="10946"/>
    <cellStyle name="출력 3 4 2 3" xfId="10947"/>
    <cellStyle name="출력 3 4 3" xfId="10948"/>
    <cellStyle name="출력 3 4 3 2" xfId="10949"/>
    <cellStyle name="출력 3 4 3 3" xfId="10950"/>
    <cellStyle name="출력 3 4 4" xfId="10951"/>
    <cellStyle name="출력 3 4 5" xfId="10952"/>
    <cellStyle name="출력 3 5" xfId="10953"/>
    <cellStyle name="출력 3 5 2" xfId="10954"/>
    <cellStyle name="출력 3 5 3" xfId="10955"/>
    <cellStyle name="출력 3 6" xfId="10956"/>
    <cellStyle name="출력 3 6 2" xfId="10957"/>
    <cellStyle name="출력 3 6 3" xfId="10958"/>
    <cellStyle name="출력 3 7" xfId="10959"/>
    <cellStyle name="출력 3 8" xfId="10960"/>
    <cellStyle name="출력 4 2" xfId="10961"/>
    <cellStyle name="출력 4 2 2" xfId="10962"/>
    <cellStyle name="출력 4 2 3" xfId="10963"/>
    <cellStyle name="출력 4 3" xfId="10964"/>
    <cellStyle name="출력 4 3 2" xfId="10965"/>
    <cellStyle name="출력 4 3 3" xfId="10966"/>
    <cellStyle name="출력 4 4" xfId="10967"/>
    <cellStyle name="출력 4 5" xfId="10968"/>
    <cellStyle name="출력 5 2" xfId="10969"/>
    <cellStyle name="출력 5 2 2" xfId="10970"/>
    <cellStyle name="출력 5 2 3" xfId="10971"/>
    <cellStyle name="출력 5 3" xfId="10972"/>
    <cellStyle name="출력 5 3 2" xfId="10973"/>
    <cellStyle name="출력 5 3 3" xfId="10974"/>
    <cellStyle name="출력 5 4" xfId="10975"/>
    <cellStyle name="출력 5 5" xfId="10976"/>
    <cellStyle name="출력 6 2" xfId="10977"/>
    <cellStyle name="출력 6 2 2" xfId="10978"/>
    <cellStyle name="출력 6 2 3" xfId="10979"/>
    <cellStyle name="출력 6 3" xfId="10980"/>
    <cellStyle name="출력 6 3 2" xfId="10981"/>
    <cellStyle name="출력 6 3 3" xfId="10982"/>
    <cellStyle name="출력 6 4" xfId="10983"/>
    <cellStyle name="출력 6 5" xfId="10984"/>
    <cellStyle name="출력 7 2 2" xfId="10985"/>
    <cellStyle name="출력 7 2 2 2" xfId="10986"/>
    <cellStyle name="출력 7 2 2 3" xfId="10987"/>
    <cellStyle name="출력 7 2 3" xfId="10988"/>
    <cellStyle name="출력 7 2 3 2" xfId="10989"/>
    <cellStyle name="출력 7 2 3 3" xfId="10990"/>
    <cellStyle name="출력 7 2 4" xfId="10991"/>
    <cellStyle name="출력 7 2 5" xfId="10992"/>
    <cellStyle name="출력 7 3" xfId="10993"/>
    <cellStyle name="출력 7 3 2" xfId="10994"/>
    <cellStyle name="출력 7 3 3" xfId="10995"/>
    <cellStyle name="출력 7 4" xfId="10996"/>
    <cellStyle name="출력 7 4 2" xfId="10997"/>
    <cellStyle name="출력 7 4 3" xfId="10998"/>
    <cellStyle name="출력 7 5" xfId="10999"/>
    <cellStyle name="출력 7 6" xfId="11000"/>
    <cellStyle name="출력 8 2" xfId="11001"/>
    <cellStyle name="출력 8 2 2" xfId="11002"/>
    <cellStyle name="출력 8 2 3" xfId="11003"/>
    <cellStyle name="출력 8 3" xfId="11004"/>
    <cellStyle name="출력 8 3 2" xfId="11005"/>
    <cellStyle name="출력 8 3 3" xfId="11006"/>
    <cellStyle name="출력 8 4" xfId="11007"/>
    <cellStyle name="출력 8 5" xfId="11008"/>
    <cellStyle name="출력 9 2" xfId="11009"/>
    <cellStyle name="출력 9 2 2" xfId="11010"/>
    <cellStyle name="출력 9 2 3" xfId="11011"/>
    <cellStyle name="출력 9 3" xfId="11012"/>
    <cellStyle name="출력 9 3 2" xfId="11013"/>
    <cellStyle name="출력 9 3 3" xfId="11014"/>
    <cellStyle name="출력 9 4" xfId="11015"/>
    <cellStyle name="출력 9 5" xfId="11016"/>
    <cellStyle name="통화 [0] 2 2 2 2 2" xfId="11017"/>
    <cellStyle name="통화 [0] 2 2 2 3" xfId="11018"/>
    <cellStyle name="통화 [0] 2 2 2 3 2" xfId="11019"/>
    <cellStyle name="통화 [0] 2 2 2 4" xfId="11020"/>
    <cellStyle name="통화 [0] 2 2 2 5" xfId="11021"/>
    <cellStyle name="통화 [0] 2 2 3 2" xfId="11022"/>
    <cellStyle name="통화 [0] 2 2 4" xfId="11023"/>
    <cellStyle name="통화 [0] 2 2 4 2" xfId="11024"/>
    <cellStyle name="통화 [0] 2 2 5" xfId="11025"/>
    <cellStyle name="통화 [0] 2 2 6" xfId="11026"/>
    <cellStyle name="통화 [0] 2 3 2 2" xfId="11027"/>
    <cellStyle name="통화 [0] 2 3 3" xfId="11028"/>
    <cellStyle name="통화 [0] 2 3 3 2" xfId="11029"/>
    <cellStyle name="통화 [0] 2 3 4" xfId="11030"/>
    <cellStyle name="통화 [0] 2 3 5" xfId="11031"/>
    <cellStyle name="통화 [0] 2 4 2" xfId="11032"/>
    <cellStyle name="통화 [0] 2 5" xfId="11033"/>
    <cellStyle name="통화 [0] 2 5 2" xfId="11034"/>
    <cellStyle name="통화 [0] 2 6" xfId="11035"/>
    <cellStyle name="통화 [0] 2 7" xfId="11036"/>
    <cellStyle name="표준 10 10 10" xfId="11037"/>
    <cellStyle name="표준 10 10 2 2 2 2 3" xfId="11038"/>
    <cellStyle name="표준 10 10 2 2 2 2 3 2" xfId="11039"/>
    <cellStyle name="표준 10 10 2 2 2 2 4" xfId="11040"/>
    <cellStyle name="표준 10 10 2 2 2 2 5" xfId="11041"/>
    <cellStyle name="표준 10 10 2 2 2 3 2 2" xfId="11042"/>
    <cellStyle name="표준 10 10 2 2 2 3 3" xfId="11043"/>
    <cellStyle name="표준 10 10 2 2 2 3 3 2" xfId="11044"/>
    <cellStyle name="표준 10 10 2 2 2 3 4" xfId="11045"/>
    <cellStyle name="표준 10 10 2 2 2 3 5" xfId="11046"/>
    <cellStyle name="표준 10 10 2 2 2 4 2" xfId="11047"/>
    <cellStyle name="표준 10 10 2 2 2 5" xfId="11048"/>
    <cellStyle name="표준 10 10 2 2 2 5 2" xfId="11049"/>
    <cellStyle name="표준 10 10 2 2 2 6" xfId="11050"/>
    <cellStyle name="표준 10 10 2 2 2 7" xfId="11051"/>
    <cellStyle name="표준 10 10 2 2 3 2 2" xfId="11052"/>
    <cellStyle name="표준 10 10 2 2 3 3" xfId="11053"/>
    <cellStyle name="표준 10 10 2 2 3 3 2" xfId="11054"/>
    <cellStyle name="표준 10 10 2 2 3 4" xfId="11055"/>
    <cellStyle name="표준 10 10 2 2 3 5" xfId="11056"/>
    <cellStyle name="표준 10 10 2 2 4 2 2" xfId="11057"/>
    <cellStyle name="표준 10 10 2 2 4 3" xfId="11058"/>
    <cellStyle name="표준 10 10 2 2 4 3 2" xfId="11059"/>
    <cellStyle name="표준 10 10 2 2 4 4" xfId="11060"/>
    <cellStyle name="표준 10 10 2 2 4 5" xfId="11061"/>
    <cellStyle name="표준 10 10 2 2 5 2" xfId="11062"/>
    <cellStyle name="표준 10 10 2 2 6" xfId="11063"/>
    <cellStyle name="표준 10 10 2 2 6 2" xfId="11064"/>
    <cellStyle name="표준 10 10 2 2 7" xfId="11065"/>
    <cellStyle name="표준 10 10 2 2 8" xfId="11066"/>
    <cellStyle name="표준 10 10 2 3 2 2 2" xfId="11067"/>
    <cellStyle name="표준 10 10 2 3 2 3" xfId="11068"/>
    <cellStyle name="표준 10 10 2 3 2 3 2" xfId="11069"/>
    <cellStyle name="표준 10 10 2 3 2 4" xfId="11070"/>
    <cellStyle name="표준 10 10 2 3 2 5" xfId="11071"/>
    <cellStyle name="표준 10 10 2 3 3 2 2" xfId="11072"/>
    <cellStyle name="표준 10 10 2 3 3 3" xfId="11073"/>
    <cellStyle name="표준 10 10 2 3 3 3 2" xfId="11074"/>
    <cellStyle name="표준 10 10 2 3 3 4" xfId="11075"/>
    <cellStyle name="표준 10 10 2 3 3 5" xfId="11076"/>
    <cellStyle name="표준 10 10 2 3 4 2" xfId="11077"/>
    <cellStyle name="표준 10 10 2 3 5" xfId="11078"/>
    <cellStyle name="표준 10 10 2 3 5 2" xfId="11079"/>
    <cellStyle name="표준 10 10 2 3 6" xfId="11080"/>
    <cellStyle name="표준 10 10 2 3 7" xfId="11081"/>
    <cellStyle name="표준 10 10 2 4 2 2" xfId="11082"/>
    <cellStyle name="표준 10 10 2 4 3" xfId="11083"/>
    <cellStyle name="표준 10 10 2 4 3 2" xfId="11084"/>
    <cellStyle name="표준 10 10 2 4 4" xfId="11085"/>
    <cellStyle name="표준 10 10 2 4 5" xfId="11086"/>
    <cellStyle name="표준 10 10 2 5 2 2" xfId="11087"/>
    <cellStyle name="표준 10 10 2 5 3" xfId="11088"/>
    <cellStyle name="표준 10 10 2 5 3 2" xfId="11089"/>
    <cellStyle name="표준 10 10 2 5 4" xfId="11090"/>
    <cellStyle name="표준 10 10 2 5 5" xfId="11091"/>
    <cellStyle name="표준 10 10 2 6 2" xfId="11092"/>
    <cellStyle name="표준 10 10 2 7" xfId="11093"/>
    <cellStyle name="표준 10 10 2 7 2" xfId="11094"/>
    <cellStyle name="표준 10 10 2 8" xfId="11095"/>
    <cellStyle name="표준 10 10 2 9" xfId="11096"/>
    <cellStyle name="표준 10 10 3 2 2 2 2" xfId="11097"/>
    <cellStyle name="표준 10 10 3 2 2 3" xfId="11098"/>
    <cellStyle name="표준 10 10 3 2 2 3 2" xfId="11099"/>
    <cellStyle name="표준 10 10 3 2 2 4" xfId="11100"/>
    <cellStyle name="표준 10 10 3 2 2 5" xfId="11101"/>
    <cellStyle name="표준 10 10 3 2 3 2 2" xfId="11102"/>
    <cellStyle name="표준 10 10 3 2 3 3" xfId="11103"/>
    <cellStyle name="표준 10 10 3 2 3 3 2" xfId="11104"/>
    <cellStyle name="표준 10 10 3 2 3 4" xfId="11105"/>
    <cellStyle name="표준 10 10 3 2 3 5" xfId="11106"/>
    <cellStyle name="표준 10 10 3 2 4 2" xfId="11107"/>
    <cellStyle name="표준 10 10 3 2 5" xfId="11108"/>
    <cellStyle name="표준 10 10 3 2 5 2" xfId="11109"/>
    <cellStyle name="표준 10 10 3 2 6" xfId="11110"/>
    <cellStyle name="표준 10 10 3 2 7" xfId="11111"/>
    <cellStyle name="표준 10 10 3 3 2 2" xfId="11112"/>
    <cellStyle name="표준 10 10 3 3 3" xfId="11113"/>
    <cellStyle name="표준 10 10 3 3 3 2" xfId="11114"/>
    <cellStyle name="표준 10 10 3 3 4" xfId="11115"/>
    <cellStyle name="표준 10 10 3 3 5" xfId="11116"/>
    <cellStyle name="표준 10 10 3 4 2 2" xfId="11117"/>
    <cellStyle name="표준 10 10 3 4 3" xfId="11118"/>
    <cellStyle name="표준 10 10 3 4 3 2" xfId="11119"/>
    <cellStyle name="표준 10 10 3 4 4" xfId="11120"/>
    <cellStyle name="표준 10 10 3 4 5" xfId="11121"/>
    <cellStyle name="표준 10 10 3 5 2" xfId="11122"/>
    <cellStyle name="표준 10 10 3 6" xfId="11123"/>
    <cellStyle name="표준 10 10 3 6 2" xfId="11124"/>
    <cellStyle name="표준 10 10 3 7" xfId="11125"/>
    <cellStyle name="표준 10 10 3 8" xfId="11126"/>
    <cellStyle name="표준 10 10 4 2 2 2" xfId="11127"/>
    <cellStyle name="표준 10 10 4 2 3" xfId="11128"/>
    <cellStyle name="표준 10 10 4 2 3 2" xfId="11129"/>
    <cellStyle name="표준 10 10 4 2 4" xfId="11130"/>
    <cellStyle name="표준 10 10 4 2 5" xfId="11131"/>
    <cellStyle name="표준 10 10 4 3 2 2" xfId="11132"/>
    <cellStyle name="표준 10 10 4 3 3" xfId="11133"/>
    <cellStyle name="표준 10 10 4 3 3 2" xfId="11134"/>
    <cellStyle name="표준 10 10 4 3 4" xfId="11135"/>
    <cellStyle name="표준 10 10 4 3 5" xfId="11136"/>
    <cellStyle name="표준 10 10 4 4 2" xfId="11137"/>
    <cellStyle name="표준 10 10 4 5" xfId="11138"/>
    <cellStyle name="표준 10 10 4 5 2" xfId="11139"/>
    <cellStyle name="표준 10 10 4 6" xfId="11140"/>
    <cellStyle name="표준 10 10 4 7" xfId="11141"/>
    <cellStyle name="표준 10 10 5 2 2" xfId="11142"/>
    <cellStyle name="표준 10 10 5 3" xfId="11143"/>
    <cellStyle name="표준 10 10 5 3 2" xfId="11144"/>
    <cellStyle name="표준 10 10 5 4" xfId="11145"/>
    <cellStyle name="표준 10 10 5 5" xfId="11146"/>
    <cellStyle name="표준 10 10 6 2 2" xfId="11147"/>
    <cellStyle name="표준 10 10 6 3" xfId="11148"/>
    <cellStyle name="표준 10 10 6 3 2" xfId="11149"/>
    <cellStyle name="표준 10 10 6 4" xfId="11150"/>
    <cellStyle name="표준 10 10 6 5" xfId="11151"/>
    <cellStyle name="표준 10 10 7 2" xfId="11152"/>
    <cellStyle name="표준 10 10 8" xfId="11153"/>
    <cellStyle name="표준 10 10 8 2" xfId="11154"/>
    <cellStyle name="표준 10 10 9" xfId="11155"/>
    <cellStyle name="표준 10 11 10" xfId="11156"/>
    <cellStyle name="표준 10 11 2 2 2 2 2 2" xfId="11157"/>
    <cellStyle name="표준 10 11 2 2 2 2 3" xfId="11158"/>
    <cellStyle name="표준 10 11 2 2 2 2 3 2" xfId="11159"/>
    <cellStyle name="표준 10 11 2 2 2 2 4" xfId="11160"/>
    <cellStyle name="표준 10 11 2 2 2 2 5" xfId="11161"/>
    <cellStyle name="표준 10 11 2 2 2 3 2 2" xfId="11162"/>
    <cellStyle name="표준 10 11 2 2 2 3 3" xfId="11163"/>
    <cellStyle name="표준 10 11 2 2 2 3 3 2" xfId="11164"/>
    <cellStyle name="표준 10 11 2 2 2 3 4" xfId="11165"/>
    <cellStyle name="표준 10 11 2 2 2 3 5" xfId="11166"/>
    <cellStyle name="표준 10 11 2 2 2 4 2" xfId="11167"/>
    <cellStyle name="표준 10 11 2 2 2 5" xfId="11168"/>
    <cellStyle name="표준 10 11 2 2 2 5 2" xfId="11169"/>
    <cellStyle name="표준 10 11 2 2 2 6" xfId="11170"/>
    <cellStyle name="표준 10 11 2 2 2 7" xfId="11171"/>
    <cellStyle name="표준 10 11 2 2 3 2 2" xfId="11172"/>
    <cellStyle name="표준 10 11 2 2 3 3" xfId="11173"/>
    <cellStyle name="표준 10 11 2 2 3 3 2" xfId="11174"/>
    <cellStyle name="표준 10 11 2 2 3 4" xfId="11175"/>
    <cellStyle name="표준 10 11 2 2 3 5" xfId="11176"/>
    <cellStyle name="표준 10 11 2 2 4 2 2" xfId="11177"/>
    <cellStyle name="표준 10 11 2 2 4 3" xfId="11178"/>
    <cellStyle name="표준 10 11 2 2 4 3 2" xfId="11179"/>
    <cellStyle name="표준 10 11 2 2 4 4" xfId="11180"/>
    <cellStyle name="표준 10 11 2 2 4 5" xfId="11181"/>
    <cellStyle name="표준 10 11 2 2 5 2" xfId="11182"/>
    <cellStyle name="표준 10 11 2 2 6" xfId="11183"/>
    <cellStyle name="표준 10 11 2 2 6 2" xfId="11184"/>
    <cellStyle name="표준 10 11 2 2 7" xfId="11185"/>
    <cellStyle name="표준 10 11 2 2 8" xfId="11186"/>
    <cellStyle name="표준 10 11 2 3 2 2 2" xfId="11187"/>
    <cellStyle name="표준 10 11 2 3 2 3" xfId="11188"/>
    <cellStyle name="표준 10 11 2 3 2 3 2" xfId="11189"/>
    <cellStyle name="표준 10 11 2 3 2 4" xfId="11190"/>
    <cellStyle name="표준 10 11 2 3 2 5" xfId="11191"/>
    <cellStyle name="표준 10 11 2 3 3 2 2" xfId="11192"/>
    <cellStyle name="표준 10 11 2 3 3 3" xfId="11193"/>
    <cellStyle name="표준 10 11 2 3 3 3 2" xfId="11194"/>
    <cellStyle name="표준 10 11 2 3 3 4" xfId="11195"/>
    <cellStyle name="표준 10 11 2 3 3 5" xfId="11196"/>
    <cellStyle name="표준 10 11 2 3 4 2" xfId="11197"/>
    <cellStyle name="표준 10 11 2 3 5" xfId="11198"/>
    <cellStyle name="표준 10 11 2 3 5 2" xfId="11199"/>
    <cellStyle name="표준 10 11 2 3 6" xfId="11200"/>
    <cellStyle name="표준 10 11 2 3 7" xfId="11201"/>
    <cellStyle name="표준 10 11 2 4 2 2" xfId="11202"/>
    <cellStyle name="표준 10 11 2 4 3" xfId="11203"/>
    <cellStyle name="표준 10 11 2 4 3 2" xfId="11204"/>
    <cellStyle name="표준 10 11 2 4 4" xfId="11205"/>
    <cellStyle name="표준 10 11 2 4 5" xfId="11206"/>
    <cellStyle name="표준 10 11 2 5 2 2" xfId="11207"/>
    <cellStyle name="표준 10 11 2 5 3" xfId="11208"/>
    <cellStyle name="표준 10 11 2 5 3 2" xfId="11209"/>
    <cellStyle name="표준 10 11 2 5 4" xfId="11210"/>
    <cellStyle name="표준 10 11 2 5 5" xfId="11211"/>
    <cellStyle name="표준 10 11 2 6 2" xfId="11212"/>
    <cellStyle name="표준 10 11 2 7" xfId="11213"/>
    <cellStyle name="표준 10 11 2 7 2" xfId="11214"/>
    <cellStyle name="표준 10 11 2 8" xfId="11215"/>
    <cellStyle name="표준 10 11 2 9" xfId="11216"/>
    <cellStyle name="표준 10 11 3 2 2 2 2" xfId="11217"/>
    <cellStyle name="표준 10 11 3 2 2 3" xfId="11218"/>
    <cellStyle name="표준 10 11 3 2 2 3 2" xfId="11219"/>
    <cellStyle name="표준 10 11 3 2 2 4" xfId="11220"/>
    <cellStyle name="표준 10 11 3 2 2 5" xfId="11221"/>
    <cellStyle name="표준 10 11 3 2 3 2 2" xfId="11222"/>
    <cellStyle name="표준 10 11 3 2 3 3" xfId="11223"/>
    <cellStyle name="표준 10 11 3 2 3 3 2" xfId="11224"/>
    <cellStyle name="표준 10 11 3 2 3 4" xfId="11225"/>
    <cellStyle name="표준 10 11 3 2 3 5" xfId="11226"/>
    <cellStyle name="표준 10 11 3 2 4 2" xfId="11227"/>
    <cellStyle name="표준 10 11 3 2 5" xfId="11228"/>
    <cellStyle name="표준 10 11 3 2 5 2" xfId="11229"/>
    <cellStyle name="표준 10 11 3 2 6" xfId="11230"/>
    <cellStyle name="표준 10 11 3 2 7" xfId="11231"/>
    <cellStyle name="표준 10 11 3 3 2 2" xfId="11232"/>
    <cellStyle name="표준 10 11 3 3 3" xfId="11233"/>
    <cellStyle name="표준 10 11 3 3 3 2" xfId="11234"/>
    <cellStyle name="표준 10 11 3 3 4" xfId="11235"/>
    <cellStyle name="표준 10 11 3 3 5" xfId="11236"/>
    <cellStyle name="표준 10 11 3 4 2 2" xfId="11237"/>
    <cellStyle name="표준 10 11 3 4 3" xfId="11238"/>
    <cellStyle name="표준 10 11 3 4 3 2" xfId="11239"/>
    <cellStyle name="표준 10 11 3 4 4" xfId="11240"/>
    <cellStyle name="표준 10 11 3 4 5" xfId="11241"/>
    <cellStyle name="표준 10 11 3 5 2" xfId="11242"/>
    <cellStyle name="표준 10 11 3 6" xfId="11243"/>
    <cellStyle name="표준 10 11 3 6 2" xfId="11244"/>
    <cellStyle name="표준 10 11 3 7" xfId="11245"/>
    <cellStyle name="표준 10 11 3 8" xfId="11246"/>
    <cellStyle name="표준 10 11 4 2 2 2" xfId="11247"/>
    <cellStyle name="표준 10 11 4 2 3" xfId="11248"/>
    <cellStyle name="표준 10 11 4 2 3 2" xfId="11249"/>
    <cellStyle name="표준 10 11 4 2 4" xfId="11250"/>
    <cellStyle name="표준 10 11 4 2 5" xfId="11251"/>
    <cellStyle name="표준 10 11 4 3 2 2" xfId="11252"/>
    <cellStyle name="표준 10 11 4 3 3" xfId="11253"/>
    <cellStyle name="표준 10 11 4 3 3 2" xfId="11254"/>
    <cellStyle name="표준 10 11 4 3 4" xfId="11255"/>
    <cellStyle name="표준 10 11 4 3 5" xfId="11256"/>
    <cellStyle name="표준 10 11 4 4 2" xfId="11257"/>
    <cellStyle name="표준 10 11 4 5" xfId="11258"/>
    <cellStyle name="표준 10 11 4 5 2" xfId="11259"/>
    <cellStyle name="표준 10 11 4 6" xfId="11260"/>
    <cellStyle name="표준 10 11 4 7" xfId="11261"/>
    <cellStyle name="표준 10 11 5 2 2" xfId="11262"/>
    <cellStyle name="표준 10 11 5 3" xfId="11263"/>
    <cellStyle name="표준 10 11 5 3 2" xfId="11264"/>
    <cellStyle name="표준 10 11 5 4" xfId="11265"/>
    <cellStyle name="표준 10 11 5 5" xfId="11266"/>
    <cellStyle name="표준 10 11 6 2 2" xfId="11267"/>
    <cellStyle name="표준 10 11 6 3" xfId="11268"/>
    <cellStyle name="표준 10 11 6 3 2" xfId="11269"/>
    <cellStyle name="표준 10 11 6 4" xfId="11270"/>
    <cellStyle name="표준 10 11 6 5" xfId="11271"/>
    <cellStyle name="표준 10 11 7 2" xfId="11272"/>
    <cellStyle name="표준 10 11 8" xfId="11273"/>
    <cellStyle name="표준 10 11 8 2" xfId="11274"/>
    <cellStyle name="표준 10 11 9" xfId="11275"/>
    <cellStyle name="표준 10 12 10" xfId="11276"/>
    <cellStyle name="표준 10 12 2 2 2 2 2 2" xfId="11277"/>
    <cellStyle name="표준 10 12 2 2 2 2 3" xfId="11278"/>
    <cellStyle name="표준 10 12 2 2 2 2 3 2" xfId="11279"/>
    <cellStyle name="표준 10 12 2 2 2 2 4" xfId="11280"/>
    <cellStyle name="표준 10 12 2 2 2 2 5" xfId="11281"/>
    <cellStyle name="표준 10 12 2 2 2 3 2 2" xfId="11282"/>
    <cellStyle name="표준 10 12 2 2 2 3 3" xfId="11283"/>
    <cellStyle name="표준 10 12 2 2 2 3 3 2" xfId="11284"/>
    <cellStyle name="표준 10 12 2 2 2 3 4" xfId="11285"/>
    <cellStyle name="표준 10 12 2 2 2 3 5" xfId="11286"/>
    <cellStyle name="표준 10 12 2 2 2 4 2" xfId="11287"/>
    <cellStyle name="표준 10 12 2 2 2 5" xfId="11288"/>
    <cellStyle name="표준 10 12 2 2 2 5 2" xfId="11289"/>
    <cellStyle name="표준 10 12 2 2 2 6" xfId="11290"/>
    <cellStyle name="표준 10 12 2 2 2 7" xfId="11291"/>
    <cellStyle name="표준 10 12 2 2 3 2 2" xfId="11292"/>
    <cellStyle name="표준 10 12 2 2 3 3" xfId="11293"/>
    <cellStyle name="표준 10 12 2 2 3 3 2" xfId="11294"/>
    <cellStyle name="표준 10 12 2 2 3 4" xfId="11295"/>
    <cellStyle name="표준 10 12 2 2 3 5" xfId="11296"/>
    <cellStyle name="표준 10 12 2 2 4 2 2" xfId="11297"/>
    <cellStyle name="표준 10 12 2 2 4 3" xfId="11298"/>
    <cellStyle name="표준 10 12 2 2 4 3 2" xfId="11299"/>
    <cellStyle name="표준 10 12 2 2 4 4" xfId="11300"/>
    <cellStyle name="표준 10 12 2 2 4 5" xfId="11301"/>
    <cellStyle name="표준 10 12 2 2 5 2" xfId="11302"/>
    <cellStyle name="표준 10 12 2 2 6" xfId="11303"/>
    <cellStyle name="표준 10 12 2 2 6 2" xfId="11304"/>
    <cellStyle name="표준 10 12 2 2 7" xfId="11305"/>
    <cellStyle name="표준 10 12 2 2 8" xfId="11306"/>
    <cellStyle name="표준 10 12 2 3 2 2 2" xfId="11307"/>
    <cellStyle name="표준 10 12 2 3 2 3" xfId="11308"/>
    <cellStyle name="표준 10 12 2 3 2 3 2" xfId="11309"/>
    <cellStyle name="표준 10 12 2 3 2 4" xfId="11310"/>
    <cellStyle name="표준 10 12 2 3 2 5" xfId="11311"/>
    <cellStyle name="표준 10 12 2 3 3 2 2" xfId="11312"/>
    <cellStyle name="표준 10 12 2 3 3 3" xfId="11313"/>
    <cellStyle name="표준 10 12 2 3 3 3 2" xfId="11314"/>
    <cellStyle name="표준 10 12 2 3 3 4" xfId="11315"/>
    <cellStyle name="표준 10 12 2 3 3 5" xfId="11316"/>
    <cellStyle name="표준 10 12 2 3 4 2" xfId="11317"/>
    <cellStyle name="표준 10 12 2 3 5" xfId="11318"/>
    <cellStyle name="표준 10 12 2 3 5 2" xfId="11319"/>
    <cellStyle name="표준 10 12 2 3 6" xfId="11320"/>
    <cellStyle name="표준 10 12 2 3 7" xfId="11321"/>
    <cellStyle name="표준 10 12 2 4 2 2" xfId="11322"/>
    <cellStyle name="표준 10 12 2 4 3" xfId="11323"/>
    <cellStyle name="표준 10 12 2 4 3 2" xfId="11324"/>
    <cellStyle name="표준 10 12 2 4 4" xfId="11325"/>
    <cellStyle name="표준 10 12 2 4 5" xfId="11326"/>
    <cellStyle name="표준 10 12 2 5 2 2" xfId="11327"/>
    <cellStyle name="표준 10 12 2 5 3" xfId="11328"/>
    <cellStyle name="표준 10 12 2 5 3 2" xfId="11329"/>
    <cellStyle name="표준 10 12 2 5 4" xfId="11330"/>
    <cellStyle name="표준 10 12 2 5 5" xfId="11331"/>
    <cellStyle name="표준 10 12 2 6 2" xfId="11332"/>
    <cellStyle name="표준 10 12 2 7" xfId="11333"/>
    <cellStyle name="표준 10 12 2 7 2" xfId="11334"/>
    <cellStyle name="표준 10 12 2 8" xfId="11335"/>
    <cellStyle name="표준 10 12 2 9" xfId="11336"/>
    <cellStyle name="표준 10 12 3 2 2 2 2" xfId="11337"/>
    <cellStyle name="표준 10 12 3 2 2 3" xfId="11338"/>
    <cellStyle name="표준 10 12 3 2 2 3 2" xfId="11339"/>
    <cellStyle name="표준 10 12 3 2 2 4" xfId="11340"/>
    <cellStyle name="표준 10 12 3 2 2 5" xfId="11341"/>
    <cellStyle name="표준 10 12 3 2 3 2 2" xfId="11342"/>
    <cellStyle name="표준 10 12 3 2 3 3" xfId="11343"/>
    <cellStyle name="표준 10 12 3 2 3 3 2" xfId="11344"/>
    <cellStyle name="표준 10 12 3 2 3 4" xfId="11345"/>
    <cellStyle name="표준 10 12 3 2 3 5" xfId="11346"/>
    <cellStyle name="표준 10 12 3 2 4 2" xfId="11347"/>
    <cellStyle name="표준 10 12 3 2 5" xfId="11348"/>
    <cellStyle name="표준 10 12 3 2 5 2" xfId="11349"/>
    <cellStyle name="표준 10 12 3 2 6" xfId="11350"/>
    <cellStyle name="표준 10 12 3 2 7" xfId="11351"/>
    <cellStyle name="표준 10 12 3 3 2 2" xfId="11352"/>
    <cellStyle name="표준 10 12 3 3 3" xfId="11353"/>
    <cellStyle name="표준 10 12 3 3 3 2" xfId="11354"/>
    <cellStyle name="표준 10 12 3 3 4" xfId="11355"/>
    <cellStyle name="표준 10 12 3 3 5" xfId="11356"/>
    <cellStyle name="표준 10 12 3 4 2 2" xfId="11357"/>
    <cellStyle name="표준 10 12 3 4 3" xfId="11358"/>
    <cellStyle name="표준 10 12 3 4 3 2" xfId="11359"/>
    <cellStyle name="표준 10 12 3 4 4" xfId="11360"/>
    <cellStyle name="표준 10 12 3 4 5" xfId="11361"/>
    <cellStyle name="표준 10 12 3 5 2" xfId="11362"/>
    <cellStyle name="표준 10 12 3 6" xfId="11363"/>
    <cellStyle name="표준 10 12 3 6 2" xfId="11364"/>
    <cellStyle name="표준 10 12 3 7" xfId="11365"/>
    <cellStyle name="표준 10 12 3 8" xfId="11366"/>
    <cellStyle name="표준 10 12 4 2 2 2" xfId="11367"/>
    <cellStyle name="표준 10 12 4 2 3" xfId="11368"/>
    <cellStyle name="표준 10 12 4 2 3 2" xfId="11369"/>
    <cellStyle name="표준 10 12 4 2 4" xfId="11370"/>
    <cellStyle name="표준 10 12 4 2 5" xfId="11371"/>
    <cellStyle name="표준 10 12 4 3 2 2" xfId="11372"/>
    <cellStyle name="표준 10 12 4 3 3" xfId="11373"/>
    <cellStyle name="표준 10 12 4 3 3 2" xfId="11374"/>
    <cellStyle name="표준 10 12 4 3 4" xfId="11375"/>
    <cellStyle name="표준 10 12 4 3 5" xfId="11376"/>
    <cellStyle name="표준 10 12 4 4 2" xfId="11377"/>
    <cellStyle name="표준 10 12 4 5" xfId="11378"/>
    <cellStyle name="표준 10 12 4 5 2" xfId="11379"/>
    <cellStyle name="표준 10 12 4 6" xfId="11380"/>
    <cellStyle name="표준 10 12 4 7" xfId="11381"/>
    <cellStyle name="표준 10 12 5 2 2" xfId="11382"/>
    <cellStyle name="표준 10 12 5 3" xfId="11383"/>
    <cellStyle name="표준 10 12 5 3 2" xfId="11384"/>
    <cellStyle name="표준 10 12 5 4" xfId="11385"/>
    <cellStyle name="표준 10 12 5 5" xfId="11386"/>
    <cellStyle name="표준 10 12 6 2 2" xfId="11387"/>
    <cellStyle name="표준 10 12 6 3" xfId="11388"/>
    <cellStyle name="표준 10 12 6 3 2" xfId="11389"/>
    <cellStyle name="표준 10 12 6 4" xfId="11390"/>
    <cellStyle name="표준 10 12 6 5" xfId="11391"/>
    <cellStyle name="표준 10 12 7 2" xfId="11392"/>
    <cellStyle name="표준 10 12 8" xfId="11393"/>
    <cellStyle name="표준 10 12 8 2" xfId="11394"/>
    <cellStyle name="표준 10 12 9" xfId="11395"/>
    <cellStyle name="표준 10 14 2 2 2 2 2" xfId="11396"/>
    <cellStyle name="표준 10 14 2 2 2 3" xfId="11397"/>
    <cellStyle name="표준 10 14 2 2 2 3 2" xfId="11398"/>
    <cellStyle name="표준 10 14 2 2 2 4" xfId="11399"/>
    <cellStyle name="표준 10 14 2 2 2 5" xfId="11400"/>
    <cellStyle name="표준 10 14 2 2 3 2 2" xfId="11401"/>
    <cellStyle name="표준 10 14 2 2 3 3" xfId="11402"/>
    <cellStyle name="표준 10 14 2 2 3 3 2" xfId="11403"/>
    <cellStyle name="표준 10 14 2 2 3 4" xfId="11404"/>
    <cellStyle name="표준 10 14 2 2 3 5" xfId="11405"/>
    <cellStyle name="표준 10 14 2 2 4 2" xfId="11406"/>
    <cellStyle name="표준 10 14 2 2 5" xfId="11407"/>
    <cellStyle name="표준 10 14 2 2 5 2" xfId="11408"/>
    <cellStyle name="표준 10 14 2 2 6" xfId="11409"/>
    <cellStyle name="표준 10 14 2 2 7" xfId="11410"/>
    <cellStyle name="표준 10 14 2 3 2 2" xfId="11411"/>
    <cellStyle name="표준 10 14 2 3 3" xfId="11412"/>
    <cellStyle name="표준 10 14 2 3 3 2" xfId="11413"/>
    <cellStyle name="표준 10 14 2 3 4" xfId="11414"/>
    <cellStyle name="표준 10 14 2 3 5" xfId="11415"/>
    <cellStyle name="표준 10 14 2 4 2 2" xfId="11416"/>
    <cellStyle name="표준 10 14 2 4 3" xfId="11417"/>
    <cellStyle name="표준 10 14 2 4 3 2" xfId="11418"/>
    <cellStyle name="표준 10 14 2 4 4" xfId="11419"/>
    <cellStyle name="표준 10 14 2 4 5" xfId="11420"/>
    <cellStyle name="표준 10 14 2 5 2" xfId="11421"/>
    <cellStyle name="표준 10 14 2 6" xfId="11422"/>
    <cellStyle name="표준 10 14 2 6 2" xfId="11423"/>
    <cellStyle name="표준 10 14 2 7" xfId="11424"/>
    <cellStyle name="표준 10 14 2 8" xfId="11425"/>
    <cellStyle name="표준 10 14 3 2 2 2" xfId="11426"/>
    <cellStyle name="표준 10 14 3 2 3" xfId="11427"/>
    <cellStyle name="표준 10 14 3 2 3 2" xfId="11428"/>
    <cellStyle name="표준 10 14 3 2 4" xfId="11429"/>
    <cellStyle name="표준 10 14 3 2 5" xfId="11430"/>
    <cellStyle name="표준 10 14 3 3 2 2" xfId="11431"/>
    <cellStyle name="표준 10 14 3 3 3" xfId="11432"/>
    <cellStyle name="표준 10 14 3 3 3 2" xfId="11433"/>
    <cellStyle name="표준 10 14 3 3 4" xfId="11434"/>
    <cellStyle name="표준 10 14 3 3 5" xfId="11435"/>
    <cellStyle name="표준 10 14 3 4 2" xfId="11436"/>
    <cellStyle name="표준 10 14 3 5" xfId="11437"/>
    <cellStyle name="표준 10 14 3 5 2" xfId="11438"/>
    <cellStyle name="표준 10 14 3 6" xfId="11439"/>
    <cellStyle name="표준 10 14 3 7" xfId="11440"/>
    <cellStyle name="표준 10 14 4 2 2" xfId="11441"/>
    <cellStyle name="표준 10 14 4 3" xfId="11442"/>
    <cellStyle name="표준 10 14 4 3 2" xfId="11443"/>
    <cellStyle name="표준 10 14 4 4" xfId="11444"/>
    <cellStyle name="표준 10 14 4 5" xfId="11445"/>
    <cellStyle name="표준 10 14 5 2 2" xfId="11446"/>
    <cellStyle name="표준 10 14 5 3" xfId="11447"/>
    <cellStyle name="표준 10 14 5 3 2" xfId="11448"/>
    <cellStyle name="표준 10 14 5 4" xfId="11449"/>
    <cellStyle name="표준 10 14 5 5" xfId="11450"/>
    <cellStyle name="표준 10 14 6 2" xfId="11451"/>
    <cellStyle name="표준 10 14 7" xfId="11452"/>
    <cellStyle name="표준 10 14 7 2" xfId="11453"/>
    <cellStyle name="표준 10 14 8" xfId="11454"/>
    <cellStyle name="표준 10 14 9" xfId="11455"/>
    <cellStyle name="표준 10 15 2 2 2 2" xfId="11456"/>
    <cellStyle name="표준 10 15 2 2 3" xfId="11457"/>
    <cellStyle name="표준 10 15 2 2 3 2" xfId="11458"/>
    <cellStyle name="표준 10 15 2 2 4" xfId="11459"/>
    <cellStyle name="표준 10 15 2 2 5" xfId="11460"/>
    <cellStyle name="표준 10 15 2 3 2 2" xfId="11461"/>
    <cellStyle name="표준 10 15 2 3 3" xfId="11462"/>
    <cellStyle name="표준 10 15 2 3 3 2" xfId="11463"/>
    <cellStyle name="표준 10 15 2 3 4" xfId="11464"/>
    <cellStyle name="표준 10 15 2 3 5" xfId="11465"/>
    <cellStyle name="표준 10 15 2 4 2" xfId="11466"/>
    <cellStyle name="표준 10 15 2 5" xfId="11467"/>
    <cellStyle name="표준 10 15 2 5 2" xfId="11468"/>
    <cellStyle name="표준 10 15 2 6" xfId="11469"/>
    <cellStyle name="표준 10 15 2 7" xfId="11470"/>
    <cellStyle name="표준 10 15 3 2 2" xfId="11471"/>
    <cellStyle name="표준 10 15 3 3" xfId="11472"/>
    <cellStyle name="표준 10 15 3 3 2" xfId="11473"/>
    <cellStyle name="표준 10 15 3 4" xfId="11474"/>
    <cellStyle name="표준 10 15 3 5" xfId="11475"/>
    <cellStyle name="표준 10 15 4 2 2" xfId="11476"/>
    <cellStyle name="표준 10 15 4 3" xfId="11477"/>
    <cellStyle name="표준 10 15 4 3 2" xfId="11478"/>
    <cellStyle name="표준 10 15 4 4" xfId="11479"/>
    <cellStyle name="표준 10 15 4 5" xfId="11480"/>
    <cellStyle name="표준 10 15 5 2" xfId="11481"/>
    <cellStyle name="표준 10 15 6" xfId="11482"/>
    <cellStyle name="표준 10 15 6 2" xfId="11483"/>
    <cellStyle name="표준 10 15 7" xfId="11484"/>
    <cellStyle name="표준 10 15 8" xfId="11485"/>
    <cellStyle name="표준 10 16 2 2 2" xfId="11486"/>
    <cellStyle name="표준 10 16 2 3" xfId="11487"/>
    <cellStyle name="표준 10 16 2 3 2" xfId="11488"/>
    <cellStyle name="표준 10 16 2 4" xfId="11489"/>
    <cellStyle name="표준 10 16 2 5" xfId="11490"/>
    <cellStyle name="표준 10 16 3 2 2" xfId="11491"/>
    <cellStyle name="표준 10 16 3 3" xfId="11492"/>
    <cellStyle name="표준 10 16 3 3 2" xfId="11493"/>
    <cellStyle name="표준 10 16 3 4" xfId="11494"/>
    <cellStyle name="표준 10 16 3 5" xfId="11495"/>
    <cellStyle name="표준 10 16 4 2" xfId="11496"/>
    <cellStyle name="표준 10 16 5" xfId="11497"/>
    <cellStyle name="표준 10 16 5 2" xfId="11498"/>
    <cellStyle name="표준 10 16 6" xfId="11499"/>
    <cellStyle name="표준 10 16 7" xfId="11500"/>
    <cellStyle name="표준 10 17 2 2" xfId="11501"/>
    <cellStyle name="표준 10 17 3" xfId="11502"/>
    <cellStyle name="표준 10 17 3 2" xfId="11503"/>
    <cellStyle name="표준 10 17 4" xfId="11504"/>
    <cellStyle name="표준 10 17 5" xfId="11505"/>
    <cellStyle name="표준 10 18 2 2" xfId="11506"/>
    <cellStyle name="표준 10 18 3" xfId="11507"/>
    <cellStyle name="표준 10 18 3 2" xfId="11508"/>
    <cellStyle name="표준 10 18 4" xfId="11509"/>
    <cellStyle name="표준 10 18 5" xfId="11510"/>
    <cellStyle name="표준 10 19 2" xfId="11511"/>
    <cellStyle name="표준 10 2 10 2" xfId="11512"/>
    <cellStyle name="표준 10 2 11" xfId="11513"/>
    <cellStyle name="표준 10 2 11 2" xfId="11514"/>
    <cellStyle name="표준 10 2 12" xfId="11515"/>
    <cellStyle name="표준 10 2 13" xfId="11516"/>
    <cellStyle name="표준 10 2 2 10" xfId="11517"/>
    <cellStyle name="표준 10 2 2 2 2 2 2 2 2" xfId="11518"/>
    <cellStyle name="표준 10 2 2 2 2 2 2 3" xfId="11519"/>
    <cellStyle name="표준 10 2 2 2 2 2 2 3 2" xfId="11520"/>
    <cellStyle name="표준 10 2 2 2 2 2 2 4" xfId="11521"/>
    <cellStyle name="표준 10 2 2 2 2 2 2 5" xfId="11522"/>
    <cellStyle name="표준 10 2 2 2 2 2 3 2 2" xfId="11523"/>
    <cellStyle name="표준 10 2 2 2 2 2 3 3" xfId="11524"/>
    <cellStyle name="표준 10 2 2 2 2 2 3 3 2" xfId="11525"/>
    <cellStyle name="표준 10 2 2 2 2 2 3 4" xfId="11526"/>
    <cellStyle name="표준 10 2 2 2 2 2 3 5" xfId="11527"/>
    <cellStyle name="표준 10 2 2 2 2 2 4 2" xfId="11528"/>
    <cellStyle name="표준 10 2 2 2 2 2 5" xfId="11529"/>
    <cellStyle name="표준 10 2 2 2 2 2 5 2" xfId="11530"/>
    <cellStyle name="표준 10 2 2 2 2 2 6" xfId="11531"/>
    <cellStyle name="표준 10 2 2 2 2 2 7" xfId="11532"/>
    <cellStyle name="표준 10 2 2 2 2 3 2 2" xfId="11533"/>
    <cellStyle name="표준 10 2 2 2 2 3 3" xfId="11534"/>
    <cellStyle name="표준 10 2 2 2 2 3 3 2" xfId="11535"/>
    <cellStyle name="표준 10 2 2 2 2 3 4" xfId="11536"/>
    <cellStyle name="표준 10 2 2 2 2 3 5" xfId="11537"/>
    <cellStyle name="표준 10 2 2 2 2 4 2 2" xfId="11538"/>
    <cellStyle name="표준 10 2 2 2 2 4 3" xfId="11539"/>
    <cellStyle name="표준 10 2 2 2 2 4 3 2" xfId="11540"/>
    <cellStyle name="표준 10 2 2 2 2 4 4" xfId="11541"/>
    <cellStyle name="표준 10 2 2 2 2 4 5" xfId="11542"/>
    <cellStyle name="표준 10 2 2 2 2 5 2" xfId="11543"/>
    <cellStyle name="표준 10 2 2 2 2 6" xfId="11544"/>
    <cellStyle name="표준 10 2 2 2 2 6 2" xfId="11545"/>
    <cellStyle name="표준 10 2 2 2 2 7" xfId="11546"/>
    <cellStyle name="표준 10 2 2 2 2 8" xfId="11547"/>
    <cellStyle name="표준 10 2 2 2 3 2 2 2" xfId="11548"/>
    <cellStyle name="표준 10 2 2 2 3 2 3" xfId="11549"/>
    <cellStyle name="표준 10 2 2 2 3 2 3 2" xfId="11550"/>
    <cellStyle name="표준 10 2 2 2 3 2 4" xfId="11551"/>
    <cellStyle name="표준 10 2 2 2 3 2 5" xfId="11552"/>
    <cellStyle name="표준 10 2 2 2 3 3 2 2" xfId="11553"/>
    <cellStyle name="표준 10 2 2 2 3 3 3" xfId="11554"/>
    <cellStyle name="표준 10 2 2 2 3 3 3 2" xfId="11555"/>
    <cellStyle name="표준 10 2 2 2 3 3 4" xfId="11556"/>
    <cellStyle name="표준 10 2 2 2 3 3 5" xfId="11557"/>
    <cellStyle name="표준 10 2 2 2 3 4 2" xfId="11558"/>
    <cellStyle name="표준 10 2 2 2 3 5" xfId="11559"/>
    <cellStyle name="표준 10 2 2 2 3 5 2" xfId="11560"/>
    <cellStyle name="표준 10 2 2 2 3 6" xfId="11561"/>
    <cellStyle name="표준 10 2 2 2 3 7" xfId="11562"/>
    <cellStyle name="표준 10 2 2 2 4 2 2" xfId="11563"/>
    <cellStyle name="표준 10 2 2 2 4 3" xfId="11564"/>
    <cellStyle name="표준 10 2 2 2 4 3 2" xfId="11565"/>
    <cellStyle name="표준 10 2 2 2 4 4" xfId="11566"/>
    <cellStyle name="표준 10 2 2 2 4 5" xfId="11567"/>
    <cellStyle name="표준 10 2 2 2 5 2 2" xfId="11568"/>
    <cellStyle name="표준 10 2 2 2 5 3" xfId="11569"/>
    <cellStyle name="표준 10 2 2 2 5 3 2" xfId="11570"/>
    <cellStyle name="표준 10 2 2 2 5 4" xfId="11571"/>
    <cellStyle name="표준 10 2 2 2 5 5" xfId="11572"/>
    <cellStyle name="표준 10 2 2 2 6 2" xfId="11573"/>
    <cellStyle name="표준 10 2 2 2 7" xfId="11574"/>
    <cellStyle name="표준 10 2 2 2 7 2" xfId="11575"/>
    <cellStyle name="표준 10 2 2 2 8" xfId="11576"/>
    <cellStyle name="표준 10 2 2 2 9" xfId="11577"/>
    <cellStyle name="표준 10 2 2 3 2 2 2 2" xfId="11578"/>
    <cellStyle name="표준 10 2 2 3 2 2 3" xfId="11579"/>
    <cellStyle name="표준 10 2 2 3 2 2 3 2" xfId="11580"/>
    <cellStyle name="표준 10 2 2 3 2 2 4" xfId="11581"/>
    <cellStyle name="표준 10 2 2 3 2 2 5" xfId="11582"/>
    <cellStyle name="표준 10 2 2 3 2 3 2 2" xfId="11583"/>
    <cellStyle name="표준 10 2 2 3 2 3 3" xfId="11584"/>
    <cellStyle name="표준 10 2 2 3 2 3 3 2" xfId="11585"/>
    <cellStyle name="표준 10 2 2 3 2 3 4" xfId="11586"/>
    <cellStyle name="표준 10 2 2 3 2 3 5" xfId="11587"/>
    <cellStyle name="표준 10 2 2 3 2 4 2" xfId="11588"/>
    <cellStyle name="표준 10 2 2 3 2 5" xfId="11589"/>
    <cellStyle name="표준 10 2 2 3 2 5 2" xfId="11590"/>
    <cellStyle name="표준 10 2 2 3 2 6" xfId="11591"/>
    <cellStyle name="표준 10 2 2 3 2 7" xfId="11592"/>
    <cellStyle name="표준 10 2 2 3 3 2 2" xfId="11593"/>
    <cellStyle name="표준 10 2 2 3 3 3" xfId="11594"/>
    <cellStyle name="표준 10 2 2 3 3 3 2" xfId="11595"/>
    <cellStyle name="표준 10 2 2 3 3 4" xfId="11596"/>
    <cellStyle name="표준 10 2 2 3 3 5" xfId="11597"/>
    <cellStyle name="표준 10 2 2 3 4 2 2" xfId="11598"/>
    <cellStyle name="표준 10 2 2 3 4 3" xfId="11599"/>
    <cellStyle name="표준 10 2 2 3 4 3 2" xfId="11600"/>
    <cellStyle name="표준 10 2 2 3 4 4" xfId="11601"/>
    <cellStyle name="표준 10 2 2 3 4 5" xfId="11602"/>
    <cellStyle name="표준 10 2 2 3 5 2" xfId="11603"/>
    <cellStyle name="표준 10 2 2 3 6" xfId="11604"/>
    <cellStyle name="표준 10 2 2 3 6 2" xfId="11605"/>
    <cellStyle name="표준 10 2 2 3 7" xfId="11606"/>
    <cellStyle name="표준 10 2 2 3 8" xfId="11607"/>
    <cellStyle name="표준 10 2 2 4 2 2 2" xfId="11608"/>
    <cellStyle name="표준 10 2 2 4 2 3" xfId="11609"/>
    <cellStyle name="표준 10 2 2 4 2 3 2" xfId="11610"/>
    <cellStyle name="표준 10 2 2 4 2 4" xfId="11611"/>
    <cellStyle name="표준 10 2 2 4 2 5" xfId="11612"/>
    <cellStyle name="표준 10 2 2 4 3 2 2" xfId="11613"/>
    <cellStyle name="표준 10 2 2 4 3 3" xfId="11614"/>
    <cellStyle name="표준 10 2 2 4 3 3 2" xfId="11615"/>
    <cellStyle name="표준 10 2 2 4 3 4" xfId="11616"/>
    <cellStyle name="표준 10 2 2 4 3 5" xfId="11617"/>
    <cellStyle name="표준 10 2 2 4 4 2" xfId="11618"/>
    <cellStyle name="표준 10 2 2 4 5" xfId="11619"/>
    <cellStyle name="표준 10 2 2 4 5 2" xfId="11620"/>
    <cellStyle name="표준 10 2 2 4 6" xfId="11621"/>
    <cellStyle name="표준 10 2 2 4 7" xfId="11622"/>
    <cellStyle name="표준 10 2 2 5 2 2" xfId="11623"/>
    <cellStyle name="표준 10 2 2 5 3" xfId="11624"/>
    <cellStyle name="표준 10 2 2 5 3 2" xfId="11625"/>
    <cellStyle name="표준 10 2 2 5 4" xfId="11626"/>
    <cellStyle name="표준 10 2 2 5 5" xfId="11627"/>
    <cellStyle name="표준 10 2 2 6 2 2" xfId="11628"/>
    <cellStyle name="표준 10 2 2 6 3" xfId="11629"/>
    <cellStyle name="표준 10 2 2 6 3 2" xfId="11630"/>
    <cellStyle name="표준 10 2 2 6 4" xfId="11631"/>
    <cellStyle name="표준 10 2 2 6 5" xfId="11632"/>
    <cellStyle name="표준 10 2 2 7 2" xfId="11633"/>
    <cellStyle name="표준 10 2 2 8" xfId="11634"/>
    <cellStyle name="표준 10 2 2 8 2" xfId="11635"/>
    <cellStyle name="표준 10 2 2 9" xfId="11636"/>
    <cellStyle name="표준 10 2 3 10" xfId="11637"/>
    <cellStyle name="표준 10 2 3 2 2 2 2 2 2" xfId="11638"/>
    <cellStyle name="표준 10 2 3 2 2 2 2 3" xfId="11639"/>
    <cellStyle name="표준 10 2 3 2 2 2 2 3 2" xfId="11640"/>
    <cellStyle name="표준 10 2 3 2 2 2 2 4" xfId="11641"/>
    <cellStyle name="표준 10 2 3 2 2 2 2 5" xfId="11642"/>
    <cellStyle name="표준 10 2 3 2 2 2 3 2 2" xfId="11643"/>
    <cellStyle name="표준 10 2 3 2 2 2 3 3" xfId="11644"/>
    <cellStyle name="표준 10 2 3 2 2 2 3 3 2" xfId="11645"/>
    <cellStyle name="표준 10 2 3 2 2 2 3 4" xfId="11646"/>
    <cellStyle name="표준 10 2 3 2 2 2 3 5" xfId="11647"/>
    <cellStyle name="표준 10 2 3 2 2 2 4 2" xfId="11648"/>
    <cellStyle name="표준 10 2 3 2 2 2 5" xfId="11649"/>
    <cellStyle name="표준 10 2 3 2 2 2 5 2" xfId="11650"/>
    <cellStyle name="표준 10 2 3 2 2 2 6" xfId="11651"/>
    <cellStyle name="표준 10 2 3 2 2 2 7" xfId="11652"/>
    <cellStyle name="표준 10 2 3 2 2 3 2 2" xfId="11653"/>
    <cellStyle name="표준 10 2 3 2 2 3 3" xfId="11654"/>
    <cellStyle name="표준 10 2 3 2 2 3 3 2" xfId="11655"/>
    <cellStyle name="표준 10 2 3 2 2 3 4" xfId="11656"/>
    <cellStyle name="표준 10 2 3 2 2 3 5" xfId="11657"/>
    <cellStyle name="표준 10 2 3 2 2 4 2 2" xfId="11658"/>
    <cellStyle name="표준 10 2 3 2 2 4 3" xfId="11659"/>
    <cellStyle name="표준 10 2 3 2 2 4 3 2" xfId="11660"/>
    <cellStyle name="표준 10 2 3 2 2 4 4" xfId="11661"/>
    <cellStyle name="표준 10 2 3 2 2 4 5" xfId="11662"/>
    <cellStyle name="표준 10 2 3 2 2 5 2" xfId="11663"/>
    <cellStyle name="표준 10 2 3 2 2 6" xfId="11664"/>
    <cellStyle name="표준 10 2 3 2 2 6 2" xfId="11665"/>
    <cellStyle name="표준 10 2 3 2 2 7" xfId="11666"/>
    <cellStyle name="표준 10 2 3 2 2 8" xfId="11667"/>
    <cellStyle name="표준 10 2 3 2 3 2 2 2" xfId="11668"/>
    <cellStyle name="표준 10 2 3 2 3 2 3" xfId="11669"/>
    <cellStyle name="표준 10 2 3 2 3 2 3 2" xfId="11670"/>
    <cellStyle name="표준 10 2 3 2 3 2 4" xfId="11671"/>
    <cellStyle name="표준 10 2 3 2 3 2 5" xfId="11672"/>
    <cellStyle name="표준 10 2 3 2 3 3 2 2" xfId="11673"/>
    <cellStyle name="표준 10 2 3 2 3 3 3" xfId="11674"/>
    <cellStyle name="표준 10 2 3 2 3 3 3 2" xfId="11675"/>
    <cellStyle name="표준 10 2 3 2 3 3 4" xfId="11676"/>
    <cellStyle name="표준 10 2 3 2 3 3 5" xfId="11677"/>
    <cellStyle name="표준 10 2 3 2 3 4 2" xfId="11678"/>
    <cellStyle name="표준 10 2 3 2 3 5" xfId="11679"/>
    <cellStyle name="표준 10 2 3 2 3 5 2" xfId="11680"/>
    <cellStyle name="표준 10 2 3 2 3 6" xfId="11681"/>
    <cellStyle name="표준 10 2 3 2 3 7" xfId="11682"/>
    <cellStyle name="표준 10 2 3 2 4 2 2" xfId="11683"/>
    <cellStyle name="표준 10 2 3 2 4 3" xfId="11684"/>
    <cellStyle name="표준 10 2 3 2 4 3 2" xfId="11685"/>
    <cellStyle name="표준 10 2 3 2 4 4" xfId="11686"/>
    <cellStyle name="표준 10 2 3 2 4 5" xfId="11687"/>
    <cellStyle name="표준 10 2 3 2 5 2 2" xfId="11688"/>
    <cellStyle name="표준 10 2 3 2 5 3" xfId="11689"/>
    <cellStyle name="표준 10 2 3 2 5 3 2" xfId="11690"/>
    <cellStyle name="표준 10 2 3 2 5 4" xfId="11691"/>
    <cellStyle name="표준 10 2 3 2 5 5" xfId="11692"/>
    <cellStyle name="표준 10 2 3 2 6 2" xfId="11693"/>
    <cellStyle name="표준 10 2 3 2 7" xfId="11694"/>
    <cellStyle name="표준 10 2 3 2 7 2" xfId="11695"/>
    <cellStyle name="표준 10 2 3 2 8" xfId="11696"/>
    <cellStyle name="표준 10 2 3 2 9" xfId="11697"/>
    <cellStyle name="표준 10 2 3 3 2 2 2 2" xfId="11698"/>
    <cellStyle name="표준 10 2 3 3 2 2 3" xfId="11699"/>
    <cellStyle name="표준 10 2 3 3 2 2 3 2" xfId="11700"/>
    <cellStyle name="표준 10 2 3 3 2 2 4" xfId="11701"/>
    <cellStyle name="표준 10 2 3 3 2 2 5" xfId="11702"/>
    <cellStyle name="표준 10 2 3 3 2 3 2 2" xfId="11703"/>
    <cellStyle name="표준 10 2 3 3 2 3 3" xfId="11704"/>
    <cellStyle name="표준 10 2 3 3 2 3 3 2" xfId="11705"/>
    <cellStyle name="표준 10 2 3 3 2 3 4" xfId="11706"/>
    <cellStyle name="표준 10 2 3 3 2 3 5" xfId="11707"/>
    <cellStyle name="표준 10 2 3 3 2 4 2" xfId="11708"/>
    <cellStyle name="표준 10 2 3 3 2 5" xfId="11709"/>
    <cellStyle name="표준 10 2 3 3 2 5 2" xfId="11710"/>
    <cellStyle name="표준 10 2 3 3 2 6" xfId="11711"/>
    <cellStyle name="표준 10 2 3 3 2 7" xfId="11712"/>
    <cellStyle name="표준 10 2 3 3 3 2 2" xfId="11713"/>
    <cellStyle name="표준 10 2 3 3 3 3" xfId="11714"/>
    <cellStyle name="표준 10 2 3 3 3 3 2" xfId="11715"/>
    <cellStyle name="표준 10 2 3 3 3 4" xfId="11716"/>
    <cellStyle name="표준 10 2 3 3 3 5" xfId="11717"/>
    <cellStyle name="표준 10 2 3 3 4 2 2" xfId="11718"/>
    <cellStyle name="표준 10 2 3 3 4 3" xfId="11719"/>
    <cellStyle name="표준 10 2 3 3 4 3 2" xfId="11720"/>
    <cellStyle name="표준 10 2 3 3 4 4" xfId="11721"/>
    <cellStyle name="표준 10 2 3 3 4 5" xfId="11722"/>
    <cellStyle name="표준 10 2 3 3 5 2" xfId="11723"/>
    <cellStyle name="표준 10 2 3 3 6" xfId="11724"/>
    <cellStyle name="표준 10 2 3 3 6 2" xfId="11725"/>
    <cellStyle name="표준 10 2 3 3 7" xfId="11726"/>
    <cellStyle name="표준 10 2 3 3 8" xfId="11727"/>
    <cellStyle name="표준 10 2 3 4 2 2 2" xfId="11728"/>
    <cellStyle name="표준 10 2 3 4 2 3" xfId="11729"/>
    <cellStyle name="표준 10 2 3 4 2 3 2" xfId="11730"/>
    <cellStyle name="표준 10 2 3 4 2 4" xfId="11731"/>
    <cellStyle name="표준 10 2 3 4 2 5" xfId="11732"/>
    <cellStyle name="표준 10 2 3 4 3 2 2" xfId="11733"/>
    <cellStyle name="표준 10 2 3 4 3 3" xfId="11734"/>
    <cellStyle name="표준 10 2 3 4 3 3 2" xfId="11735"/>
    <cellStyle name="표준 10 2 3 4 3 4" xfId="11736"/>
    <cellStyle name="표준 10 2 3 4 3 5" xfId="11737"/>
    <cellStyle name="표준 10 2 3 4 4 2" xfId="11738"/>
    <cellStyle name="표준 10 2 3 4 5" xfId="11739"/>
    <cellStyle name="표준 10 2 3 4 5 2" xfId="11740"/>
    <cellStyle name="표준 10 2 3 4 6" xfId="11741"/>
    <cellStyle name="표준 10 2 3 4 7" xfId="11742"/>
    <cellStyle name="표준 10 2 3 5 2 2" xfId="11743"/>
    <cellStyle name="표준 10 2 3 5 3" xfId="11744"/>
    <cellStyle name="표준 10 2 3 5 3 2" xfId="11745"/>
    <cellStyle name="표준 10 2 3 5 4" xfId="11746"/>
    <cellStyle name="표준 10 2 3 5 5" xfId="11747"/>
    <cellStyle name="표준 10 2 3 6 2 2" xfId="11748"/>
    <cellStyle name="표준 10 2 3 6 3" xfId="11749"/>
    <cellStyle name="표준 10 2 3 6 3 2" xfId="11750"/>
    <cellStyle name="표준 10 2 3 6 4" xfId="11751"/>
    <cellStyle name="표준 10 2 3 6 5" xfId="11752"/>
    <cellStyle name="표준 10 2 3 7 2" xfId="11753"/>
    <cellStyle name="표준 10 2 3 8" xfId="11754"/>
    <cellStyle name="표준 10 2 3 8 2" xfId="11755"/>
    <cellStyle name="표준 10 2 3 9" xfId="11756"/>
    <cellStyle name="표준 10 2 4 10" xfId="11757"/>
    <cellStyle name="표준 10 2 4 2 2 2 2 2 2" xfId="11758"/>
    <cellStyle name="표준 10 2 4 2 2 2 2 3" xfId="11759"/>
    <cellStyle name="표준 10 2 4 2 2 2 2 3 2" xfId="11760"/>
    <cellStyle name="표준 10 2 4 2 2 2 2 4" xfId="11761"/>
    <cellStyle name="표준 10 2 4 2 2 2 2 5" xfId="11762"/>
    <cellStyle name="표준 10 2 4 2 2 2 3 2 2" xfId="11763"/>
    <cellStyle name="표준 10 2 4 2 2 2 3 3" xfId="11764"/>
    <cellStyle name="표준 10 2 4 2 2 2 3 3 2" xfId="11765"/>
    <cellStyle name="표준 10 2 4 2 2 2 3 4" xfId="11766"/>
    <cellStyle name="표준 10 2 4 2 2 2 3 5" xfId="11767"/>
    <cellStyle name="표준 10 2 4 2 2 2 4 2" xfId="11768"/>
    <cellStyle name="표준 10 2 4 2 2 2 5" xfId="11769"/>
    <cellStyle name="표준 10 2 4 2 2 2 5 2" xfId="11770"/>
    <cellStyle name="표준 10 2 4 2 2 2 6" xfId="11771"/>
    <cellStyle name="표준 10 2 4 2 2 2 7" xfId="11772"/>
    <cellStyle name="표준 10 2 4 2 2 3 2 2" xfId="11773"/>
    <cellStyle name="표준 10 2 4 2 2 3 3" xfId="11774"/>
    <cellStyle name="표준 10 2 4 2 2 3 3 2" xfId="11775"/>
    <cellStyle name="표준 10 2 4 2 2 3 4" xfId="11776"/>
    <cellStyle name="표준 10 2 4 2 2 3 5" xfId="11777"/>
    <cellStyle name="표준 10 2 4 2 2 4 2 2" xfId="11778"/>
    <cellStyle name="표준 10 2 4 2 2 4 3" xfId="11779"/>
    <cellStyle name="표준 10 2 4 2 2 4 3 2" xfId="11780"/>
    <cellStyle name="표준 10 2 4 2 2 4 4" xfId="11781"/>
    <cellStyle name="표준 10 2 4 2 2 4 5" xfId="11782"/>
    <cellStyle name="표준 10 2 4 2 2 5 2" xfId="11783"/>
    <cellStyle name="표준 10 2 4 2 2 6" xfId="11784"/>
    <cellStyle name="표준 10 2 4 2 2 6 2" xfId="11785"/>
    <cellStyle name="표준 10 2 4 2 2 7" xfId="11786"/>
    <cellStyle name="표준 10 2 4 2 2 8" xfId="11787"/>
    <cellStyle name="표준 10 2 4 2 3 2 2 2" xfId="11788"/>
    <cellStyle name="표준 10 2 4 2 3 2 3" xfId="11789"/>
    <cellStyle name="표준 10 2 4 2 3 2 3 2" xfId="11790"/>
    <cellStyle name="표준 10 2 4 2 3 2 4" xfId="11791"/>
    <cellStyle name="표준 10 2 4 2 3 2 5" xfId="11792"/>
    <cellStyle name="표준 10 2 4 2 3 3 2 2" xfId="11793"/>
    <cellStyle name="표준 10 2 4 2 3 3 3" xfId="11794"/>
    <cellStyle name="표준 10 2 4 2 3 3 3 2" xfId="11795"/>
    <cellStyle name="표준 10 2 4 2 3 3 4" xfId="11796"/>
    <cellStyle name="표준 10 2 4 2 3 3 5" xfId="11797"/>
    <cellStyle name="표준 10 2 4 2 3 4 2" xfId="11798"/>
    <cellStyle name="표준 10 2 4 2 3 5" xfId="11799"/>
    <cellStyle name="표준 10 2 4 2 3 5 2" xfId="11800"/>
    <cellStyle name="표준 10 2 4 2 3 6" xfId="11801"/>
    <cellStyle name="표준 10 2 4 2 3 7" xfId="11802"/>
    <cellStyle name="표준 10 2 4 2 4 2 2" xfId="11803"/>
    <cellStyle name="표준 10 2 4 2 4 3" xfId="11804"/>
    <cellStyle name="표준 10 2 4 2 4 3 2" xfId="11805"/>
    <cellStyle name="표준 10 2 4 2 4 4" xfId="11806"/>
    <cellStyle name="표준 10 2 4 2 4 5" xfId="11807"/>
    <cellStyle name="표준 10 2 4 2 5 2 2" xfId="11808"/>
    <cellStyle name="표준 10 2 4 2 5 3" xfId="11809"/>
    <cellStyle name="표준 10 2 4 2 5 3 2" xfId="11810"/>
    <cellStyle name="표준 10 2 4 2 5 4" xfId="11811"/>
    <cellStyle name="표준 10 2 4 2 5 5" xfId="11812"/>
    <cellStyle name="표준 10 2 4 2 6 2" xfId="11813"/>
    <cellStyle name="표준 10 2 4 2 7" xfId="11814"/>
    <cellStyle name="표준 10 2 4 2 7 2" xfId="11815"/>
    <cellStyle name="표준 10 2 4 2 8" xfId="11816"/>
    <cellStyle name="표준 10 2 4 2 9" xfId="11817"/>
    <cellStyle name="표준 10 2 4 3 2 2 2 2" xfId="11818"/>
    <cellStyle name="표준 10 2 4 3 2 2 3" xfId="11819"/>
    <cellStyle name="표준 10 2 4 3 2 2 3 2" xfId="11820"/>
    <cellStyle name="표준 10 2 4 3 2 2 4" xfId="11821"/>
    <cellStyle name="표준 10 2 4 3 2 2 5" xfId="11822"/>
    <cellStyle name="표준 10 2 4 3 2 3 2 2" xfId="11823"/>
    <cellStyle name="표준 10 2 4 3 2 3 3" xfId="11824"/>
    <cellStyle name="표준 10 2 4 3 2 3 3 2" xfId="11825"/>
    <cellStyle name="표준 10 2 4 3 2 3 4" xfId="11826"/>
    <cellStyle name="표준 10 2 4 3 2 3 5" xfId="11827"/>
    <cellStyle name="표준 10 2 4 3 2 4 2" xfId="11828"/>
    <cellStyle name="표준 10 2 4 3 2 5" xfId="11829"/>
    <cellStyle name="표준 10 2 4 3 2 5 2" xfId="11830"/>
    <cellStyle name="표준 10 2 4 3 2 6" xfId="11831"/>
    <cellStyle name="표준 10 2 4 3 2 7" xfId="11832"/>
    <cellStyle name="표준 10 2 4 3 3 2 2" xfId="11833"/>
    <cellStyle name="표준 10 2 4 3 3 3" xfId="11834"/>
    <cellStyle name="표준 10 2 4 3 3 3 2" xfId="11835"/>
    <cellStyle name="표준 10 2 4 3 3 4" xfId="11836"/>
    <cellStyle name="표준 10 2 4 3 3 5" xfId="11837"/>
    <cellStyle name="표준 10 2 4 3 4 2 2" xfId="11838"/>
    <cellStyle name="표준 10 2 4 3 4 3" xfId="11839"/>
    <cellStyle name="표준 10 2 4 3 4 3 2" xfId="11840"/>
    <cellStyle name="표준 10 2 4 3 4 4" xfId="11841"/>
    <cellStyle name="표준 10 2 4 3 4 5" xfId="11842"/>
    <cellStyle name="표준 10 2 4 3 5 2" xfId="11843"/>
    <cellStyle name="표준 10 2 4 3 6" xfId="11844"/>
    <cellStyle name="표준 10 2 4 3 6 2" xfId="11845"/>
    <cellStyle name="표준 10 2 4 3 7" xfId="11846"/>
    <cellStyle name="표준 10 2 4 3 8" xfId="11847"/>
    <cellStyle name="표준 10 2 4 4 2 2 2" xfId="11848"/>
    <cellStyle name="표준 10 2 4 4 2 3" xfId="11849"/>
    <cellStyle name="표준 10 2 4 4 2 3 2" xfId="11850"/>
    <cellStyle name="표준 10 2 4 4 2 4" xfId="11851"/>
    <cellStyle name="표준 10 2 4 4 2 5" xfId="11852"/>
    <cellStyle name="표준 10 2 4 4 3 2 2" xfId="11853"/>
    <cellStyle name="표준 10 2 4 4 3 3" xfId="11854"/>
    <cellStyle name="표준 10 2 4 4 3 3 2" xfId="11855"/>
    <cellStyle name="표준 10 2 4 4 3 4" xfId="11856"/>
    <cellStyle name="표준 10 2 4 4 3 5" xfId="11857"/>
    <cellStyle name="표준 10 2 4 4 4 2" xfId="11858"/>
    <cellStyle name="표준 10 2 4 4 5" xfId="11859"/>
    <cellStyle name="표준 10 2 4 4 5 2" xfId="11860"/>
    <cellStyle name="표준 10 2 4 4 6" xfId="11861"/>
    <cellStyle name="표준 10 2 4 4 7" xfId="11862"/>
    <cellStyle name="표준 10 2 4 5 2 2" xfId="11863"/>
    <cellStyle name="표준 10 2 4 5 3" xfId="11864"/>
    <cellStyle name="표준 10 2 4 5 3 2" xfId="11865"/>
    <cellStyle name="표준 10 2 4 5 4" xfId="11866"/>
    <cellStyle name="표준 10 2 4 5 5" xfId="11867"/>
    <cellStyle name="표준 10 2 4 6 2 2" xfId="11868"/>
    <cellStyle name="표준 10 2 4 6 3" xfId="11869"/>
    <cellStyle name="표준 10 2 4 6 3 2" xfId="11870"/>
    <cellStyle name="표준 10 2 4 6 4" xfId="11871"/>
    <cellStyle name="표준 10 2 4 6 5" xfId="11872"/>
    <cellStyle name="표준 10 2 4 7 2" xfId="11873"/>
    <cellStyle name="표준 10 2 4 8" xfId="11874"/>
    <cellStyle name="표준 10 2 4 8 2" xfId="11875"/>
    <cellStyle name="표준 10 2 4 9" xfId="11876"/>
    <cellStyle name="표준 10 2 5 2 2 2 2 2" xfId="11877"/>
    <cellStyle name="표준 10 2 5 2 2 2 3" xfId="11878"/>
    <cellStyle name="표준 10 2 5 2 2 2 3 2" xfId="11879"/>
    <cellStyle name="표준 10 2 5 2 2 2 4" xfId="11880"/>
    <cellStyle name="표준 10 2 5 2 2 2 5" xfId="11881"/>
    <cellStyle name="표준 10 2 5 2 2 3 2 2" xfId="11882"/>
    <cellStyle name="표준 10 2 5 2 2 3 3" xfId="11883"/>
    <cellStyle name="표준 10 2 5 2 2 3 3 2" xfId="11884"/>
    <cellStyle name="표준 10 2 5 2 2 3 4" xfId="11885"/>
    <cellStyle name="표준 10 2 5 2 2 3 5" xfId="11886"/>
    <cellStyle name="표준 10 2 5 2 2 4 2" xfId="11887"/>
    <cellStyle name="표준 10 2 5 2 2 5" xfId="11888"/>
    <cellStyle name="표준 10 2 5 2 2 5 2" xfId="11889"/>
    <cellStyle name="표준 10 2 5 2 2 6" xfId="11890"/>
    <cellStyle name="표준 10 2 5 2 2 7" xfId="11891"/>
    <cellStyle name="표준 10 2 5 2 3 2 2" xfId="11892"/>
    <cellStyle name="표준 10 2 5 2 3 3" xfId="11893"/>
    <cellStyle name="표준 10 2 5 2 3 3 2" xfId="11894"/>
    <cellStyle name="표준 10 2 5 2 3 4" xfId="11895"/>
    <cellStyle name="표준 10 2 5 2 3 5" xfId="11896"/>
    <cellStyle name="표준 10 2 5 2 4 2 2" xfId="11897"/>
    <cellStyle name="표준 10 2 5 2 4 3" xfId="11898"/>
    <cellStyle name="표준 10 2 5 2 4 3 2" xfId="11899"/>
    <cellStyle name="표준 10 2 5 2 4 4" xfId="11900"/>
    <cellStyle name="표준 10 2 5 2 4 5" xfId="11901"/>
    <cellStyle name="표준 10 2 5 2 5 2" xfId="11902"/>
    <cellStyle name="표준 10 2 5 2 6" xfId="11903"/>
    <cellStyle name="표준 10 2 5 2 6 2" xfId="11904"/>
    <cellStyle name="표준 10 2 5 2 7" xfId="11905"/>
    <cellStyle name="표준 10 2 5 2 8" xfId="11906"/>
    <cellStyle name="표준 10 2 5 3 2 2 2" xfId="11907"/>
    <cellStyle name="표준 10 2 5 3 2 3" xfId="11908"/>
    <cellStyle name="표준 10 2 5 3 2 3 2" xfId="11909"/>
    <cellStyle name="표준 10 2 5 3 2 4" xfId="11910"/>
    <cellStyle name="표준 10 2 5 3 2 5" xfId="11911"/>
    <cellStyle name="표준 10 2 5 3 3 2 2" xfId="11912"/>
    <cellStyle name="표준 10 2 5 3 3 3" xfId="11913"/>
    <cellStyle name="표준 10 2 5 3 3 3 2" xfId="11914"/>
    <cellStyle name="표준 10 2 5 3 3 4" xfId="11915"/>
    <cellStyle name="표준 10 2 5 3 3 5" xfId="11916"/>
    <cellStyle name="표준 10 2 5 3 4 2" xfId="11917"/>
    <cellStyle name="표준 10 2 5 3 5" xfId="11918"/>
    <cellStyle name="표준 10 2 5 3 5 2" xfId="11919"/>
    <cellStyle name="표준 10 2 5 3 6" xfId="11920"/>
    <cellStyle name="표준 10 2 5 3 7" xfId="11921"/>
    <cellStyle name="표준 10 2 5 4 2 2" xfId="11922"/>
    <cellStyle name="표준 10 2 5 4 3" xfId="11923"/>
    <cellStyle name="표준 10 2 5 4 3 2" xfId="11924"/>
    <cellStyle name="표준 10 2 5 4 4" xfId="11925"/>
    <cellStyle name="표준 10 2 5 4 5" xfId="11926"/>
    <cellStyle name="표준 10 2 5 5 2 2" xfId="11927"/>
    <cellStyle name="표준 10 2 5 5 3" xfId="11928"/>
    <cellStyle name="표준 10 2 5 5 3 2" xfId="11929"/>
    <cellStyle name="표준 10 2 5 5 4" xfId="11930"/>
    <cellStyle name="표준 10 2 5 5 5" xfId="11931"/>
    <cellStyle name="표준 10 2 5 6 2" xfId="11932"/>
    <cellStyle name="표준 10 2 5 7" xfId="11933"/>
    <cellStyle name="표준 10 2 5 7 2" xfId="11934"/>
    <cellStyle name="표준 10 2 5 8" xfId="11935"/>
    <cellStyle name="표준 10 2 5 9" xfId="11936"/>
    <cellStyle name="표준 10 2 6 2 2 2 2" xfId="11937"/>
    <cellStyle name="표준 10 2 6 2 2 3" xfId="11938"/>
    <cellStyle name="표준 10 2 6 2 2 3 2" xfId="11939"/>
    <cellStyle name="표준 10 2 6 2 2 4" xfId="11940"/>
    <cellStyle name="표준 10 2 6 2 2 5" xfId="11941"/>
    <cellStyle name="표준 10 2 6 2 3 2 2" xfId="11942"/>
    <cellStyle name="표준 10 2 6 2 3 3" xfId="11943"/>
    <cellStyle name="표준 10 2 6 2 3 3 2" xfId="11944"/>
    <cellStyle name="표준 10 2 6 2 3 4" xfId="11945"/>
    <cellStyle name="표준 10 2 6 2 3 5" xfId="11946"/>
    <cellStyle name="표준 10 2 6 2 4 2" xfId="11947"/>
    <cellStyle name="표준 10 2 6 2 5" xfId="11948"/>
    <cellStyle name="표준 10 2 6 2 5 2" xfId="11949"/>
    <cellStyle name="표준 10 2 6 2 6" xfId="11950"/>
    <cellStyle name="표준 10 2 6 2 7" xfId="11951"/>
    <cellStyle name="표준 10 2 6 3 2 2" xfId="11952"/>
    <cellStyle name="표준 10 2 6 3 3" xfId="11953"/>
    <cellStyle name="표준 10 2 6 3 3 2" xfId="11954"/>
    <cellStyle name="표준 10 2 6 3 4" xfId="11955"/>
    <cellStyle name="표준 10 2 6 3 5" xfId="11956"/>
    <cellStyle name="표준 10 2 6 4 2 2" xfId="11957"/>
    <cellStyle name="표준 10 2 6 4 3" xfId="11958"/>
    <cellStyle name="표준 10 2 6 4 3 2" xfId="11959"/>
    <cellStyle name="표준 10 2 6 4 4" xfId="11960"/>
    <cellStyle name="표준 10 2 6 4 5" xfId="11961"/>
    <cellStyle name="표준 10 2 6 5 2" xfId="11962"/>
    <cellStyle name="표준 10 2 6 6" xfId="11963"/>
    <cellStyle name="표준 10 2 6 6 2" xfId="11964"/>
    <cellStyle name="표준 10 2 6 7" xfId="11965"/>
    <cellStyle name="표준 10 2 6 8" xfId="11966"/>
    <cellStyle name="표준 10 2 7 2 2 2" xfId="11967"/>
    <cellStyle name="표준 10 2 7 2 3" xfId="11968"/>
    <cellStyle name="표준 10 2 7 2 3 2" xfId="11969"/>
    <cellStyle name="표준 10 2 7 2 4" xfId="11970"/>
    <cellStyle name="표준 10 2 7 2 5" xfId="11971"/>
    <cellStyle name="표준 10 2 7 3 2 2" xfId="11972"/>
    <cellStyle name="표준 10 2 7 3 3" xfId="11973"/>
    <cellStyle name="표준 10 2 7 3 3 2" xfId="11974"/>
    <cellStyle name="표준 10 2 7 3 4" xfId="11975"/>
    <cellStyle name="표준 10 2 7 3 5" xfId="11976"/>
    <cellStyle name="표준 10 2 7 4 2" xfId="11977"/>
    <cellStyle name="표준 10 2 7 5" xfId="11978"/>
    <cellStyle name="표준 10 2 7 5 2" xfId="11979"/>
    <cellStyle name="표준 10 2 7 6" xfId="11980"/>
    <cellStyle name="표준 10 2 7 7" xfId="11981"/>
    <cellStyle name="표준 10 2 8 2 2" xfId="11982"/>
    <cellStyle name="표준 10 2 8 3" xfId="11983"/>
    <cellStyle name="표준 10 2 8 3 2" xfId="11984"/>
    <cellStyle name="표준 10 2 8 4" xfId="11985"/>
    <cellStyle name="표준 10 2 8 5" xfId="11986"/>
    <cellStyle name="표준 10 2 9 2 2" xfId="11987"/>
    <cellStyle name="표준 10 2 9 3" xfId="11988"/>
    <cellStyle name="표준 10 2 9 3 2" xfId="11989"/>
    <cellStyle name="표준 10 2 9 4" xfId="11990"/>
    <cellStyle name="표준 10 2 9 5" xfId="11991"/>
    <cellStyle name="표준 10 20" xfId="11992"/>
    <cellStyle name="표준 10 20 2" xfId="11993"/>
    <cellStyle name="표준 10 21" xfId="11994"/>
    <cellStyle name="표준 10 22" xfId="11995"/>
    <cellStyle name="표준 10 4 10 2" xfId="11996"/>
    <cellStyle name="표준 10 4 11" xfId="11997"/>
    <cellStyle name="표준 10 4 11 2" xfId="11998"/>
    <cellStyle name="표준 10 4 12" xfId="11999"/>
    <cellStyle name="표준 10 4 13" xfId="12000"/>
    <cellStyle name="표준 10 4 2 10" xfId="12001"/>
    <cellStyle name="표준 10 4 2 2 2 2 2 2 2" xfId="12002"/>
    <cellStyle name="표준 10 4 2 2 2 2 2 3" xfId="12003"/>
    <cellStyle name="표준 10 4 2 2 2 2 2 3 2" xfId="12004"/>
    <cellStyle name="표준 10 4 2 2 2 2 2 4" xfId="12005"/>
    <cellStyle name="표준 10 4 2 2 2 2 2 5" xfId="12006"/>
    <cellStyle name="표준 10 4 2 2 2 2 3 2 2" xfId="12007"/>
    <cellStyle name="표준 10 4 2 2 2 2 3 3" xfId="12008"/>
    <cellStyle name="표준 10 4 2 2 2 2 3 3 2" xfId="12009"/>
    <cellStyle name="표준 10 4 2 2 2 2 3 4" xfId="12010"/>
    <cellStyle name="표준 10 4 2 2 2 2 3 5" xfId="12011"/>
    <cellStyle name="표준 10 4 2 2 2 2 4 2" xfId="12012"/>
    <cellStyle name="표준 10 4 2 2 2 2 5" xfId="12013"/>
    <cellStyle name="표준 10 4 2 2 2 2 5 2" xfId="12014"/>
    <cellStyle name="표준 10 4 2 2 2 2 6" xfId="12015"/>
    <cellStyle name="표준 10 4 2 2 2 2 7" xfId="12016"/>
    <cellStyle name="표준 10 4 2 2 2 3 2 2" xfId="12017"/>
    <cellStyle name="표준 10 4 2 2 2 3 3" xfId="12018"/>
    <cellStyle name="표준 10 4 2 2 2 3 3 2" xfId="12019"/>
    <cellStyle name="표준 10 4 2 2 2 3 4" xfId="12020"/>
    <cellStyle name="표준 10 4 2 2 2 3 5" xfId="12021"/>
    <cellStyle name="표준 10 4 2 2 2 4 2 2" xfId="12022"/>
    <cellStyle name="표준 10 4 2 2 2 4 3" xfId="12023"/>
    <cellStyle name="표준 10 4 2 2 2 4 3 2" xfId="12024"/>
    <cellStyle name="표준 10 4 2 2 2 4 4" xfId="12025"/>
    <cellStyle name="표준 10 4 2 2 2 4 5" xfId="12026"/>
    <cellStyle name="표준 10 4 2 2 2 5 2" xfId="12027"/>
    <cellStyle name="표준 10 4 2 2 2 6" xfId="12028"/>
    <cellStyle name="표준 10 4 2 2 2 6 2" xfId="12029"/>
    <cellStyle name="표준 10 4 2 2 2 7" xfId="12030"/>
    <cellStyle name="표준 10 4 2 2 2 8" xfId="12031"/>
    <cellStyle name="표준 10 4 2 2 3 2 2 2" xfId="12032"/>
    <cellStyle name="표준 10 4 2 2 3 2 3" xfId="12033"/>
    <cellStyle name="표준 10 4 2 2 3 2 3 2" xfId="12034"/>
    <cellStyle name="표준 10 4 2 2 3 2 4" xfId="12035"/>
    <cellStyle name="표준 10 4 2 2 3 2 5" xfId="12036"/>
    <cellStyle name="표준 10 4 2 2 3 3 2 2" xfId="12037"/>
    <cellStyle name="표준 10 4 2 2 3 3 3" xfId="12038"/>
    <cellStyle name="표준 10 4 2 2 3 3 3 2" xfId="12039"/>
    <cellStyle name="표준 10 4 2 2 3 3 4" xfId="12040"/>
    <cellStyle name="표준 10 4 2 2 3 3 5" xfId="12041"/>
    <cellStyle name="표준 10 4 2 2 3 4 2" xfId="12042"/>
    <cellStyle name="표준 10 4 2 2 3 5" xfId="12043"/>
    <cellStyle name="표준 10 4 2 2 3 5 2" xfId="12044"/>
    <cellStyle name="표준 10 4 2 2 3 6" xfId="12045"/>
    <cellStyle name="표준 10 4 2 2 3 7" xfId="12046"/>
    <cellStyle name="표준 10 4 2 2 4 2 2" xfId="12047"/>
    <cellStyle name="표준 10 4 2 2 4 3" xfId="12048"/>
    <cellStyle name="표준 10 4 2 2 4 3 2" xfId="12049"/>
    <cellStyle name="표준 10 4 2 2 4 4" xfId="12050"/>
    <cellStyle name="표준 10 4 2 2 4 5" xfId="12051"/>
    <cellStyle name="표준 10 4 2 2 5 2 2" xfId="12052"/>
    <cellStyle name="표준 10 4 2 2 5 3" xfId="12053"/>
    <cellStyle name="표준 10 4 2 2 5 3 2" xfId="12054"/>
    <cellStyle name="표준 10 4 2 2 5 4" xfId="12055"/>
    <cellStyle name="표준 10 4 2 2 5 5" xfId="12056"/>
    <cellStyle name="표준 10 4 2 2 6 2" xfId="12057"/>
    <cellStyle name="표준 10 4 2 2 7" xfId="12058"/>
    <cellStyle name="표준 10 4 2 2 7 2" xfId="12059"/>
    <cellStyle name="표준 10 4 2 2 8" xfId="12060"/>
    <cellStyle name="표준 10 4 2 2 9" xfId="12061"/>
    <cellStyle name="표준 10 4 2 3 2 2 2 2" xfId="12062"/>
    <cellStyle name="표준 10 4 2 3 2 2 3" xfId="12063"/>
    <cellStyle name="표준 10 4 2 3 2 2 3 2" xfId="12064"/>
    <cellStyle name="표준 10 4 2 3 2 2 4" xfId="12065"/>
    <cellStyle name="표준 10 4 2 3 2 2 5" xfId="12066"/>
    <cellStyle name="표준 10 4 2 3 2 3 2 2" xfId="12067"/>
    <cellStyle name="표준 10 4 2 3 2 3 3" xfId="12068"/>
    <cellStyle name="표준 10 4 2 3 2 3 3 2" xfId="12069"/>
    <cellStyle name="표준 10 4 2 3 2 3 4" xfId="12070"/>
    <cellStyle name="표준 10 4 2 3 2 3 5" xfId="12071"/>
    <cellStyle name="표준 10 4 2 3 2 4 2" xfId="12072"/>
    <cellStyle name="표준 10 4 2 3 2 5" xfId="12073"/>
    <cellStyle name="표준 10 4 2 3 2 5 2" xfId="12074"/>
    <cellStyle name="표준 10 4 2 3 2 6" xfId="12075"/>
    <cellStyle name="표준 10 4 2 3 2 7" xfId="12076"/>
    <cellStyle name="표준 10 4 2 3 3 2 2" xfId="12077"/>
    <cellStyle name="표준 10 4 2 3 3 3" xfId="12078"/>
    <cellStyle name="표준 10 4 2 3 3 3 2" xfId="12079"/>
    <cellStyle name="표준 10 4 2 3 3 4" xfId="12080"/>
    <cellStyle name="표준 10 4 2 3 3 5" xfId="12081"/>
    <cellStyle name="표준 10 4 2 3 4 2 2" xfId="12082"/>
    <cellStyle name="표준 10 4 2 3 4 3" xfId="12083"/>
    <cellStyle name="표준 10 4 2 3 4 3 2" xfId="12084"/>
    <cellStyle name="표준 10 4 2 3 4 4" xfId="12085"/>
    <cellStyle name="표준 10 4 2 3 4 5" xfId="12086"/>
    <cellStyle name="표준 10 4 2 3 5 2" xfId="12087"/>
    <cellStyle name="표준 10 4 2 3 6" xfId="12088"/>
    <cellStyle name="표준 10 4 2 3 6 2" xfId="12089"/>
    <cellStyle name="표준 10 4 2 3 7" xfId="12090"/>
    <cellStyle name="표준 10 4 2 3 8" xfId="12091"/>
    <cellStyle name="표준 10 4 2 4 2 2 2" xfId="12092"/>
    <cellStyle name="표준 10 4 2 4 2 3" xfId="12093"/>
    <cellStyle name="표준 10 4 2 4 2 3 2" xfId="12094"/>
    <cellStyle name="표준 10 4 2 4 2 4" xfId="12095"/>
    <cellStyle name="표준 10 4 2 4 2 5" xfId="12096"/>
    <cellStyle name="표준 10 4 2 4 3 2 2" xfId="12097"/>
    <cellStyle name="표준 10 4 2 4 3 3" xfId="12098"/>
    <cellStyle name="표준 10 4 2 4 3 3 2" xfId="12099"/>
    <cellStyle name="표준 10 4 2 4 3 4" xfId="12100"/>
    <cellStyle name="표준 10 4 2 4 3 5" xfId="12101"/>
    <cellStyle name="표준 10 4 2 4 4 2" xfId="12102"/>
    <cellStyle name="표준 10 4 2 4 5" xfId="12103"/>
    <cellStyle name="표준 10 4 2 4 5 2" xfId="12104"/>
    <cellStyle name="표준 10 4 2 4 6" xfId="12105"/>
    <cellStyle name="표준 10 4 2 4 7" xfId="12106"/>
    <cellStyle name="표준 10 4 2 5 2 2" xfId="12107"/>
    <cellStyle name="표준 10 4 2 5 3" xfId="12108"/>
    <cellStyle name="표준 10 4 2 5 3 2" xfId="12109"/>
    <cellStyle name="표준 10 4 2 5 4" xfId="12110"/>
    <cellStyle name="표준 10 4 2 5 5" xfId="12111"/>
    <cellStyle name="표준 10 4 2 6 2 2" xfId="12112"/>
    <cellStyle name="표준 10 4 2 6 3" xfId="12113"/>
    <cellStyle name="표준 10 4 2 6 3 2" xfId="12114"/>
    <cellStyle name="표준 10 4 2 6 4" xfId="12115"/>
    <cellStyle name="표준 10 4 2 6 5" xfId="12116"/>
    <cellStyle name="표준 10 4 2 7 2" xfId="12117"/>
    <cellStyle name="표준 10 4 2 8" xfId="12118"/>
    <cellStyle name="표준 10 4 2 8 2" xfId="12119"/>
    <cellStyle name="표준 10 4 2 9" xfId="12120"/>
    <cellStyle name="표준 10 4 3 10" xfId="12121"/>
    <cellStyle name="표준 10 4 3 2 2 2 2 2 2" xfId="12122"/>
    <cellStyle name="표준 10 4 3 2 2 2 2 3" xfId="12123"/>
    <cellStyle name="표준 10 4 3 2 2 2 2 3 2" xfId="12124"/>
    <cellStyle name="표준 10 4 3 2 2 2 2 4" xfId="12125"/>
    <cellStyle name="표준 10 4 3 2 2 2 2 5" xfId="12126"/>
    <cellStyle name="표준 10 4 3 2 2 2 3 2 2" xfId="12127"/>
    <cellStyle name="표준 10 4 3 2 2 2 3 3" xfId="12128"/>
    <cellStyle name="표준 10 4 3 2 2 2 3 3 2" xfId="12129"/>
    <cellStyle name="표준 10 4 3 2 2 2 3 4" xfId="12130"/>
    <cellStyle name="표준 10 4 3 2 2 2 3 5" xfId="12131"/>
    <cellStyle name="표준 10 4 3 2 2 2 4 2" xfId="12132"/>
    <cellStyle name="표준 10 4 3 2 2 2 5" xfId="12133"/>
    <cellStyle name="표준 10 4 3 2 2 2 5 2" xfId="12134"/>
    <cellStyle name="표준 10 4 3 2 2 2 6" xfId="12135"/>
    <cellStyle name="표준 10 4 3 2 2 2 7" xfId="12136"/>
    <cellStyle name="표준 10 4 3 2 2 3 2 2" xfId="12137"/>
    <cellStyle name="표준 10 4 3 2 2 3 3" xfId="12138"/>
    <cellStyle name="표준 10 4 3 2 2 3 3 2" xfId="12139"/>
    <cellStyle name="표준 10 4 3 2 2 3 4" xfId="12140"/>
    <cellStyle name="표준 10 4 3 2 2 3 5" xfId="12141"/>
    <cellStyle name="표준 10 4 3 2 2 4 2 2" xfId="12142"/>
    <cellStyle name="표준 10 4 3 2 2 4 3" xfId="12143"/>
    <cellStyle name="표준 10 4 3 2 2 4 3 2" xfId="12144"/>
    <cellStyle name="표준 10 4 3 2 2 4 4" xfId="12145"/>
    <cellStyle name="표준 10 4 3 2 2 4 5" xfId="12146"/>
    <cellStyle name="표준 10 4 3 2 2 5 2" xfId="12147"/>
    <cellStyle name="표준 10 4 3 2 2 6" xfId="12148"/>
    <cellStyle name="표준 10 4 3 2 2 6 2" xfId="12149"/>
    <cellStyle name="표준 10 4 3 2 2 7" xfId="12150"/>
    <cellStyle name="표준 10 4 3 2 2 8" xfId="12151"/>
    <cellStyle name="표준 10 4 3 2 3 2 2 2" xfId="12152"/>
    <cellStyle name="표준 10 4 3 2 3 2 3" xfId="12153"/>
    <cellStyle name="표준 10 4 3 2 3 2 3 2" xfId="12154"/>
    <cellStyle name="표준 10 4 3 2 3 2 4" xfId="12155"/>
    <cellStyle name="표준 10 4 3 2 3 2 5" xfId="12156"/>
    <cellStyle name="표준 10 4 3 2 3 3 2 2" xfId="12157"/>
    <cellStyle name="표준 10 4 3 2 3 3 3" xfId="12158"/>
    <cellStyle name="표준 10 4 3 2 3 3 3 2" xfId="12159"/>
    <cellStyle name="표준 10 4 3 2 3 3 4" xfId="12160"/>
    <cellStyle name="표준 10 4 3 2 3 3 5" xfId="12161"/>
    <cellStyle name="표준 10 4 3 2 3 4 2" xfId="12162"/>
    <cellStyle name="표준 10 4 3 2 3 5" xfId="12163"/>
    <cellStyle name="표준 10 4 3 2 3 5 2" xfId="12164"/>
    <cellStyle name="표준 10 4 3 2 3 6" xfId="12165"/>
    <cellStyle name="표준 10 4 3 2 3 7" xfId="12166"/>
    <cellStyle name="표준 10 4 3 2 4 2 2" xfId="12167"/>
    <cellStyle name="표준 10 4 3 2 4 3" xfId="12168"/>
    <cellStyle name="표준 10 4 3 2 4 3 2" xfId="12169"/>
    <cellStyle name="표준 10 4 3 2 4 4" xfId="12170"/>
    <cellStyle name="표준 10 4 3 2 4 5" xfId="12171"/>
    <cellStyle name="표준 10 4 3 2 5 2 2" xfId="12172"/>
    <cellStyle name="표준 10 4 3 2 5 3" xfId="12173"/>
    <cellStyle name="표준 10 4 3 2 5 3 2" xfId="12174"/>
    <cellStyle name="표준 10 4 3 2 5 4" xfId="12175"/>
    <cellStyle name="표준 10 4 3 2 5 5" xfId="12176"/>
    <cellStyle name="표준 10 4 3 2 6 2" xfId="12177"/>
    <cellStyle name="표준 10 4 3 2 7" xfId="12178"/>
    <cellStyle name="표준 10 4 3 2 7 2" xfId="12179"/>
    <cellStyle name="표준 10 4 3 2 8" xfId="12180"/>
    <cellStyle name="표준 10 4 3 2 9" xfId="12181"/>
    <cellStyle name="표준 10 4 3 3 2 2 2 2" xfId="12182"/>
    <cellStyle name="표준 10 4 3 3 2 2 3" xfId="12183"/>
    <cellStyle name="표준 10 4 3 3 2 2 3 2" xfId="12184"/>
    <cellStyle name="표준 10 4 3 3 2 2 4" xfId="12185"/>
    <cellStyle name="표준 10 4 3 3 2 2 5" xfId="12186"/>
    <cellStyle name="표준 10 4 3 3 2 3 2 2" xfId="12187"/>
    <cellStyle name="표준 10 4 3 3 2 3 3" xfId="12188"/>
    <cellStyle name="표준 10 4 3 3 2 3 3 2" xfId="12189"/>
    <cellStyle name="표준 10 4 3 3 2 3 4" xfId="12190"/>
    <cellStyle name="표준 10 4 3 3 2 3 5" xfId="12191"/>
    <cellStyle name="표준 10 4 3 3 2 4 2" xfId="12192"/>
    <cellStyle name="표준 10 4 3 3 2 5" xfId="12193"/>
    <cellStyle name="표준 10 4 3 3 2 5 2" xfId="12194"/>
    <cellStyle name="표준 10 4 3 3 2 6" xfId="12195"/>
    <cellStyle name="표준 10 4 3 3 2 7" xfId="12196"/>
    <cellStyle name="표준 10 4 3 3 3 2 2" xfId="12197"/>
    <cellStyle name="표준 10 4 3 3 3 3" xfId="12198"/>
    <cellStyle name="표준 10 4 3 3 3 3 2" xfId="12199"/>
    <cellStyle name="표준 10 4 3 3 3 4" xfId="12200"/>
    <cellStyle name="표준 10 4 3 3 3 5" xfId="12201"/>
    <cellStyle name="표준 10 4 3 3 4 2 2" xfId="12202"/>
    <cellStyle name="표준 10 4 3 3 4 3" xfId="12203"/>
    <cellStyle name="표준 10 4 3 3 4 3 2" xfId="12204"/>
    <cellStyle name="표준 10 4 3 3 4 4" xfId="12205"/>
    <cellStyle name="표준 10 4 3 3 4 5" xfId="12206"/>
    <cellStyle name="표준 10 4 3 3 5 2" xfId="12207"/>
    <cellStyle name="표준 10 4 3 3 6" xfId="12208"/>
    <cellStyle name="표준 10 4 3 3 6 2" xfId="12209"/>
    <cellStyle name="표준 10 4 3 3 7" xfId="12210"/>
    <cellStyle name="표준 10 4 3 3 8" xfId="12211"/>
    <cellStyle name="표준 10 4 3 4 2 2 2" xfId="12212"/>
    <cellStyle name="표준 10 4 3 4 2 3" xfId="12213"/>
    <cellStyle name="표준 10 4 3 4 2 3 2" xfId="12214"/>
    <cellStyle name="표준 10 4 3 4 2 4" xfId="12215"/>
    <cellStyle name="표준 10 4 3 4 2 5" xfId="12216"/>
    <cellStyle name="표준 10 4 3 4 3 2 2" xfId="12217"/>
    <cellStyle name="표준 10 4 3 4 3 3" xfId="12218"/>
    <cellStyle name="표준 10 4 3 4 3 3 2" xfId="12219"/>
    <cellStyle name="표준 10 4 3 4 3 4" xfId="12220"/>
    <cellStyle name="표준 10 4 3 4 3 5" xfId="12221"/>
    <cellStyle name="표준 10 4 3 4 4 2" xfId="12222"/>
    <cellStyle name="표준 10 4 3 4 5" xfId="12223"/>
    <cellStyle name="표준 10 4 3 4 5 2" xfId="12224"/>
    <cellStyle name="표준 10 4 3 4 6" xfId="12225"/>
    <cellStyle name="표준 10 4 3 4 7" xfId="12226"/>
    <cellStyle name="표준 10 4 3 5 2 2" xfId="12227"/>
    <cellStyle name="표준 10 4 3 5 3" xfId="12228"/>
    <cellStyle name="표준 10 4 3 5 3 2" xfId="12229"/>
    <cellStyle name="표준 10 4 3 5 4" xfId="12230"/>
    <cellStyle name="표준 10 4 3 5 5" xfId="12231"/>
    <cellStyle name="표준 10 4 3 6 2 2" xfId="12232"/>
    <cellStyle name="표준 10 4 3 6 3" xfId="12233"/>
    <cellStyle name="표준 10 4 3 6 3 2" xfId="12234"/>
    <cellStyle name="표준 10 4 3 6 4" xfId="12235"/>
    <cellStyle name="표준 10 4 3 6 5" xfId="12236"/>
    <cellStyle name="표준 10 4 3 7 2" xfId="12237"/>
    <cellStyle name="표준 10 4 3 8" xfId="12238"/>
    <cellStyle name="표준 10 4 3 8 2" xfId="12239"/>
    <cellStyle name="표준 10 4 3 9" xfId="12240"/>
    <cellStyle name="표준 10 4 4 10" xfId="12241"/>
    <cellStyle name="표준 10 4 4 2 2 2 2 2 2" xfId="12242"/>
    <cellStyle name="표준 10 4 4 2 2 2 2 3" xfId="12243"/>
    <cellStyle name="표준 10 4 4 2 2 2 2 3 2" xfId="12244"/>
    <cellStyle name="표준 10 4 4 2 2 2 2 4" xfId="12245"/>
    <cellStyle name="표준 10 4 4 2 2 2 2 5" xfId="12246"/>
    <cellStyle name="표준 10 4 4 2 2 2 3 2 2" xfId="12247"/>
    <cellStyle name="표준 10 4 4 2 2 2 3 3" xfId="12248"/>
    <cellStyle name="표준 10 4 4 2 2 2 3 3 2" xfId="12249"/>
    <cellStyle name="표준 10 4 4 2 2 2 3 4" xfId="12250"/>
    <cellStyle name="표준 10 4 4 2 2 2 3 5" xfId="12251"/>
    <cellStyle name="표준 10 4 4 2 2 2 4 2" xfId="12252"/>
    <cellStyle name="표준 10 4 4 2 2 2 5" xfId="12253"/>
    <cellStyle name="표준 10 4 4 2 2 2 5 2" xfId="12254"/>
    <cellStyle name="표준 10 4 4 2 2 2 6" xfId="12255"/>
    <cellStyle name="표준 10 4 4 2 2 2 7" xfId="12256"/>
    <cellStyle name="표준 10 4 4 2 2 3 2 2" xfId="12257"/>
    <cellStyle name="표준 10 4 4 2 2 3 3" xfId="12258"/>
    <cellStyle name="표준 10 4 4 2 2 3 3 2" xfId="12259"/>
    <cellStyle name="표준 10 4 4 2 2 3 4" xfId="12260"/>
    <cellStyle name="표준 10 4 4 2 2 3 5" xfId="12261"/>
    <cellStyle name="표준 10 4 4 2 2 4 2 2" xfId="12262"/>
    <cellStyle name="표준 10 4 4 2 2 4 3" xfId="12263"/>
    <cellStyle name="표준 10 4 4 2 2 4 3 2" xfId="12264"/>
    <cellStyle name="표준 10 4 4 2 2 4 4" xfId="12265"/>
    <cellStyle name="표준 10 4 4 2 2 4 5" xfId="12266"/>
    <cellStyle name="표준 10 4 4 2 2 5 2" xfId="12267"/>
    <cellStyle name="표준 10 4 4 2 2 6" xfId="12268"/>
    <cellStyle name="표준 10 4 4 2 2 6 2" xfId="12269"/>
    <cellStyle name="표준 10 4 4 2 2 7" xfId="12270"/>
    <cellStyle name="표준 10 4 4 2 2 8" xfId="12271"/>
    <cellStyle name="표준 10 4 4 2 3 2 2 2" xfId="12272"/>
    <cellStyle name="표준 10 4 4 2 3 2 3" xfId="12273"/>
    <cellStyle name="표준 10 4 4 2 3 2 3 2" xfId="12274"/>
    <cellStyle name="표준 10 4 4 2 3 2 4" xfId="12275"/>
    <cellStyle name="표준 10 4 4 2 3 2 5" xfId="12276"/>
    <cellStyle name="표준 10 4 4 2 3 3 2 2" xfId="12277"/>
    <cellStyle name="표준 10 4 4 2 3 3 3" xfId="12278"/>
    <cellStyle name="표준 10 4 4 2 3 3 3 2" xfId="12279"/>
    <cellStyle name="표준 10 4 4 2 3 3 4" xfId="12280"/>
    <cellStyle name="표준 10 4 4 2 3 3 5" xfId="12281"/>
    <cellStyle name="표준 10 4 4 2 3 4 2" xfId="12282"/>
    <cellStyle name="표준 10 4 4 2 3 5" xfId="12283"/>
    <cellStyle name="표준 10 4 4 2 3 5 2" xfId="12284"/>
    <cellStyle name="표준 10 4 4 2 3 6" xfId="12285"/>
    <cellStyle name="표준 10 4 4 2 3 7" xfId="12286"/>
    <cellStyle name="표준 10 4 4 2 4 2 2" xfId="12287"/>
    <cellStyle name="표준 10 4 4 2 4 3" xfId="12288"/>
    <cellStyle name="표준 10 4 4 2 4 3 2" xfId="12289"/>
    <cellStyle name="표준 10 4 4 2 4 4" xfId="12290"/>
    <cellStyle name="표준 10 4 4 2 4 5" xfId="12291"/>
    <cellStyle name="표준 10 4 4 2 5 2 2" xfId="12292"/>
    <cellStyle name="표준 10 4 4 2 5 3" xfId="12293"/>
    <cellStyle name="표준 10 4 4 2 5 3 2" xfId="12294"/>
    <cellStyle name="표준 10 4 4 2 5 4" xfId="12295"/>
    <cellStyle name="표준 10 4 4 2 5 5" xfId="12296"/>
    <cellStyle name="표준 10 4 4 2 6 2" xfId="12297"/>
    <cellStyle name="표준 10 4 4 2 7" xfId="12298"/>
    <cellStyle name="표준 10 4 4 2 7 2" xfId="12299"/>
    <cellStyle name="표준 10 4 4 2 8" xfId="12300"/>
    <cellStyle name="표준 10 4 4 2 9" xfId="12301"/>
    <cellStyle name="표준 10 4 4 3 2 2 2 2" xfId="12302"/>
    <cellStyle name="표준 10 4 4 3 2 2 3" xfId="12303"/>
    <cellStyle name="표준 10 4 4 3 2 2 3 2" xfId="12304"/>
    <cellStyle name="표준 10 4 4 3 2 2 4" xfId="12305"/>
    <cellStyle name="표준 10 4 4 3 2 2 5" xfId="12306"/>
    <cellStyle name="표준 10 4 4 3 2 3 2 2" xfId="12307"/>
    <cellStyle name="표준 10 4 4 3 2 3 3" xfId="12308"/>
    <cellStyle name="표준 10 4 4 3 2 3 3 2" xfId="12309"/>
    <cellStyle name="표준 10 4 4 3 2 3 4" xfId="12310"/>
    <cellStyle name="표준 10 4 4 3 2 3 5" xfId="12311"/>
    <cellStyle name="표준 10 4 4 3 2 4 2" xfId="12312"/>
    <cellStyle name="표준 10 4 4 3 2 5" xfId="12313"/>
    <cellStyle name="표준 10 4 4 3 2 5 2" xfId="12314"/>
    <cellStyle name="표준 10 4 4 3 2 6" xfId="12315"/>
    <cellStyle name="표준 10 4 4 3 2 7" xfId="12316"/>
    <cellStyle name="표준 10 4 4 3 3 2 2" xfId="12317"/>
    <cellStyle name="표준 10 4 4 3 3 3" xfId="12318"/>
    <cellStyle name="표준 10 4 4 3 3 3 2" xfId="12319"/>
    <cellStyle name="표준 10 4 4 3 3 4" xfId="12320"/>
    <cellStyle name="표준 10 4 4 3 3 5" xfId="12321"/>
    <cellStyle name="표준 10 4 4 3 4 2 2" xfId="12322"/>
    <cellStyle name="표준 10 4 4 3 4 3" xfId="12323"/>
    <cellStyle name="표준 10 4 4 3 4 3 2" xfId="12324"/>
    <cellStyle name="표준 10 4 4 3 4 4" xfId="12325"/>
    <cellStyle name="표준 10 4 4 3 4 5" xfId="12326"/>
    <cellStyle name="표준 10 4 4 3 5 2" xfId="12327"/>
    <cellStyle name="표준 10 4 4 3 6" xfId="12328"/>
    <cellStyle name="표준 10 4 4 3 6 2" xfId="12329"/>
    <cellStyle name="표준 10 4 4 3 7" xfId="12330"/>
    <cellStyle name="표준 10 4 4 3 8" xfId="12331"/>
    <cellStyle name="표준 10 4 4 4 2 2 2" xfId="12332"/>
    <cellStyle name="표준 10 4 4 4 2 3" xfId="12333"/>
    <cellStyle name="표준 10 4 4 4 2 3 2" xfId="12334"/>
    <cellStyle name="표준 10 4 4 4 2 4" xfId="12335"/>
    <cellStyle name="표준 10 4 4 4 2 5" xfId="12336"/>
    <cellStyle name="표준 10 4 4 4 3 2 2" xfId="12337"/>
    <cellStyle name="표준 10 4 4 4 3 3" xfId="12338"/>
    <cellStyle name="표준 10 4 4 4 3 3 2" xfId="12339"/>
    <cellStyle name="표준 10 4 4 4 3 4" xfId="12340"/>
    <cellStyle name="표준 10 4 4 4 3 5" xfId="12341"/>
    <cellStyle name="표준 10 4 4 4 4 2" xfId="12342"/>
    <cellStyle name="표준 10 4 4 4 5" xfId="12343"/>
    <cellStyle name="표준 10 4 4 4 5 2" xfId="12344"/>
    <cellStyle name="표준 10 4 4 4 6" xfId="12345"/>
    <cellStyle name="표준 10 4 4 4 7" xfId="12346"/>
    <cellStyle name="표준 10 4 4 5 2 2" xfId="12347"/>
    <cellStyle name="표준 10 4 4 5 3" xfId="12348"/>
    <cellStyle name="표준 10 4 4 5 3 2" xfId="12349"/>
    <cellStyle name="표준 10 4 4 5 4" xfId="12350"/>
    <cellStyle name="표준 10 4 4 5 5" xfId="12351"/>
    <cellStyle name="표준 10 4 4 6 2 2" xfId="12352"/>
    <cellStyle name="표준 10 4 4 6 3" xfId="12353"/>
    <cellStyle name="표준 10 4 4 6 3 2" xfId="12354"/>
    <cellStyle name="표준 10 4 4 6 4" xfId="12355"/>
    <cellStyle name="표준 10 4 4 6 5" xfId="12356"/>
    <cellStyle name="표준 10 4 4 7 2" xfId="12357"/>
    <cellStyle name="표준 10 4 4 8" xfId="12358"/>
    <cellStyle name="표준 10 4 4 8 2" xfId="12359"/>
    <cellStyle name="표준 10 4 4 9" xfId="12360"/>
    <cellStyle name="표준 10 4 5 2 2 2 2 2" xfId="12361"/>
    <cellStyle name="표준 10 4 5 2 2 2 3" xfId="12362"/>
    <cellStyle name="표준 10 4 5 2 2 2 3 2" xfId="12363"/>
    <cellStyle name="표준 10 4 5 2 2 2 4" xfId="12364"/>
    <cellStyle name="표준 10 4 5 2 2 2 5" xfId="12365"/>
    <cellStyle name="표준 10 4 5 2 2 3 2 2" xfId="12366"/>
    <cellStyle name="표준 10 4 5 2 2 3 3" xfId="12367"/>
    <cellStyle name="표준 10 4 5 2 2 3 3 2" xfId="12368"/>
    <cellStyle name="표준 10 4 5 2 2 3 4" xfId="12369"/>
    <cellStyle name="표준 10 4 5 2 2 3 5" xfId="12370"/>
    <cellStyle name="표준 10 4 5 2 2 4 2" xfId="12371"/>
    <cellStyle name="표준 10 4 5 2 2 5" xfId="12372"/>
    <cellStyle name="표준 10 4 5 2 2 5 2" xfId="12373"/>
    <cellStyle name="표준 10 4 5 2 2 6" xfId="12374"/>
    <cellStyle name="표준 10 4 5 2 2 7" xfId="12375"/>
    <cellStyle name="표준 10 4 5 2 3 2 2" xfId="12376"/>
    <cellStyle name="표준 10 4 5 2 3 3" xfId="12377"/>
    <cellStyle name="표준 10 4 5 2 3 3 2" xfId="12378"/>
    <cellStyle name="표준 10 4 5 2 3 4" xfId="12379"/>
    <cellStyle name="표준 10 4 5 2 3 5" xfId="12380"/>
    <cellStyle name="표준 10 4 5 2 4 2 2" xfId="12381"/>
    <cellStyle name="표준 10 4 5 2 4 3" xfId="12382"/>
    <cellStyle name="표준 10 4 5 2 4 3 2" xfId="12383"/>
    <cellStyle name="표준 10 4 5 2 4 4" xfId="12384"/>
    <cellStyle name="표준 10 4 5 2 4 5" xfId="12385"/>
    <cellStyle name="표준 10 4 5 2 5 2" xfId="12386"/>
    <cellStyle name="표준 10 4 5 2 6" xfId="12387"/>
    <cellStyle name="표준 10 4 5 2 6 2" xfId="12388"/>
    <cellStyle name="표준 10 4 5 2 7" xfId="12389"/>
    <cellStyle name="표준 10 4 5 2 8" xfId="12390"/>
    <cellStyle name="표준 10 4 5 3 2 2 2" xfId="12391"/>
    <cellStyle name="표준 10 4 5 3 2 3" xfId="12392"/>
    <cellStyle name="표준 10 4 5 3 2 3 2" xfId="12393"/>
    <cellStyle name="표준 10 4 5 3 2 4" xfId="12394"/>
    <cellStyle name="표준 10 4 5 3 2 5" xfId="12395"/>
    <cellStyle name="표준 10 4 5 3 3 2 2" xfId="12396"/>
    <cellStyle name="표준 10 4 5 3 3 3" xfId="12397"/>
    <cellStyle name="표준 10 4 5 3 3 3 2" xfId="12398"/>
    <cellStyle name="표준 10 4 5 3 3 4" xfId="12399"/>
    <cellStyle name="표준 10 4 5 3 3 5" xfId="12400"/>
    <cellStyle name="표준 10 4 5 3 4 2" xfId="12401"/>
    <cellStyle name="표준 10 4 5 3 5" xfId="12402"/>
    <cellStyle name="표준 10 4 5 3 5 2" xfId="12403"/>
    <cellStyle name="표준 10 4 5 3 6" xfId="12404"/>
    <cellStyle name="표준 10 4 5 3 7" xfId="12405"/>
    <cellStyle name="표준 10 4 5 4 2 2" xfId="12406"/>
    <cellStyle name="표준 10 4 5 4 3" xfId="12407"/>
    <cellStyle name="표준 10 4 5 4 3 2" xfId="12408"/>
    <cellStyle name="표준 10 4 5 4 4" xfId="12409"/>
    <cellStyle name="표준 10 4 5 4 5" xfId="12410"/>
    <cellStyle name="표준 10 4 5 5 2 2" xfId="12411"/>
    <cellStyle name="표준 10 4 5 5 3" xfId="12412"/>
    <cellStyle name="표준 10 4 5 5 3 2" xfId="12413"/>
    <cellStyle name="표준 10 4 5 5 4" xfId="12414"/>
    <cellStyle name="표준 10 4 5 5 5" xfId="12415"/>
    <cellStyle name="표준 10 4 5 6 2" xfId="12416"/>
    <cellStyle name="표준 10 4 5 7" xfId="12417"/>
    <cellStyle name="표준 10 4 5 7 2" xfId="12418"/>
    <cellStyle name="표준 10 4 5 8" xfId="12419"/>
    <cellStyle name="표준 10 4 5 9" xfId="12420"/>
    <cellStyle name="표준 10 4 6 2 2 2 2" xfId="12421"/>
    <cellStyle name="표준 10 4 6 2 2 3" xfId="12422"/>
    <cellStyle name="표준 10 4 6 2 2 3 2" xfId="12423"/>
    <cellStyle name="표준 10 4 6 2 2 4" xfId="12424"/>
    <cellStyle name="표준 10 4 6 2 2 5" xfId="12425"/>
    <cellStyle name="표준 10 4 6 2 3 2 2" xfId="12426"/>
    <cellStyle name="표준 10 4 6 2 3 3" xfId="12427"/>
    <cellStyle name="표준 10 4 6 2 3 3 2" xfId="12428"/>
    <cellStyle name="표준 10 4 6 2 3 4" xfId="12429"/>
    <cellStyle name="표준 10 4 6 2 3 5" xfId="12430"/>
    <cellStyle name="표준 10 4 6 2 4 2" xfId="12431"/>
    <cellStyle name="표준 10 4 6 2 5" xfId="12432"/>
    <cellStyle name="표준 10 4 6 2 5 2" xfId="12433"/>
    <cellStyle name="표준 10 4 6 2 6" xfId="12434"/>
    <cellStyle name="표준 10 4 6 2 7" xfId="12435"/>
    <cellStyle name="표준 10 4 6 3 2 2" xfId="12436"/>
    <cellStyle name="표준 10 4 6 3 3" xfId="12437"/>
    <cellStyle name="표준 10 4 6 3 3 2" xfId="12438"/>
    <cellStyle name="표준 10 4 6 3 4" xfId="12439"/>
    <cellStyle name="표준 10 4 6 3 5" xfId="12440"/>
    <cellStyle name="표준 10 4 6 4 2 2" xfId="12441"/>
    <cellStyle name="표준 10 4 6 4 3" xfId="12442"/>
    <cellStyle name="표준 10 4 6 4 3 2" xfId="12443"/>
    <cellStyle name="표준 10 4 6 4 4" xfId="12444"/>
    <cellStyle name="표준 10 4 6 4 5" xfId="12445"/>
    <cellStyle name="표준 10 4 6 5 2" xfId="12446"/>
    <cellStyle name="표준 10 4 6 6" xfId="12447"/>
    <cellStyle name="표준 10 4 6 6 2" xfId="12448"/>
    <cellStyle name="표준 10 4 6 7" xfId="12449"/>
    <cellStyle name="표준 10 4 6 8" xfId="12450"/>
    <cellStyle name="표준 10 4 7 2 2 2" xfId="12451"/>
    <cellStyle name="표준 10 4 7 2 3" xfId="12452"/>
    <cellStyle name="표준 10 4 7 2 3 2" xfId="12453"/>
    <cellStyle name="표준 10 4 7 2 4" xfId="12454"/>
    <cellStyle name="표준 10 4 7 2 5" xfId="12455"/>
    <cellStyle name="표준 10 4 7 3 2 2" xfId="12456"/>
    <cellStyle name="표준 10 4 7 3 3" xfId="12457"/>
    <cellStyle name="표준 10 4 7 3 3 2" xfId="12458"/>
    <cellStyle name="표준 10 4 7 3 4" xfId="12459"/>
    <cellStyle name="표준 10 4 7 3 5" xfId="12460"/>
    <cellStyle name="표준 10 4 7 4 2" xfId="12461"/>
    <cellStyle name="표준 10 4 7 5" xfId="12462"/>
    <cellStyle name="표준 10 4 7 5 2" xfId="12463"/>
    <cellStyle name="표준 10 4 7 6" xfId="12464"/>
    <cellStyle name="표준 10 4 7 7" xfId="12465"/>
    <cellStyle name="표준 10 4 8 2 2" xfId="12466"/>
    <cellStyle name="표준 10 4 8 3" xfId="12467"/>
    <cellStyle name="표준 10 4 8 3 2" xfId="12468"/>
    <cellStyle name="표준 10 4 8 4" xfId="12469"/>
    <cellStyle name="표준 10 4 8 5" xfId="12470"/>
    <cellStyle name="표준 10 4 9 2 2" xfId="12471"/>
    <cellStyle name="표준 10 4 9 3" xfId="12472"/>
    <cellStyle name="표준 10 4 9 3 2" xfId="12473"/>
    <cellStyle name="표준 10 4 9 4" xfId="12474"/>
    <cellStyle name="표준 10 4 9 5" xfId="12475"/>
    <cellStyle name="표준 10 5 10 2" xfId="12476"/>
    <cellStyle name="표준 10 5 11" xfId="12477"/>
    <cellStyle name="표준 10 5 11 2" xfId="12478"/>
    <cellStyle name="표준 10 5 12" xfId="12479"/>
    <cellStyle name="표준 10 5 13" xfId="12480"/>
    <cellStyle name="표준 10 5 2 10" xfId="12481"/>
    <cellStyle name="표준 10 5 2 2 2 2 2 2 2" xfId="12482"/>
    <cellStyle name="표준 10 5 2 2 2 2 2 3" xfId="12483"/>
    <cellStyle name="표준 10 5 2 2 2 2 2 3 2" xfId="12484"/>
    <cellStyle name="표준 10 5 2 2 2 2 2 4" xfId="12485"/>
    <cellStyle name="표준 10 5 2 2 2 2 2 5" xfId="12486"/>
    <cellStyle name="표준 10 5 2 2 2 2 3 2 2" xfId="12487"/>
    <cellStyle name="표준 10 5 2 2 2 2 3 3" xfId="12488"/>
    <cellStyle name="표준 10 5 2 2 2 2 3 3 2" xfId="12489"/>
    <cellStyle name="표준 10 5 2 2 2 2 3 4" xfId="12490"/>
    <cellStyle name="표준 10 5 2 2 2 2 3 5" xfId="12491"/>
    <cellStyle name="표준 10 5 2 2 2 2 4 2" xfId="12492"/>
    <cellStyle name="표준 10 5 2 2 2 2 5" xfId="12493"/>
    <cellStyle name="표준 10 5 2 2 2 2 5 2" xfId="12494"/>
    <cellStyle name="표준 10 5 2 2 2 2 6" xfId="12495"/>
    <cellStyle name="표준 10 5 2 2 2 2 7" xfId="12496"/>
    <cellStyle name="표준 10 5 2 2 2 3 2 2" xfId="12497"/>
    <cellStyle name="표준 10 5 2 2 2 3 3" xfId="12498"/>
    <cellStyle name="표준 10 5 2 2 2 3 3 2" xfId="12499"/>
    <cellStyle name="표준 10 5 2 2 2 3 4" xfId="12500"/>
    <cellStyle name="표준 10 5 2 2 2 3 5" xfId="12501"/>
    <cellStyle name="표준 10 5 2 2 2 4 2 2" xfId="12502"/>
    <cellStyle name="표준 10 5 2 2 2 4 3" xfId="12503"/>
    <cellStyle name="표준 10 5 2 2 2 4 3 2" xfId="12504"/>
    <cellStyle name="표준 10 5 2 2 2 4 4" xfId="12505"/>
    <cellStyle name="표준 10 5 2 2 2 4 5" xfId="12506"/>
    <cellStyle name="표준 10 5 2 2 2 5 2" xfId="12507"/>
    <cellStyle name="표준 10 5 2 2 2 6" xfId="12508"/>
    <cellStyle name="표준 10 5 2 2 2 6 2" xfId="12509"/>
    <cellStyle name="표준 10 5 2 2 2 7" xfId="12510"/>
    <cellStyle name="표준 10 5 2 2 2 8" xfId="12511"/>
    <cellStyle name="표준 10 5 2 2 3 2 2 2" xfId="12512"/>
    <cellStyle name="표준 10 5 2 2 3 2 3" xfId="12513"/>
    <cellStyle name="표준 10 5 2 2 3 2 3 2" xfId="12514"/>
    <cellStyle name="표준 10 5 2 2 3 2 4" xfId="12515"/>
    <cellStyle name="표준 10 5 2 2 3 2 5" xfId="12516"/>
    <cellStyle name="표준 10 5 2 2 3 3 2 2" xfId="12517"/>
    <cellStyle name="표준 10 5 2 2 3 3 3" xfId="12518"/>
    <cellStyle name="표준 10 5 2 2 3 3 3 2" xfId="12519"/>
    <cellStyle name="표준 10 5 2 2 3 3 4" xfId="12520"/>
    <cellStyle name="표준 10 5 2 2 3 3 5" xfId="12521"/>
    <cellStyle name="표준 10 5 2 2 3 4 2" xfId="12522"/>
    <cellStyle name="표준 10 5 2 2 3 5" xfId="12523"/>
    <cellStyle name="표준 10 5 2 2 3 5 2" xfId="12524"/>
    <cellStyle name="표준 10 5 2 2 3 6" xfId="12525"/>
    <cellStyle name="표준 10 5 2 2 3 7" xfId="12526"/>
    <cellStyle name="표준 10 5 2 2 4 2 2" xfId="12527"/>
    <cellStyle name="표준 10 5 2 2 4 3" xfId="12528"/>
    <cellStyle name="표준 10 5 2 2 4 3 2" xfId="12529"/>
    <cellStyle name="표준 10 5 2 2 4 4" xfId="12530"/>
    <cellStyle name="표준 10 5 2 2 4 5" xfId="12531"/>
    <cellStyle name="표준 10 5 2 2 5 2 2" xfId="12532"/>
    <cellStyle name="표준 10 5 2 2 5 3" xfId="12533"/>
    <cellStyle name="표준 10 5 2 2 5 3 2" xfId="12534"/>
    <cellStyle name="표준 10 5 2 2 5 4" xfId="12535"/>
    <cellStyle name="표준 10 5 2 2 5 5" xfId="12536"/>
    <cellStyle name="표준 10 5 2 2 6 2" xfId="12537"/>
    <cellStyle name="표준 10 5 2 2 7" xfId="12538"/>
    <cellStyle name="표준 10 5 2 2 7 2" xfId="12539"/>
    <cellStyle name="표준 10 5 2 2 8" xfId="12540"/>
    <cellStyle name="표준 10 5 2 2 9" xfId="12541"/>
    <cellStyle name="표준 10 5 2 3 2 2 2 2" xfId="12542"/>
    <cellStyle name="표준 10 5 2 3 2 2 3" xfId="12543"/>
    <cellStyle name="표준 10 5 2 3 2 2 3 2" xfId="12544"/>
    <cellStyle name="표준 10 5 2 3 2 2 4" xfId="12545"/>
    <cellStyle name="표준 10 5 2 3 2 2 5" xfId="12546"/>
    <cellStyle name="표준 10 5 2 3 2 3 2 2" xfId="12547"/>
    <cellStyle name="표준 10 5 2 3 2 3 3" xfId="12548"/>
    <cellStyle name="표준 10 5 2 3 2 3 3 2" xfId="12549"/>
    <cellStyle name="표준 10 5 2 3 2 3 4" xfId="12550"/>
    <cellStyle name="표준 10 5 2 3 2 3 5" xfId="12551"/>
    <cellStyle name="표준 10 5 2 3 2 4 2" xfId="12552"/>
    <cellStyle name="표준 10 5 2 3 2 5" xfId="12553"/>
    <cellStyle name="표준 10 5 2 3 2 5 2" xfId="12554"/>
    <cellStyle name="표준 10 5 2 3 2 6" xfId="12555"/>
    <cellStyle name="표준 10 5 2 3 2 7" xfId="12556"/>
    <cellStyle name="표준 10 5 2 3 3 2 2" xfId="12557"/>
    <cellStyle name="표준 10 5 2 3 3 3" xfId="12558"/>
    <cellStyle name="표준 10 5 2 3 3 3 2" xfId="12559"/>
    <cellStyle name="표준 10 5 2 3 3 4" xfId="12560"/>
    <cellStyle name="표준 10 5 2 3 3 5" xfId="12561"/>
    <cellStyle name="표준 10 5 2 3 4 2 2" xfId="12562"/>
    <cellStyle name="표준 10 5 2 3 4 3" xfId="12563"/>
    <cellStyle name="표준 10 5 2 3 4 3 2" xfId="12564"/>
    <cellStyle name="표준 10 5 2 3 4 4" xfId="12565"/>
    <cellStyle name="표준 10 5 2 3 4 5" xfId="12566"/>
    <cellStyle name="표준 10 5 2 3 5 2" xfId="12567"/>
    <cellStyle name="표준 10 5 2 3 6" xfId="12568"/>
    <cellStyle name="표준 10 5 2 3 6 2" xfId="12569"/>
    <cellStyle name="표준 10 5 2 3 7" xfId="12570"/>
    <cellStyle name="표준 10 5 2 3 8" xfId="12571"/>
    <cellStyle name="표준 10 5 2 4 2 2 2" xfId="12572"/>
    <cellStyle name="표준 10 5 2 4 2 3" xfId="12573"/>
    <cellStyle name="표준 10 5 2 4 2 3 2" xfId="12574"/>
    <cellStyle name="표준 10 5 2 4 2 4" xfId="12575"/>
    <cellStyle name="표준 10 5 2 4 2 5" xfId="12576"/>
    <cellStyle name="표준 10 5 2 4 3 2 2" xfId="12577"/>
    <cellStyle name="표준 10 5 2 4 3 3" xfId="12578"/>
    <cellStyle name="표준 10 5 2 4 3 3 2" xfId="12579"/>
    <cellStyle name="표준 10 5 2 4 3 4" xfId="12580"/>
    <cellStyle name="표준 10 5 2 4 3 5" xfId="12581"/>
    <cellStyle name="표준 10 5 2 4 4 2" xfId="12582"/>
    <cellStyle name="표준 10 5 2 4 5" xfId="12583"/>
    <cellStyle name="표준 10 5 2 4 5 2" xfId="12584"/>
    <cellStyle name="표준 10 5 2 4 6" xfId="12585"/>
    <cellStyle name="표준 10 5 2 4 7" xfId="12586"/>
    <cellStyle name="표준 10 5 2 5 2 2" xfId="12587"/>
    <cellStyle name="표준 10 5 2 5 3" xfId="12588"/>
    <cellStyle name="표준 10 5 2 5 3 2" xfId="12589"/>
    <cellStyle name="표준 10 5 2 5 4" xfId="12590"/>
    <cellStyle name="표준 10 5 2 5 5" xfId="12591"/>
    <cellStyle name="표준 10 5 2 6 2 2" xfId="12592"/>
    <cellStyle name="표준 10 5 2 6 3" xfId="12593"/>
    <cellStyle name="표준 10 5 2 6 3 2" xfId="12594"/>
    <cellStyle name="표준 10 5 2 6 4" xfId="12595"/>
    <cellStyle name="표준 10 5 2 6 5" xfId="12596"/>
    <cellStyle name="표준 10 5 2 7 2" xfId="12597"/>
    <cellStyle name="표준 10 5 2 8" xfId="12598"/>
    <cellStyle name="표준 10 5 2 8 2" xfId="12599"/>
    <cellStyle name="표준 10 5 2 9" xfId="12600"/>
    <cellStyle name="표준 10 5 3 10" xfId="12601"/>
    <cellStyle name="표준 10 5 3 2 2 2 2 2 2" xfId="12602"/>
    <cellStyle name="표준 10 5 3 2 2 2 2 3" xfId="12603"/>
    <cellStyle name="표준 10 5 3 2 2 2 2 3 2" xfId="12604"/>
    <cellStyle name="표준 10 5 3 2 2 2 2 4" xfId="12605"/>
    <cellStyle name="표준 10 5 3 2 2 2 2 5" xfId="12606"/>
    <cellStyle name="표준 10 5 3 2 2 2 3 2 2" xfId="12607"/>
    <cellStyle name="표준 10 5 3 2 2 2 3 3" xfId="12608"/>
    <cellStyle name="표준 10 5 3 2 2 2 3 3 2" xfId="12609"/>
    <cellStyle name="표준 10 5 3 2 2 2 3 4" xfId="12610"/>
    <cellStyle name="표준 10 5 3 2 2 2 3 5" xfId="12611"/>
    <cellStyle name="표준 10 5 3 2 2 2 4 2" xfId="12612"/>
    <cellStyle name="표준 10 5 3 2 2 2 5" xfId="12613"/>
    <cellStyle name="표준 10 5 3 2 2 2 5 2" xfId="12614"/>
    <cellStyle name="표준 10 5 3 2 2 2 6" xfId="12615"/>
    <cellStyle name="표준 10 5 3 2 2 2 7" xfId="12616"/>
    <cellStyle name="표준 10 5 3 2 2 3 2 2" xfId="12617"/>
    <cellStyle name="표준 10 5 3 2 2 3 3" xfId="12618"/>
    <cellStyle name="표준 10 5 3 2 2 3 3 2" xfId="12619"/>
    <cellStyle name="표준 10 5 3 2 2 3 4" xfId="12620"/>
    <cellStyle name="표준 10 5 3 2 2 3 5" xfId="12621"/>
    <cellStyle name="표준 10 5 3 2 2 4 2 2" xfId="12622"/>
    <cellStyle name="표준 10 5 3 2 2 4 3" xfId="12623"/>
    <cellStyle name="표준 10 5 3 2 2 4 3 2" xfId="12624"/>
    <cellStyle name="표준 10 5 3 2 2 4 4" xfId="12625"/>
    <cellStyle name="표준 10 5 3 2 2 4 5" xfId="12626"/>
    <cellStyle name="표준 10 5 3 2 2 5 2" xfId="12627"/>
    <cellStyle name="표준 10 5 3 2 2 6" xfId="12628"/>
    <cellStyle name="표준 10 5 3 2 2 6 2" xfId="12629"/>
    <cellStyle name="표준 10 5 3 2 2 7" xfId="12630"/>
    <cellStyle name="표준 10 5 3 2 2 8" xfId="12631"/>
    <cellStyle name="표준 10 5 3 2 3 2 2 2" xfId="12632"/>
    <cellStyle name="표준 10 5 3 2 3 2 3" xfId="12633"/>
    <cellStyle name="표준 10 5 3 2 3 2 3 2" xfId="12634"/>
    <cellStyle name="표준 10 5 3 2 3 2 4" xfId="12635"/>
    <cellStyle name="표준 10 5 3 2 3 2 5" xfId="12636"/>
    <cellStyle name="표준 10 5 3 2 3 3 2 2" xfId="12637"/>
    <cellStyle name="표준 10 5 3 2 3 3 3" xfId="12638"/>
    <cellStyle name="표준 10 5 3 2 3 3 3 2" xfId="12639"/>
    <cellStyle name="표준 10 5 3 2 3 3 4" xfId="12640"/>
    <cellStyle name="표준 10 5 3 2 3 3 5" xfId="12641"/>
    <cellStyle name="표준 10 5 3 2 3 4 2" xfId="12642"/>
    <cellStyle name="표준 10 5 3 2 3 5" xfId="12643"/>
    <cellStyle name="표준 10 5 3 2 3 5 2" xfId="12644"/>
    <cellStyle name="표준 10 5 3 2 3 6" xfId="12645"/>
    <cellStyle name="표준 10 5 3 2 3 7" xfId="12646"/>
    <cellStyle name="표준 10 5 3 2 4 2 2" xfId="12647"/>
    <cellStyle name="표준 10 5 3 2 4 3" xfId="12648"/>
    <cellStyle name="표준 10 5 3 2 4 3 2" xfId="12649"/>
    <cellStyle name="표준 10 5 3 2 4 4" xfId="12650"/>
    <cellStyle name="표준 10 5 3 2 4 5" xfId="12651"/>
    <cellStyle name="표준 10 5 3 2 5 2 2" xfId="12652"/>
    <cellStyle name="표준 10 5 3 2 5 3" xfId="12653"/>
    <cellStyle name="표준 10 5 3 2 5 3 2" xfId="12654"/>
    <cellStyle name="표준 10 5 3 2 5 4" xfId="12655"/>
    <cellStyle name="표준 10 5 3 2 5 5" xfId="12656"/>
    <cellStyle name="표준 10 5 3 2 6 2" xfId="12657"/>
    <cellStyle name="표준 10 5 3 2 7" xfId="12658"/>
    <cellStyle name="표준 10 5 3 2 7 2" xfId="12659"/>
    <cellStyle name="표준 10 5 3 2 8" xfId="12660"/>
    <cellStyle name="표준 10 5 3 2 9" xfId="12661"/>
    <cellStyle name="표준 10 5 3 3 2 2 2 2" xfId="12662"/>
    <cellStyle name="표준 10 5 3 3 2 2 3" xfId="12663"/>
    <cellStyle name="표준 10 5 3 3 2 2 3 2" xfId="12664"/>
    <cellStyle name="표준 10 5 3 3 2 2 4" xfId="12665"/>
    <cellStyle name="표준 10 5 3 3 2 2 5" xfId="12666"/>
    <cellStyle name="표준 10 5 3 3 2 3 2 2" xfId="12667"/>
    <cellStyle name="표준 10 5 3 3 2 3 3" xfId="12668"/>
    <cellStyle name="표준 10 5 3 3 2 3 3 2" xfId="12669"/>
    <cellStyle name="표준 10 5 3 3 2 3 4" xfId="12670"/>
    <cellStyle name="표준 10 5 3 3 2 3 5" xfId="12671"/>
    <cellStyle name="표준 10 5 3 3 2 4 2" xfId="12672"/>
    <cellStyle name="표준 10 5 3 3 2 5" xfId="12673"/>
    <cellStyle name="표준 10 5 3 3 2 5 2" xfId="12674"/>
    <cellStyle name="표준 10 5 3 3 2 6" xfId="12675"/>
    <cellStyle name="표준 10 5 3 3 2 7" xfId="12676"/>
    <cellStyle name="표준 10 5 3 3 3 2 2" xfId="12677"/>
    <cellStyle name="표준 10 5 3 3 3 3" xfId="12678"/>
    <cellStyle name="표준 10 5 3 3 3 3 2" xfId="12679"/>
    <cellStyle name="표준 10 5 3 3 3 4" xfId="12680"/>
    <cellStyle name="표준 10 5 3 3 3 5" xfId="12681"/>
    <cellStyle name="표준 10 5 3 3 4 2 2" xfId="12682"/>
    <cellStyle name="표준 10 5 3 3 4 3" xfId="12683"/>
    <cellStyle name="표준 10 5 3 3 4 3 2" xfId="12684"/>
    <cellStyle name="표준 10 5 3 3 4 4" xfId="12685"/>
    <cellStyle name="표준 10 5 3 3 4 5" xfId="12686"/>
    <cellStyle name="표준 10 5 3 3 5 2" xfId="12687"/>
    <cellStyle name="표준 10 5 3 3 6" xfId="12688"/>
    <cellStyle name="표준 10 5 3 3 6 2" xfId="12689"/>
    <cellStyle name="표준 10 5 3 3 7" xfId="12690"/>
    <cellStyle name="표준 10 5 3 3 8" xfId="12691"/>
    <cellStyle name="표준 10 5 3 4 2 2 2" xfId="12692"/>
    <cellStyle name="표준 10 5 3 4 2 3" xfId="12693"/>
    <cellStyle name="표준 10 5 3 4 2 3 2" xfId="12694"/>
    <cellStyle name="표준 10 5 3 4 2 4" xfId="12695"/>
    <cellStyle name="표준 10 5 3 4 2 5" xfId="12696"/>
    <cellStyle name="표준 10 5 3 4 3 2 2" xfId="12697"/>
    <cellStyle name="표준 10 5 3 4 3 3" xfId="12698"/>
    <cellStyle name="표준 10 5 3 4 3 3 2" xfId="12699"/>
    <cellStyle name="표준 10 5 3 4 3 4" xfId="12700"/>
    <cellStyle name="표준 10 5 3 4 3 5" xfId="12701"/>
    <cellStyle name="표준 10 5 3 4 4 2" xfId="12702"/>
    <cellStyle name="표준 10 5 3 4 5" xfId="12703"/>
    <cellStyle name="표준 10 5 3 4 5 2" xfId="12704"/>
    <cellStyle name="표준 10 5 3 4 6" xfId="12705"/>
    <cellStyle name="표준 10 5 3 4 7" xfId="12706"/>
    <cellStyle name="표준 10 5 3 5 2 2" xfId="12707"/>
    <cellStyle name="표준 10 5 3 5 3" xfId="12708"/>
    <cellStyle name="표준 10 5 3 5 3 2" xfId="12709"/>
    <cellStyle name="표준 10 5 3 5 4" xfId="12710"/>
    <cellStyle name="표준 10 5 3 5 5" xfId="12711"/>
    <cellStyle name="표준 10 5 3 6 2 2" xfId="12712"/>
    <cellStyle name="표준 10 5 3 6 3" xfId="12713"/>
    <cellStyle name="표준 10 5 3 6 3 2" xfId="12714"/>
    <cellStyle name="표준 10 5 3 6 4" xfId="12715"/>
    <cellStyle name="표준 10 5 3 6 5" xfId="12716"/>
    <cellStyle name="표준 10 5 3 7 2" xfId="12717"/>
    <cellStyle name="표준 10 5 3 8" xfId="12718"/>
    <cellStyle name="표준 10 5 3 8 2" xfId="12719"/>
    <cellStyle name="표준 10 5 3 9" xfId="12720"/>
    <cellStyle name="표준 10 5 4 10" xfId="12721"/>
    <cellStyle name="표준 10 5 4 2 2 2 2 2 2" xfId="12722"/>
    <cellStyle name="표준 10 5 4 2 2 2 2 3" xfId="12723"/>
    <cellStyle name="표준 10 5 4 2 2 2 2 3 2" xfId="12724"/>
    <cellStyle name="표준 10 5 4 2 2 2 2 4" xfId="12725"/>
    <cellStyle name="표준 10 5 4 2 2 2 2 5" xfId="12726"/>
    <cellStyle name="표준 10 5 4 2 2 2 3 2 2" xfId="12727"/>
    <cellStyle name="표준 10 5 4 2 2 2 3 3" xfId="12728"/>
    <cellStyle name="표준 10 5 4 2 2 2 3 3 2" xfId="12729"/>
    <cellStyle name="표준 10 5 4 2 2 2 3 4" xfId="12730"/>
    <cellStyle name="표준 10 5 4 2 2 2 3 5" xfId="12731"/>
    <cellStyle name="표준 10 5 4 2 2 2 4 2" xfId="12732"/>
    <cellStyle name="표준 10 5 4 2 2 2 5" xfId="12733"/>
    <cellStyle name="표준 10 5 4 2 2 2 5 2" xfId="12734"/>
    <cellStyle name="표준 10 5 4 2 2 2 6" xfId="12735"/>
    <cellStyle name="표준 10 5 4 2 2 2 7" xfId="12736"/>
    <cellStyle name="표준 10 5 4 2 2 3 2 2" xfId="12737"/>
    <cellStyle name="표준 10 5 4 2 2 3 3" xfId="12738"/>
    <cellStyle name="표준 10 5 4 2 2 3 3 2" xfId="12739"/>
    <cellStyle name="표준 10 5 4 2 2 3 4" xfId="12740"/>
    <cellStyle name="표준 10 5 4 2 2 3 5" xfId="12741"/>
    <cellStyle name="표준 10 5 4 2 2 4 2 2" xfId="12742"/>
    <cellStyle name="표준 10 5 4 2 2 4 3" xfId="12743"/>
    <cellStyle name="표준 10 5 4 2 2 4 3 2" xfId="12744"/>
    <cellStyle name="표준 10 5 4 2 2 4 4" xfId="12745"/>
    <cellStyle name="표준 10 5 4 2 2 4 5" xfId="12746"/>
    <cellStyle name="표준 10 5 4 2 2 5 2" xfId="12747"/>
    <cellStyle name="표준 10 5 4 2 2 6" xfId="12748"/>
    <cellStyle name="표준 10 5 4 2 2 6 2" xfId="12749"/>
    <cellStyle name="표준 10 5 4 2 2 7" xfId="12750"/>
    <cellStyle name="표준 10 5 4 2 2 8" xfId="12751"/>
    <cellStyle name="표준 10 5 4 2 3 2 2 2" xfId="12752"/>
    <cellStyle name="표준 10 5 4 2 3 2 3" xfId="12753"/>
    <cellStyle name="표준 10 5 4 2 3 2 3 2" xfId="12754"/>
    <cellStyle name="표준 10 5 4 2 3 2 4" xfId="12755"/>
    <cellStyle name="표준 10 5 4 2 3 2 5" xfId="12756"/>
    <cellStyle name="표준 10 5 4 2 3 3 2 2" xfId="12757"/>
    <cellStyle name="표준 10 5 4 2 3 3 3" xfId="12758"/>
    <cellStyle name="표준 10 5 4 2 3 3 3 2" xfId="12759"/>
    <cellStyle name="표준 10 5 4 2 3 3 4" xfId="12760"/>
    <cellStyle name="표준 10 5 4 2 3 3 5" xfId="12761"/>
    <cellStyle name="표준 10 5 4 2 3 4 2" xfId="12762"/>
    <cellStyle name="표준 10 5 4 2 3 5" xfId="12763"/>
    <cellStyle name="표준 10 5 4 2 3 5 2" xfId="12764"/>
    <cellStyle name="표준 10 5 4 2 3 6" xfId="12765"/>
    <cellStyle name="표준 10 5 4 2 3 7" xfId="12766"/>
    <cellStyle name="표준 10 5 4 2 4 2 2" xfId="12767"/>
    <cellStyle name="표준 10 5 4 2 4 3" xfId="12768"/>
    <cellStyle name="표준 10 5 4 2 4 3 2" xfId="12769"/>
    <cellStyle name="표준 10 5 4 2 4 4" xfId="12770"/>
    <cellStyle name="표준 10 5 4 2 4 5" xfId="12771"/>
    <cellStyle name="표준 10 5 4 2 5 2 2" xfId="12772"/>
    <cellStyle name="표준 10 5 4 2 5 3" xfId="12773"/>
    <cellStyle name="표준 10 5 4 2 5 3 2" xfId="12774"/>
    <cellStyle name="표준 10 5 4 2 5 4" xfId="12775"/>
    <cellStyle name="표준 10 5 4 2 5 5" xfId="12776"/>
    <cellStyle name="표준 10 5 4 2 6 2" xfId="12777"/>
    <cellStyle name="표준 10 5 4 2 7" xfId="12778"/>
    <cellStyle name="표준 10 5 4 2 7 2" xfId="12779"/>
    <cellStyle name="표준 10 5 4 2 8" xfId="12780"/>
    <cellStyle name="표준 10 5 4 2 9" xfId="12781"/>
    <cellStyle name="표준 10 5 4 3 2 2 2 2" xfId="12782"/>
    <cellStyle name="표준 10 5 4 3 2 2 3" xfId="12783"/>
    <cellStyle name="표준 10 5 4 3 2 2 3 2" xfId="12784"/>
    <cellStyle name="표준 10 5 4 3 2 2 4" xfId="12785"/>
    <cellStyle name="표준 10 5 4 3 2 2 5" xfId="12786"/>
    <cellStyle name="표준 10 5 4 3 2 3 2 2" xfId="12787"/>
    <cellStyle name="표준 10 5 4 3 2 3 3" xfId="12788"/>
    <cellStyle name="표준 10 5 4 3 2 3 3 2" xfId="12789"/>
    <cellStyle name="표준 10 5 4 3 2 3 4" xfId="12790"/>
    <cellStyle name="표준 10 5 4 3 2 3 5" xfId="12791"/>
    <cellStyle name="표준 10 5 4 3 2 4 2" xfId="12792"/>
    <cellStyle name="표준 10 5 4 3 2 5" xfId="12793"/>
    <cellStyle name="표준 10 5 4 3 2 5 2" xfId="12794"/>
    <cellStyle name="표준 10 5 4 3 2 6" xfId="12795"/>
    <cellStyle name="표준 10 5 4 3 2 7" xfId="12796"/>
    <cellStyle name="표준 10 5 4 3 3 2 2" xfId="12797"/>
    <cellStyle name="표준 10 5 4 3 3 3" xfId="12798"/>
    <cellStyle name="표준 10 5 4 3 3 3 2" xfId="12799"/>
    <cellStyle name="표준 10 5 4 3 3 4" xfId="12800"/>
    <cellStyle name="표준 10 5 4 3 3 5" xfId="12801"/>
    <cellStyle name="표준 10 5 4 3 4 2 2" xfId="12802"/>
    <cellStyle name="표준 10 5 4 3 4 3" xfId="12803"/>
    <cellStyle name="표준 10 5 4 3 4 3 2" xfId="12804"/>
    <cellStyle name="표준 10 5 4 3 4 4" xfId="12805"/>
    <cellStyle name="표준 10 5 4 3 4 5" xfId="12806"/>
    <cellStyle name="표준 10 5 4 3 5 2" xfId="12807"/>
    <cellStyle name="표준 10 5 4 3 6" xfId="12808"/>
    <cellStyle name="표준 10 5 4 3 6 2" xfId="12809"/>
    <cellStyle name="표준 10 5 4 3 7" xfId="12810"/>
    <cellStyle name="표준 10 5 4 3 8" xfId="12811"/>
    <cellStyle name="표준 10 5 4 4 2 2 2" xfId="12812"/>
    <cellStyle name="표준 10 5 4 4 2 3" xfId="12813"/>
    <cellStyle name="표준 10 5 4 4 2 3 2" xfId="12814"/>
    <cellStyle name="표준 10 5 4 4 2 4" xfId="12815"/>
    <cellStyle name="표준 10 5 4 4 2 5" xfId="12816"/>
    <cellStyle name="표준 10 5 4 4 3 2 2" xfId="12817"/>
    <cellStyle name="표준 10 5 4 4 3 3" xfId="12818"/>
    <cellStyle name="표준 10 5 4 4 3 3 2" xfId="12819"/>
    <cellStyle name="표준 10 5 4 4 3 4" xfId="12820"/>
    <cellStyle name="표준 10 5 4 4 3 5" xfId="12821"/>
    <cellStyle name="표준 10 5 4 4 4 2" xfId="12822"/>
    <cellStyle name="표준 10 5 4 4 5" xfId="12823"/>
    <cellStyle name="표준 10 5 4 4 5 2" xfId="12824"/>
    <cellStyle name="표준 10 5 4 4 6" xfId="12825"/>
    <cellStyle name="표준 10 5 4 4 7" xfId="12826"/>
    <cellStyle name="표준 10 5 4 5 2 2" xfId="12827"/>
    <cellStyle name="표준 10 5 4 5 3" xfId="12828"/>
    <cellStyle name="표준 10 5 4 5 3 2" xfId="12829"/>
    <cellStyle name="표준 10 5 4 5 4" xfId="12830"/>
    <cellStyle name="표준 10 5 4 5 5" xfId="12831"/>
    <cellStyle name="표준 10 5 4 6 2 2" xfId="12832"/>
    <cellStyle name="표준 10 5 4 6 3" xfId="12833"/>
    <cellStyle name="표준 10 5 4 6 3 2" xfId="12834"/>
    <cellStyle name="표준 10 5 4 6 4" xfId="12835"/>
    <cellStyle name="표준 10 5 4 6 5" xfId="12836"/>
    <cellStyle name="표준 10 5 4 7 2" xfId="12837"/>
    <cellStyle name="표준 10 5 4 8" xfId="12838"/>
    <cellStyle name="표준 10 5 4 8 2" xfId="12839"/>
    <cellStyle name="표준 10 5 4 9" xfId="12840"/>
    <cellStyle name="표준 10 5 5 2 2 2 2 2" xfId="12841"/>
    <cellStyle name="표준 10 5 5 2 2 2 3" xfId="12842"/>
    <cellStyle name="표준 10 5 5 2 2 2 3 2" xfId="12843"/>
    <cellStyle name="표준 10 5 5 2 2 2 4" xfId="12844"/>
    <cellStyle name="표준 10 5 5 2 2 2 5" xfId="12845"/>
    <cellStyle name="표준 10 5 5 2 2 3 2 2" xfId="12846"/>
    <cellStyle name="표준 10 5 5 2 2 3 3" xfId="12847"/>
    <cellStyle name="표준 10 5 5 2 2 3 3 2" xfId="12848"/>
    <cellStyle name="표준 10 5 5 2 2 3 4" xfId="12849"/>
    <cellStyle name="표준 10 5 5 2 2 3 5" xfId="12850"/>
    <cellStyle name="표준 10 5 5 2 2 4 2" xfId="12851"/>
    <cellStyle name="표준 10 5 5 2 2 5" xfId="12852"/>
    <cellStyle name="표준 10 5 5 2 2 5 2" xfId="12853"/>
    <cellStyle name="표준 10 5 5 2 2 6" xfId="12854"/>
    <cellStyle name="표준 10 5 5 2 2 7" xfId="12855"/>
    <cellStyle name="표준 10 5 5 2 3 2 2" xfId="12856"/>
    <cellStyle name="표준 10 5 5 2 3 3" xfId="12857"/>
    <cellStyle name="표준 10 5 5 2 3 3 2" xfId="12858"/>
    <cellStyle name="표준 10 5 5 2 3 4" xfId="12859"/>
    <cellStyle name="표준 10 5 5 2 3 5" xfId="12860"/>
    <cellStyle name="표준 10 5 5 2 4 2 2" xfId="12861"/>
    <cellStyle name="표준 10 5 5 2 4 3" xfId="12862"/>
    <cellStyle name="표준 10 5 5 2 4 3 2" xfId="12863"/>
    <cellStyle name="표준 10 5 5 2 4 4" xfId="12864"/>
    <cellStyle name="표준 10 5 5 2 4 5" xfId="12865"/>
    <cellStyle name="표준 10 5 5 2 5 2" xfId="12866"/>
    <cellStyle name="표준 10 5 5 2 6" xfId="12867"/>
    <cellStyle name="표준 10 5 5 2 6 2" xfId="12868"/>
    <cellStyle name="표준 10 5 5 2 7" xfId="12869"/>
    <cellStyle name="표준 10 5 5 2 8" xfId="12870"/>
    <cellStyle name="표준 10 5 5 3 2 2 2" xfId="12871"/>
    <cellStyle name="표준 10 5 5 3 2 3" xfId="12872"/>
    <cellStyle name="표준 10 5 5 3 2 3 2" xfId="12873"/>
    <cellStyle name="표준 10 5 5 3 2 4" xfId="12874"/>
    <cellStyle name="표준 10 5 5 3 2 5" xfId="12875"/>
    <cellStyle name="표준 10 5 5 3 3 2 2" xfId="12876"/>
    <cellStyle name="표준 10 5 5 3 3 3" xfId="12877"/>
    <cellStyle name="표준 10 5 5 3 3 3 2" xfId="12878"/>
    <cellStyle name="표준 10 5 5 3 3 4" xfId="12879"/>
    <cellStyle name="표준 10 5 5 3 3 5" xfId="12880"/>
    <cellStyle name="표준 10 5 5 3 4 2" xfId="12881"/>
    <cellStyle name="표준 10 5 5 3 5" xfId="12882"/>
    <cellStyle name="표준 10 5 5 3 5 2" xfId="12883"/>
    <cellStyle name="표준 10 5 5 3 6" xfId="12884"/>
    <cellStyle name="표준 10 5 5 3 7" xfId="12885"/>
    <cellStyle name="표준 10 5 5 4 2 2" xfId="12886"/>
    <cellStyle name="표준 10 5 5 4 3" xfId="12887"/>
    <cellStyle name="표준 10 5 5 4 3 2" xfId="12888"/>
    <cellStyle name="표준 10 5 5 4 4" xfId="12889"/>
    <cellStyle name="표준 10 5 5 4 5" xfId="12890"/>
    <cellStyle name="표준 10 5 5 5 2 2" xfId="12891"/>
    <cellStyle name="표준 10 5 5 5 3" xfId="12892"/>
    <cellStyle name="표준 10 5 5 5 3 2" xfId="12893"/>
    <cellStyle name="표준 10 5 5 5 4" xfId="12894"/>
    <cellStyle name="표준 10 5 5 5 5" xfId="12895"/>
    <cellStyle name="표준 10 5 5 6 2" xfId="12896"/>
    <cellStyle name="표준 10 5 5 7" xfId="12897"/>
    <cellStyle name="표준 10 5 5 7 2" xfId="12898"/>
    <cellStyle name="표준 10 5 5 8" xfId="12899"/>
    <cellStyle name="표준 10 5 5 9" xfId="12900"/>
    <cellStyle name="표준 10 5 6 2 2 2 2" xfId="12901"/>
    <cellStyle name="표준 10 5 6 2 2 3" xfId="12902"/>
    <cellStyle name="표준 10 5 6 2 2 3 2" xfId="12903"/>
    <cellStyle name="표준 10 5 6 2 2 4" xfId="12904"/>
    <cellStyle name="표준 10 5 6 2 2 5" xfId="12905"/>
    <cellStyle name="표준 10 5 6 2 3 2 2" xfId="12906"/>
    <cellStyle name="표준 10 5 6 2 3 3" xfId="12907"/>
    <cellStyle name="표준 10 5 6 2 3 3 2" xfId="12908"/>
    <cellStyle name="표준 10 5 6 2 3 4" xfId="12909"/>
    <cellStyle name="표준 10 5 6 2 3 5" xfId="12910"/>
    <cellStyle name="표준 10 5 6 2 4 2" xfId="12911"/>
    <cellStyle name="표준 10 5 6 2 5" xfId="12912"/>
    <cellStyle name="표준 10 5 6 2 5 2" xfId="12913"/>
    <cellStyle name="표준 10 5 6 2 6" xfId="12914"/>
    <cellStyle name="표준 10 5 6 2 7" xfId="12915"/>
    <cellStyle name="표준 10 5 6 3 2 2" xfId="12916"/>
    <cellStyle name="표준 10 5 6 3 3" xfId="12917"/>
    <cellStyle name="표준 10 5 6 3 3 2" xfId="12918"/>
    <cellStyle name="표준 10 5 6 3 4" xfId="12919"/>
    <cellStyle name="표준 10 5 6 3 5" xfId="12920"/>
    <cellStyle name="표준 10 5 6 4 2 2" xfId="12921"/>
    <cellStyle name="표준 10 5 6 4 3" xfId="12922"/>
    <cellStyle name="표준 10 5 6 4 3 2" xfId="12923"/>
    <cellStyle name="표준 10 5 6 4 4" xfId="12924"/>
    <cellStyle name="표준 10 5 6 4 5" xfId="12925"/>
    <cellStyle name="표준 10 5 6 5 2" xfId="12926"/>
    <cellStyle name="표준 10 5 6 6" xfId="12927"/>
    <cellStyle name="표준 10 5 6 6 2" xfId="12928"/>
    <cellStyle name="표준 10 5 6 7" xfId="12929"/>
    <cellStyle name="표준 10 5 6 8" xfId="12930"/>
    <cellStyle name="표준 10 5 7 2 2 2" xfId="12931"/>
    <cellStyle name="표준 10 5 7 2 3" xfId="12932"/>
    <cellStyle name="표준 10 5 7 2 3 2" xfId="12933"/>
    <cellStyle name="표준 10 5 7 2 4" xfId="12934"/>
    <cellStyle name="표준 10 5 7 2 5" xfId="12935"/>
    <cellStyle name="표준 10 5 7 3 2 2" xfId="12936"/>
    <cellStyle name="표준 10 5 7 3 3" xfId="12937"/>
    <cellStyle name="표준 10 5 7 3 3 2" xfId="12938"/>
    <cellStyle name="표준 10 5 7 3 4" xfId="12939"/>
    <cellStyle name="표준 10 5 7 3 5" xfId="12940"/>
    <cellStyle name="표준 10 5 7 4 2" xfId="12941"/>
    <cellStyle name="표준 10 5 7 5" xfId="12942"/>
    <cellStyle name="표준 10 5 7 5 2" xfId="12943"/>
    <cellStyle name="표준 10 5 7 6" xfId="12944"/>
    <cellStyle name="표준 10 5 7 7" xfId="12945"/>
    <cellStyle name="표준 10 5 8 2 2" xfId="12946"/>
    <cellStyle name="표준 10 5 8 3" xfId="12947"/>
    <cellStyle name="표준 10 5 8 3 2" xfId="12948"/>
    <cellStyle name="표준 10 5 8 4" xfId="12949"/>
    <cellStyle name="표준 10 5 8 5" xfId="12950"/>
    <cellStyle name="표준 10 5 9 2 2" xfId="12951"/>
    <cellStyle name="표준 10 5 9 3" xfId="12952"/>
    <cellStyle name="표준 10 5 9 3 2" xfId="12953"/>
    <cellStyle name="표준 10 5 9 4" xfId="12954"/>
    <cellStyle name="표준 10 5 9 5" xfId="12955"/>
    <cellStyle name="표준 10 6 10 2" xfId="12956"/>
    <cellStyle name="표준 10 6 11" xfId="12957"/>
    <cellStyle name="표준 10 6 11 2" xfId="12958"/>
    <cellStyle name="표준 10 6 12" xfId="12959"/>
    <cellStyle name="표준 10 6 13" xfId="12960"/>
    <cellStyle name="표준 10 6 2 10" xfId="12961"/>
    <cellStyle name="표준 10 6 2 2 2 2 2 2 2" xfId="12962"/>
    <cellStyle name="표준 10 6 2 2 2 2 2 3" xfId="12963"/>
    <cellStyle name="표준 10 6 2 2 2 2 2 3 2" xfId="12964"/>
    <cellStyle name="표준 10 6 2 2 2 2 2 4" xfId="12965"/>
    <cellStyle name="표준 10 6 2 2 2 2 2 5" xfId="12966"/>
    <cellStyle name="표준 10 6 2 2 2 2 3 2 2" xfId="12967"/>
    <cellStyle name="표준 10 6 2 2 2 2 3 3" xfId="12968"/>
    <cellStyle name="표준 10 6 2 2 2 2 3 3 2" xfId="12969"/>
    <cellStyle name="표준 10 6 2 2 2 2 3 4" xfId="12970"/>
    <cellStyle name="표준 10 6 2 2 2 2 3 5" xfId="12971"/>
    <cellStyle name="표준 10 6 2 2 2 2 4 2" xfId="12972"/>
    <cellStyle name="표준 10 6 2 2 2 2 5" xfId="12973"/>
    <cellStyle name="표준 10 6 2 2 2 2 5 2" xfId="12974"/>
    <cellStyle name="표준 10 6 2 2 2 2 6" xfId="12975"/>
    <cellStyle name="표준 10 6 2 2 2 2 7" xfId="12976"/>
    <cellStyle name="표준 10 6 2 2 2 3 2 2" xfId="12977"/>
    <cellStyle name="표준 10 6 2 2 2 3 3" xfId="12978"/>
    <cellStyle name="표준 10 6 2 2 2 3 3 2" xfId="12979"/>
    <cellStyle name="표준 10 6 2 2 2 3 4" xfId="12980"/>
    <cellStyle name="표준 10 6 2 2 2 3 5" xfId="12981"/>
    <cellStyle name="표준 10 6 2 2 2 4 2 2" xfId="12982"/>
    <cellStyle name="표준 10 6 2 2 2 4 3" xfId="12983"/>
    <cellStyle name="표준 10 6 2 2 2 4 3 2" xfId="12984"/>
    <cellStyle name="표준 10 6 2 2 2 4 4" xfId="12985"/>
    <cellStyle name="표준 10 6 2 2 2 4 5" xfId="12986"/>
    <cellStyle name="표준 10 6 2 2 2 5 2" xfId="12987"/>
    <cellStyle name="표준 10 6 2 2 2 6" xfId="12988"/>
    <cellStyle name="표준 10 6 2 2 2 6 2" xfId="12989"/>
    <cellStyle name="표준 10 6 2 2 2 7" xfId="12990"/>
    <cellStyle name="표준 10 6 2 2 2 8" xfId="12991"/>
    <cellStyle name="표준 10 6 2 2 3 2 2 2" xfId="12992"/>
    <cellStyle name="표준 10 6 2 2 3 2 3" xfId="12993"/>
    <cellStyle name="표준 10 6 2 2 3 2 3 2" xfId="12994"/>
    <cellStyle name="표준 10 6 2 2 3 2 4" xfId="12995"/>
    <cellStyle name="표준 10 6 2 2 3 2 5" xfId="12996"/>
    <cellStyle name="표준 10 6 2 2 3 3 2 2" xfId="12997"/>
    <cellStyle name="표준 10 6 2 2 3 3 3" xfId="12998"/>
    <cellStyle name="표준 10 6 2 2 3 3 3 2" xfId="12999"/>
    <cellStyle name="표준 10 6 2 2 3 3 4" xfId="13000"/>
    <cellStyle name="표준 10 6 2 2 3 3 5" xfId="13001"/>
    <cellStyle name="표준 10 6 2 2 3 4 2" xfId="13002"/>
    <cellStyle name="표준 10 6 2 2 3 5" xfId="13003"/>
    <cellStyle name="표준 10 6 2 2 3 5 2" xfId="13004"/>
    <cellStyle name="표준 10 6 2 2 3 6" xfId="13005"/>
    <cellStyle name="표준 10 6 2 2 3 7" xfId="13006"/>
    <cellStyle name="표준 10 6 2 2 4 2 2" xfId="13007"/>
    <cellStyle name="표준 10 6 2 2 4 3" xfId="13008"/>
    <cellStyle name="표준 10 6 2 2 4 3 2" xfId="13009"/>
    <cellStyle name="표준 10 6 2 2 4 4" xfId="13010"/>
    <cellStyle name="표준 10 6 2 2 4 5" xfId="13011"/>
    <cellStyle name="표준 10 6 2 2 5 2 2" xfId="13012"/>
    <cellStyle name="표준 10 6 2 2 5 3" xfId="13013"/>
    <cellStyle name="표준 10 6 2 2 5 3 2" xfId="13014"/>
    <cellStyle name="표준 10 6 2 2 5 4" xfId="13015"/>
    <cellStyle name="표준 10 6 2 2 5 5" xfId="13016"/>
    <cellStyle name="표준 10 6 2 2 6 2" xfId="13017"/>
    <cellStyle name="표준 10 6 2 2 7" xfId="13018"/>
    <cellStyle name="표준 10 6 2 2 7 2" xfId="13019"/>
    <cellStyle name="표준 10 6 2 2 8" xfId="13020"/>
    <cellStyle name="표준 10 6 2 2 9" xfId="13021"/>
    <cellStyle name="표준 10 6 2 3 2 2 2 2" xfId="13022"/>
    <cellStyle name="표준 10 6 2 3 2 2 3" xfId="13023"/>
    <cellStyle name="표준 10 6 2 3 2 2 3 2" xfId="13024"/>
    <cellStyle name="표준 10 6 2 3 2 2 4" xfId="13025"/>
    <cellStyle name="표준 10 6 2 3 2 2 5" xfId="13026"/>
    <cellStyle name="표준 10 6 2 3 2 3 2 2" xfId="13027"/>
    <cellStyle name="표준 10 6 2 3 2 3 3" xfId="13028"/>
    <cellStyle name="표준 10 6 2 3 2 3 3 2" xfId="13029"/>
    <cellStyle name="표준 10 6 2 3 2 3 4" xfId="13030"/>
    <cellStyle name="표준 10 6 2 3 2 3 5" xfId="13031"/>
    <cellStyle name="표준 10 6 2 3 2 4 2" xfId="13032"/>
    <cellStyle name="표준 10 6 2 3 2 5" xfId="13033"/>
    <cellStyle name="표준 10 6 2 3 2 5 2" xfId="13034"/>
    <cellStyle name="표준 10 6 2 3 2 6" xfId="13035"/>
    <cellStyle name="표준 10 6 2 3 2 7" xfId="13036"/>
    <cellStyle name="표준 10 6 2 3 3 2 2" xfId="13037"/>
    <cellStyle name="표준 10 6 2 3 3 3" xfId="13038"/>
    <cellStyle name="표준 10 6 2 3 3 3 2" xfId="13039"/>
    <cellStyle name="표준 10 6 2 3 3 4" xfId="13040"/>
    <cellStyle name="표준 10 6 2 3 3 5" xfId="13041"/>
    <cellStyle name="표준 10 6 2 3 4 2 2" xfId="13042"/>
    <cellStyle name="표준 10 6 2 3 4 3" xfId="13043"/>
    <cellStyle name="표준 10 6 2 3 4 3 2" xfId="13044"/>
    <cellStyle name="표준 10 6 2 3 4 4" xfId="13045"/>
    <cellStyle name="표준 10 6 2 3 4 5" xfId="13046"/>
    <cellStyle name="표준 10 6 2 3 5 2" xfId="13047"/>
    <cellStyle name="표준 10 6 2 3 6" xfId="13048"/>
    <cellStyle name="표준 10 6 2 3 6 2" xfId="13049"/>
    <cellStyle name="표준 10 6 2 3 7" xfId="13050"/>
    <cellStyle name="표준 10 6 2 3 8" xfId="13051"/>
    <cellStyle name="표준 10 6 2 4 2 2 2" xfId="13052"/>
    <cellStyle name="표준 10 6 2 4 2 3" xfId="13053"/>
    <cellStyle name="표준 10 6 2 4 2 3 2" xfId="13054"/>
    <cellStyle name="표준 10 6 2 4 2 4" xfId="13055"/>
    <cellStyle name="표준 10 6 2 4 2 5" xfId="13056"/>
    <cellStyle name="표준 10 6 2 4 3 2 2" xfId="13057"/>
    <cellStyle name="표준 10 6 2 4 3 3" xfId="13058"/>
    <cellStyle name="표준 10 6 2 4 3 3 2" xfId="13059"/>
    <cellStyle name="표준 10 6 2 4 3 4" xfId="13060"/>
    <cellStyle name="표준 10 6 2 4 3 5" xfId="13061"/>
    <cellStyle name="표준 10 6 2 4 4 2" xfId="13062"/>
    <cellStyle name="표준 10 6 2 4 5" xfId="13063"/>
    <cellStyle name="표준 10 6 2 4 5 2" xfId="13064"/>
    <cellStyle name="표준 10 6 2 4 6" xfId="13065"/>
    <cellStyle name="표준 10 6 2 4 7" xfId="13066"/>
    <cellStyle name="표준 10 6 2 5 2 2" xfId="13067"/>
    <cellStyle name="표준 10 6 2 5 3" xfId="13068"/>
    <cellStyle name="표준 10 6 2 5 3 2" xfId="13069"/>
    <cellStyle name="표준 10 6 2 5 4" xfId="13070"/>
    <cellStyle name="표준 10 6 2 5 5" xfId="13071"/>
    <cellStyle name="표준 10 6 2 6 2 2" xfId="13072"/>
    <cellStyle name="표준 10 6 2 6 3" xfId="13073"/>
    <cellStyle name="표준 10 6 2 6 3 2" xfId="13074"/>
    <cellStyle name="표준 10 6 2 6 4" xfId="13075"/>
    <cellStyle name="표준 10 6 2 6 5" xfId="13076"/>
    <cellStyle name="표준 10 6 2 7 2" xfId="13077"/>
    <cellStyle name="표준 10 6 2 8" xfId="13078"/>
    <cellStyle name="표준 10 6 2 8 2" xfId="13079"/>
    <cellStyle name="표준 10 6 2 9" xfId="13080"/>
    <cellStyle name="표준 10 6 3 10" xfId="13081"/>
    <cellStyle name="표준 10 6 3 2 2 2 2 2 2" xfId="13082"/>
    <cellStyle name="표준 10 6 3 2 2 2 2 3" xfId="13083"/>
    <cellStyle name="표준 10 6 3 2 2 2 2 3 2" xfId="13084"/>
    <cellStyle name="표준 10 6 3 2 2 2 2 4" xfId="13085"/>
    <cellStyle name="표준 10 6 3 2 2 2 2 5" xfId="13086"/>
    <cellStyle name="표준 10 6 3 2 2 2 3 2 2" xfId="13087"/>
    <cellStyle name="표준 10 6 3 2 2 2 3 3" xfId="13088"/>
    <cellStyle name="표준 10 6 3 2 2 2 3 3 2" xfId="13089"/>
    <cellStyle name="표준 10 6 3 2 2 2 3 4" xfId="13090"/>
    <cellStyle name="표준 10 6 3 2 2 2 3 5" xfId="13091"/>
    <cellStyle name="표준 10 6 3 2 2 2 4 2" xfId="13092"/>
    <cellStyle name="표준 10 6 3 2 2 2 5" xfId="13093"/>
    <cellStyle name="표준 10 6 3 2 2 2 5 2" xfId="13094"/>
    <cellStyle name="표준 10 6 3 2 2 2 6" xfId="13095"/>
    <cellStyle name="표준 10 6 3 2 2 2 7" xfId="13096"/>
    <cellStyle name="표준 10 6 3 2 2 3 2 2" xfId="13097"/>
    <cellStyle name="표준 10 6 3 2 2 3 3" xfId="13098"/>
    <cellStyle name="표준 10 6 3 2 2 3 3 2" xfId="13099"/>
    <cellStyle name="표준 10 6 3 2 2 3 4" xfId="13100"/>
    <cellStyle name="표준 10 6 3 2 2 3 5" xfId="13101"/>
    <cellStyle name="표준 10 6 3 2 2 4 2 2" xfId="13102"/>
    <cellStyle name="표준 10 6 3 2 2 4 3" xfId="13103"/>
    <cellStyle name="표준 10 6 3 2 2 4 3 2" xfId="13104"/>
    <cellStyle name="표준 10 6 3 2 2 4 4" xfId="13105"/>
    <cellStyle name="표준 10 6 3 2 2 4 5" xfId="13106"/>
    <cellStyle name="표준 10 6 3 2 2 5 2" xfId="13107"/>
    <cellStyle name="표준 10 6 3 2 2 6" xfId="13108"/>
    <cellStyle name="표준 10 6 3 2 2 6 2" xfId="13109"/>
    <cellStyle name="표준 10 6 3 2 2 7" xfId="13110"/>
    <cellStyle name="표준 10 6 3 2 2 8" xfId="13111"/>
    <cellStyle name="표준 10 6 3 2 3 2 2 2" xfId="13112"/>
    <cellStyle name="표준 10 6 3 2 3 2 3" xfId="13113"/>
    <cellStyle name="표준 10 6 3 2 3 2 3 2" xfId="13114"/>
    <cellStyle name="표준 10 6 3 2 3 2 4" xfId="13115"/>
    <cellStyle name="표준 10 6 3 2 3 2 5" xfId="13116"/>
    <cellStyle name="표준 10 6 3 2 3 3 2 2" xfId="13117"/>
    <cellStyle name="표준 10 6 3 2 3 3 3" xfId="13118"/>
    <cellStyle name="표준 10 6 3 2 3 3 3 2" xfId="13119"/>
    <cellStyle name="표준 10 6 3 2 3 3 4" xfId="13120"/>
    <cellStyle name="표준 10 6 3 2 3 3 5" xfId="13121"/>
    <cellStyle name="표준 10 6 3 2 3 4 2" xfId="13122"/>
    <cellStyle name="표준 10 6 3 2 3 5" xfId="13123"/>
    <cellStyle name="표준 10 6 3 2 3 5 2" xfId="13124"/>
    <cellStyle name="표준 10 6 3 2 3 6" xfId="13125"/>
    <cellStyle name="표준 10 6 3 2 3 7" xfId="13126"/>
    <cellStyle name="표준 10 6 3 2 4 2 2" xfId="13127"/>
    <cellStyle name="표준 10 6 3 2 4 3" xfId="13128"/>
    <cellStyle name="표준 10 6 3 2 4 3 2" xfId="13129"/>
    <cellStyle name="표준 10 6 3 2 4 4" xfId="13130"/>
    <cellStyle name="표준 10 6 3 2 4 5" xfId="13131"/>
    <cellStyle name="표준 10 6 3 2 5 2 2" xfId="13132"/>
    <cellStyle name="표준 10 6 3 2 5 3" xfId="13133"/>
    <cellStyle name="표준 10 6 3 2 5 3 2" xfId="13134"/>
    <cellStyle name="표준 10 6 3 2 5 4" xfId="13135"/>
    <cellStyle name="표준 10 6 3 2 5 5" xfId="13136"/>
    <cellStyle name="표준 10 6 3 2 6 2" xfId="13137"/>
    <cellStyle name="표준 10 6 3 2 7" xfId="13138"/>
    <cellStyle name="표준 10 6 3 2 7 2" xfId="13139"/>
    <cellStyle name="표준 10 6 3 2 8" xfId="13140"/>
    <cellStyle name="표준 10 6 3 2 9" xfId="13141"/>
    <cellStyle name="표준 10 6 3 3 2 2 2 2" xfId="13142"/>
    <cellStyle name="표준 10 6 3 3 2 2 3" xfId="13143"/>
    <cellStyle name="표준 10 6 3 3 2 2 3 2" xfId="13144"/>
    <cellStyle name="표준 10 6 3 3 2 2 4" xfId="13145"/>
    <cellStyle name="표준 10 6 3 3 2 2 5" xfId="13146"/>
    <cellStyle name="표준 10 6 3 3 2 3 2 2" xfId="13147"/>
    <cellStyle name="표준 10 6 3 3 2 3 3" xfId="13148"/>
    <cellStyle name="표준 10 6 3 3 2 3 3 2" xfId="13149"/>
    <cellStyle name="표준 10 6 3 3 2 3 4" xfId="13150"/>
    <cellStyle name="표준 10 6 3 3 2 3 5" xfId="13151"/>
    <cellStyle name="표준 10 6 3 3 2 4 2" xfId="13152"/>
    <cellStyle name="표준 10 6 3 3 2 5" xfId="13153"/>
    <cellStyle name="표준 10 6 3 3 2 5 2" xfId="13154"/>
    <cellStyle name="표준 10 6 3 3 2 6" xfId="13155"/>
    <cellStyle name="표준 10 6 3 3 2 7" xfId="13156"/>
    <cellStyle name="표준 10 6 3 3 3 2 2" xfId="13157"/>
    <cellStyle name="표준 10 6 3 3 3 3" xfId="13158"/>
    <cellStyle name="표준 10 6 3 3 3 3 2" xfId="13159"/>
    <cellStyle name="표준 10 6 3 3 3 4" xfId="13160"/>
    <cellStyle name="표준 10 6 3 3 3 5" xfId="13161"/>
    <cellStyle name="표준 10 6 3 3 4 2 2" xfId="13162"/>
    <cellStyle name="표준 10 6 3 3 4 3" xfId="13163"/>
    <cellStyle name="표준 10 6 3 3 4 3 2" xfId="13164"/>
    <cellStyle name="표준 10 6 3 3 4 4" xfId="13165"/>
    <cellStyle name="표준 10 6 3 3 4 5" xfId="13166"/>
    <cellStyle name="표준 10 6 3 3 5 2" xfId="13167"/>
    <cellStyle name="표준 10 6 3 3 6" xfId="13168"/>
    <cellStyle name="표준 10 6 3 3 6 2" xfId="13169"/>
    <cellStyle name="표준 10 6 3 3 7" xfId="13170"/>
    <cellStyle name="표준 10 6 3 3 8" xfId="13171"/>
    <cellStyle name="표준 10 6 3 4 2 2 2" xfId="13172"/>
    <cellStyle name="표준 10 6 3 4 2 3" xfId="13173"/>
    <cellStyle name="표준 10 6 3 4 2 3 2" xfId="13174"/>
    <cellStyle name="표준 10 6 3 4 2 4" xfId="13175"/>
    <cellStyle name="표준 10 6 3 4 2 5" xfId="13176"/>
    <cellStyle name="표준 10 6 3 4 3 2 2" xfId="13177"/>
    <cellStyle name="표준 10 6 3 4 3 3" xfId="13178"/>
    <cellStyle name="표준 10 6 3 4 3 3 2" xfId="13179"/>
    <cellStyle name="표준 10 6 3 4 3 4" xfId="13180"/>
    <cellStyle name="표준 10 6 3 4 3 5" xfId="13181"/>
    <cellStyle name="표준 10 6 3 4 4 2" xfId="13182"/>
    <cellStyle name="표준 10 6 3 4 5" xfId="13183"/>
    <cellStyle name="표준 10 6 3 4 5 2" xfId="13184"/>
    <cellStyle name="표준 10 6 3 4 6" xfId="13185"/>
    <cellStyle name="표준 10 6 3 4 7" xfId="13186"/>
    <cellStyle name="표준 10 6 3 5 2 2" xfId="13187"/>
    <cellStyle name="표준 10 6 3 5 3" xfId="13188"/>
    <cellStyle name="표준 10 6 3 5 3 2" xfId="13189"/>
    <cellStyle name="표준 10 6 3 5 4" xfId="13190"/>
    <cellStyle name="표준 10 6 3 5 5" xfId="13191"/>
    <cellStyle name="표준 10 6 3 6 2 2" xfId="13192"/>
    <cellStyle name="표준 10 6 3 6 3" xfId="13193"/>
    <cellStyle name="표준 10 6 3 6 3 2" xfId="13194"/>
    <cellStyle name="표준 10 6 3 6 4" xfId="13195"/>
    <cellStyle name="표준 10 6 3 6 5" xfId="13196"/>
    <cellStyle name="표준 10 6 3 7 2" xfId="13197"/>
    <cellStyle name="표준 10 6 3 8" xfId="13198"/>
    <cellStyle name="표준 10 6 3 8 2" xfId="13199"/>
    <cellStyle name="표준 10 6 3 9" xfId="13200"/>
    <cellStyle name="표준 10 6 4 10" xfId="13201"/>
    <cellStyle name="표준 10 6 4 2 2 2 2 2 2" xfId="13202"/>
    <cellStyle name="표준 10 6 4 2 2 2 2 3" xfId="13203"/>
    <cellStyle name="표준 10 6 4 2 2 2 2 3 2" xfId="13204"/>
    <cellStyle name="표준 10 6 4 2 2 2 2 4" xfId="13205"/>
    <cellStyle name="표준 10 6 4 2 2 2 2 5" xfId="13206"/>
    <cellStyle name="표준 10 6 4 2 2 2 3 2 2" xfId="13207"/>
    <cellStyle name="표준 10 6 4 2 2 2 3 3" xfId="13208"/>
    <cellStyle name="표준 10 6 4 2 2 2 3 3 2" xfId="13209"/>
    <cellStyle name="표준 10 6 4 2 2 2 3 4" xfId="13210"/>
    <cellStyle name="표준 10 6 4 2 2 2 3 5" xfId="13211"/>
    <cellStyle name="표준 10 6 4 2 2 2 4 2" xfId="13212"/>
    <cellStyle name="표준 10 6 4 2 2 2 5" xfId="13213"/>
    <cellStyle name="표준 10 6 4 2 2 2 5 2" xfId="13214"/>
    <cellStyle name="표준 10 6 4 2 2 2 6" xfId="13215"/>
    <cellStyle name="표준 10 6 4 2 2 2 7" xfId="13216"/>
    <cellStyle name="표준 10 6 4 2 2 3 2 2" xfId="13217"/>
    <cellStyle name="표준 10 6 4 2 2 3 3" xfId="13218"/>
    <cellStyle name="표준 10 6 4 2 2 3 3 2" xfId="13219"/>
    <cellStyle name="표준 10 6 4 2 2 3 4" xfId="13220"/>
    <cellStyle name="표준 10 6 4 2 2 3 5" xfId="13221"/>
    <cellStyle name="표준 10 6 4 2 2 4 2 2" xfId="13222"/>
    <cellStyle name="표준 10 6 4 2 2 4 3" xfId="13223"/>
    <cellStyle name="표준 10 6 4 2 2 4 3 2" xfId="13224"/>
    <cellStyle name="표준 10 6 4 2 2 4 4" xfId="13225"/>
    <cellStyle name="표준 10 6 4 2 2 4 5" xfId="13226"/>
    <cellStyle name="표준 10 6 4 2 2 5 2" xfId="13227"/>
    <cellStyle name="표준 10 6 4 2 2 6" xfId="13228"/>
    <cellStyle name="표준 10 6 4 2 2 6 2" xfId="13229"/>
    <cellStyle name="표준 10 6 4 2 2 7" xfId="13230"/>
    <cellStyle name="표준 10 6 4 2 2 8" xfId="13231"/>
    <cellStyle name="표준 10 6 4 2 3 2 2 2" xfId="13232"/>
    <cellStyle name="표준 10 6 4 2 3 2 3" xfId="13233"/>
    <cellStyle name="표준 10 6 4 2 3 2 3 2" xfId="13234"/>
    <cellStyle name="표준 10 6 4 2 3 2 4" xfId="13235"/>
    <cellStyle name="표준 10 6 4 2 3 2 5" xfId="13236"/>
    <cellStyle name="표준 10 6 4 2 3 3 2 2" xfId="13237"/>
    <cellStyle name="표준 10 6 4 2 3 3 3" xfId="13238"/>
    <cellStyle name="표준 10 6 4 2 3 3 3 2" xfId="13239"/>
    <cellStyle name="표준 10 6 4 2 3 3 4" xfId="13240"/>
    <cellStyle name="표준 10 6 4 2 3 3 5" xfId="13241"/>
    <cellStyle name="표준 10 6 4 2 3 4 2" xfId="13242"/>
    <cellStyle name="표준 10 6 4 2 3 5" xfId="13243"/>
    <cellStyle name="표준 10 6 4 2 3 5 2" xfId="13244"/>
    <cellStyle name="표준 10 6 4 2 3 6" xfId="13245"/>
    <cellStyle name="표준 10 6 4 2 3 7" xfId="13246"/>
    <cellStyle name="표준 10 6 4 2 4 2 2" xfId="13247"/>
    <cellStyle name="표준 10 6 4 2 4 3" xfId="13248"/>
    <cellStyle name="표준 10 6 4 2 4 3 2" xfId="13249"/>
    <cellStyle name="표준 10 6 4 2 4 4" xfId="13250"/>
    <cellStyle name="표준 10 6 4 2 4 5" xfId="13251"/>
    <cellStyle name="표준 10 6 4 2 5 2 2" xfId="13252"/>
    <cellStyle name="표준 10 6 4 2 5 3" xfId="13253"/>
    <cellStyle name="표준 10 6 4 2 5 3 2" xfId="13254"/>
    <cellStyle name="표준 10 6 4 2 5 4" xfId="13255"/>
    <cellStyle name="표준 10 6 4 2 5 5" xfId="13256"/>
    <cellStyle name="표준 10 6 4 2 6 2" xfId="13257"/>
    <cellStyle name="표준 10 6 4 2 7" xfId="13258"/>
    <cellStyle name="표준 10 6 4 2 7 2" xfId="13259"/>
    <cellStyle name="표준 10 6 4 2 8" xfId="13260"/>
    <cellStyle name="표준 10 6 4 2 9" xfId="13261"/>
    <cellStyle name="표준 10 6 4 3 2 2 2 2" xfId="13262"/>
    <cellStyle name="표준 10 6 4 3 2 2 3" xfId="13263"/>
    <cellStyle name="표준 10 6 4 3 2 2 3 2" xfId="13264"/>
    <cellStyle name="표준 10 6 4 3 2 2 4" xfId="13265"/>
    <cellStyle name="표준 10 6 4 3 2 2 5" xfId="13266"/>
    <cellStyle name="표준 10 6 4 3 2 3 2 2" xfId="13267"/>
    <cellStyle name="표준 10 6 4 3 2 3 3" xfId="13268"/>
    <cellStyle name="표준 10 6 4 3 2 3 3 2" xfId="13269"/>
    <cellStyle name="표준 10 6 4 3 2 3 4" xfId="13270"/>
    <cellStyle name="표준 10 6 4 3 2 3 5" xfId="13271"/>
    <cellStyle name="표준 10 6 4 3 2 4 2" xfId="13272"/>
    <cellStyle name="표준 10 6 4 3 2 5" xfId="13273"/>
    <cellStyle name="표준 10 6 4 3 2 5 2" xfId="13274"/>
    <cellStyle name="표준 10 6 4 3 2 6" xfId="13275"/>
    <cellStyle name="표준 10 6 4 3 2 7" xfId="13276"/>
    <cellStyle name="표준 10 6 4 3 3 2 2" xfId="13277"/>
    <cellStyle name="표준 10 6 4 3 3 3" xfId="13278"/>
    <cellStyle name="표준 10 6 4 3 3 3 2" xfId="13279"/>
    <cellStyle name="표준 10 6 4 3 3 4" xfId="13280"/>
    <cellStyle name="표준 10 6 4 3 3 5" xfId="13281"/>
    <cellStyle name="표준 10 6 4 3 4 2 2" xfId="13282"/>
    <cellStyle name="표준 10 6 4 3 4 3" xfId="13283"/>
    <cellStyle name="표준 10 6 4 3 4 3 2" xfId="13284"/>
    <cellStyle name="표준 10 6 4 3 4 4" xfId="13285"/>
    <cellStyle name="표준 10 6 4 3 4 5" xfId="13286"/>
    <cellStyle name="표준 10 6 4 3 5 2" xfId="13287"/>
    <cellStyle name="표준 10 6 4 3 6" xfId="13288"/>
    <cellStyle name="표준 10 6 4 3 6 2" xfId="13289"/>
    <cellStyle name="표준 10 6 4 3 7" xfId="13290"/>
    <cellStyle name="표준 10 6 4 3 8" xfId="13291"/>
    <cellStyle name="표준 10 6 4 4 2 2 2" xfId="13292"/>
    <cellStyle name="표준 10 6 4 4 2 3" xfId="13293"/>
    <cellStyle name="표준 10 6 4 4 2 3 2" xfId="13294"/>
    <cellStyle name="표준 10 6 4 4 2 4" xfId="13295"/>
    <cellStyle name="표준 10 6 4 4 2 5" xfId="13296"/>
    <cellStyle name="표준 10 6 4 4 3 2 2" xfId="13297"/>
    <cellStyle name="표준 10 6 4 4 3 3" xfId="13298"/>
    <cellStyle name="표준 10 6 4 4 3 3 2" xfId="13299"/>
    <cellStyle name="표준 10 6 4 4 3 4" xfId="13300"/>
    <cellStyle name="표준 10 6 4 4 3 5" xfId="13301"/>
    <cellStyle name="표준 10 6 4 4 4 2" xfId="13302"/>
    <cellStyle name="표준 10 6 4 4 5" xfId="13303"/>
    <cellStyle name="표준 10 6 4 4 5 2" xfId="13304"/>
    <cellStyle name="표준 10 6 4 4 6" xfId="13305"/>
    <cellStyle name="표준 10 6 4 4 7" xfId="13306"/>
    <cellStyle name="표준 10 6 4 5 2 2" xfId="13307"/>
    <cellStyle name="표준 10 6 4 5 3" xfId="13308"/>
    <cellStyle name="표준 10 6 4 5 3 2" xfId="13309"/>
    <cellStyle name="표준 10 6 4 5 4" xfId="13310"/>
    <cellStyle name="표준 10 6 4 5 5" xfId="13311"/>
    <cellStyle name="표준 10 6 4 6 2 2" xfId="13312"/>
    <cellStyle name="표준 10 6 4 6 3" xfId="13313"/>
    <cellStyle name="표준 10 6 4 6 3 2" xfId="13314"/>
    <cellStyle name="표준 10 6 4 6 4" xfId="13315"/>
    <cellStyle name="표준 10 6 4 6 5" xfId="13316"/>
    <cellStyle name="표준 10 6 4 7 2" xfId="13317"/>
    <cellStyle name="표준 10 6 4 8" xfId="13318"/>
    <cellStyle name="표준 10 6 4 8 2" xfId="13319"/>
    <cellStyle name="표준 10 6 4 9" xfId="13320"/>
    <cellStyle name="표준 10 6 5 2 2 2 2 2" xfId="13321"/>
    <cellStyle name="표준 10 6 5 2 2 2 3" xfId="13322"/>
    <cellStyle name="표준 10 6 5 2 2 2 3 2" xfId="13323"/>
    <cellStyle name="표준 10 6 5 2 2 2 4" xfId="13324"/>
    <cellStyle name="표준 10 6 5 2 2 2 5" xfId="13325"/>
    <cellStyle name="표준 10 6 5 2 2 3 2 2" xfId="13326"/>
    <cellStyle name="표준 10 6 5 2 2 3 3" xfId="13327"/>
    <cellStyle name="표준 10 6 5 2 2 3 3 2" xfId="13328"/>
    <cellStyle name="표준 10 6 5 2 2 3 4" xfId="13329"/>
    <cellStyle name="표준 10 6 5 2 2 3 5" xfId="13330"/>
    <cellStyle name="표준 10 6 5 2 2 4 2" xfId="13331"/>
    <cellStyle name="표준 10 6 5 2 2 5" xfId="13332"/>
    <cellStyle name="표준 10 6 5 2 2 5 2" xfId="13333"/>
    <cellStyle name="표준 10 6 5 2 2 6" xfId="13334"/>
    <cellStyle name="표준 10 6 5 2 2 7" xfId="13335"/>
    <cellStyle name="표준 10 6 5 2 3 2 2" xfId="13336"/>
    <cellStyle name="표준 10 6 5 2 3 3" xfId="13337"/>
    <cellStyle name="표준 10 6 5 2 3 3 2" xfId="13338"/>
    <cellStyle name="표준 10 6 5 2 3 4" xfId="13339"/>
    <cellStyle name="표준 10 6 5 2 3 5" xfId="13340"/>
    <cellStyle name="표준 10 6 5 2 4 2 2" xfId="13341"/>
    <cellStyle name="표준 10 6 5 2 4 3" xfId="13342"/>
    <cellStyle name="표준 10 6 5 2 4 3 2" xfId="13343"/>
    <cellStyle name="표준 10 6 5 2 4 4" xfId="13344"/>
    <cellStyle name="표준 10 6 5 2 4 5" xfId="13345"/>
    <cellStyle name="표준 10 6 5 2 5 2" xfId="13346"/>
    <cellStyle name="표준 10 6 5 2 6" xfId="13347"/>
    <cellStyle name="표준 10 6 5 2 6 2" xfId="13348"/>
    <cellStyle name="표준 10 6 5 2 7" xfId="13349"/>
    <cellStyle name="표준 10 6 5 2 8" xfId="13350"/>
    <cellStyle name="표준 10 6 5 3 2 2 2" xfId="13351"/>
    <cellStyle name="표준 10 6 5 3 2 3" xfId="13352"/>
    <cellStyle name="표준 10 6 5 3 2 3 2" xfId="13353"/>
    <cellStyle name="표준 10 6 5 3 2 4" xfId="13354"/>
    <cellStyle name="표준 10 6 5 3 2 5" xfId="13355"/>
    <cellStyle name="표준 10 6 5 3 3 2 2" xfId="13356"/>
    <cellStyle name="표준 10 6 5 3 3 3" xfId="13357"/>
    <cellStyle name="표준 10 6 5 3 3 3 2" xfId="13358"/>
    <cellStyle name="표준 10 6 5 3 3 4" xfId="13359"/>
    <cellStyle name="표준 10 6 5 3 3 5" xfId="13360"/>
    <cellStyle name="표준 10 6 5 3 4 2" xfId="13361"/>
    <cellStyle name="표준 10 6 5 3 5" xfId="13362"/>
    <cellStyle name="표준 10 6 5 3 5 2" xfId="13363"/>
    <cellStyle name="표준 10 6 5 3 6" xfId="13364"/>
    <cellStyle name="표준 10 6 5 3 7" xfId="13365"/>
    <cellStyle name="표준 10 6 5 4 2 2" xfId="13366"/>
    <cellStyle name="표준 10 6 5 4 3" xfId="13367"/>
    <cellStyle name="표준 10 6 5 4 3 2" xfId="13368"/>
    <cellStyle name="표준 10 6 5 4 4" xfId="13369"/>
    <cellStyle name="표준 10 6 5 4 5" xfId="13370"/>
    <cellStyle name="표준 10 6 5 5 2 2" xfId="13371"/>
    <cellStyle name="표준 10 6 5 5 3" xfId="13372"/>
    <cellStyle name="표준 10 6 5 5 3 2" xfId="13373"/>
    <cellStyle name="표준 10 6 5 5 4" xfId="13374"/>
    <cellStyle name="표준 10 6 5 5 5" xfId="13375"/>
    <cellStyle name="표준 10 6 5 6 2" xfId="13376"/>
    <cellStyle name="표준 10 6 5 7" xfId="13377"/>
    <cellStyle name="표준 10 6 5 7 2" xfId="13378"/>
    <cellStyle name="표준 10 6 5 8" xfId="13379"/>
    <cellStyle name="표준 10 6 5 9" xfId="13380"/>
    <cellStyle name="표준 10 6 6 2 2 2 2" xfId="13381"/>
    <cellStyle name="표준 10 6 6 2 2 3" xfId="13382"/>
    <cellStyle name="표준 10 6 6 2 2 3 2" xfId="13383"/>
    <cellStyle name="표준 10 6 6 2 2 4" xfId="13384"/>
    <cellStyle name="표준 10 6 6 2 2 5" xfId="13385"/>
    <cellStyle name="표준 10 6 6 2 3 2 2" xfId="13386"/>
    <cellStyle name="표준 10 6 6 2 3 3" xfId="13387"/>
    <cellStyle name="표준 10 6 6 2 3 3 2" xfId="13388"/>
    <cellStyle name="표준 10 6 6 2 3 4" xfId="13389"/>
    <cellStyle name="표준 10 6 6 2 3 5" xfId="13390"/>
    <cellStyle name="표준 10 6 6 2 4 2" xfId="13391"/>
    <cellStyle name="표준 10 6 6 2 5" xfId="13392"/>
    <cellStyle name="표준 10 6 6 2 5 2" xfId="13393"/>
    <cellStyle name="표준 10 6 6 2 6" xfId="13394"/>
    <cellStyle name="표준 10 6 6 2 7" xfId="13395"/>
    <cellStyle name="표준 10 6 6 3 2 2" xfId="13396"/>
    <cellStyle name="표준 10 6 6 3 3" xfId="13397"/>
    <cellStyle name="표준 10 6 6 3 3 2" xfId="13398"/>
    <cellStyle name="표준 10 6 6 3 4" xfId="13399"/>
    <cellStyle name="표준 10 6 6 3 5" xfId="13400"/>
    <cellStyle name="표준 10 6 6 4 2 2" xfId="13401"/>
    <cellStyle name="표준 10 6 6 4 3" xfId="13402"/>
    <cellStyle name="표준 10 6 6 4 3 2" xfId="13403"/>
    <cellStyle name="표준 10 6 6 4 4" xfId="13404"/>
    <cellStyle name="표준 10 6 6 4 5" xfId="13405"/>
    <cellStyle name="표준 10 6 6 5 2" xfId="13406"/>
    <cellStyle name="표준 10 6 6 6" xfId="13407"/>
    <cellStyle name="표준 10 6 6 6 2" xfId="13408"/>
    <cellStyle name="표준 10 6 6 7" xfId="13409"/>
    <cellStyle name="표준 10 6 6 8" xfId="13410"/>
    <cellStyle name="표준 10 6 7 2 2 2" xfId="13411"/>
    <cellStyle name="표준 10 6 7 2 3" xfId="13412"/>
    <cellStyle name="표준 10 6 7 2 3 2" xfId="13413"/>
    <cellStyle name="표준 10 6 7 2 4" xfId="13414"/>
    <cellStyle name="표준 10 6 7 2 5" xfId="13415"/>
    <cellStyle name="표준 10 6 7 3 2 2" xfId="13416"/>
    <cellStyle name="표준 10 6 7 3 3" xfId="13417"/>
    <cellStyle name="표준 10 6 7 3 3 2" xfId="13418"/>
    <cellStyle name="표준 10 6 7 3 4" xfId="13419"/>
    <cellStyle name="표준 10 6 7 3 5" xfId="13420"/>
    <cellStyle name="표준 10 6 7 4 2" xfId="13421"/>
    <cellStyle name="표준 10 6 7 5" xfId="13422"/>
    <cellStyle name="표준 10 6 7 5 2" xfId="13423"/>
    <cellStyle name="표준 10 6 7 6" xfId="13424"/>
    <cellStyle name="표준 10 6 7 7" xfId="13425"/>
    <cellStyle name="표준 10 6 8 2 2" xfId="13426"/>
    <cellStyle name="표준 10 6 8 3" xfId="13427"/>
    <cellStyle name="표준 10 6 8 3 2" xfId="13428"/>
    <cellStyle name="표준 10 6 8 4" xfId="13429"/>
    <cellStyle name="표준 10 6 8 5" xfId="13430"/>
    <cellStyle name="표준 10 6 9 2 2" xfId="13431"/>
    <cellStyle name="표준 10 6 9 3" xfId="13432"/>
    <cellStyle name="표준 10 6 9 3 2" xfId="13433"/>
    <cellStyle name="표준 10 6 9 4" xfId="13434"/>
    <cellStyle name="표준 10 6 9 5" xfId="13435"/>
    <cellStyle name="표준 10 7 10 2" xfId="13436"/>
    <cellStyle name="표준 10 7 11" xfId="13437"/>
    <cellStyle name="표준 10 7 11 2" xfId="13438"/>
    <cellStyle name="표준 10 7 12" xfId="13439"/>
    <cellStyle name="표준 10 7 13" xfId="13440"/>
    <cellStyle name="표준 10 7 2 10" xfId="13441"/>
    <cellStyle name="표준 10 7 2 2 2 2 2 2 2" xfId="13442"/>
    <cellStyle name="표준 10 7 2 2 2 2 2 3" xfId="13443"/>
    <cellStyle name="표준 10 7 2 2 2 2 2 3 2" xfId="13444"/>
    <cellStyle name="표준 10 7 2 2 2 2 2 4" xfId="13445"/>
    <cellStyle name="표준 10 7 2 2 2 2 2 5" xfId="13446"/>
    <cellStyle name="표준 10 7 2 2 2 2 3 2 2" xfId="13447"/>
    <cellStyle name="표준 10 7 2 2 2 2 3 3" xfId="13448"/>
    <cellStyle name="표준 10 7 2 2 2 2 3 3 2" xfId="13449"/>
    <cellStyle name="표준 10 7 2 2 2 2 3 4" xfId="13450"/>
    <cellStyle name="표준 10 7 2 2 2 2 3 5" xfId="13451"/>
    <cellStyle name="표준 10 7 2 2 2 2 4 2" xfId="13452"/>
    <cellStyle name="표준 10 7 2 2 2 2 5" xfId="13453"/>
    <cellStyle name="표준 10 7 2 2 2 2 5 2" xfId="13454"/>
    <cellStyle name="표준 10 7 2 2 2 2 6" xfId="13455"/>
    <cellStyle name="표준 10 7 2 2 2 2 7" xfId="13456"/>
    <cellStyle name="표준 10 7 2 2 2 3 2 2" xfId="13457"/>
    <cellStyle name="표준 10 7 2 2 2 3 3" xfId="13458"/>
    <cellStyle name="표준 10 7 2 2 2 3 3 2" xfId="13459"/>
    <cellStyle name="표준 10 7 2 2 2 3 4" xfId="13460"/>
    <cellStyle name="표준 10 7 2 2 2 3 5" xfId="13461"/>
    <cellStyle name="표준 10 7 2 2 2 4 2 2" xfId="13462"/>
    <cellStyle name="표준 10 7 2 2 2 4 3" xfId="13463"/>
    <cellStyle name="표준 10 7 2 2 2 4 3 2" xfId="13464"/>
    <cellStyle name="표준 10 7 2 2 2 4 4" xfId="13465"/>
    <cellStyle name="표준 10 7 2 2 2 4 5" xfId="13466"/>
    <cellStyle name="표준 10 7 2 2 2 5 2" xfId="13467"/>
    <cellStyle name="표준 10 7 2 2 2 6" xfId="13468"/>
    <cellStyle name="표준 10 7 2 2 2 6 2" xfId="13469"/>
    <cellStyle name="표준 10 7 2 2 2 7" xfId="13470"/>
    <cellStyle name="표준 10 7 2 2 2 8" xfId="13471"/>
    <cellStyle name="표준 10 7 2 2 3 2 2 2" xfId="13472"/>
    <cellStyle name="표준 10 7 2 2 3 2 3" xfId="13473"/>
    <cellStyle name="표준 10 7 2 2 3 2 3 2" xfId="13474"/>
    <cellStyle name="표준 10 7 2 2 3 2 4" xfId="13475"/>
    <cellStyle name="표준 10 7 2 2 3 2 5" xfId="13476"/>
    <cellStyle name="표준 10 7 2 2 3 3 2 2" xfId="13477"/>
    <cellStyle name="표준 10 7 2 2 3 3 3" xfId="13478"/>
    <cellStyle name="표준 10 7 2 2 3 3 3 2" xfId="13479"/>
    <cellStyle name="표준 10 7 2 2 3 3 4" xfId="13480"/>
    <cellStyle name="표준 10 7 2 2 3 3 5" xfId="13481"/>
    <cellStyle name="표준 10 7 2 2 3 4 2" xfId="13482"/>
    <cellStyle name="표준 10 7 2 2 3 5" xfId="13483"/>
    <cellStyle name="표준 10 7 2 2 3 5 2" xfId="13484"/>
    <cellStyle name="표준 10 7 2 2 3 6" xfId="13485"/>
    <cellStyle name="표준 10 7 2 2 3 7" xfId="13486"/>
    <cellStyle name="표준 10 7 2 2 4 2 2" xfId="13487"/>
    <cellStyle name="표준 10 7 2 2 4 3" xfId="13488"/>
    <cellStyle name="표준 10 7 2 2 4 3 2" xfId="13489"/>
    <cellStyle name="표준 10 7 2 2 4 4" xfId="13490"/>
    <cellStyle name="표준 10 7 2 2 4 5" xfId="13491"/>
    <cellStyle name="표준 10 7 2 2 5 2 2" xfId="13492"/>
    <cellStyle name="표준 10 7 2 2 5 3" xfId="13493"/>
    <cellStyle name="표준 10 7 2 2 5 3 2" xfId="13494"/>
    <cellStyle name="표준 10 7 2 2 5 4" xfId="13495"/>
    <cellStyle name="표준 10 7 2 2 5 5" xfId="13496"/>
    <cellStyle name="표준 10 7 2 2 6 2" xfId="13497"/>
    <cellStyle name="표준 10 7 2 2 7" xfId="13498"/>
    <cellStyle name="표준 10 7 2 2 7 2" xfId="13499"/>
    <cellStyle name="표준 10 7 2 2 8" xfId="13500"/>
    <cellStyle name="표준 10 7 2 2 9" xfId="13501"/>
    <cellStyle name="표준 10 7 2 3 2 2 2 2" xfId="13502"/>
    <cellStyle name="표준 10 7 2 3 2 2 3" xfId="13503"/>
    <cellStyle name="표준 10 7 2 3 2 2 3 2" xfId="13504"/>
    <cellStyle name="표준 10 7 2 3 2 2 4" xfId="13505"/>
    <cellStyle name="표준 10 7 2 3 2 2 5" xfId="13506"/>
    <cellStyle name="표준 10 7 2 3 2 3 2 2" xfId="13507"/>
    <cellStyle name="표준 10 7 2 3 2 3 3" xfId="13508"/>
    <cellStyle name="표준 10 7 2 3 2 3 3 2" xfId="13509"/>
    <cellStyle name="표준 10 7 2 3 2 3 4" xfId="13510"/>
    <cellStyle name="표준 10 7 2 3 2 3 5" xfId="13511"/>
    <cellStyle name="표준 10 7 2 3 2 4 2" xfId="13512"/>
    <cellStyle name="표준 10 7 2 3 2 5" xfId="13513"/>
    <cellStyle name="표준 10 7 2 3 2 5 2" xfId="13514"/>
    <cellStyle name="표준 10 7 2 3 2 6" xfId="13515"/>
    <cellStyle name="표준 10 7 2 3 2 7" xfId="13516"/>
    <cellStyle name="표준 10 7 2 3 3 2 2" xfId="13517"/>
    <cellStyle name="표준 10 7 2 3 3 3" xfId="13518"/>
    <cellStyle name="표준 10 7 2 3 3 3 2" xfId="13519"/>
    <cellStyle name="표준 10 7 2 3 3 4" xfId="13520"/>
    <cellStyle name="표준 10 7 2 3 3 5" xfId="13521"/>
    <cellStyle name="표준 10 7 2 3 4 2 2" xfId="13522"/>
    <cellStyle name="표준 10 7 2 3 4 3" xfId="13523"/>
    <cellStyle name="표준 10 7 2 3 4 3 2" xfId="13524"/>
    <cellStyle name="표준 10 7 2 3 4 4" xfId="13525"/>
    <cellStyle name="표준 10 7 2 3 4 5" xfId="13526"/>
    <cellStyle name="표준 10 7 2 3 5 2" xfId="13527"/>
    <cellStyle name="표준 10 7 2 3 6" xfId="13528"/>
    <cellStyle name="표준 10 7 2 3 6 2" xfId="13529"/>
    <cellStyle name="표준 10 7 2 3 7" xfId="13530"/>
    <cellStyle name="표준 10 7 2 3 8" xfId="13531"/>
    <cellStyle name="표준 10 7 2 4 2 2 2" xfId="13532"/>
    <cellStyle name="표준 10 7 2 4 2 3" xfId="13533"/>
    <cellStyle name="표준 10 7 2 4 2 3 2" xfId="13534"/>
    <cellStyle name="표준 10 7 2 4 2 4" xfId="13535"/>
    <cellStyle name="표준 10 7 2 4 2 5" xfId="13536"/>
    <cellStyle name="표준 10 7 2 4 3 2 2" xfId="13537"/>
    <cellStyle name="표준 10 7 2 4 3 3" xfId="13538"/>
    <cellStyle name="표준 10 7 2 4 3 3 2" xfId="13539"/>
    <cellStyle name="표준 10 7 2 4 3 4" xfId="13540"/>
    <cellStyle name="표준 10 7 2 4 3 5" xfId="13541"/>
    <cellStyle name="표준 10 7 2 4 4 2" xfId="13542"/>
    <cellStyle name="표준 10 7 2 4 5" xfId="13543"/>
    <cellStyle name="표준 10 7 2 4 5 2" xfId="13544"/>
    <cellStyle name="표준 10 7 2 4 6" xfId="13545"/>
    <cellStyle name="표준 10 7 2 4 7" xfId="13546"/>
    <cellStyle name="표준 10 7 2 5 2 2" xfId="13547"/>
    <cellStyle name="표준 10 7 2 5 3" xfId="13548"/>
    <cellStyle name="표준 10 7 2 5 3 2" xfId="13549"/>
    <cellStyle name="표준 10 7 2 5 4" xfId="13550"/>
    <cellStyle name="표준 10 7 2 5 5" xfId="13551"/>
    <cellStyle name="표준 10 7 2 6 2 2" xfId="13552"/>
    <cellStyle name="표준 10 7 2 6 3" xfId="13553"/>
    <cellStyle name="표준 10 7 2 6 3 2" xfId="13554"/>
    <cellStyle name="표준 10 7 2 6 4" xfId="13555"/>
    <cellStyle name="표준 10 7 2 6 5" xfId="13556"/>
    <cellStyle name="표준 10 7 2 7 2" xfId="13557"/>
    <cellStyle name="표준 10 7 2 8" xfId="13558"/>
    <cellStyle name="표준 10 7 2 8 2" xfId="13559"/>
    <cellStyle name="표준 10 7 2 9" xfId="13560"/>
    <cellStyle name="표준 10 7 3 10" xfId="13561"/>
    <cellStyle name="표준 10 7 3 2 2 2 2 2 2" xfId="13562"/>
    <cellStyle name="표준 10 7 3 2 2 2 2 3" xfId="13563"/>
    <cellStyle name="표준 10 7 3 2 2 2 2 3 2" xfId="13564"/>
    <cellStyle name="표준 10 7 3 2 2 2 2 4" xfId="13565"/>
    <cellStyle name="표준 10 7 3 2 2 2 2 5" xfId="13566"/>
    <cellStyle name="표준 10 7 3 2 2 2 3 2 2" xfId="13567"/>
    <cellStyle name="표준 10 7 3 2 2 2 3 3" xfId="13568"/>
    <cellStyle name="표준 10 7 3 2 2 2 3 3 2" xfId="13569"/>
    <cellStyle name="표준 10 7 3 2 2 2 3 4" xfId="13570"/>
    <cellStyle name="표준 10 7 3 2 2 2 3 5" xfId="13571"/>
    <cellStyle name="표준 10 7 3 2 2 2 4 2" xfId="13572"/>
    <cellStyle name="표준 10 7 3 2 2 2 5" xfId="13573"/>
    <cellStyle name="표준 10 7 3 2 2 2 5 2" xfId="13574"/>
    <cellStyle name="표준 10 7 3 2 2 2 6" xfId="13575"/>
    <cellStyle name="표준 10 7 3 2 2 2 7" xfId="13576"/>
    <cellStyle name="표준 10 7 3 2 2 3 2 2" xfId="13577"/>
    <cellStyle name="표준 10 7 3 2 2 3 3" xfId="13578"/>
    <cellStyle name="표준 10 7 3 2 2 3 3 2" xfId="13579"/>
    <cellStyle name="표준 10 7 3 2 2 3 4" xfId="13580"/>
    <cellStyle name="표준 10 7 3 2 2 3 5" xfId="13581"/>
    <cellStyle name="표준 10 7 3 2 2 4 2 2" xfId="13582"/>
    <cellStyle name="표준 10 7 3 2 2 4 3" xfId="13583"/>
    <cellStyle name="표준 10 7 3 2 2 4 3 2" xfId="13584"/>
    <cellStyle name="표준 10 7 3 2 2 4 4" xfId="13585"/>
    <cellStyle name="표준 10 7 3 2 2 4 5" xfId="13586"/>
    <cellStyle name="표준 10 7 3 2 2 5 2" xfId="13587"/>
    <cellStyle name="표준 10 7 3 2 2 6" xfId="13588"/>
    <cellStyle name="표준 10 7 3 2 2 6 2" xfId="13589"/>
    <cellStyle name="표준 10 7 3 2 2 7" xfId="13590"/>
    <cellStyle name="표준 10 7 3 2 2 8" xfId="13591"/>
    <cellStyle name="표준 10 7 3 2 3 2 2 2" xfId="13592"/>
    <cellStyle name="표준 10 7 3 2 3 2 3" xfId="13593"/>
    <cellStyle name="표준 10 7 3 2 3 2 3 2" xfId="13594"/>
    <cellStyle name="표준 10 7 3 2 3 2 4" xfId="13595"/>
    <cellStyle name="표준 10 7 3 2 3 2 5" xfId="13596"/>
    <cellStyle name="표준 10 7 3 2 3 3 2 2" xfId="13597"/>
    <cellStyle name="표준 10 7 3 2 3 3 3" xfId="13598"/>
    <cellStyle name="표준 10 7 3 2 3 3 3 2" xfId="13599"/>
    <cellStyle name="표준 10 7 3 2 3 3 4" xfId="13600"/>
    <cellStyle name="표준 10 7 3 2 3 3 5" xfId="13601"/>
    <cellStyle name="표준 10 7 3 2 3 4 2" xfId="13602"/>
    <cellStyle name="표준 10 7 3 2 3 5" xfId="13603"/>
    <cellStyle name="표준 10 7 3 2 3 5 2" xfId="13604"/>
    <cellStyle name="표준 10 7 3 2 3 6" xfId="13605"/>
    <cellStyle name="표준 10 7 3 2 3 7" xfId="13606"/>
    <cellStyle name="표준 10 7 3 2 4 2 2" xfId="13607"/>
    <cellStyle name="표준 10 7 3 2 4 3" xfId="13608"/>
    <cellStyle name="표준 10 7 3 2 4 3 2" xfId="13609"/>
    <cellStyle name="표준 10 7 3 2 4 4" xfId="13610"/>
    <cellStyle name="표준 10 7 3 2 4 5" xfId="13611"/>
    <cellStyle name="표준 10 7 3 2 5 2 2" xfId="13612"/>
    <cellStyle name="표준 10 7 3 2 5 3" xfId="13613"/>
    <cellStyle name="표준 10 7 3 2 5 3 2" xfId="13614"/>
    <cellStyle name="표준 10 7 3 2 5 4" xfId="13615"/>
    <cellStyle name="표준 10 7 3 2 5 5" xfId="13616"/>
    <cellStyle name="표준 10 7 3 2 6 2" xfId="13617"/>
    <cellStyle name="표준 10 7 3 2 7" xfId="13618"/>
    <cellStyle name="표준 10 7 3 2 7 2" xfId="13619"/>
    <cellStyle name="표준 10 7 3 2 8" xfId="13620"/>
    <cellStyle name="표준 10 7 3 2 9" xfId="13621"/>
    <cellStyle name="표준 10 7 3 3 2 2 2 2" xfId="13622"/>
    <cellStyle name="표준 10 7 3 3 2 2 3" xfId="13623"/>
    <cellStyle name="표준 10 7 3 3 2 2 3 2" xfId="13624"/>
    <cellStyle name="표준 10 7 3 3 2 2 4" xfId="13625"/>
    <cellStyle name="표준 10 7 3 3 2 2 5" xfId="13626"/>
    <cellStyle name="표준 10 7 3 3 2 3 2 2" xfId="13627"/>
    <cellStyle name="표준 10 7 3 3 2 3 3" xfId="13628"/>
    <cellStyle name="표준 10 7 3 3 2 3 3 2" xfId="13629"/>
    <cellStyle name="표준 10 7 3 3 2 3 4" xfId="13630"/>
    <cellStyle name="표준 10 7 3 3 2 3 5" xfId="13631"/>
    <cellStyle name="표준 10 7 3 3 2 4 2" xfId="13632"/>
    <cellStyle name="표준 10 7 3 3 2 5" xfId="13633"/>
    <cellStyle name="표준 10 7 3 3 2 5 2" xfId="13634"/>
    <cellStyle name="표준 10 7 3 3 2 6" xfId="13635"/>
    <cellStyle name="표준 10 7 3 3 2 7" xfId="13636"/>
    <cellStyle name="표준 10 7 3 3 3 2 2" xfId="13637"/>
    <cellStyle name="표준 10 7 3 3 3 3" xfId="13638"/>
    <cellStyle name="표준 10 7 3 3 3 3 2" xfId="13639"/>
    <cellStyle name="표준 10 7 3 3 3 4" xfId="13640"/>
    <cellStyle name="표준 10 7 3 3 3 5" xfId="13641"/>
    <cellStyle name="표준 10 7 3 3 4 2 2" xfId="13642"/>
    <cellStyle name="표준 10 7 3 3 4 3" xfId="13643"/>
    <cellStyle name="표준 10 7 3 3 4 3 2" xfId="13644"/>
    <cellStyle name="표준 10 7 3 3 4 4" xfId="13645"/>
    <cellStyle name="표준 10 7 3 3 4 5" xfId="13646"/>
    <cellStyle name="표준 10 7 3 3 5 2" xfId="13647"/>
    <cellStyle name="표준 10 7 3 3 6" xfId="13648"/>
    <cellStyle name="표준 10 7 3 3 6 2" xfId="13649"/>
    <cellStyle name="표준 10 7 3 3 7" xfId="13650"/>
    <cellStyle name="표준 10 7 3 3 8" xfId="13651"/>
    <cellStyle name="표준 10 7 3 4 2 2 2" xfId="13652"/>
    <cellStyle name="표준 10 7 3 4 2 3" xfId="13653"/>
    <cellStyle name="표준 10 7 3 4 2 3 2" xfId="13654"/>
    <cellStyle name="표준 10 7 3 4 2 4" xfId="13655"/>
    <cellStyle name="표준 10 7 3 4 2 5" xfId="13656"/>
    <cellStyle name="표준 10 7 3 4 3 2 2" xfId="13657"/>
    <cellStyle name="표준 10 7 3 4 3 3" xfId="13658"/>
    <cellStyle name="표준 10 7 3 4 3 3 2" xfId="13659"/>
    <cellStyle name="표준 10 7 3 4 3 4" xfId="13660"/>
    <cellStyle name="표준 10 7 3 4 3 5" xfId="13661"/>
    <cellStyle name="표준 10 7 3 4 4 2" xfId="13662"/>
    <cellStyle name="표준 10 7 3 4 5" xfId="13663"/>
    <cellStyle name="표준 10 7 3 4 5 2" xfId="13664"/>
    <cellStyle name="표준 10 7 3 4 6" xfId="13665"/>
    <cellStyle name="표준 10 7 3 4 7" xfId="13666"/>
    <cellStyle name="표준 10 7 3 5 2 2" xfId="13667"/>
    <cellStyle name="표준 10 7 3 5 3" xfId="13668"/>
    <cellStyle name="표준 10 7 3 5 3 2" xfId="13669"/>
    <cellStyle name="표준 10 7 3 5 4" xfId="13670"/>
    <cellStyle name="표준 10 7 3 5 5" xfId="13671"/>
    <cellStyle name="표준 10 7 3 6 2 2" xfId="13672"/>
    <cellStyle name="표준 10 7 3 6 3" xfId="13673"/>
    <cellStyle name="표준 10 7 3 6 3 2" xfId="13674"/>
    <cellStyle name="표준 10 7 3 6 4" xfId="13675"/>
    <cellStyle name="표준 10 7 3 6 5" xfId="13676"/>
    <cellStyle name="표준 10 7 3 7 2" xfId="13677"/>
    <cellStyle name="표준 10 7 3 8" xfId="13678"/>
    <cellStyle name="표준 10 7 3 8 2" xfId="13679"/>
    <cellStyle name="표준 10 7 3 9" xfId="13680"/>
    <cellStyle name="표준 10 7 4 10" xfId="13681"/>
    <cellStyle name="표준 10 7 4 2 2 2 2 2 2" xfId="13682"/>
    <cellStyle name="표준 10 7 4 2 2 2 2 3" xfId="13683"/>
    <cellStyle name="표준 10 7 4 2 2 2 2 3 2" xfId="13684"/>
    <cellStyle name="표준 10 7 4 2 2 2 2 4" xfId="13685"/>
    <cellStyle name="표준 10 7 4 2 2 2 2 5" xfId="13686"/>
    <cellStyle name="표준 10 7 4 2 2 2 3 2 2" xfId="13687"/>
    <cellStyle name="표준 10 7 4 2 2 2 3 3" xfId="13688"/>
    <cellStyle name="표준 10 7 4 2 2 2 3 3 2" xfId="13689"/>
    <cellStyle name="표준 10 7 4 2 2 2 3 4" xfId="13690"/>
    <cellStyle name="표준 10 7 4 2 2 2 3 5" xfId="13691"/>
    <cellStyle name="표준 10 7 4 2 2 2 4 2" xfId="13692"/>
    <cellStyle name="표준 10 7 4 2 2 2 5" xfId="13693"/>
    <cellStyle name="표준 10 7 4 2 2 2 5 2" xfId="13694"/>
    <cellStyle name="표준 10 7 4 2 2 2 6" xfId="13695"/>
    <cellStyle name="표준 10 7 4 2 2 2 7" xfId="13696"/>
    <cellStyle name="표준 10 7 4 2 2 3 2 2" xfId="13697"/>
    <cellStyle name="표준 10 7 4 2 2 3 3" xfId="13698"/>
    <cellStyle name="표준 10 7 4 2 2 3 3 2" xfId="13699"/>
    <cellStyle name="표준 10 7 4 2 2 3 4" xfId="13700"/>
    <cellStyle name="표준 10 7 4 2 2 3 5" xfId="13701"/>
    <cellStyle name="표준 10 7 4 2 2 4 2 2" xfId="13702"/>
    <cellStyle name="표준 10 7 4 2 2 4 3" xfId="13703"/>
    <cellStyle name="표준 10 7 4 2 2 4 3 2" xfId="13704"/>
    <cellStyle name="표준 10 7 4 2 2 4 4" xfId="13705"/>
    <cellStyle name="표준 10 7 4 2 2 4 5" xfId="13706"/>
    <cellStyle name="표준 10 7 4 2 2 5 2" xfId="13707"/>
    <cellStyle name="표준 10 7 4 2 2 6" xfId="13708"/>
    <cellStyle name="표준 10 7 4 2 2 6 2" xfId="13709"/>
    <cellStyle name="표준 10 7 4 2 2 7" xfId="13710"/>
    <cellStyle name="표준 10 7 4 2 2 8" xfId="13711"/>
    <cellStyle name="표준 10 7 4 2 3 2 2 2" xfId="13712"/>
    <cellStyle name="표준 10 7 4 2 3 2 3" xfId="13713"/>
    <cellStyle name="표준 10 7 4 2 3 2 3 2" xfId="13714"/>
    <cellStyle name="표준 10 7 4 2 3 2 4" xfId="13715"/>
    <cellStyle name="표준 10 7 4 2 3 2 5" xfId="13716"/>
    <cellStyle name="표준 10 7 4 2 3 3 2 2" xfId="13717"/>
    <cellStyle name="표준 10 7 4 2 3 3 3" xfId="13718"/>
    <cellStyle name="표준 10 7 4 2 3 3 3 2" xfId="13719"/>
    <cellStyle name="표준 10 7 4 2 3 3 4" xfId="13720"/>
    <cellStyle name="표준 10 7 4 2 3 3 5" xfId="13721"/>
    <cellStyle name="표준 10 7 4 2 3 4 2" xfId="13722"/>
    <cellStyle name="표준 10 7 4 2 3 5" xfId="13723"/>
    <cellStyle name="표준 10 7 4 2 3 5 2" xfId="13724"/>
    <cellStyle name="표준 10 7 4 2 3 6" xfId="13725"/>
    <cellStyle name="표준 10 7 4 2 3 7" xfId="13726"/>
    <cellStyle name="표준 10 7 4 2 4 2 2" xfId="13727"/>
    <cellStyle name="표준 10 7 4 2 4 3" xfId="13728"/>
    <cellStyle name="표준 10 7 4 2 4 3 2" xfId="13729"/>
    <cellStyle name="표준 10 7 4 2 4 4" xfId="13730"/>
    <cellStyle name="표준 10 7 4 2 4 5" xfId="13731"/>
    <cellStyle name="표준 10 7 4 2 5 2 2" xfId="13732"/>
    <cellStyle name="표준 10 7 4 2 5 3" xfId="13733"/>
    <cellStyle name="표준 10 7 4 2 5 3 2" xfId="13734"/>
    <cellStyle name="표준 10 7 4 2 5 4" xfId="13735"/>
    <cellStyle name="표준 10 7 4 2 5 5" xfId="13736"/>
    <cellStyle name="표준 10 7 4 2 6 2" xfId="13737"/>
    <cellStyle name="표준 10 7 4 2 7" xfId="13738"/>
    <cellStyle name="표준 10 7 4 2 7 2" xfId="13739"/>
    <cellStyle name="표준 10 7 4 2 8" xfId="13740"/>
    <cellStyle name="표준 10 7 4 2 9" xfId="13741"/>
    <cellStyle name="표준 10 7 4 3 2 2 2 2" xfId="13742"/>
    <cellStyle name="표준 10 7 4 3 2 2 3" xfId="13743"/>
    <cellStyle name="표준 10 7 4 3 2 2 3 2" xfId="13744"/>
    <cellStyle name="표준 10 7 4 3 2 2 4" xfId="13745"/>
    <cellStyle name="표준 10 7 4 3 2 2 5" xfId="13746"/>
    <cellStyle name="표준 10 7 4 3 2 3 2 2" xfId="13747"/>
    <cellStyle name="표준 10 7 4 3 2 3 3" xfId="13748"/>
    <cellStyle name="표준 10 7 4 3 2 3 3 2" xfId="13749"/>
    <cellStyle name="표준 10 7 4 3 2 3 4" xfId="13750"/>
    <cellStyle name="표준 10 7 4 3 2 3 5" xfId="13751"/>
    <cellStyle name="표준 10 7 4 3 2 4 2" xfId="13752"/>
    <cellStyle name="표준 10 7 4 3 2 5" xfId="13753"/>
    <cellStyle name="표준 10 7 4 3 2 5 2" xfId="13754"/>
    <cellStyle name="표준 10 7 4 3 2 6" xfId="13755"/>
    <cellStyle name="표준 10 7 4 3 2 7" xfId="13756"/>
    <cellStyle name="표준 10 7 4 3 3 2 2" xfId="13757"/>
    <cellStyle name="표준 10 7 4 3 3 3" xfId="13758"/>
    <cellStyle name="표준 10 7 4 3 3 3 2" xfId="13759"/>
    <cellStyle name="표준 10 7 4 3 3 4" xfId="13760"/>
    <cellStyle name="표준 10 7 4 3 3 5" xfId="13761"/>
    <cellStyle name="표준 10 7 4 3 4 2 2" xfId="13762"/>
    <cellStyle name="표준 10 7 4 3 4 3" xfId="13763"/>
    <cellStyle name="표준 10 7 4 3 4 3 2" xfId="13764"/>
    <cellStyle name="표준 10 7 4 3 4 4" xfId="13765"/>
    <cellStyle name="표준 10 7 4 3 4 5" xfId="13766"/>
    <cellStyle name="표준 10 7 4 3 5 2" xfId="13767"/>
    <cellStyle name="표준 10 7 4 3 6" xfId="13768"/>
    <cellStyle name="표준 10 7 4 3 6 2" xfId="13769"/>
    <cellStyle name="표준 10 7 4 3 7" xfId="13770"/>
    <cellStyle name="표준 10 7 4 3 8" xfId="13771"/>
    <cellStyle name="표준 10 7 4 4 2 2 2" xfId="13772"/>
    <cellStyle name="표준 10 7 4 4 2 3" xfId="13773"/>
    <cellStyle name="표준 10 7 4 4 2 3 2" xfId="13774"/>
    <cellStyle name="표준 10 7 4 4 2 4" xfId="13775"/>
    <cellStyle name="표준 10 7 4 4 2 5" xfId="13776"/>
    <cellStyle name="표준 10 7 4 4 3 2 2" xfId="13777"/>
    <cellStyle name="표준 10 7 4 4 3 3" xfId="13778"/>
    <cellStyle name="표준 10 7 4 4 3 3 2" xfId="13779"/>
    <cellStyle name="표준 10 7 4 4 3 4" xfId="13780"/>
    <cellStyle name="표준 10 7 4 4 3 5" xfId="13781"/>
    <cellStyle name="표준 10 7 4 4 4 2" xfId="13782"/>
    <cellStyle name="표준 10 7 4 4 5" xfId="13783"/>
    <cellStyle name="표준 10 7 4 4 5 2" xfId="13784"/>
    <cellStyle name="표준 10 7 4 4 6" xfId="13785"/>
    <cellStyle name="표준 10 7 4 4 7" xfId="13786"/>
    <cellStyle name="표준 10 7 4 5 2 2" xfId="13787"/>
    <cellStyle name="표준 10 7 4 5 3" xfId="13788"/>
    <cellStyle name="표준 10 7 4 5 3 2" xfId="13789"/>
    <cellStyle name="표준 10 7 4 5 4" xfId="13790"/>
    <cellStyle name="표준 10 7 4 5 5" xfId="13791"/>
    <cellStyle name="표준 10 7 4 6 2 2" xfId="13792"/>
    <cellStyle name="표준 10 7 4 6 3" xfId="13793"/>
    <cellStyle name="표준 10 7 4 6 3 2" xfId="13794"/>
    <cellStyle name="표준 10 7 4 6 4" xfId="13795"/>
    <cellStyle name="표준 10 7 4 6 5" xfId="13796"/>
    <cellStyle name="표준 10 7 4 7 2" xfId="13797"/>
    <cellStyle name="표준 10 7 4 8" xfId="13798"/>
    <cellStyle name="표준 10 7 4 8 2" xfId="13799"/>
    <cellStyle name="표준 10 7 4 9" xfId="13800"/>
    <cellStyle name="표준 10 7 5 2 2 2 2 2" xfId="13801"/>
    <cellStyle name="표준 10 7 5 2 2 2 3" xfId="13802"/>
    <cellStyle name="표준 10 7 5 2 2 2 3 2" xfId="13803"/>
    <cellStyle name="표준 10 7 5 2 2 2 4" xfId="13804"/>
    <cellStyle name="표준 10 7 5 2 2 2 5" xfId="13805"/>
    <cellStyle name="표준 10 7 5 2 2 3 2 2" xfId="13806"/>
    <cellStyle name="표준 10 7 5 2 2 3 3" xfId="13807"/>
    <cellStyle name="표준 10 7 5 2 2 3 3 2" xfId="13808"/>
    <cellStyle name="표준 10 7 5 2 2 3 4" xfId="13809"/>
    <cellStyle name="표준 10 7 5 2 2 3 5" xfId="13810"/>
    <cellStyle name="표준 10 7 5 2 2 4 2" xfId="13811"/>
    <cellStyle name="표준 10 7 5 2 2 5" xfId="13812"/>
    <cellStyle name="표준 10 7 5 2 2 5 2" xfId="13813"/>
    <cellStyle name="표준 10 7 5 2 2 6" xfId="13814"/>
    <cellStyle name="표준 10 7 5 2 2 7" xfId="13815"/>
    <cellStyle name="표준 10 7 5 2 3 2 2" xfId="13816"/>
    <cellStyle name="표준 10 7 5 2 3 3" xfId="13817"/>
    <cellStyle name="표준 10 7 5 2 3 3 2" xfId="13818"/>
    <cellStyle name="표준 10 7 5 2 3 4" xfId="13819"/>
    <cellStyle name="표준 10 7 5 2 3 5" xfId="13820"/>
    <cellStyle name="표준 10 7 5 2 4 2 2" xfId="13821"/>
    <cellStyle name="표준 10 7 5 2 4 3" xfId="13822"/>
    <cellStyle name="표준 10 7 5 2 4 3 2" xfId="13823"/>
    <cellStyle name="표준 10 7 5 2 4 4" xfId="13824"/>
    <cellStyle name="표준 10 7 5 2 4 5" xfId="13825"/>
    <cellStyle name="표준 10 7 5 2 5 2" xfId="13826"/>
    <cellStyle name="표준 10 7 5 2 6" xfId="13827"/>
    <cellStyle name="표준 10 7 5 2 6 2" xfId="13828"/>
    <cellStyle name="표준 10 7 5 2 7" xfId="13829"/>
    <cellStyle name="표준 10 7 5 2 8" xfId="13830"/>
    <cellStyle name="표준 10 7 5 3 2 2 2" xfId="13831"/>
    <cellStyle name="표준 10 7 5 3 2 3" xfId="13832"/>
    <cellStyle name="표준 10 7 5 3 2 3 2" xfId="13833"/>
    <cellStyle name="표준 10 7 5 3 2 4" xfId="13834"/>
    <cellStyle name="표준 10 7 5 3 2 5" xfId="13835"/>
    <cellStyle name="표준 10 7 5 3 3 2 2" xfId="13836"/>
    <cellStyle name="표준 10 7 5 3 3 3" xfId="13837"/>
    <cellStyle name="표준 10 7 5 3 3 3 2" xfId="13838"/>
    <cellStyle name="표준 10 7 5 3 3 4" xfId="13839"/>
    <cellStyle name="표준 10 7 5 3 3 5" xfId="13840"/>
    <cellStyle name="표준 10 7 5 3 4 2" xfId="13841"/>
    <cellStyle name="표준 10 7 5 3 5" xfId="13842"/>
    <cellStyle name="표준 10 7 5 3 5 2" xfId="13843"/>
    <cellStyle name="표준 10 7 5 3 6" xfId="13844"/>
    <cellStyle name="표준 10 7 5 3 7" xfId="13845"/>
    <cellStyle name="표준 10 7 5 4 2 2" xfId="13846"/>
    <cellStyle name="표준 10 7 5 4 3" xfId="13847"/>
    <cellStyle name="표준 10 7 5 4 3 2" xfId="13848"/>
    <cellStyle name="표준 10 7 5 4 4" xfId="13849"/>
    <cellStyle name="표준 10 7 5 4 5" xfId="13850"/>
    <cellStyle name="표준 10 7 5 5 2 2" xfId="13851"/>
    <cellStyle name="표준 10 7 5 5 3" xfId="13852"/>
    <cellStyle name="표준 10 7 5 5 3 2" xfId="13853"/>
    <cellStyle name="표준 10 7 5 5 4" xfId="13854"/>
    <cellStyle name="표준 10 7 5 5 5" xfId="13855"/>
    <cellStyle name="표준 10 7 5 6 2" xfId="13856"/>
    <cellStyle name="표준 10 7 5 7" xfId="13857"/>
    <cellStyle name="표준 10 7 5 7 2" xfId="13858"/>
    <cellStyle name="표준 10 7 5 8" xfId="13859"/>
    <cellStyle name="표준 10 7 5 9" xfId="13860"/>
    <cellStyle name="표준 10 7 6 2 2 2 2" xfId="13861"/>
    <cellStyle name="표준 10 7 6 2 2 3" xfId="13862"/>
    <cellStyle name="표준 10 7 6 2 2 3 2" xfId="13863"/>
    <cellStyle name="표준 10 7 6 2 2 4" xfId="13864"/>
    <cellStyle name="표준 10 7 6 2 2 5" xfId="13865"/>
    <cellStyle name="표준 10 7 6 2 3 2 2" xfId="13866"/>
    <cellStyle name="표준 10 7 6 2 3 3" xfId="13867"/>
    <cellStyle name="표준 10 7 6 2 3 3 2" xfId="13868"/>
    <cellStyle name="표준 10 7 6 2 3 4" xfId="13869"/>
    <cellStyle name="표준 10 7 6 2 3 5" xfId="13870"/>
    <cellStyle name="표준 10 7 6 2 4 2" xfId="13871"/>
    <cellStyle name="표준 10 7 6 2 5" xfId="13872"/>
    <cellStyle name="표준 10 7 6 2 5 2" xfId="13873"/>
    <cellStyle name="표준 10 7 6 2 6" xfId="13874"/>
    <cellStyle name="표준 10 7 6 2 7" xfId="13875"/>
    <cellStyle name="표준 10 7 6 3 2 2" xfId="13876"/>
    <cellStyle name="표준 10 7 6 3 3" xfId="13877"/>
    <cellStyle name="표준 10 7 6 3 3 2" xfId="13878"/>
    <cellStyle name="표준 10 7 6 3 4" xfId="13879"/>
    <cellStyle name="표준 10 7 6 3 5" xfId="13880"/>
    <cellStyle name="표준 10 7 6 4 2 2" xfId="13881"/>
    <cellStyle name="표준 10 7 6 4 3" xfId="13882"/>
    <cellStyle name="표준 10 7 6 4 3 2" xfId="13883"/>
    <cellStyle name="표준 10 7 6 4 4" xfId="13884"/>
    <cellStyle name="표준 10 7 6 4 5" xfId="13885"/>
    <cellStyle name="표준 10 7 6 5 2" xfId="13886"/>
    <cellStyle name="표준 10 7 6 6" xfId="13887"/>
    <cellStyle name="표준 10 7 6 6 2" xfId="13888"/>
    <cellStyle name="표준 10 7 6 7" xfId="13889"/>
    <cellStyle name="표준 10 7 6 8" xfId="13890"/>
    <cellStyle name="표준 10 7 7 2 2 2" xfId="13891"/>
    <cellStyle name="표준 10 7 7 2 3" xfId="13892"/>
    <cellStyle name="표준 10 7 7 2 3 2" xfId="13893"/>
    <cellStyle name="표준 10 7 7 2 4" xfId="13894"/>
    <cellStyle name="표준 10 7 7 2 5" xfId="13895"/>
    <cellStyle name="표준 10 7 7 3 2 2" xfId="13896"/>
    <cellStyle name="표준 10 7 7 3 3" xfId="13897"/>
    <cellStyle name="표준 10 7 7 3 3 2" xfId="13898"/>
    <cellStyle name="표준 10 7 7 3 4" xfId="13899"/>
    <cellStyle name="표준 10 7 7 3 5" xfId="13900"/>
    <cellStyle name="표준 10 7 7 4 2" xfId="13901"/>
    <cellStyle name="표준 10 7 7 5" xfId="13902"/>
    <cellStyle name="표준 10 7 7 5 2" xfId="13903"/>
    <cellStyle name="표준 10 7 7 6" xfId="13904"/>
    <cellStyle name="표준 10 7 7 7" xfId="13905"/>
    <cellStyle name="표준 10 7 8 2 2" xfId="13906"/>
    <cellStyle name="표준 10 7 8 3" xfId="13907"/>
    <cellStyle name="표준 10 7 8 3 2" xfId="13908"/>
    <cellStyle name="표준 10 7 8 4" xfId="13909"/>
    <cellStyle name="표준 10 7 8 5" xfId="13910"/>
    <cellStyle name="표준 10 7 9 2 2" xfId="13911"/>
    <cellStyle name="표준 10 7 9 3" xfId="13912"/>
    <cellStyle name="표준 10 7 9 3 2" xfId="13913"/>
    <cellStyle name="표준 10 7 9 4" xfId="13914"/>
    <cellStyle name="표준 10 7 9 5" xfId="13915"/>
    <cellStyle name="표준 10 8 10 2" xfId="13916"/>
    <cellStyle name="표준 10 8 11" xfId="13917"/>
    <cellStyle name="표준 10 8 11 2" xfId="13918"/>
    <cellStyle name="표준 10 8 12" xfId="13919"/>
    <cellStyle name="표준 10 8 13" xfId="13920"/>
    <cellStyle name="표준 10 8 2 10" xfId="13921"/>
    <cellStyle name="표준 10 8 2 2 2 2 2 2 2" xfId="13922"/>
    <cellStyle name="표준 10 8 2 2 2 2 2 3" xfId="13923"/>
    <cellStyle name="표준 10 8 2 2 2 2 2 3 2" xfId="13924"/>
    <cellStyle name="표준 10 8 2 2 2 2 2 4" xfId="13925"/>
    <cellStyle name="표준 10 8 2 2 2 2 2 5" xfId="13926"/>
    <cellStyle name="표준 10 8 2 2 2 2 3 2 2" xfId="13927"/>
    <cellStyle name="표준 10 8 2 2 2 2 3 3" xfId="13928"/>
    <cellStyle name="표준 10 8 2 2 2 2 3 3 2" xfId="13929"/>
    <cellStyle name="표준 10 8 2 2 2 2 3 4" xfId="13930"/>
    <cellStyle name="표준 10 8 2 2 2 2 3 5" xfId="13931"/>
    <cellStyle name="표준 10 8 2 2 2 2 4 2" xfId="13932"/>
    <cellStyle name="표준 10 8 2 2 2 2 5" xfId="13933"/>
    <cellStyle name="표준 10 8 2 2 2 2 5 2" xfId="13934"/>
    <cellStyle name="표준 10 8 2 2 2 2 6" xfId="13935"/>
    <cellStyle name="표준 10 8 2 2 2 2 7" xfId="13936"/>
    <cellStyle name="표준 10 8 2 2 2 3 2 2" xfId="13937"/>
    <cellStyle name="표준 10 8 2 2 2 3 3" xfId="13938"/>
    <cellStyle name="표준 10 8 2 2 2 3 3 2" xfId="13939"/>
    <cellStyle name="표준 10 8 2 2 2 3 4" xfId="13940"/>
    <cellStyle name="표준 10 8 2 2 2 3 5" xfId="13941"/>
    <cellStyle name="표준 10 8 2 2 2 4 2 2" xfId="13942"/>
    <cellStyle name="표준 10 8 2 2 2 4 3" xfId="13943"/>
    <cellStyle name="표준 10 8 2 2 2 4 3 2" xfId="13944"/>
    <cellStyle name="표준 10 8 2 2 2 4 4" xfId="13945"/>
    <cellStyle name="표준 10 8 2 2 2 4 5" xfId="13946"/>
    <cellStyle name="표준 10 8 2 2 2 5 2" xfId="13947"/>
    <cellStyle name="표준 10 8 2 2 2 6" xfId="13948"/>
    <cellStyle name="표준 10 8 2 2 2 6 2" xfId="13949"/>
    <cellStyle name="표준 10 8 2 2 2 7" xfId="13950"/>
    <cellStyle name="표준 10 8 2 2 2 8" xfId="13951"/>
    <cellStyle name="표준 10 8 2 2 3 2 2 2" xfId="13952"/>
    <cellStyle name="표준 10 8 2 2 3 2 3" xfId="13953"/>
    <cellStyle name="표준 10 8 2 2 3 2 3 2" xfId="13954"/>
    <cellStyle name="표준 10 8 2 2 3 2 4" xfId="13955"/>
    <cellStyle name="표준 10 8 2 2 3 2 5" xfId="13956"/>
    <cellStyle name="표준 10 8 2 2 3 3 2 2" xfId="13957"/>
    <cellStyle name="표준 10 8 2 2 3 3 3" xfId="13958"/>
    <cellStyle name="표준 10 8 2 2 3 3 3 2" xfId="13959"/>
    <cellStyle name="표준 10 8 2 2 3 3 4" xfId="13960"/>
    <cellStyle name="표준 10 8 2 2 3 3 5" xfId="13961"/>
    <cellStyle name="표준 10 8 2 2 3 4 2" xfId="13962"/>
    <cellStyle name="표준 10 8 2 2 3 5" xfId="13963"/>
    <cellStyle name="표준 10 8 2 2 3 5 2" xfId="13964"/>
    <cellStyle name="표준 10 8 2 2 3 6" xfId="13965"/>
    <cellStyle name="표준 10 8 2 2 3 7" xfId="13966"/>
    <cellStyle name="표준 10 8 2 2 4 2 2" xfId="13967"/>
    <cellStyle name="표준 10 8 2 2 4 3" xfId="13968"/>
    <cellStyle name="표준 10 8 2 2 4 3 2" xfId="13969"/>
    <cellStyle name="표준 10 8 2 2 4 4" xfId="13970"/>
    <cellStyle name="표준 10 8 2 2 4 5" xfId="13971"/>
    <cellStyle name="표준 10 8 2 2 5 2 2" xfId="13972"/>
    <cellStyle name="표준 10 8 2 2 5 3" xfId="13973"/>
    <cellStyle name="표준 10 8 2 2 5 3 2" xfId="13974"/>
    <cellStyle name="표준 10 8 2 2 5 4" xfId="13975"/>
    <cellStyle name="표준 10 8 2 2 5 5" xfId="13976"/>
    <cellStyle name="표준 10 8 2 2 6 2" xfId="13977"/>
    <cellStyle name="표준 10 8 2 2 7" xfId="13978"/>
    <cellStyle name="표준 10 8 2 2 7 2" xfId="13979"/>
    <cellStyle name="표준 10 8 2 2 8" xfId="13980"/>
    <cellStyle name="표준 10 8 2 2 9" xfId="13981"/>
    <cellStyle name="표준 10 8 2 3 2 2 2 2" xfId="13982"/>
    <cellStyle name="표준 10 8 2 3 2 2 3" xfId="13983"/>
    <cellStyle name="표준 10 8 2 3 2 2 3 2" xfId="13984"/>
    <cellStyle name="표준 10 8 2 3 2 2 4" xfId="13985"/>
    <cellStyle name="표준 10 8 2 3 2 2 5" xfId="13986"/>
    <cellStyle name="표준 10 8 2 3 2 3 2 2" xfId="13987"/>
    <cellStyle name="표준 10 8 2 3 2 3 3" xfId="13988"/>
    <cellStyle name="표준 10 8 2 3 2 3 3 2" xfId="13989"/>
    <cellStyle name="표준 10 8 2 3 2 3 4" xfId="13990"/>
    <cellStyle name="표준 10 8 2 3 2 3 5" xfId="13991"/>
    <cellStyle name="표준 10 8 2 3 2 4 2" xfId="13992"/>
    <cellStyle name="표준 10 8 2 3 2 5" xfId="13993"/>
    <cellStyle name="표준 10 8 2 3 2 5 2" xfId="13994"/>
    <cellStyle name="표준 10 8 2 3 2 6" xfId="13995"/>
    <cellStyle name="표준 10 8 2 3 2 7" xfId="13996"/>
    <cellStyle name="표준 10 8 2 3 3 2 2" xfId="13997"/>
    <cellStyle name="표준 10 8 2 3 3 3" xfId="13998"/>
    <cellStyle name="표준 10 8 2 3 3 3 2" xfId="13999"/>
    <cellStyle name="표준 10 8 2 3 3 4" xfId="14000"/>
    <cellStyle name="표준 10 8 2 3 3 5" xfId="14001"/>
    <cellStyle name="표준 10 8 2 3 4 2 2" xfId="14002"/>
    <cellStyle name="표준 10 8 2 3 4 3" xfId="14003"/>
    <cellStyle name="표준 10 8 2 3 4 3 2" xfId="14004"/>
    <cellStyle name="표준 10 8 2 3 4 4" xfId="14005"/>
    <cellStyle name="표준 10 8 2 3 4 5" xfId="14006"/>
    <cellStyle name="표준 10 8 2 3 5 2" xfId="14007"/>
    <cellStyle name="표준 10 8 2 3 6" xfId="14008"/>
    <cellStyle name="표준 10 8 2 3 6 2" xfId="14009"/>
    <cellStyle name="표준 10 8 2 3 7" xfId="14010"/>
    <cellStyle name="표준 10 8 2 3 8" xfId="14011"/>
    <cellStyle name="표준 10 8 2 4 2 2 2" xfId="14012"/>
    <cellStyle name="표준 10 8 2 4 2 3" xfId="14013"/>
    <cellStyle name="표준 10 8 2 4 2 3 2" xfId="14014"/>
    <cellStyle name="표준 10 8 2 4 2 4" xfId="14015"/>
    <cellStyle name="표준 10 8 2 4 2 5" xfId="14016"/>
    <cellStyle name="표준 10 8 2 4 3 2 2" xfId="14017"/>
    <cellStyle name="표준 10 8 2 4 3 3" xfId="14018"/>
    <cellStyle name="표준 10 8 2 4 3 3 2" xfId="14019"/>
    <cellStyle name="표준 10 8 2 4 3 4" xfId="14020"/>
    <cellStyle name="표준 10 8 2 4 3 5" xfId="14021"/>
    <cellStyle name="표준 10 8 2 4 4 2" xfId="14022"/>
    <cellStyle name="표준 10 8 2 4 5" xfId="14023"/>
    <cellStyle name="표준 10 8 2 4 5 2" xfId="14024"/>
    <cellStyle name="표준 10 8 2 4 6" xfId="14025"/>
    <cellStyle name="표준 10 8 2 4 7" xfId="14026"/>
    <cellStyle name="표준 10 8 2 5 2 2" xfId="14027"/>
    <cellStyle name="표준 10 8 2 5 3" xfId="14028"/>
    <cellStyle name="표준 10 8 2 5 3 2" xfId="14029"/>
    <cellStyle name="표준 10 8 2 5 4" xfId="14030"/>
    <cellStyle name="표준 10 8 2 5 5" xfId="14031"/>
    <cellStyle name="표준 10 8 2 6 2 2" xfId="14032"/>
    <cellStyle name="표준 10 8 2 6 3" xfId="14033"/>
    <cellStyle name="표준 10 8 2 6 3 2" xfId="14034"/>
    <cellStyle name="표준 10 8 2 6 4" xfId="14035"/>
    <cellStyle name="표준 10 8 2 6 5" xfId="14036"/>
    <cellStyle name="표준 10 8 2 7 2" xfId="14037"/>
    <cellStyle name="표준 10 8 2 8" xfId="14038"/>
    <cellStyle name="표준 10 8 2 8 2" xfId="14039"/>
    <cellStyle name="표준 10 8 2 9" xfId="14040"/>
    <cellStyle name="표준 10 8 3 10" xfId="14041"/>
    <cellStyle name="표준 10 8 3 2 2 2 2 2 2" xfId="14042"/>
    <cellStyle name="표준 10 8 3 2 2 2 2 3" xfId="14043"/>
    <cellStyle name="표준 10 8 3 2 2 2 2 3 2" xfId="14044"/>
    <cellStyle name="표준 10 8 3 2 2 2 2 4" xfId="14045"/>
    <cellStyle name="표준 10 8 3 2 2 2 2 5" xfId="14046"/>
    <cellStyle name="표준 10 8 3 2 2 2 3 2 2" xfId="14047"/>
    <cellStyle name="표준 10 8 3 2 2 2 3 3" xfId="14048"/>
    <cellStyle name="표준 10 8 3 2 2 2 3 3 2" xfId="14049"/>
    <cellStyle name="표준 10 8 3 2 2 2 3 4" xfId="14050"/>
    <cellStyle name="표준 10 8 3 2 2 2 3 5" xfId="14051"/>
    <cellStyle name="표준 10 8 3 2 2 2 4 2" xfId="14052"/>
    <cellStyle name="표준 10 8 3 2 2 2 5" xfId="14053"/>
    <cellStyle name="표준 10 8 3 2 2 2 5 2" xfId="14054"/>
    <cellStyle name="표준 10 8 3 2 2 2 6" xfId="14055"/>
    <cellStyle name="표준 10 8 3 2 2 2 7" xfId="14056"/>
    <cellStyle name="표준 10 8 3 2 2 3 2 2" xfId="14057"/>
    <cellStyle name="표준 10 8 3 2 2 3 3" xfId="14058"/>
    <cellStyle name="표준 10 8 3 2 2 3 3 2" xfId="14059"/>
    <cellStyle name="표준 10 8 3 2 2 3 4" xfId="14060"/>
    <cellStyle name="표준 10 8 3 2 2 3 5" xfId="14061"/>
    <cellStyle name="표준 10 8 3 2 2 4 2 2" xfId="14062"/>
    <cellStyle name="표준 10 8 3 2 2 4 3" xfId="14063"/>
    <cellStyle name="표준 10 8 3 2 2 4 3 2" xfId="14064"/>
    <cellStyle name="표준 10 8 3 2 2 4 4" xfId="14065"/>
    <cellStyle name="표준 10 8 3 2 2 4 5" xfId="14066"/>
    <cellStyle name="표준 10 8 3 2 2 5 2" xfId="14067"/>
    <cellStyle name="표준 10 8 3 2 2 6" xfId="14068"/>
    <cellStyle name="표준 10 8 3 2 2 6 2" xfId="14069"/>
    <cellStyle name="표준 10 8 3 2 2 7" xfId="14070"/>
    <cellStyle name="표준 10 8 3 2 2 8" xfId="14071"/>
    <cellStyle name="표준 10 8 3 2 3 2 2 2" xfId="14072"/>
    <cellStyle name="표준 10 8 3 2 3 2 3" xfId="14073"/>
    <cellStyle name="표준 10 8 3 2 3 2 3 2" xfId="14074"/>
    <cellStyle name="표준 10 8 3 2 3 2 4" xfId="14075"/>
    <cellStyle name="표준 10 8 3 2 3 2 5" xfId="14076"/>
    <cellStyle name="표준 10 8 3 2 3 3 2 2" xfId="14077"/>
    <cellStyle name="표준 10 8 3 2 3 3 3" xfId="14078"/>
    <cellStyle name="표준 10 8 3 2 3 3 3 2" xfId="14079"/>
    <cellStyle name="표준 10 8 3 2 3 3 4" xfId="14080"/>
    <cellStyle name="표준 10 8 3 2 3 3 5" xfId="14081"/>
    <cellStyle name="표준 10 8 3 2 3 4 2" xfId="14082"/>
    <cellStyle name="표준 10 8 3 2 3 5" xfId="14083"/>
    <cellStyle name="표준 10 8 3 2 3 5 2" xfId="14084"/>
    <cellStyle name="표준 10 8 3 2 3 6" xfId="14085"/>
    <cellStyle name="표준 10 8 3 2 3 7" xfId="14086"/>
    <cellStyle name="표준 10 8 3 2 4 2 2" xfId="14087"/>
    <cellStyle name="표준 10 8 3 2 4 3" xfId="14088"/>
    <cellStyle name="표준 10 8 3 2 4 3 2" xfId="14089"/>
    <cellStyle name="표준 10 8 3 2 4 4" xfId="14090"/>
    <cellStyle name="표준 10 8 3 2 4 5" xfId="14091"/>
    <cellStyle name="표준 10 8 3 2 5 2 2" xfId="14092"/>
    <cellStyle name="표준 10 8 3 2 5 3" xfId="14093"/>
    <cellStyle name="표준 10 8 3 2 5 3 2" xfId="14094"/>
    <cellStyle name="표준 10 8 3 2 5 4" xfId="14095"/>
    <cellStyle name="표준 10 8 3 2 5 5" xfId="14096"/>
    <cellStyle name="표준 10 8 3 2 6 2" xfId="14097"/>
    <cellStyle name="표준 10 8 3 2 7" xfId="14098"/>
    <cellStyle name="표준 10 8 3 2 7 2" xfId="14099"/>
    <cellStyle name="표준 10 8 3 2 8" xfId="14100"/>
    <cellStyle name="표준 10 8 3 2 9" xfId="14101"/>
    <cellStyle name="표준 10 8 3 3 2 2 2 2" xfId="14102"/>
    <cellStyle name="표준 10 8 3 3 2 2 3" xfId="14103"/>
    <cellStyle name="표준 10 8 3 3 2 2 3 2" xfId="14104"/>
    <cellStyle name="표준 10 8 3 3 2 2 4" xfId="14105"/>
    <cellStyle name="표준 10 8 3 3 2 2 5" xfId="14106"/>
    <cellStyle name="표준 10 8 3 3 2 3 2 2" xfId="14107"/>
    <cellStyle name="표준 10 8 3 3 2 3 3" xfId="14108"/>
    <cellStyle name="표준 10 8 3 3 2 3 3 2" xfId="14109"/>
    <cellStyle name="표준 10 8 3 3 2 3 4" xfId="14110"/>
    <cellStyle name="표준 10 8 3 3 2 3 5" xfId="14111"/>
    <cellStyle name="표준 10 8 3 3 2 4 2" xfId="14112"/>
    <cellStyle name="표준 10 8 3 3 2 5" xfId="14113"/>
    <cellStyle name="표준 10 8 3 3 2 5 2" xfId="14114"/>
    <cellStyle name="표준 10 8 3 3 2 6" xfId="14115"/>
    <cellStyle name="표준 10 8 3 3 2 7" xfId="14116"/>
    <cellStyle name="표준 10 8 3 3 3 2 2" xfId="14117"/>
    <cellStyle name="표준 10 8 3 3 3 3" xfId="14118"/>
    <cellStyle name="표준 10 8 3 3 3 3 2" xfId="14119"/>
    <cellStyle name="표준 10 8 3 3 3 4" xfId="14120"/>
    <cellStyle name="표준 10 8 3 3 3 5" xfId="14121"/>
    <cellStyle name="표준 10 8 3 3 4 2 2" xfId="14122"/>
    <cellStyle name="표준 10 8 3 3 4 3" xfId="14123"/>
    <cellStyle name="표준 10 8 3 3 4 3 2" xfId="14124"/>
    <cellStyle name="표준 10 8 3 3 4 4" xfId="14125"/>
    <cellStyle name="표준 10 8 3 3 4 5" xfId="14126"/>
    <cellStyle name="표준 10 8 3 3 5 2" xfId="14127"/>
    <cellStyle name="표준 10 8 3 3 6" xfId="14128"/>
    <cellStyle name="표준 10 8 3 3 6 2" xfId="14129"/>
    <cellStyle name="표준 10 8 3 3 7" xfId="14130"/>
    <cellStyle name="표준 10 8 3 3 8" xfId="14131"/>
    <cellStyle name="표준 10 8 3 4 2 2 2" xfId="14132"/>
    <cellStyle name="표준 10 8 3 4 2 3" xfId="14133"/>
    <cellStyle name="표준 10 8 3 4 2 3 2" xfId="14134"/>
    <cellStyle name="표준 10 8 3 4 2 4" xfId="14135"/>
    <cellStyle name="표준 10 8 3 4 2 5" xfId="14136"/>
    <cellStyle name="표준 10 8 3 4 3 2 2" xfId="14137"/>
    <cellStyle name="표준 10 8 3 4 3 3" xfId="14138"/>
    <cellStyle name="표준 10 8 3 4 3 3 2" xfId="14139"/>
    <cellStyle name="표준 10 8 3 4 3 4" xfId="14140"/>
    <cellStyle name="표준 10 8 3 4 3 5" xfId="14141"/>
    <cellStyle name="표준 10 8 3 4 4 2" xfId="14142"/>
    <cellStyle name="표준 10 8 3 4 5" xfId="14143"/>
    <cellStyle name="표준 10 8 3 4 5 2" xfId="14144"/>
    <cellStyle name="표준 10 8 3 4 6" xfId="14145"/>
    <cellStyle name="표준 10 8 3 4 7" xfId="14146"/>
    <cellStyle name="표준 10 8 3 5 2 2" xfId="14147"/>
    <cellStyle name="표준 10 8 3 5 3" xfId="14148"/>
    <cellStyle name="표준 10 8 3 5 3 2" xfId="14149"/>
    <cellStyle name="표준 10 8 3 5 4" xfId="14150"/>
    <cellStyle name="표준 10 8 3 5 5" xfId="14151"/>
    <cellStyle name="표준 10 8 3 6 2 2" xfId="14152"/>
    <cellStyle name="표준 10 8 3 6 3" xfId="14153"/>
    <cellStyle name="표준 10 8 3 6 3 2" xfId="14154"/>
    <cellStyle name="표준 10 8 3 6 4" xfId="14155"/>
    <cellStyle name="표준 10 8 3 6 5" xfId="14156"/>
    <cellStyle name="표준 10 8 3 7 2" xfId="14157"/>
    <cellStyle name="표준 10 8 3 8" xfId="14158"/>
    <cellStyle name="표준 10 8 3 8 2" xfId="14159"/>
    <cellStyle name="표준 10 8 3 9" xfId="14160"/>
    <cellStyle name="표준 10 8 4 10" xfId="14161"/>
    <cellStyle name="표준 10 8 4 2 2 2 2 2 2" xfId="14162"/>
    <cellStyle name="표준 10 8 4 2 2 2 2 3" xfId="14163"/>
    <cellStyle name="표준 10 8 4 2 2 2 2 3 2" xfId="14164"/>
    <cellStyle name="표준 10 8 4 2 2 2 2 4" xfId="14165"/>
    <cellStyle name="표준 10 8 4 2 2 2 2 5" xfId="14166"/>
    <cellStyle name="표준 10 8 4 2 2 2 3 2 2" xfId="14167"/>
    <cellStyle name="표준 10 8 4 2 2 2 3 3" xfId="14168"/>
    <cellStyle name="표준 10 8 4 2 2 2 3 3 2" xfId="14169"/>
    <cellStyle name="표준 10 8 4 2 2 2 3 4" xfId="14170"/>
    <cellStyle name="표준 10 8 4 2 2 2 3 5" xfId="14171"/>
    <cellStyle name="표준 10 8 4 2 2 2 4 2" xfId="14172"/>
    <cellStyle name="표준 10 8 4 2 2 2 5" xfId="14173"/>
    <cellStyle name="표준 10 8 4 2 2 2 5 2" xfId="14174"/>
    <cellStyle name="표준 10 8 4 2 2 2 6" xfId="14175"/>
    <cellStyle name="표준 10 8 4 2 2 2 7" xfId="14176"/>
    <cellStyle name="표준 10 8 4 2 2 3 2 2" xfId="14177"/>
    <cellStyle name="표준 10 8 4 2 2 3 3" xfId="14178"/>
    <cellStyle name="표준 10 8 4 2 2 3 3 2" xfId="14179"/>
    <cellStyle name="표준 10 8 4 2 2 3 4" xfId="14180"/>
    <cellStyle name="표준 10 8 4 2 2 3 5" xfId="14181"/>
    <cellStyle name="표준 10 8 4 2 2 4 2 2" xfId="14182"/>
    <cellStyle name="표준 10 8 4 2 2 4 3" xfId="14183"/>
    <cellStyle name="표준 10 8 4 2 2 4 3 2" xfId="14184"/>
    <cellStyle name="표준 10 8 4 2 2 4 4" xfId="14185"/>
    <cellStyle name="표준 10 8 4 2 2 4 5" xfId="14186"/>
    <cellStyle name="표준 10 8 4 2 2 5 2" xfId="14187"/>
    <cellStyle name="표준 10 8 4 2 2 6" xfId="14188"/>
    <cellStyle name="표준 10 8 4 2 2 6 2" xfId="14189"/>
    <cellStyle name="표준 10 8 4 2 2 7" xfId="14190"/>
    <cellStyle name="표준 10 8 4 2 2 8" xfId="14191"/>
    <cellStyle name="표준 10 8 4 2 3 2 2 2" xfId="14192"/>
    <cellStyle name="표준 10 8 4 2 3 2 3" xfId="14193"/>
    <cellStyle name="표준 10 8 4 2 3 2 3 2" xfId="14194"/>
    <cellStyle name="표준 10 8 4 2 3 2 4" xfId="14195"/>
    <cellStyle name="표준 10 8 4 2 3 2 5" xfId="14196"/>
    <cellStyle name="표준 10 8 4 2 3 3 2 2" xfId="14197"/>
    <cellStyle name="표준 10 8 4 2 3 3 3" xfId="14198"/>
    <cellStyle name="표준 10 8 4 2 3 3 3 2" xfId="14199"/>
    <cellStyle name="표준 10 8 4 2 3 3 4" xfId="14200"/>
    <cellStyle name="표준 10 8 4 2 3 3 5" xfId="14201"/>
    <cellStyle name="표준 10 8 4 2 3 4 2" xfId="14202"/>
    <cellStyle name="표준 10 8 4 2 3 5" xfId="14203"/>
    <cellStyle name="표준 10 8 4 2 3 5 2" xfId="14204"/>
    <cellStyle name="표준 10 8 4 2 3 6" xfId="14205"/>
    <cellStyle name="표준 10 8 4 2 3 7" xfId="14206"/>
    <cellStyle name="표준 10 8 4 2 4 2 2" xfId="14207"/>
    <cellStyle name="표준 10 8 4 2 4 3" xfId="14208"/>
    <cellStyle name="표준 10 8 4 2 4 3 2" xfId="14209"/>
    <cellStyle name="표준 10 8 4 2 4 4" xfId="14210"/>
    <cellStyle name="표준 10 8 4 2 4 5" xfId="14211"/>
    <cellStyle name="표준 10 8 4 2 5 2 2" xfId="14212"/>
    <cellStyle name="표준 10 8 4 2 5 3" xfId="14213"/>
    <cellStyle name="표준 10 8 4 2 5 3 2" xfId="14214"/>
    <cellStyle name="표준 10 8 4 2 5 4" xfId="14215"/>
    <cellStyle name="표준 10 8 4 2 5 5" xfId="14216"/>
    <cellStyle name="표준 10 8 4 2 6 2" xfId="14217"/>
    <cellStyle name="표준 10 8 4 2 7" xfId="14218"/>
    <cellStyle name="표준 10 8 4 2 7 2" xfId="14219"/>
    <cellStyle name="표준 10 8 4 2 8" xfId="14220"/>
    <cellStyle name="표준 10 8 4 2 9" xfId="14221"/>
    <cellStyle name="표준 10 8 4 3 2 2 2 2" xfId="14222"/>
    <cellStyle name="표준 10 8 4 3 2 2 3" xfId="14223"/>
    <cellStyle name="표준 10 8 4 3 2 2 3 2" xfId="14224"/>
    <cellStyle name="표준 10 8 4 3 2 2 4" xfId="14225"/>
    <cellStyle name="표준 10 8 4 3 2 2 5" xfId="14226"/>
    <cellStyle name="표준 10 8 4 3 2 3 2 2" xfId="14227"/>
    <cellStyle name="표준 10 8 4 3 2 3 3" xfId="14228"/>
    <cellStyle name="표준 10 8 4 3 2 3 3 2" xfId="14229"/>
    <cellStyle name="표준 10 8 4 3 2 3 4" xfId="14230"/>
    <cellStyle name="표준 10 8 4 3 2 3 5" xfId="14231"/>
    <cellStyle name="표준 10 8 4 3 2 4 2" xfId="14232"/>
    <cellStyle name="표준 10 8 4 3 2 5" xfId="14233"/>
    <cellStyle name="표준 10 8 4 3 2 5 2" xfId="14234"/>
    <cellStyle name="표준 10 8 4 3 2 6" xfId="14235"/>
    <cellStyle name="표준 10 8 4 3 2 7" xfId="14236"/>
    <cellStyle name="표준 10 8 4 3 3 2 2" xfId="14237"/>
    <cellStyle name="표준 10 8 4 3 3 3" xfId="14238"/>
    <cellStyle name="표준 10 8 4 3 3 3 2" xfId="14239"/>
    <cellStyle name="표준 10 8 4 3 3 4" xfId="14240"/>
    <cellStyle name="표준 10 8 4 3 3 5" xfId="14241"/>
    <cellStyle name="표준 10 8 4 3 4 2 2" xfId="14242"/>
    <cellStyle name="표준 10 8 4 3 4 3" xfId="14243"/>
    <cellStyle name="표준 10 8 4 3 4 3 2" xfId="14244"/>
    <cellStyle name="표준 10 8 4 3 4 4" xfId="14245"/>
    <cellStyle name="표준 10 8 4 3 4 5" xfId="14246"/>
    <cellStyle name="표준 10 8 4 3 5 2" xfId="14247"/>
    <cellStyle name="표준 10 8 4 3 6" xfId="14248"/>
    <cellStyle name="표준 10 8 4 3 6 2" xfId="14249"/>
    <cellStyle name="표준 10 8 4 3 7" xfId="14250"/>
    <cellStyle name="표준 10 8 4 3 8" xfId="14251"/>
    <cellStyle name="표준 10 8 4 4 2 2 2" xfId="14252"/>
    <cellStyle name="표준 10 8 4 4 2 3" xfId="14253"/>
    <cellStyle name="표준 10 8 4 4 2 3 2" xfId="14254"/>
    <cellStyle name="표준 10 8 4 4 2 4" xfId="14255"/>
    <cellStyle name="표준 10 8 4 4 2 5" xfId="14256"/>
    <cellStyle name="표준 10 8 4 4 3 2 2" xfId="14257"/>
    <cellStyle name="표준 10 8 4 4 3 3" xfId="14258"/>
    <cellStyle name="표준 10 8 4 4 3 3 2" xfId="14259"/>
    <cellStyle name="표준 10 8 4 4 3 4" xfId="14260"/>
    <cellStyle name="표준 10 8 4 4 3 5" xfId="14261"/>
    <cellStyle name="표준 10 8 4 4 4 2" xfId="14262"/>
    <cellStyle name="표준 10 8 4 4 5" xfId="14263"/>
    <cellStyle name="표준 10 8 4 4 5 2" xfId="14264"/>
    <cellStyle name="표준 10 8 4 4 6" xfId="14265"/>
    <cellStyle name="표준 10 8 4 4 7" xfId="14266"/>
    <cellStyle name="표준 10 8 4 5 2 2" xfId="14267"/>
    <cellStyle name="표준 10 8 4 5 3" xfId="14268"/>
    <cellStyle name="표준 10 8 4 5 3 2" xfId="14269"/>
    <cellStyle name="표준 10 8 4 5 4" xfId="14270"/>
    <cellStyle name="표준 10 8 4 5 5" xfId="14271"/>
    <cellStyle name="표준 10 8 4 6 2 2" xfId="14272"/>
    <cellStyle name="표준 10 8 4 6 3" xfId="14273"/>
    <cellStyle name="표준 10 8 4 6 3 2" xfId="14274"/>
    <cellStyle name="표준 10 8 4 6 4" xfId="14275"/>
    <cellStyle name="표준 10 8 4 6 5" xfId="14276"/>
    <cellStyle name="표준 10 8 4 7 2" xfId="14277"/>
    <cellStyle name="표준 10 8 4 8" xfId="14278"/>
    <cellStyle name="표준 10 8 4 8 2" xfId="14279"/>
    <cellStyle name="표준 10 8 4 9" xfId="14280"/>
    <cellStyle name="표준 10 8 5 2 2 2 2 2" xfId="14281"/>
    <cellStyle name="표준 10 8 5 2 2 2 3" xfId="14282"/>
    <cellStyle name="표준 10 8 5 2 2 2 3 2" xfId="14283"/>
    <cellStyle name="표준 10 8 5 2 2 2 4" xfId="14284"/>
    <cellStyle name="표준 10 8 5 2 2 2 5" xfId="14285"/>
    <cellStyle name="표준 10 8 5 2 2 3 2 2" xfId="14286"/>
    <cellStyle name="표준 10 8 5 2 2 3 3" xfId="14287"/>
    <cellStyle name="표준 10 8 5 2 2 3 3 2" xfId="14288"/>
    <cellStyle name="표준 10 8 5 2 2 3 4" xfId="14289"/>
    <cellStyle name="표준 10 8 5 2 2 3 5" xfId="14290"/>
    <cellStyle name="표준 10 8 5 2 2 4 2" xfId="14291"/>
    <cellStyle name="표준 10 8 5 2 2 5" xfId="14292"/>
    <cellStyle name="표준 10 8 5 2 2 5 2" xfId="14293"/>
    <cellStyle name="표준 10 8 5 2 2 6" xfId="14294"/>
    <cellStyle name="표준 10 8 5 2 2 7" xfId="14295"/>
    <cellStyle name="표준 10 8 5 2 3 2 2" xfId="14296"/>
    <cellStyle name="표준 10 8 5 2 3 3" xfId="14297"/>
    <cellStyle name="표준 10 8 5 2 3 3 2" xfId="14298"/>
    <cellStyle name="표준 10 8 5 2 3 4" xfId="14299"/>
    <cellStyle name="표준 10 8 5 2 3 5" xfId="14300"/>
    <cellStyle name="표준 10 8 5 2 4 2 2" xfId="14301"/>
    <cellStyle name="표준 10 8 5 2 4 3" xfId="14302"/>
    <cellStyle name="표준 10 8 5 2 4 3 2" xfId="14303"/>
    <cellStyle name="표준 10 8 5 2 4 4" xfId="14304"/>
    <cellStyle name="표준 10 8 5 2 4 5" xfId="14305"/>
    <cellStyle name="표준 10 8 5 2 5 2" xfId="14306"/>
    <cellStyle name="표준 10 8 5 2 6" xfId="14307"/>
    <cellStyle name="표준 10 8 5 2 6 2" xfId="14308"/>
    <cellStyle name="표준 10 8 5 2 7" xfId="14309"/>
    <cellStyle name="표준 10 8 5 2 8" xfId="14310"/>
    <cellStyle name="표준 10 8 5 3 2 2 2" xfId="14311"/>
    <cellStyle name="표준 10 8 5 3 2 3" xfId="14312"/>
    <cellStyle name="표준 10 8 5 3 2 3 2" xfId="14313"/>
    <cellStyle name="표준 10 8 5 3 2 4" xfId="14314"/>
    <cellStyle name="표준 10 8 5 3 2 5" xfId="14315"/>
    <cellStyle name="표준 10 8 5 3 3 2 2" xfId="14316"/>
    <cellStyle name="표준 10 8 5 3 3 3" xfId="14317"/>
    <cellStyle name="표준 10 8 5 3 3 3 2" xfId="14318"/>
    <cellStyle name="표준 10 8 5 3 3 4" xfId="14319"/>
    <cellStyle name="표준 10 8 5 3 3 5" xfId="14320"/>
    <cellStyle name="표준 10 8 5 3 4 2" xfId="14321"/>
    <cellStyle name="표준 10 8 5 3 5" xfId="14322"/>
    <cellStyle name="표준 10 8 5 3 5 2" xfId="14323"/>
    <cellStyle name="표준 10 8 5 3 6" xfId="14324"/>
    <cellStyle name="표준 10 8 5 3 7" xfId="14325"/>
    <cellStyle name="표준 10 8 5 4 2 2" xfId="14326"/>
    <cellStyle name="표준 10 8 5 4 3" xfId="14327"/>
    <cellStyle name="표준 10 8 5 4 3 2" xfId="14328"/>
    <cellStyle name="표준 10 8 5 4 4" xfId="14329"/>
    <cellStyle name="표준 10 8 5 4 5" xfId="14330"/>
    <cellStyle name="표준 10 8 5 5 2 2" xfId="14331"/>
    <cellStyle name="표준 10 8 5 5 3" xfId="14332"/>
    <cellStyle name="표준 10 8 5 5 3 2" xfId="14333"/>
    <cellStyle name="표준 10 8 5 5 4" xfId="14334"/>
    <cellStyle name="표준 10 8 5 5 5" xfId="14335"/>
    <cellStyle name="표준 10 8 5 6 2" xfId="14336"/>
    <cellStyle name="표준 10 8 5 7" xfId="14337"/>
    <cellStyle name="표준 10 8 5 7 2" xfId="14338"/>
    <cellStyle name="표준 10 8 5 8" xfId="14339"/>
    <cellStyle name="표준 10 8 5 9" xfId="14340"/>
    <cellStyle name="표준 10 8 6 2 2 2 2" xfId="14341"/>
    <cellStyle name="표준 10 8 6 2 2 3" xfId="14342"/>
    <cellStyle name="표준 10 8 6 2 2 3 2" xfId="14343"/>
    <cellStyle name="표준 10 8 6 2 2 4" xfId="14344"/>
    <cellStyle name="표준 10 8 6 2 2 5" xfId="14345"/>
    <cellStyle name="표준 10 8 6 2 3 2 2" xfId="14346"/>
    <cellStyle name="표준 10 8 6 2 3 3" xfId="14347"/>
    <cellStyle name="표준 10 8 6 2 3 3 2" xfId="14348"/>
    <cellStyle name="표준 10 8 6 2 3 4" xfId="14349"/>
    <cellStyle name="표준 10 8 6 2 3 5" xfId="14350"/>
    <cellStyle name="표준 10 8 6 2 4 2" xfId="14351"/>
    <cellStyle name="표준 10 8 6 2 5" xfId="14352"/>
    <cellStyle name="표준 10 8 6 2 5 2" xfId="14353"/>
    <cellStyle name="표준 10 8 6 2 6" xfId="14354"/>
    <cellStyle name="표준 10 8 6 2 7" xfId="14355"/>
    <cellStyle name="표준 10 8 6 3 2 2" xfId="14356"/>
    <cellStyle name="표준 10 8 6 3 3" xfId="14357"/>
    <cellStyle name="표준 10 8 6 3 3 2" xfId="14358"/>
    <cellStyle name="표준 10 8 6 3 4" xfId="14359"/>
    <cellStyle name="표준 10 8 6 3 5" xfId="14360"/>
    <cellStyle name="표준 10 8 6 4 2 2" xfId="14361"/>
    <cellStyle name="표준 10 8 6 4 3" xfId="14362"/>
    <cellStyle name="표준 10 8 6 4 3 2" xfId="14363"/>
    <cellStyle name="표준 10 8 6 4 4" xfId="14364"/>
    <cellStyle name="표준 10 8 6 4 5" xfId="14365"/>
    <cellStyle name="표준 10 8 6 5 2" xfId="14366"/>
    <cellStyle name="표준 10 8 6 6" xfId="14367"/>
    <cellStyle name="표준 10 8 6 6 2" xfId="14368"/>
    <cellStyle name="표준 10 8 6 7" xfId="14369"/>
    <cellStyle name="표준 10 8 6 8" xfId="14370"/>
    <cellStyle name="표준 10 8 7 2 2 2" xfId="14371"/>
    <cellStyle name="표준 10 8 7 2 3" xfId="14372"/>
    <cellStyle name="표준 10 8 7 2 3 2" xfId="14373"/>
    <cellStyle name="표준 10 8 7 2 4" xfId="14374"/>
    <cellStyle name="표준 10 8 7 2 5" xfId="14375"/>
    <cellStyle name="표준 10 8 7 3 2 2" xfId="14376"/>
    <cellStyle name="표준 10 8 7 3 3" xfId="14377"/>
    <cellStyle name="표준 10 8 7 3 3 2" xfId="14378"/>
    <cellStyle name="표준 10 8 7 3 4" xfId="14379"/>
    <cellStyle name="표준 10 8 7 3 5" xfId="14380"/>
    <cellStyle name="표준 10 8 7 4 2" xfId="14381"/>
    <cellStyle name="표준 10 8 7 5" xfId="14382"/>
    <cellStyle name="표준 10 8 7 5 2" xfId="14383"/>
    <cellStyle name="표준 10 8 7 6" xfId="14384"/>
    <cellStyle name="표준 10 8 7 7" xfId="14385"/>
    <cellStyle name="표준 10 8 8 2 2" xfId="14386"/>
    <cellStyle name="표준 10 8 8 3" xfId="14387"/>
    <cellStyle name="표준 10 8 8 3 2" xfId="14388"/>
    <cellStyle name="표준 10 8 8 4" xfId="14389"/>
    <cellStyle name="표준 10 8 8 5" xfId="14390"/>
    <cellStyle name="표준 10 8 9 2 2" xfId="14391"/>
    <cellStyle name="표준 10 8 9 3" xfId="14392"/>
    <cellStyle name="표준 10 8 9 3 2" xfId="14393"/>
    <cellStyle name="표준 10 8 9 4" xfId="14394"/>
    <cellStyle name="표준 10 8 9 5" xfId="14395"/>
    <cellStyle name="표준 10 9 10" xfId="14396"/>
    <cellStyle name="표준 10 9 10 2" xfId="14397"/>
    <cellStyle name="표준 10 9 11" xfId="14398"/>
    <cellStyle name="표준 10 9 12" xfId="14399"/>
    <cellStyle name="표준 10 9 2 10" xfId="14400"/>
    <cellStyle name="표준 10 9 2 2 2 2 2 2 2" xfId="14401"/>
    <cellStyle name="표준 10 9 2 2 2 2 2 3" xfId="14402"/>
    <cellStyle name="표준 10 9 2 2 2 2 2 3 2" xfId="14403"/>
    <cellStyle name="표준 10 9 2 2 2 2 2 4" xfId="14404"/>
    <cellStyle name="표준 10 9 2 2 2 2 2 5" xfId="14405"/>
    <cellStyle name="표준 10 9 2 2 2 2 3 2 2" xfId="14406"/>
    <cellStyle name="표준 10 9 2 2 2 2 3 3" xfId="14407"/>
    <cellStyle name="표준 10 9 2 2 2 2 3 3 2" xfId="14408"/>
    <cellStyle name="표준 10 9 2 2 2 2 3 4" xfId="14409"/>
    <cellStyle name="표준 10 9 2 2 2 2 3 5" xfId="14410"/>
    <cellStyle name="표준 10 9 2 2 2 2 4 2" xfId="14411"/>
    <cellStyle name="표준 10 9 2 2 2 2 5" xfId="14412"/>
    <cellStyle name="표준 10 9 2 2 2 2 5 2" xfId="14413"/>
    <cellStyle name="표준 10 9 2 2 2 2 6" xfId="14414"/>
    <cellStyle name="표준 10 9 2 2 2 2 7" xfId="14415"/>
    <cellStyle name="표준 10 9 2 2 2 3 2 2" xfId="14416"/>
    <cellStyle name="표준 10 9 2 2 2 3 3" xfId="14417"/>
    <cellStyle name="표준 10 9 2 2 2 3 3 2" xfId="14418"/>
    <cellStyle name="표준 10 9 2 2 2 3 4" xfId="14419"/>
    <cellStyle name="표준 10 9 2 2 2 3 5" xfId="14420"/>
    <cellStyle name="표준 10 9 2 2 2 4 2 2" xfId="14421"/>
    <cellStyle name="표준 10 9 2 2 2 4 3" xfId="14422"/>
    <cellStyle name="표준 10 9 2 2 2 4 3 2" xfId="14423"/>
    <cellStyle name="표준 10 9 2 2 2 4 4" xfId="14424"/>
    <cellStyle name="표준 10 9 2 2 2 4 5" xfId="14425"/>
    <cellStyle name="표준 10 9 2 2 2 5 2" xfId="14426"/>
    <cellStyle name="표준 10 9 2 2 2 6" xfId="14427"/>
    <cellStyle name="표준 10 9 2 2 2 6 2" xfId="14428"/>
    <cellStyle name="표준 10 9 2 2 2 7" xfId="14429"/>
    <cellStyle name="표준 10 9 2 2 2 8" xfId="14430"/>
    <cellStyle name="표준 10 9 2 2 3 2 2 2" xfId="14431"/>
    <cellStyle name="표준 10 9 2 2 3 2 3" xfId="14432"/>
    <cellStyle name="표준 10 9 2 2 3 2 3 2" xfId="14433"/>
    <cellStyle name="표준 10 9 2 2 3 2 4" xfId="14434"/>
    <cellStyle name="표준 10 9 2 2 3 2 5" xfId="14435"/>
    <cellStyle name="표준 10 9 2 2 3 3 2 2" xfId="14436"/>
    <cellStyle name="표준 10 9 2 2 3 3 3" xfId="14437"/>
    <cellStyle name="표준 10 9 2 2 3 3 3 2" xfId="14438"/>
    <cellStyle name="표준 10 9 2 2 3 3 4" xfId="14439"/>
    <cellStyle name="표준 10 9 2 2 3 3 5" xfId="14440"/>
    <cellStyle name="표준 10 9 2 2 3 4 2" xfId="14441"/>
    <cellStyle name="표준 10 9 2 2 3 5" xfId="14442"/>
    <cellStyle name="표준 10 9 2 2 3 5 2" xfId="14443"/>
    <cellStyle name="표준 10 9 2 2 3 6" xfId="14444"/>
    <cellStyle name="표준 10 9 2 2 3 7" xfId="14445"/>
    <cellStyle name="표준 10 9 2 2 4 2 2" xfId="14446"/>
    <cellStyle name="표준 10 9 2 2 4 3" xfId="14447"/>
    <cellStyle name="표준 10 9 2 2 4 3 2" xfId="14448"/>
    <cellStyle name="표준 10 9 2 2 4 4" xfId="14449"/>
    <cellStyle name="표준 10 9 2 2 4 5" xfId="14450"/>
    <cellStyle name="표준 10 9 2 2 5 2 2" xfId="14451"/>
    <cellStyle name="표준 10 9 2 2 5 3" xfId="14452"/>
    <cellStyle name="표준 10 9 2 2 5 3 2" xfId="14453"/>
    <cellStyle name="표준 10 9 2 2 5 4" xfId="14454"/>
    <cellStyle name="표준 10 9 2 2 5 5" xfId="14455"/>
    <cellStyle name="표준 10 9 2 2 6 2" xfId="14456"/>
    <cellStyle name="표준 10 9 2 2 7" xfId="14457"/>
    <cellStyle name="표준 10 9 2 2 7 2" xfId="14458"/>
    <cellStyle name="표준 10 9 2 2 8" xfId="14459"/>
    <cellStyle name="표준 10 9 2 2 9" xfId="14460"/>
    <cellStyle name="표준 10 9 2 3 2 2 2 2" xfId="14461"/>
    <cellStyle name="표준 10 9 2 3 2 2 3" xfId="14462"/>
    <cellStyle name="표준 10 9 2 3 2 2 3 2" xfId="14463"/>
    <cellStyle name="표준 10 9 2 3 2 2 4" xfId="14464"/>
    <cellStyle name="표준 10 9 2 3 2 2 5" xfId="14465"/>
    <cellStyle name="표준 10 9 2 3 2 3 2 2" xfId="14466"/>
    <cellStyle name="표준 10 9 2 3 2 3 3" xfId="14467"/>
    <cellStyle name="표준 10 9 2 3 2 3 3 2" xfId="14468"/>
    <cellStyle name="표준 10 9 2 3 2 3 4" xfId="14469"/>
    <cellStyle name="표준 10 9 2 3 2 3 5" xfId="14470"/>
    <cellStyle name="표준 10 9 2 3 2 4 2" xfId="14471"/>
    <cellStyle name="표준 10 9 2 3 2 5" xfId="14472"/>
    <cellStyle name="표준 10 9 2 3 2 5 2" xfId="14473"/>
    <cellStyle name="표준 10 9 2 3 2 6" xfId="14474"/>
    <cellStyle name="표준 10 9 2 3 2 7" xfId="14475"/>
    <cellStyle name="표준 10 9 2 3 3 2 2" xfId="14476"/>
    <cellStyle name="표준 10 9 2 3 3 3" xfId="14477"/>
    <cellStyle name="표준 10 9 2 3 3 3 2" xfId="14478"/>
    <cellStyle name="표준 10 9 2 3 3 4" xfId="14479"/>
    <cellStyle name="표준 10 9 2 3 3 5" xfId="14480"/>
    <cellStyle name="표준 10 9 2 3 4 2 2" xfId="14481"/>
    <cellStyle name="표준 10 9 2 3 4 3" xfId="14482"/>
    <cellStyle name="표준 10 9 2 3 4 3 2" xfId="14483"/>
    <cellStyle name="표준 10 9 2 3 4 4" xfId="14484"/>
    <cellStyle name="표준 10 9 2 3 4 5" xfId="14485"/>
    <cellStyle name="표준 10 9 2 3 5 2" xfId="14486"/>
    <cellStyle name="표준 10 9 2 3 6" xfId="14487"/>
    <cellStyle name="표준 10 9 2 3 6 2" xfId="14488"/>
    <cellStyle name="표준 10 9 2 3 7" xfId="14489"/>
    <cellStyle name="표준 10 9 2 3 8" xfId="14490"/>
    <cellStyle name="표준 10 9 2 4 2 2 2" xfId="14491"/>
    <cellStyle name="표준 10 9 2 4 2 3" xfId="14492"/>
    <cellStyle name="표준 10 9 2 4 2 3 2" xfId="14493"/>
    <cellStyle name="표준 10 9 2 4 2 4" xfId="14494"/>
    <cellStyle name="표준 10 9 2 4 2 5" xfId="14495"/>
    <cellStyle name="표준 10 9 2 4 3 2 2" xfId="14496"/>
    <cellStyle name="표준 10 9 2 4 3 3" xfId="14497"/>
    <cellStyle name="표준 10 9 2 4 3 3 2" xfId="14498"/>
    <cellStyle name="표준 10 9 2 4 3 4" xfId="14499"/>
    <cellStyle name="표준 10 9 2 4 3 5" xfId="14500"/>
    <cellStyle name="표준 10 9 2 4 4 2" xfId="14501"/>
    <cellStyle name="표준 10 9 2 4 5" xfId="14502"/>
    <cellStyle name="표준 10 9 2 4 5 2" xfId="14503"/>
    <cellStyle name="표준 10 9 2 4 6" xfId="14504"/>
    <cellStyle name="표준 10 9 2 4 7" xfId="14505"/>
    <cellStyle name="표준 10 9 2 5 2 2" xfId="14506"/>
    <cellStyle name="표준 10 9 2 5 3" xfId="14507"/>
    <cellStyle name="표준 10 9 2 5 3 2" xfId="14508"/>
    <cellStyle name="표준 10 9 2 5 4" xfId="14509"/>
    <cellStyle name="표준 10 9 2 5 5" xfId="14510"/>
    <cellStyle name="표준 10 9 2 6 2 2" xfId="14511"/>
    <cellStyle name="표준 10 9 2 6 3" xfId="14512"/>
    <cellStyle name="표준 10 9 2 6 3 2" xfId="14513"/>
    <cellStyle name="표준 10 9 2 6 4" xfId="14514"/>
    <cellStyle name="표준 10 9 2 6 5" xfId="14515"/>
    <cellStyle name="표준 10 9 2 7 2" xfId="14516"/>
    <cellStyle name="표준 10 9 2 8" xfId="14517"/>
    <cellStyle name="표준 10 9 2 8 2" xfId="14518"/>
    <cellStyle name="표준 10 9 2 9" xfId="14519"/>
    <cellStyle name="표준 10 9 3 10" xfId="14520"/>
    <cellStyle name="표준 10 9 3 2 2 2 2 2 2" xfId="14521"/>
    <cellStyle name="표준 10 9 3 2 2 2 2 3" xfId="14522"/>
    <cellStyle name="표준 10 9 3 2 2 2 2 3 2" xfId="14523"/>
    <cellStyle name="표준 10 9 3 2 2 2 2 4" xfId="14524"/>
    <cellStyle name="표준 10 9 3 2 2 2 2 5" xfId="14525"/>
    <cellStyle name="표준 10 9 3 2 2 2 3 2 2" xfId="14526"/>
    <cellStyle name="표준 10 9 3 2 2 2 3 3" xfId="14527"/>
    <cellStyle name="표준 10 9 3 2 2 2 3 3 2" xfId="14528"/>
    <cellStyle name="표준 10 9 3 2 2 2 3 4" xfId="14529"/>
    <cellStyle name="표준 10 9 3 2 2 2 3 5" xfId="14530"/>
    <cellStyle name="표준 10 9 3 2 2 2 4 2" xfId="14531"/>
    <cellStyle name="표준 10 9 3 2 2 2 5" xfId="14532"/>
    <cellStyle name="표준 10 9 3 2 2 2 5 2" xfId="14533"/>
    <cellStyle name="표준 10 9 3 2 2 2 6" xfId="14534"/>
    <cellStyle name="표준 10 9 3 2 2 2 7" xfId="14535"/>
    <cellStyle name="표준 10 9 3 2 2 3 2 2" xfId="14536"/>
    <cellStyle name="표준 10 9 3 2 2 3 3" xfId="14537"/>
    <cellStyle name="표준 10 9 3 2 2 3 3 2" xfId="14538"/>
    <cellStyle name="표준 10 9 3 2 2 3 4" xfId="14539"/>
    <cellStyle name="표준 10 9 3 2 2 3 5" xfId="14540"/>
    <cellStyle name="표준 10 9 3 2 2 4 2 2" xfId="14541"/>
    <cellStyle name="표준 10 9 3 2 2 4 3" xfId="14542"/>
    <cellStyle name="표준 10 9 3 2 2 4 3 2" xfId="14543"/>
    <cellStyle name="표준 10 9 3 2 2 4 4" xfId="14544"/>
    <cellStyle name="표준 10 9 3 2 2 4 5" xfId="14545"/>
    <cellStyle name="표준 10 9 3 2 2 5 2" xfId="14546"/>
    <cellStyle name="표준 10 9 3 2 2 6" xfId="14547"/>
    <cellStyle name="표준 10 9 3 2 2 6 2" xfId="14548"/>
    <cellStyle name="표준 10 9 3 2 2 7" xfId="14549"/>
    <cellStyle name="표준 10 9 3 2 2 8" xfId="14550"/>
    <cellStyle name="표준 10 9 3 2 3 2 2 2" xfId="14551"/>
    <cellStyle name="표준 10 9 3 2 3 2 3" xfId="14552"/>
    <cellStyle name="표준 10 9 3 2 3 2 3 2" xfId="14553"/>
    <cellStyle name="표준 10 9 3 2 3 2 4" xfId="14554"/>
    <cellStyle name="표준 10 9 3 2 3 2 5" xfId="14555"/>
    <cellStyle name="표준 10 9 3 2 3 3 2 2" xfId="14556"/>
    <cellStyle name="표준 10 9 3 2 3 3 3" xfId="14557"/>
    <cellStyle name="표준 10 9 3 2 3 3 3 2" xfId="14558"/>
    <cellStyle name="표준 10 9 3 2 3 3 4" xfId="14559"/>
    <cellStyle name="표준 10 9 3 2 3 3 5" xfId="14560"/>
    <cellStyle name="표준 10 9 3 2 3 4 2" xfId="14561"/>
    <cellStyle name="표준 10 9 3 2 3 5" xfId="14562"/>
    <cellStyle name="표준 10 9 3 2 3 5 2" xfId="14563"/>
    <cellStyle name="표준 10 9 3 2 3 6" xfId="14564"/>
    <cellStyle name="표준 10 9 3 2 3 7" xfId="14565"/>
    <cellStyle name="표준 10 9 3 2 4 2 2" xfId="14566"/>
    <cellStyle name="표준 10 9 3 2 4 3" xfId="14567"/>
    <cellStyle name="표준 10 9 3 2 4 3 2" xfId="14568"/>
    <cellStyle name="표준 10 9 3 2 4 4" xfId="14569"/>
    <cellStyle name="표준 10 9 3 2 4 5" xfId="14570"/>
    <cellStyle name="표준 10 9 3 2 5 2 2" xfId="14571"/>
    <cellStyle name="표준 10 9 3 2 5 3" xfId="14572"/>
    <cellStyle name="표준 10 9 3 2 5 3 2" xfId="14573"/>
    <cellStyle name="표준 10 9 3 2 5 4" xfId="14574"/>
    <cellStyle name="표준 10 9 3 2 5 5" xfId="14575"/>
    <cellStyle name="표준 10 9 3 2 6 2" xfId="14576"/>
    <cellStyle name="표준 10 9 3 2 7" xfId="14577"/>
    <cellStyle name="표준 10 9 3 2 7 2" xfId="14578"/>
    <cellStyle name="표준 10 9 3 2 8" xfId="14579"/>
    <cellStyle name="표준 10 9 3 2 9" xfId="14580"/>
    <cellStyle name="표준 10 9 3 3 2 2 2 2" xfId="14581"/>
    <cellStyle name="표준 10 9 3 3 2 2 3" xfId="14582"/>
    <cellStyle name="표준 10 9 3 3 2 2 3 2" xfId="14583"/>
    <cellStyle name="표준 10 9 3 3 2 2 4" xfId="14584"/>
    <cellStyle name="표준 10 9 3 3 2 2 5" xfId="14585"/>
    <cellStyle name="표준 10 9 3 3 2 3 2 2" xfId="14586"/>
    <cellStyle name="표준 10 9 3 3 2 3 3" xfId="14587"/>
    <cellStyle name="표준 10 9 3 3 2 3 3 2" xfId="14588"/>
    <cellStyle name="표준 10 9 3 3 2 3 4" xfId="14589"/>
    <cellStyle name="표준 10 9 3 3 2 3 5" xfId="14590"/>
    <cellStyle name="표준 10 9 3 3 2 4 2" xfId="14591"/>
    <cellStyle name="표준 10 9 3 3 2 5" xfId="14592"/>
    <cellStyle name="표준 10 9 3 3 2 5 2" xfId="14593"/>
    <cellStyle name="표준 10 9 3 3 2 6" xfId="14594"/>
    <cellStyle name="표준 10 9 3 3 2 7" xfId="14595"/>
    <cellStyle name="표준 10 9 3 3 3 2 2" xfId="14596"/>
    <cellStyle name="표준 10 9 3 3 3 3" xfId="14597"/>
    <cellStyle name="표준 10 9 3 3 3 3 2" xfId="14598"/>
    <cellStyle name="표준 10 9 3 3 3 4" xfId="14599"/>
    <cellStyle name="표준 10 9 3 3 3 5" xfId="14600"/>
    <cellStyle name="표준 10 9 3 3 4 2 2" xfId="14601"/>
    <cellStyle name="표준 10 9 3 3 4 3" xfId="14602"/>
    <cellStyle name="표준 10 9 3 3 4 3 2" xfId="14603"/>
    <cellStyle name="표준 10 9 3 3 4 4" xfId="14604"/>
    <cellStyle name="표준 10 9 3 3 4 5" xfId="14605"/>
    <cellStyle name="표준 10 9 3 3 5 2" xfId="14606"/>
    <cellStyle name="표준 10 9 3 3 6" xfId="14607"/>
    <cellStyle name="표준 10 9 3 3 6 2" xfId="14608"/>
    <cellStyle name="표준 10 9 3 3 7" xfId="14609"/>
    <cellStyle name="표준 10 9 3 3 8" xfId="14610"/>
    <cellStyle name="표준 10 9 3 4 2 2 2" xfId="14611"/>
    <cellStyle name="표준 10 9 3 4 2 3" xfId="14612"/>
    <cellStyle name="표준 10 9 3 4 2 3 2" xfId="14613"/>
    <cellStyle name="표준 10 9 3 4 2 4" xfId="14614"/>
    <cellStyle name="표준 10 9 3 4 2 5" xfId="14615"/>
    <cellStyle name="표준 10 9 3 4 3 2 2" xfId="14616"/>
    <cellStyle name="표준 10 9 3 4 3 3" xfId="14617"/>
    <cellStyle name="표준 10 9 3 4 3 3 2" xfId="14618"/>
    <cellStyle name="표준 10 9 3 4 3 4" xfId="14619"/>
    <cellStyle name="표준 10 9 3 4 3 5" xfId="14620"/>
    <cellStyle name="표준 10 9 3 4 4 2" xfId="14621"/>
    <cellStyle name="표준 10 9 3 4 5" xfId="14622"/>
    <cellStyle name="표준 10 9 3 4 5 2" xfId="14623"/>
    <cellStyle name="표준 10 9 3 4 6" xfId="14624"/>
    <cellStyle name="표준 10 9 3 4 7" xfId="14625"/>
    <cellStyle name="표준 10 9 3 5 2 2" xfId="14626"/>
    <cellStyle name="표준 10 9 3 5 3" xfId="14627"/>
    <cellStyle name="표준 10 9 3 5 3 2" xfId="14628"/>
    <cellStyle name="표준 10 9 3 5 4" xfId="14629"/>
    <cellStyle name="표준 10 9 3 5 5" xfId="14630"/>
    <cellStyle name="표준 10 9 3 6 2 2" xfId="14631"/>
    <cellStyle name="표준 10 9 3 6 3" xfId="14632"/>
    <cellStyle name="표준 10 9 3 6 3 2" xfId="14633"/>
    <cellStyle name="표준 10 9 3 6 4" xfId="14634"/>
    <cellStyle name="표준 10 9 3 6 5" xfId="14635"/>
    <cellStyle name="표준 10 9 3 7 2" xfId="14636"/>
    <cellStyle name="표준 10 9 3 8" xfId="14637"/>
    <cellStyle name="표준 10 9 3 8 2" xfId="14638"/>
    <cellStyle name="표준 10 9 3 9" xfId="14639"/>
    <cellStyle name="표준 10 9 4 2 2 2 2 2" xfId="14640"/>
    <cellStyle name="표준 10 9 4 2 2 2 3" xfId="14641"/>
    <cellStyle name="표준 10 9 4 2 2 2 3 2" xfId="14642"/>
    <cellStyle name="표준 10 9 4 2 2 2 4" xfId="14643"/>
    <cellStyle name="표준 10 9 4 2 2 2 5" xfId="14644"/>
    <cellStyle name="표준 10 9 4 2 2 3 2 2" xfId="14645"/>
    <cellStyle name="표준 10 9 4 2 2 3 3" xfId="14646"/>
    <cellStyle name="표준 10 9 4 2 2 3 3 2" xfId="14647"/>
    <cellStyle name="표준 10 9 4 2 2 3 4" xfId="14648"/>
    <cellStyle name="표준 10 9 4 2 2 3 5" xfId="14649"/>
    <cellStyle name="표준 10 9 4 2 2 4 2" xfId="14650"/>
    <cellStyle name="표준 10 9 4 2 2 5" xfId="14651"/>
    <cellStyle name="표준 10 9 4 2 2 5 2" xfId="14652"/>
    <cellStyle name="표준 10 9 4 2 2 6" xfId="14653"/>
    <cellStyle name="표준 10 9 4 2 2 7" xfId="14654"/>
    <cellStyle name="표준 10 9 4 2 3 2 2" xfId="14655"/>
    <cellStyle name="표준 10 9 4 2 3 3" xfId="14656"/>
    <cellStyle name="표준 10 9 4 2 3 3 2" xfId="14657"/>
    <cellStyle name="표준 10 9 4 2 3 4" xfId="14658"/>
    <cellStyle name="표준 10 9 4 2 3 5" xfId="14659"/>
    <cellStyle name="표준 10 9 4 2 4 2 2" xfId="14660"/>
    <cellStyle name="표준 10 9 4 2 4 3" xfId="14661"/>
    <cellStyle name="표준 10 9 4 2 4 3 2" xfId="14662"/>
    <cellStyle name="표준 10 9 4 2 4 4" xfId="14663"/>
    <cellStyle name="표준 10 9 4 2 4 5" xfId="14664"/>
    <cellStyle name="표준 10 9 4 2 5 2" xfId="14665"/>
    <cellStyle name="표준 10 9 4 2 6" xfId="14666"/>
    <cellStyle name="표준 10 9 4 2 6 2" xfId="14667"/>
    <cellStyle name="표준 10 9 4 2 7" xfId="14668"/>
    <cellStyle name="표준 10 9 4 2 8" xfId="14669"/>
    <cellStyle name="표준 10 9 4 3 2 2 2" xfId="14670"/>
    <cellStyle name="표준 10 9 4 3 2 3" xfId="14671"/>
    <cellStyle name="표준 10 9 4 3 2 3 2" xfId="14672"/>
    <cellStyle name="표준 10 9 4 3 2 4" xfId="14673"/>
    <cellStyle name="표준 10 9 4 3 2 5" xfId="14674"/>
    <cellStyle name="표준 10 9 4 3 3 2 2" xfId="14675"/>
    <cellStyle name="표준 10 9 4 3 3 3" xfId="14676"/>
    <cellStyle name="표준 10 9 4 3 3 3 2" xfId="14677"/>
    <cellStyle name="표준 10 9 4 3 3 4" xfId="14678"/>
    <cellStyle name="표준 10 9 4 3 3 5" xfId="14679"/>
    <cellStyle name="표준 10 9 4 3 4 2" xfId="14680"/>
    <cellStyle name="표준 10 9 4 3 5" xfId="14681"/>
    <cellStyle name="표준 10 9 4 3 5 2" xfId="14682"/>
    <cellStyle name="표준 10 9 4 3 6" xfId="14683"/>
    <cellStyle name="표준 10 9 4 3 7" xfId="14684"/>
    <cellStyle name="표준 10 9 4 4 2 2" xfId="14685"/>
    <cellStyle name="표준 10 9 4 4 3" xfId="14686"/>
    <cellStyle name="표준 10 9 4 4 3 2" xfId="14687"/>
    <cellStyle name="표준 10 9 4 4 4" xfId="14688"/>
    <cellStyle name="표준 10 9 4 4 5" xfId="14689"/>
    <cellStyle name="표준 10 9 4 5 2 2" xfId="14690"/>
    <cellStyle name="표준 10 9 4 5 3" xfId="14691"/>
    <cellStyle name="표준 10 9 4 5 3 2" xfId="14692"/>
    <cellStyle name="표준 10 9 4 5 4" xfId="14693"/>
    <cellStyle name="표준 10 9 4 5 5" xfId="14694"/>
    <cellStyle name="표준 10 9 4 6 2" xfId="14695"/>
    <cellStyle name="표준 10 9 4 7" xfId="14696"/>
    <cellStyle name="표준 10 9 4 7 2" xfId="14697"/>
    <cellStyle name="표준 10 9 4 8" xfId="14698"/>
    <cellStyle name="표준 10 9 4 9" xfId="14699"/>
    <cellStyle name="표준 10 9 5 2 2 2 2" xfId="14700"/>
    <cellStyle name="표준 10 9 5 2 2 3" xfId="14701"/>
    <cellStyle name="표준 10 9 5 2 2 3 2" xfId="14702"/>
    <cellStyle name="표준 10 9 5 2 2 4" xfId="14703"/>
    <cellStyle name="표준 10 9 5 2 2 5" xfId="14704"/>
    <cellStyle name="표준 10 9 5 2 3 2 2" xfId="14705"/>
    <cellStyle name="표준 10 9 5 2 3 3" xfId="14706"/>
    <cellStyle name="표준 10 9 5 2 3 3 2" xfId="14707"/>
    <cellStyle name="표준 10 9 5 2 3 4" xfId="14708"/>
    <cellStyle name="표준 10 9 5 2 3 5" xfId="14709"/>
    <cellStyle name="표준 10 9 5 2 4 2" xfId="14710"/>
    <cellStyle name="표준 10 9 5 2 5" xfId="14711"/>
    <cellStyle name="표준 10 9 5 2 5 2" xfId="14712"/>
    <cellStyle name="표준 10 9 5 2 6" xfId="14713"/>
    <cellStyle name="표준 10 9 5 2 7" xfId="14714"/>
    <cellStyle name="표준 10 9 5 3 2 2" xfId="14715"/>
    <cellStyle name="표준 10 9 5 3 3" xfId="14716"/>
    <cellStyle name="표준 10 9 5 3 3 2" xfId="14717"/>
    <cellStyle name="표준 10 9 5 3 4" xfId="14718"/>
    <cellStyle name="표준 10 9 5 3 5" xfId="14719"/>
    <cellStyle name="표준 10 9 5 4 2 2" xfId="14720"/>
    <cellStyle name="표준 10 9 5 4 3" xfId="14721"/>
    <cellStyle name="표준 10 9 5 4 3 2" xfId="14722"/>
    <cellStyle name="표준 10 9 5 4 4" xfId="14723"/>
    <cellStyle name="표준 10 9 5 4 5" xfId="14724"/>
    <cellStyle name="표준 10 9 5 5 2" xfId="14725"/>
    <cellStyle name="표준 10 9 5 6" xfId="14726"/>
    <cellStyle name="표준 10 9 5 6 2" xfId="14727"/>
    <cellStyle name="표준 10 9 5 7" xfId="14728"/>
    <cellStyle name="표준 10 9 5 8" xfId="14729"/>
    <cellStyle name="표준 10 9 6 2 2 2" xfId="14730"/>
    <cellStyle name="표준 10 9 6 2 3" xfId="14731"/>
    <cellStyle name="표준 10 9 6 2 3 2" xfId="14732"/>
    <cellStyle name="표준 10 9 6 2 4" xfId="14733"/>
    <cellStyle name="표준 10 9 6 2 5" xfId="14734"/>
    <cellStyle name="표준 10 9 6 3 2 2" xfId="14735"/>
    <cellStyle name="표준 10 9 6 3 3" xfId="14736"/>
    <cellStyle name="표준 10 9 6 3 3 2" xfId="14737"/>
    <cellStyle name="표준 10 9 6 3 4" xfId="14738"/>
    <cellStyle name="표준 10 9 6 3 5" xfId="14739"/>
    <cellStyle name="표준 10 9 6 4 2" xfId="14740"/>
    <cellStyle name="표준 10 9 6 5" xfId="14741"/>
    <cellStyle name="표준 10 9 6 5 2" xfId="14742"/>
    <cellStyle name="표준 10 9 6 6" xfId="14743"/>
    <cellStyle name="표준 10 9 6 7" xfId="14744"/>
    <cellStyle name="표준 10 9 7 2 2" xfId="14745"/>
    <cellStyle name="표준 10 9 7 3" xfId="14746"/>
    <cellStyle name="표준 10 9 7 3 2" xfId="14747"/>
    <cellStyle name="표준 10 9 7 4" xfId="14748"/>
    <cellStyle name="표준 10 9 7 5" xfId="14749"/>
    <cellStyle name="표준 10 9 8 2 2" xfId="14750"/>
    <cellStyle name="표준 10 9 8 3" xfId="14751"/>
    <cellStyle name="표준 10 9 8 3 2" xfId="14752"/>
    <cellStyle name="표준 10 9 8 4" xfId="14753"/>
    <cellStyle name="표준 10 9 8 5" xfId="14754"/>
    <cellStyle name="표준 10 9 9 2" xfId="14755"/>
    <cellStyle name="표준 21 2 10" xfId="14756"/>
    <cellStyle name="표준 21 2 11" xfId="14757"/>
    <cellStyle name="표준 21 2 3 2 2 2 2 2" xfId="14758"/>
    <cellStyle name="표준 21 2 3 2 2 2 3" xfId="14759"/>
    <cellStyle name="표준 21 2 3 2 2 2 3 2" xfId="14760"/>
    <cellStyle name="표준 21 2 3 2 2 2 4" xfId="14761"/>
    <cellStyle name="표준 21 2 3 2 2 2 5" xfId="14762"/>
    <cellStyle name="표준 21 2 3 2 2 3 2 2" xfId="14763"/>
    <cellStyle name="표준 21 2 3 2 2 3 3" xfId="14764"/>
    <cellStyle name="표준 21 2 3 2 2 3 3 2" xfId="14765"/>
    <cellStyle name="표준 21 2 3 2 2 3 4" xfId="14766"/>
    <cellStyle name="표준 21 2 3 2 2 3 5" xfId="14767"/>
    <cellStyle name="표준 21 2 3 2 2 4 2" xfId="14768"/>
    <cellStyle name="표준 21 2 3 2 2 5" xfId="14769"/>
    <cellStyle name="표준 21 2 3 2 2 5 2" xfId="14770"/>
    <cellStyle name="표준 21 2 3 2 2 6" xfId="14771"/>
    <cellStyle name="표준 21 2 3 2 2 7" xfId="14772"/>
    <cellStyle name="표준 21 2 3 2 3 2 2" xfId="14773"/>
    <cellStyle name="표준 21 2 3 2 3 3" xfId="14774"/>
    <cellStyle name="표준 21 2 3 2 3 3 2" xfId="14775"/>
    <cellStyle name="표준 21 2 3 2 3 4" xfId="14776"/>
    <cellStyle name="표준 21 2 3 2 3 5" xfId="14777"/>
    <cellStyle name="표준 21 2 3 2 4 2 2" xfId="14778"/>
    <cellStyle name="표준 21 2 3 2 4 3" xfId="14779"/>
    <cellStyle name="표준 21 2 3 2 4 3 2" xfId="14780"/>
    <cellStyle name="표준 21 2 3 2 4 4" xfId="14781"/>
    <cellStyle name="표준 21 2 3 2 4 5" xfId="14782"/>
    <cellStyle name="표준 21 2 3 2 5 2" xfId="14783"/>
    <cellStyle name="표준 21 2 3 2 6" xfId="14784"/>
    <cellStyle name="표준 21 2 3 2 6 2" xfId="14785"/>
    <cellStyle name="표준 21 2 3 2 7" xfId="14786"/>
    <cellStyle name="표준 21 2 3 2 8" xfId="14787"/>
    <cellStyle name="표준 21 2 3 3 2 2 2" xfId="14788"/>
    <cellStyle name="표준 21 2 3 3 2 3" xfId="14789"/>
    <cellStyle name="표준 21 2 3 3 2 3 2" xfId="14790"/>
    <cellStyle name="표준 21 2 3 3 2 4" xfId="14791"/>
    <cellStyle name="표준 21 2 3 3 2 5" xfId="14792"/>
    <cellStyle name="표준 21 2 3 3 3 2 2" xfId="14793"/>
    <cellStyle name="표준 21 2 3 3 3 3" xfId="14794"/>
    <cellStyle name="표준 21 2 3 3 3 3 2" xfId="14795"/>
    <cellStyle name="표준 21 2 3 3 3 4" xfId="14796"/>
    <cellStyle name="표준 21 2 3 3 3 5" xfId="14797"/>
    <cellStyle name="표준 21 2 3 3 4 2" xfId="14798"/>
    <cellStyle name="표준 21 2 3 3 5" xfId="14799"/>
    <cellStyle name="표준 21 2 3 3 5 2" xfId="14800"/>
    <cellStyle name="표준 21 2 3 3 6" xfId="14801"/>
    <cellStyle name="표준 21 2 3 3 7" xfId="14802"/>
    <cellStyle name="표준 21 2 3 4 2 2" xfId="14803"/>
    <cellStyle name="표준 21 2 3 4 3" xfId="14804"/>
    <cellStyle name="표준 21 2 3 4 3 2" xfId="14805"/>
    <cellStyle name="표준 21 2 3 4 4" xfId="14806"/>
    <cellStyle name="표준 21 2 3 4 5" xfId="14807"/>
    <cellStyle name="표준 21 2 3 5 2 2" xfId="14808"/>
    <cellStyle name="표준 21 2 3 5 3" xfId="14809"/>
    <cellStyle name="표준 21 2 3 5 3 2" xfId="14810"/>
    <cellStyle name="표준 21 2 3 5 4" xfId="14811"/>
    <cellStyle name="표준 21 2 3 5 5" xfId="14812"/>
    <cellStyle name="표준 21 2 3 6 2" xfId="14813"/>
    <cellStyle name="표준 21 2 3 7" xfId="14814"/>
    <cellStyle name="표준 21 2 3 7 2" xfId="14815"/>
    <cellStyle name="표준 21 2 3 8" xfId="14816"/>
    <cellStyle name="표준 21 2 3 9" xfId="14817"/>
    <cellStyle name="표준 21 2 4 2 2 2 2" xfId="14818"/>
    <cellStyle name="표준 21 2 4 2 2 3" xfId="14819"/>
    <cellStyle name="표준 21 2 4 2 2 3 2" xfId="14820"/>
    <cellStyle name="표준 21 2 4 2 2 4" xfId="14821"/>
    <cellStyle name="표준 21 2 4 2 2 5" xfId="14822"/>
    <cellStyle name="표준 21 2 4 2 3 2 2" xfId="14823"/>
    <cellStyle name="표준 21 2 4 2 3 3" xfId="14824"/>
    <cellStyle name="표준 21 2 4 2 3 3 2" xfId="14825"/>
    <cellStyle name="표준 21 2 4 2 3 4" xfId="14826"/>
    <cellStyle name="표준 21 2 4 2 3 5" xfId="14827"/>
    <cellStyle name="표준 21 2 4 2 4 2" xfId="14828"/>
    <cellStyle name="표준 21 2 4 2 5" xfId="14829"/>
    <cellStyle name="표준 21 2 4 2 5 2" xfId="14830"/>
    <cellStyle name="표준 21 2 4 2 6" xfId="14831"/>
    <cellStyle name="표준 21 2 4 2 7" xfId="14832"/>
    <cellStyle name="표준 21 2 4 3 2 2" xfId="14833"/>
    <cellStyle name="표준 21 2 4 3 3" xfId="14834"/>
    <cellStyle name="표준 21 2 4 3 3 2" xfId="14835"/>
    <cellStyle name="표준 21 2 4 3 4" xfId="14836"/>
    <cellStyle name="표준 21 2 4 3 5" xfId="14837"/>
    <cellStyle name="표준 21 2 4 4 2 2" xfId="14838"/>
    <cellStyle name="표준 21 2 4 4 3" xfId="14839"/>
    <cellStyle name="표준 21 2 4 4 3 2" xfId="14840"/>
    <cellStyle name="표준 21 2 4 4 4" xfId="14841"/>
    <cellStyle name="표준 21 2 4 4 5" xfId="14842"/>
    <cellStyle name="표준 21 2 4 5 2" xfId="14843"/>
    <cellStyle name="표준 21 2 4 6" xfId="14844"/>
    <cellStyle name="표준 21 2 4 6 2" xfId="14845"/>
    <cellStyle name="표준 21 2 4 7" xfId="14846"/>
    <cellStyle name="표준 21 2 4 8" xfId="14847"/>
    <cellStyle name="표준 21 2 5 2 2 2" xfId="14848"/>
    <cellStyle name="표준 21 2 5 2 3" xfId="14849"/>
    <cellStyle name="표준 21 2 5 2 3 2" xfId="14850"/>
    <cellStyle name="표준 21 2 5 2 4" xfId="14851"/>
    <cellStyle name="표준 21 2 5 2 5" xfId="14852"/>
    <cellStyle name="표준 21 2 5 3 2 2" xfId="14853"/>
    <cellStyle name="표준 21 2 5 3 3" xfId="14854"/>
    <cellStyle name="표준 21 2 5 3 3 2" xfId="14855"/>
    <cellStyle name="표준 21 2 5 3 4" xfId="14856"/>
    <cellStyle name="표준 21 2 5 3 5" xfId="14857"/>
    <cellStyle name="표준 21 2 5 4 2" xfId="14858"/>
    <cellStyle name="표준 21 2 5 5" xfId="14859"/>
    <cellStyle name="표준 21 2 5 5 2" xfId="14860"/>
    <cellStyle name="표준 21 2 5 6" xfId="14861"/>
    <cellStyle name="표준 21 2 5 7" xfId="14862"/>
    <cellStyle name="표준 21 2 6 2 2" xfId="14863"/>
    <cellStyle name="표준 21 2 6 3" xfId="14864"/>
    <cellStyle name="표준 21 2 6 3 2" xfId="14865"/>
    <cellStyle name="표준 21 2 6 4" xfId="14866"/>
    <cellStyle name="표준 21 2 6 5" xfId="14867"/>
    <cellStyle name="표준 21 2 7 2 2" xfId="14868"/>
    <cellStyle name="표준 21 2 7 3" xfId="14869"/>
    <cellStyle name="표준 21 2 7 3 2" xfId="14870"/>
    <cellStyle name="표준 21 2 7 4" xfId="14871"/>
    <cellStyle name="표준 21 2 7 5" xfId="14872"/>
    <cellStyle name="표준 21 2 8 2" xfId="14873"/>
    <cellStyle name="표준 21 2 9" xfId="14874"/>
    <cellStyle name="표준 21 2 9 2" xfId="14875"/>
    <cellStyle name="표준 21 3 10" xfId="14876"/>
    <cellStyle name="표준 21 3 11" xfId="14877"/>
    <cellStyle name="표준 21 3 3 2 2 2 2 2" xfId="14878"/>
    <cellStyle name="표준 21 3 3 2 2 2 3" xfId="14879"/>
    <cellStyle name="표준 21 3 3 2 2 2 3 2" xfId="14880"/>
    <cellStyle name="표준 21 3 3 2 2 2 4" xfId="14881"/>
    <cellStyle name="표준 21 3 3 2 2 2 5" xfId="14882"/>
    <cellStyle name="표준 21 3 3 2 2 3 2 2" xfId="14883"/>
    <cellStyle name="표준 21 3 3 2 2 3 3" xfId="14884"/>
    <cellStyle name="표준 21 3 3 2 2 3 3 2" xfId="14885"/>
    <cellStyle name="표준 21 3 3 2 2 3 4" xfId="14886"/>
    <cellStyle name="표준 21 3 3 2 2 3 5" xfId="14887"/>
    <cellStyle name="표준 21 3 3 2 2 4 2" xfId="14888"/>
    <cellStyle name="표준 21 3 3 2 2 5" xfId="14889"/>
    <cellStyle name="표준 21 3 3 2 2 5 2" xfId="14890"/>
    <cellStyle name="표준 21 3 3 2 2 6" xfId="14891"/>
    <cellStyle name="표준 21 3 3 2 2 7" xfId="14892"/>
    <cellStyle name="표준 21 3 3 2 3 2 2" xfId="14893"/>
    <cellStyle name="표준 21 3 3 2 3 3" xfId="14894"/>
    <cellStyle name="표준 21 3 3 2 3 3 2" xfId="14895"/>
    <cellStyle name="표준 21 3 3 2 3 4" xfId="14896"/>
    <cellStyle name="표준 21 3 3 2 3 5" xfId="14897"/>
    <cellStyle name="표준 21 3 3 2 4 2 2" xfId="14898"/>
    <cellStyle name="표준 21 3 3 2 4 3" xfId="14899"/>
    <cellStyle name="표준 21 3 3 2 4 3 2" xfId="14900"/>
    <cellStyle name="표준 21 3 3 2 4 4" xfId="14901"/>
    <cellStyle name="표준 21 3 3 2 4 5" xfId="14902"/>
    <cellStyle name="표준 21 3 3 2 5 2" xfId="14903"/>
    <cellStyle name="표준 21 3 3 2 6" xfId="14904"/>
    <cellStyle name="표준 21 3 3 2 6 2" xfId="14905"/>
    <cellStyle name="표준 21 3 3 2 7" xfId="14906"/>
    <cellStyle name="표준 21 3 3 2 8" xfId="14907"/>
    <cellStyle name="표준 21 3 3 3 2 2 2" xfId="14908"/>
    <cellStyle name="표준 21 3 3 3 2 3" xfId="14909"/>
    <cellStyle name="표준 21 3 3 3 2 3 2" xfId="14910"/>
    <cellStyle name="표준 21 3 3 3 2 4" xfId="14911"/>
    <cellStyle name="표준 21 3 3 3 2 5" xfId="14912"/>
    <cellStyle name="표준 21 3 3 3 3 2 2" xfId="14913"/>
    <cellStyle name="표준 21 3 3 3 3 3" xfId="14914"/>
    <cellStyle name="표준 21 3 3 3 3 3 2" xfId="14915"/>
    <cellStyle name="표준 21 3 3 3 3 4" xfId="14916"/>
    <cellStyle name="표준 21 3 3 3 3 5" xfId="14917"/>
    <cellStyle name="표준 21 3 3 3 4 2" xfId="14918"/>
    <cellStyle name="표준 21 3 3 3 5" xfId="14919"/>
    <cellStyle name="표준 21 3 3 3 5 2" xfId="14920"/>
    <cellStyle name="표준 21 3 3 3 6" xfId="14921"/>
    <cellStyle name="표준 21 3 3 3 7" xfId="14922"/>
    <cellStyle name="표준 21 3 3 4 2 2" xfId="14923"/>
    <cellStyle name="표준 21 3 3 4 3" xfId="14924"/>
    <cellStyle name="표준 21 3 3 4 3 2" xfId="14925"/>
    <cellStyle name="표준 21 3 3 4 4" xfId="14926"/>
    <cellStyle name="표준 21 3 3 4 5" xfId="14927"/>
    <cellStyle name="표준 21 3 3 5 2 2" xfId="14928"/>
    <cellStyle name="표준 21 3 3 5 3" xfId="14929"/>
    <cellStyle name="표준 21 3 3 5 3 2" xfId="14930"/>
    <cellStyle name="표준 21 3 3 5 4" xfId="14931"/>
    <cellStyle name="표준 21 3 3 5 5" xfId="14932"/>
    <cellStyle name="표준 21 3 3 6 2" xfId="14933"/>
    <cellStyle name="표준 21 3 3 7" xfId="14934"/>
    <cellStyle name="표준 21 3 3 7 2" xfId="14935"/>
    <cellStyle name="표준 21 3 3 8" xfId="14936"/>
    <cellStyle name="표준 21 3 3 9" xfId="14937"/>
    <cellStyle name="표준 21 3 4 2 2 2 2" xfId="14938"/>
    <cellStyle name="표준 21 3 4 2 2 3" xfId="14939"/>
    <cellStyle name="표준 21 3 4 2 2 3 2" xfId="14940"/>
    <cellStyle name="표준 21 3 4 2 2 4" xfId="14941"/>
    <cellStyle name="표준 21 3 4 2 2 5" xfId="14942"/>
    <cellStyle name="표준 21 3 4 2 3 2 2" xfId="14943"/>
    <cellStyle name="표준 21 3 4 2 3 3" xfId="14944"/>
    <cellStyle name="표준 21 3 4 2 3 3 2" xfId="14945"/>
    <cellStyle name="표준 21 3 4 2 3 4" xfId="14946"/>
    <cellStyle name="표준 21 3 4 2 3 5" xfId="14947"/>
    <cellStyle name="표준 21 3 4 2 4 2" xfId="14948"/>
    <cellStyle name="표준 21 3 4 2 5" xfId="14949"/>
    <cellStyle name="표준 21 3 4 2 5 2" xfId="14950"/>
    <cellStyle name="표준 21 3 4 2 6" xfId="14951"/>
    <cellStyle name="표준 21 3 4 2 7" xfId="14952"/>
    <cellStyle name="표준 21 3 4 3 2 2" xfId="14953"/>
    <cellStyle name="표준 21 3 4 3 3" xfId="14954"/>
    <cellStyle name="표준 21 3 4 3 3 2" xfId="14955"/>
    <cellStyle name="표준 21 3 4 3 4" xfId="14956"/>
    <cellStyle name="표준 21 3 4 3 5" xfId="14957"/>
    <cellStyle name="표준 21 3 4 4 2 2" xfId="14958"/>
    <cellStyle name="표준 21 3 4 4 3" xfId="14959"/>
    <cellStyle name="표준 21 3 4 4 3 2" xfId="14960"/>
    <cellStyle name="표준 21 3 4 4 4" xfId="14961"/>
    <cellStyle name="표준 21 3 4 4 5" xfId="14962"/>
    <cellStyle name="표준 21 3 4 5 2" xfId="14963"/>
    <cellStyle name="표준 21 3 4 6" xfId="14964"/>
    <cellStyle name="표준 21 3 4 6 2" xfId="14965"/>
    <cellStyle name="표준 21 3 4 7" xfId="14966"/>
    <cellStyle name="표준 21 3 4 8" xfId="14967"/>
    <cellStyle name="표준 21 3 5 2 2 2" xfId="14968"/>
    <cellStyle name="표준 21 3 5 2 3" xfId="14969"/>
    <cellStyle name="표준 21 3 5 2 3 2" xfId="14970"/>
    <cellStyle name="표준 21 3 5 2 4" xfId="14971"/>
    <cellStyle name="표준 21 3 5 2 5" xfId="14972"/>
    <cellStyle name="표준 21 3 5 3 2 2" xfId="14973"/>
    <cellStyle name="표준 21 3 5 3 3" xfId="14974"/>
    <cellStyle name="표준 21 3 5 3 3 2" xfId="14975"/>
    <cellStyle name="표준 21 3 5 3 4" xfId="14976"/>
    <cellStyle name="표준 21 3 5 3 5" xfId="14977"/>
    <cellStyle name="표준 21 3 5 4 2" xfId="14978"/>
    <cellStyle name="표준 21 3 5 5" xfId="14979"/>
    <cellStyle name="표준 21 3 5 5 2" xfId="14980"/>
    <cellStyle name="표준 21 3 5 6" xfId="14981"/>
    <cellStyle name="표준 21 3 5 7" xfId="14982"/>
    <cellStyle name="표준 21 3 6 2 2" xfId="14983"/>
    <cellStyle name="표준 21 3 6 3" xfId="14984"/>
    <cellStyle name="표준 21 3 6 3 2" xfId="14985"/>
    <cellStyle name="표준 21 3 6 4" xfId="14986"/>
    <cellStyle name="표준 21 3 6 5" xfId="14987"/>
    <cellStyle name="표준 21 3 7 2 2" xfId="14988"/>
    <cellStyle name="표준 21 3 7 3" xfId="14989"/>
    <cellStyle name="표준 21 3 7 3 2" xfId="14990"/>
    <cellStyle name="표준 21 3 7 4" xfId="14991"/>
    <cellStyle name="표준 21 3 7 5" xfId="14992"/>
    <cellStyle name="표준 21 3 8 2" xfId="14993"/>
    <cellStyle name="표준 21 3 9" xfId="14994"/>
    <cellStyle name="표준 21 3 9 2" xfId="14995"/>
    <cellStyle name="표준 21 4 10" xfId="14996"/>
    <cellStyle name="표준 21 4 11" xfId="14997"/>
    <cellStyle name="표준 21 4 3 2 2 2 2 2" xfId="14998"/>
    <cellStyle name="표준 21 4 3 2 2 2 3" xfId="14999"/>
    <cellStyle name="표준 21 4 3 2 2 2 3 2" xfId="15000"/>
    <cellStyle name="표준 21 4 3 2 2 2 4" xfId="15001"/>
    <cellStyle name="표준 21 4 3 2 2 2 5" xfId="15002"/>
    <cellStyle name="표준 21 4 3 2 2 3 2 2" xfId="15003"/>
    <cellStyle name="표준 21 4 3 2 2 3 3" xfId="15004"/>
    <cellStyle name="표준 21 4 3 2 2 3 3 2" xfId="15005"/>
    <cellStyle name="표준 21 4 3 2 2 3 4" xfId="15006"/>
    <cellStyle name="표준 21 4 3 2 2 3 5" xfId="15007"/>
    <cellStyle name="표준 21 4 3 2 2 4 2" xfId="15008"/>
    <cellStyle name="표준 21 4 3 2 2 5" xfId="15009"/>
    <cellStyle name="표준 21 4 3 2 2 5 2" xfId="15010"/>
    <cellStyle name="표준 21 4 3 2 2 6" xfId="15011"/>
    <cellStyle name="표준 21 4 3 2 2 7" xfId="15012"/>
    <cellStyle name="표준 21 4 3 2 3 2 2" xfId="15013"/>
    <cellStyle name="표준 21 4 3 2 3 3" xfId="15014"/>
    <cellStyle name="표준 21 4 3 2 3 3 2" xfId="15015"/>
    <cellStyle name="표준 21 4 3 2 3 4" xfId="15016"/>
    <cellStyle name="표준 21 4 3 2 3 5" xfId="15017"/>
    <cellStyle name="표준 21 4 3 2 4 2 2" xfId="15018"/>
    <cellStyle name="표준 21 4 3 2 4 3" xfId="15019"/>
    <cellStyle name="표준 21 4 3 2 4 3 2" xfId="15020"/>
    <cellStyle name="표준 21 4 3 2 4 4" xfId="15021"/>
    <cellStyle name="표준 21 4 3 2 4 5" xfId="15022"/>
    <cellStyle name="표준 21 4 3 2 5 2" xfId="15023"/>
    <cellStyle name="표준 21 4 3 2 6" xfId="15024"/>
    <cellStyle name="표준 21 4 3 2 6 2" xfId="15025"/>
    <cellStyle name="표준 21 4 3 2 7" xfId="15026"/>
    <cellStyle name="표준 21 4 3 2 8" xfId="15027"/>
    <cellStyle name="표준 21 4 3 3 2 2 2" xfId="15028"/>
    <cellStyle name="표준 21 4 3 3 2 3" xfId="15029"/>
    <cellStyle name="표준 21 4 3 3 2 3 2" xfId="15030"/>
    <cellStyle name="표준 21 4 3 3 2 4" xfId="15031"/>
    <cellStyle name="표준 21 4 3 3 2 5" xfId="15032"/>
    <cellStyle name="표준 21 4 3 3 3 2 2" xfId="15033"/>
    <cellStyle name="표준 21 4 3 3 3 3" xfId="15034"/>
    <cellStyle name="표준 21 4 3 3 3 3 2" xfId="15035"/>
    <cellStyle name="표준 21 4 3 3 3 4" xfId="15036"/>
    <cellStyle name="표준 21 4 3 3 3 5" xfId="15037"/>
    <cellStyle name="표준 21 4 3 3 4 2" xfId="15038"/>
    <cellStyle name="표준 21 4 3 3 5" xfId="15039"/>
    <cellStyle name="표준 21 4 3 3 5 2" xfId="15040"/>
    <cellStyle name="표준 21 4 3 3 6" xfId="15041"/>
    <cellStyle name="표준 21 4 3 3 7" xfId="15042"/>
    <cellStyle name="표준 21 4 3 4 2 2" xfId="15043"/>
    <cellStyle name="표준 21 4 3 4 3" xfId="15044"/>
    <cellStyle name="표준 21 4 3 4 3 2" xfId="15045"/>
    <cellStyle name="표준 21 4 3 4 4" xfId="15046"/>
    <cellStyle name="표준 21 4 3 4 5" xfId="15047"/>
    <cellStyle name="표준 21 4 3 5 2 2" xfId="15048"/>
    <cellStyle name="표준 21 4 3 5 3" xfId="15049"/>
    <cellStyle name="표준 21 4 3 5 3 2" xfId="15050"/>
    <cellStyle name="표준 21 4 3 5 4" xfId="15051"/>
    <cellStyle name="표준 21 4 3 5 5" xfId="15052"/>
    <cellStyle name="표준 21 4 3 6 2" xfId="15053"/>
    <cellStyle name="표준 21 4 3 7" xfId="15054"/>
    <cellStyle name="표준 21 4 3 7 2" xfId="15055"/>
    <cellStyle name="표준 21 4 3 8" xfId="15056"/>
    <cellStyle name="표준 21 4 3 9" xfId="15057"/>
    <cellStyle name="표준 21 4 4 2 2 2 2" xfId="15058"/>
    <cellStyle name="표준 21 4 4 2 2 3" xfId="15059"/>
    <cellStyle name="표준 21 4 4 2 2 3 2" xfId="15060"/>
    <cellStyle name="표준 21 4 4 2 2 4" xfId="15061"/>
    <cellStyle name="표준 21 4 4 2 2 5" xfId="15062"/>
    <cellStyle name="표준 21 4 4 2 3 2 2" xfId="15063"/>
    <cellStyle name="표준 21 4 4 2 3 3" xfId="15064"/>
    <cellStyle name="표준 21 4 4 2 3 3 2" xfId="15065"/>
    <cellStyle name="표준 21 4 4 2 3 4" xfId="15066"/>
    <cellStyle name="표준 21 4 4 2 3 5" xfId="15067"/>
    <cellStyle name="표준 21 4 4 2 4 2" xfId="15068"/>
    <cellStyle name="표준 21 4 4 2 5" xfId="15069"/>
    <cellStyle name="표준 21 4 4 2 5 2" xfId="15070"/>
    <cellStyle name="표준 21 4 4 2 6" xfId="15071"/>
    <cellStyle name="표준 21 4 4 2 7" xfId="15072"/>
    <cellStyle name="표준 21 4 4 3 2 2" xfId="15073"/>
    <cellStyle name="표준 21 4 4 3 3" xfId="15074"/>
    <cellStyle name="표준 21 4 4 3 3 2" xfId="15075"/>
    <cellStyle name="표준 21 4 4 3 4" xfId="15076"/>
    <cellStyle name="표준 21 4 4 3 5" xfId="15077"/>
    <cellStyle name="표준 21 4 4 4 2 2" xfId="15078"/>
    <cellStyle name="표준 21 4 4 4 3" xfId="15079"/>
    <cellStyle name="표준 21 4 4 4 3 2" xfId="15080"/>
    <cellStyle name="표준 21 4 4 4 4" xfId="15081"/>
    <cellStyle name="표준 21 4 4 4 5" xfId="15082"/>
    <cellStyle name="표준 21 4 4 5 2" xfId="15083"/>
    <cellStyle name="표준 21 4 4 6" xfId="15084"/>
    <cellStyle name="표준 21 4 4 6 2" xfId="15085"/>
    <cellStyle name="표준 21 4 4 7" xfId="15086"/>
    <cellStyle name="표준 21 4 4 8" xfId="15087"/>
    <cellStyle name="표준 21 4 5 2 2 2" xfId="15088"/>
    <cellStyle name="표준 21 4 5 2 3" xfId="15089"/>
    <cellStyle name="표준 21 4 5 2 3 2" xfId="15090"/>
    <cellStyle name="표준 21 4 5 2 4" xfId="15091"/>
    <cellStyle name="표준 21 4 5 2 5" xfId="15092"/>
    <cellStyle name="표준 21 4 5 3 2 2" xfId="15093"/>
    <cellStyle name="표준 21 4 5 3 3" xfId="15094"/>
    <cellStyle name="표준 21 4 5 3 3 2" xfId="15095"/>
    <cellStyle name="표준 21 4 5 3 4" xfId="15096"/>
    <cellStyle name="표준 21 4 5 3 5" xfId="15097"/>
    <cellStyle name="표준 21 4 5 4 2" xfId="15098"/>
    <cellStyle name="표준 21 4 5 5" xfId="15099"/>
    <cellStyle name="표준 21 4 5 5 2" xfId="15100"/>
    <cellStyle name="표준 21 4 5 6" xfId="15101"/>
    <cellStyle name="표준 21 4 5 7" xfId="15102"/>
    <cellStyle name="표준 21 4 6 2 2" xfId="15103"/>
    <cellStyle name="표준 21 4 6 3" xfId="15104"/>
    <cellStyle name="표준 21 4 6 3 2" xfId="15105"/>
    <cellStyle name="표준 21 4 6 4" xfId="15106"/>
    <cellStyle name="표준 21 4 6 5" xfId="15107"/>
    <cellStyle name="표준 21 4 7 2 2" xfId="15108"/>
    <cellStyle name="표준 21 4 7 3" xfId="15109"/>
    <cellStyle name="표준 21 4 7 3 2" xfId="15110"/>
    <cellStyle name="표준 21 4 7 4" xfId="15111"/>
    <cellStyle name="표준 21 4 7 5" xfId="15112"/>
    <cellStyle name="표준 21 4 8 2" xfId="15113"/>
    <cellStyle name="표준 21 4 9" xfId="15114"/>
    <cellStyle name="표준 21 4 9 2" xfId="15115"/>
    <cellStyle name="표준 21 40 2 2 2 2 2" xfId="15116"/>
    <cellStyle name="표준 21 40 2 2 2 3" xfId="15117"/>
    <cellStyle name="표준 21 40 2 2 2 3 2" xfId="15118"/>
    <cellStyle name="표준 21 40 2 2 2 4" xfId="15119"/>
    <cellStyle name="표준 21 40 2 2 2 5" xfId="15120"/>
    <cellStyle name="표준 21 40 2 2 3 2 2" xfId="15121"/>
    <cellStyle name="표준 21 40 2 2 3 3" xfId="15122"/>
    <cellStyle name="표준 21 40 2 2 3 3 2" xfId="15123"/>
    <cellStyle name="표준 21 40 2 2 3 4" xfId="15124"/>
    <cellStyle name="표준 21 40 2 2 3 5" xfId="15125"/>
    <cellStyle name="표준 21 40 2 2 4 2" xfId="15126"/>
    <cellStyle name="표준 21 40 2 2 5" xfId="15127"/>
    <cellStyle name="표준 21 40 2 2 5 2" xfId="15128"/>
    <cellStyle name="표준 21 40 2 2 6" xfId="15129"/>
    <cellStyle name="표준 21 40 2 2 7" xfId="15130"/>
    <cellStyle name="표준 21 40 2 3 2 2" xfId="15131"/>
    <cellStyle name="표준 21 40 2 3 3" xfId="15132"/>
    <cellStyle name="표준 21 40 2 3 3 2" xfId="15133"/>
    <cellStyle name="표준 21 40 2 3 4" xfId="15134"/>
    <cellStyle name="표준 21 40 2 3 5" xfId="15135"/>
    <cellStyle name="표준 21 40 2 4 2 2" xfId="15136"/>
    <cellStyle name="표준 21 40 2 4 3" xfId="15137"/>
    <cellStyle name="표준 21 40 2 4 3 2" xfId="15138"/>
    <cellStyle name="표준 21 40 2 4 4" xfId="15139"/>
    <cellStyle name="표준 21 40 2 4 5" xfId="15140"/>
    <cellStyle name="표준 21 40 2 5 2" xfId="15141"/>
    <cellStyle name="표준 21 40 2 6" xfId="15142"/>
    <cellStyle name="표준 21 40 2 6 2" xfId="15143"/>
    <cellStyle name="표준 21 40 2 7" xfId="15144"/>
    <cellStyle name="표준 21 40 2 8" xfId="15145"/>
    <cellStyle name="표준 21 40 3 2 2 2" xfId="15146"/>
    <cellStyle name="표준 21 40 3 2 3" xfId="15147"/>
    <cellStyle name="표준 21 40 3 2 3 2" xfId="15148"/>
    <cellStyle name="표준 21 40 3 2 4" xfId="15149"/>
    <cellStyle name="표준 21 40 3 2 5" xfId="15150"/>
    <cellStyle name="표준 21 40 3 3 2 2" xfId="15151"/>
    <cellStyle name="표준 21 40 3 3 3" xfId="15152"/>
    <cellStyle name="표준 21 40 3 3 3 2" xfId="15153"/>
    <cellStyle name="표준 21 40 3 3 4" xfId="15154"/>
    <cellStyle name="표준 21 40 3 3 5" xfId="15155"/>
    <cellStyle name="표준 21 40 3 4 2" xfId="15156"/>
    <cellStyle name="표준 21 40 3 5" xfId="15157"/>
    <cellStyle name="표준 21 40 3 5 2" xfId="15158"/>
    <cellStyle name="표준 21 40 3 6" xfId="15159"/>
    <cellStyle name="표준 21 40 3 7" xfId="15160"/>
    <cellStyle name="표준 21 40 4 2 2" xfId="15161"/>
    <cellStyle name="표준 21 40 4 3" xfId="15162"/>
    <cellStyle name="표준 21 40 4 3 2" xfId="15163"/>
    <cellStyle name="표준 21 40 4 4" xfId="15164"/>
    <cellStyle name="표준 21 40 4 5" xfId="15165"/>
    <cellStyle name="표준 21 40 5 2 2" xfId="15166"/>
    <cellStyle name="표준 21 40 5 3" xfId="15167"/>
    <cellStyle name="표준 21 40 5 3 2" xfId="15168"/>
    <cellStyle name="표준 21 40 5 4" xfId="15169"/>
    <cellStyle name="표준 21 40 5 5" xfId="15170"/>
    <cellStyle name="표준 21 40 6 2" xfId="15171"/>
    <cellStyle name="표준 21 40 7" xfId="15172"/>
    <cellStyle name="표준 21 40 7 2" xfId="15173"/>
    <cellStyle name="표준 21 40 8" xfId="15174"/>
    <cellStyle name="표준 21 40 9" xfId="15175"/>
    <cellStyle name="표준 21 41 2 2 2 2" xfId="15176"/>
    <cellStyle name="표준 21 41 2 2 3" xfId="15177"/>
    <cellStyle name="표준 21 41 2 2 3 2" xfId="15178"/>
    <cellStyle name="표준 21 41 2 2 4" xfId="15179"/>
    <cellStyle name="표준 21 41 2 2 5" xfId="15180"/>
    <cellStyle name="표준 21 41 2 3 2 2" xfId="15181"/>
    <cellStyle name="표준 21 41 2 3 3" xfId="15182"/>
    <cellStyle name="표준 21 41 2 3 3 2" xfId="15183"/>
    <cellStyle name="표준 21 41 2 3 4" xfId="15184"/>
    <cellStyle name="표준 21 41 2 3 5" xfId="15185"/>
    <cellStyle name="표준 21 41 2 4 2" xfId="15186"/>
    <cellStyle name="표준 21 41 2 5" xfId="15187"/>
    <cellStyle name="표준 21 41 2 5 2" xfId="15188"/>
    <cellStyle name="표준 21 41 2 6" xfId="15189"/>
    <cellStyle name="표준 21 41 2 7" xfId="15190"/>
    <cellStyle name="표준 21 41 3 2 2" xfId="15191"/>
    <cellStyle name="표준 21 41 3 3" xfId="15192"/>
    <cellStyle name="표준 21 41 3 3 2" xfId="15193"/>
    <cellStyle name="표준 21 41 3 4" xfId="15194"/>
    <cellStyle name="표준 21 41 3 5" xfId="15195"/>
    <cellStyle name="표준 21 41 4 2 2" xfId="15196"/>
    <cellStyle name="표준 21 41 4 3" xfId="15197"/>
    <cellStyle name="표준 21 41 4 3 2" xfId="15198"/>
    <cellStyle name="표준 21 41 4 4" xfId="15199"/>
    <cellStyle name="표준 21 41 4 5" xfId="15200"/>
    <cellStyle name="표준 21 41 5 2" xfId="15201"/>
    <cellStyle name="표준 21 41 6" xfId="15202"/>
    <cellStyle name="표준 21 41 6 2" xfId="15203"/>
    <cellStyle name="표준 21 41 7" xfId="15204"/>
    <cellStyle name="표준 21 41 8" xfId="15205"/>
    <cellStyle name="표준 21 42 2 2 2" xfId="15206"/>
    <cellStyle name="표준 21 42 2 3" xfId="15207"/>
    <cellStyle name="표준 21 42 2 3 2" xfId="15208"/>
    <cellStyle name="표준 21 42 2 4" xfId="15209"/>
    <cellStyle name="표준 21 42 2 5" xfId="15210"/>
    <cellStyle name="표준 21 42 3 2 2" xfId="15211"/>
    <cellStyle name="표준 21 42 3 3" xfId="15212"/>
    <cellStyle name="표준 21 42 3 3 2" xfId="15213"/>
    <cellStyle name="표준 21 42 3 4" xfId="15214"/>
    <cellStyle name="표준 21 42 3 5" xfId="15215"/>
    <cellStyle name="표준 21 42 4 2" xfId="15216"/>
    <cellStyle name="표준 21 42 5" xfId="15217"/>
    <cellStyle name="표준 21 42 5 2" xfId="15218"/>
    <cellStyle name="표준 21 42 6" xfId="15219"/>
    <cellStyle name="표준 21 42 7" xfId="15220"/>
    <cellStyle name="표준 21 43 2 2" xfId="15221"/>
    <cellStyle name="표준 21 43 3" xfId="15222"/>
    <cellStyle name="표준 21 43 3 2" xfId="15223"/>
    <cellStyle name="표준 21 43 4" xfId="15224"/>
    <cellStyle name="표준 21 43 5" xfId="15225"/>
    <cellStyle name="표준 21 44 2 2" xfId="15226"/>
    <cellStyle name="표준 21 44 3" xfId="15227"/>
    <cellStyle name="표준 21 44 3 2" xfId="15228"/>
    <cellStyle name="표준 21 44 4" xfId="15229"/>
    <cellStyle name="표준 21 44 5" xfId="15230"/>
    <cellStyle name="표준 21 45 2" xfId="15231"/>
    <cellStyle name="표준 21 46" xfId="15232"/>
    <cellStyle name="표준 21 46 2" xfId="15233"/>
    <cellStyle name="표준 21 47" xfId="15234"/>
    <cellStyle name="표준 21 48" xfId="15235"/>
    <cellStyle name="표준 22 10" xfId="15236"/>
    <cellStyle name="표준 22 11" xfId="15237"/>
    <cellStyle name="표준 22 3 2 2 2 2 2" xfId="15238"/>
    <cellStyle name="표준 22 3 2 2 2 3" xfId="15239"/>
    <cellStyle name="표준 22 3 2 2 2 3 2" xfId="15240"/>
    <cellStyle name="표준 22 3 2 2 2 4" xfId="15241"/>
    <cellStyle name="표준 22 3 2 2 2 5" xfId="15242"/>
    <cellStyle name="표준 22 3 2 2 3 2 2" xfId="15243"/>
    <cellStyle name="표준 22 3 2 2 3 3" xfId="15244"/>
    <cellStyle name="표준 22 3 2 2 3 3 2" xfId="15245"/>
    <cellStyle name="표준 22 3 2 2 3 4" xfId="15246"/>
    <cellStyle name="표준 22 3 2 2 3 5" xfId="15247"/>
    <cellStyle name="표준 22 3 2 2 4 2" xfId="15248"/>
    <cellStyle name="표준 22 3 2 2 5" xfId="15249"/>
    <cellStyle name="표준 22 3 2 2 5 2" xfId="15250"/>
    <cellStyle name="표준 22 3 2 2 6" xfId="15251"/>
    <cellStyle name="표준 22 3 2 2 7" xfId="15252"/>
    <cellStyle name="표준 22 3 2 3 2 2" xfId="15253"/>
    <cellStyle name="표준 22 3 2 3 3" xfId="15254"/>
    <cellStyle name="표준 22 3 2 3 3 2" xfId="15255"/>
    <cellStyle name="표준 22 3 2 3 4" xfId="15256"/>
    <cellStyle name="표준 22 3 2 3 5" xfId="15257"/>
    <cellStyle name="표준 22 3 2 4 2 2" xfId="15258"/>
    <cellStyle name="표준 22 3 2 4 3" xfId="15259"/>
    <cellStyle name="표준 22 3 2 4 3 2" xfId="15260"/>
    <cellStyle name="표준 22 3 2 4 4" xfId="15261"/>
    <cellStyle name="표준 22 3 2 4 5" xfId="15262"/>
    <cellStyle name="표준 22 3 2 5 2" xfId="15263"/>
    <cellStyle name="표준 22 3 2 6" xfId="15264"/>
    <cellStyle name="표준 22 3 2 6 2" xfId="15265"/>
    <cellStyle name="표준 22 3 2 7" xfId="15266"/>
    <cellStyle name="표준 22 3 2 8" xfId="15267"/>
    <cellStyle name="표준 22 3 3 2 2 2" xfId="15268"/>
    <cellStyle name="표준 22 3 3 2 3" xfId="15269"/>
    <cellStyle name="표준 22 3 3 2 3 2" xfId="15270"/>
    <cellStyle name="표준 22 3 3 2 4" xfId="15271"/>
    <cellStyle name="표준 22 3 3 2 5" xfId="15272"/>
    <cellStyle name="표준 22 3 3 3 2 2" xfId="15273"/>
    <cellStyle name="표준 22 3 3 3 3" xfId="15274"/>
    <cellStyle name="표준 22 3 3 3 3 2" xfId="15275"/>
    <cellStyle name="표준 22 3 3 3 4" xfId="15276"/>
    <cellStyle name="표준 22 3 3 3 5" xfId="15277"/>
    <cellStyle name="표준 22 3 3 4 2" xfId="15278"/>
    <cellStyle name="표준 22 3 3 5" xfId="15279"/>
    <cellStyle name="표준 22 3 3 5 2" xfId="15280"/>
    <cellStyle name="표준 22 3 3 6" xfId="15281"/>
    <cellStyle name="표준 22 3 3 7" xfId="15282"/>
    <cellStyle name="표준 22 3 4 2 2" xfId="15283"/>
    <cellStyle name="표준 22 3 4 3" xfId="15284"/>
    <cellStyle name="표준 22 3 4 3 2" xfId="15285"/>
    <cellStyle name="표준 22 3 4 4" xfId="15286"/>
    <cellStyle name="표준 22 3 4 5" xfId="15287"/>
    <cellStyle name="표준 22 3 5 2 2" xfId="15288"/>
    <cellStyle name="표준 22 3 5 3" xfId="15289"/>
    <cellStyle name="표준 22 3 5 3 2" xfId="15290"/>
    <cellStyle name="표준 22 3 5 4" xfId="15291"/>
    <cellStyle name="표준 22 3 5 5" xfId="15292"/>
    <cellStyle name="표준 22 3 6 2" xfId="15293"/>
    <cellStyle name="표준 22 3 7" xfId="15294"/>
    <cellStyle name="표준 22 3 7 2" xfId="15295"/>
    <cellStyle name="표준 22 3 8" xfId="15296"/>
    <cellStyle name="표준 22 3 9" xfId="15297"/>
    <cellStyle name="표준 22 4 2 2 2 2" xfId="15298"/>
    <cellStyle name="표준 22 4 2 2 3" xfId="15299"/>
    <cellStyle name="표준 22 4 2 2 3 2" xfId="15300"/>
    <cellStyle name="표준 22 4 2 2 4" xfId="15301"/>
    <cellStyle name="표준 22 4 2 2 5" xfId="15302"/>
    <cellStyle name="표준 22 4 2 3 2 2" xfId="15303"/>
    <cellStyle name="표준 22 4 2 3 3" xfId="15304"/>
    <cellStyle name="표준 22 4 2 3 3 2" xfId="15305"/>
    <cellStyle name="표준 22 4 2 3 4" xfId="15306"/>
    <cellStyle name="표준 22 4 2 3 5" xfId="15307"/>
    <cellStyle name="표준 22 4 2 4 2" xfId="15308"/>
    <cellStyle name="표준 22 4 2 5" xfId="15309"/>
    <cellStyle name="표준 22 4 2 5 2" xfId="15310"/>
    <cellStyle name="표준 22 4 2 6" xfId="15311"/>
    <cellStyle name="표준 22 4 2 7" xfId="15312"/>
    <cellStyle name="표준 22 4 3 2 2" xfId="15313"/>
    <cellStyle name="표준 22 4 3 3" xfId="15314"/>
    <cellStyle name="표준 22 4 3 3 2" xfId="15315"/>
    <cellStyle name="표준 22 4 3 4" xfId="15316"/>
    <cellStyle name="표준 22 4 3 5" xfId="15317"/>
    <cellStyle name="표준 22 4 4 2 2" xfId="15318"/>
    <cellStyle name="표준 22 4 4 3" xfId="15319"/>
    <cellStyle name="표준 22 4 4 3 2" xfId="15320"/>
    <cellStyle name="표준 22 4 4 4" xfId="15321"/>
    <cellStyle name="표준 22 4 4 5" xfId="15322"/>
    <cellStyle name="표준 22 4 5 2" xfId="15323"/>
    <cellStyle name="표준 22 4 6" xfId="15324"/>
    <cellStyle name="표준 22 4 6 2" xfId="15325"/>
    <cellStyle name="표준 22 4 7" xfId="15326"/>
    <cellStyle name="표준 22 4 8" xfId="15327"/>
    <cellStyle name="표준 22 5 2 2 2" xfId="15328"/>
    <cellStyle name="표준 22 5 2 3" xfId="15329"/>
    <cellStyle name="표준 22 5 2 3 2" xfId="15330"/>
    <cellStyle name="표준 22 5 2 4" xfId="15331"/>
    <cellStyle name="표준 22 5 2 5" xfId="15332"/>
    <cellStyle name="표준 22 5 3 2 2" xfId="15333"/>
    <cellStyle name="표준 22 5 3 3" xfId="15334"/>
    <cellStyle name="표준 22 5 3 3 2" xfId="15335"/>
    <cellStyle name="표준 22 5 3 4" xfId="15336"/>
    <cellStyle name="표준 22 5 3 5" xfId="15337"/>
    <cellStyle name="표준 22 5 4 2" xfId="15338"/>
    <cellStyle name="표준 22 5 5" xfId="15339"/>
    <cellStyle name="표준 22 5 5 2" xfId="15340"/>
    <cellStyle name="표준 22 5 6" xfId="15341"/>
    <cellStyle name="표준 22 5 7" xfId="15342"/>
    <cellStyle name="표준 22 6 2 2" xfId="15343"/>
    <cellStyle name="표준 22 6 3" xfId="15344"/>
    <cellStyle name="표준 22 6 3 2" xfId="15345"/>
    <cellStyle name="표준 22 6 4" xfId="15346"/>
    <cellStyle name="표준 22 6 5" xfId="15347"/>
    <cellStyle name="표준 22 7 2 2" xfId="15348"/>
    <cellStyle name="표준 22 7 3" xfId="15349"/>
    <cellStyle name="표준 22 7 3 2" xfId="15350"/>
    <cellStyle name="표준 22 7 4" xfId="15351"/>
    <cellStyle name="표준 22 7 5" xfId="15352"/>
    <cellStyle name="표준 22 8 2" xfId="15353"/>
    <cellStyle name="표준 22 9" xfId="15354"/>
    <cellStyle name="표준 22 9 2" xfId="15355"/>
    <cellStyle name="표준 24 40 2 2 2" xfId="15356"/>
    <cellStyle name="표준 24 40 2 3" xfId="15357"/>
    <cellStyle name="표준 24 40 2 3 2" xfId="15358"/>
    <cellStyle name="표준 24 40 2 4" xfId="15359"/>
    <cellStyle name="표준 24 40 2 5" xfId="15360"/>
    <cellStyle name="표준 24 40 3 2 2" xfId="15361"/>
    <cellStyle name="표준 24 40 3 3" xfId="15362"/>
    <cellStyle name="표준 24 40 3 3 2" xfId="15363"/>
    <cellStyle name="표준 24 40 3 4" xfId="15364"/>
    <cellStyle name="표준 24 40 3 5" xfId="15365"/>
    <cellStyle name="표준 24 40 4 2" xfId="15366"/>
    <cellStyle name="표준 24 40 5" xfId="15367"/>
    <cellStyle name="표준 24 40 5 2" xfId="15368"/>
    <cellStyle name="표준 24 40 6" xfId="15369"/>
    <cellStyle name="표준 24 40 7" xfId="15370"/>
    <cellStyle name="표준 24 41 2 2" xfId="15371"/>
    <cellStyle name="표준 24 41 3" xfId="15372"/>
    <cellStyle name="표준 24 41 3 2" xfId="15373"/>
    <cellStyle name="표준 24 41 4" xfId="15374"/>
    <cellStyle name="표준 24 41 5" xfId="15375"/>
    <cellStyle name="표준 24 42 2 2" xfId="15376"/>
    <cellStyle name="표준 24 42 3" xfId="15377"/>
    <cellStyle name="표준 24 42 3 2" xfId="15378"/>
    <cellStyle name="표준 24 42 4" xfId="15379"/>
    <cellStyle name="표준 24 42 5" xfId="15380"/>
    <cellStyle name="표준 24 43 2" xfId="15381"/>
    <cellStyle name="표준 24 44" xfId="15382"/>
    <cellStyle name="표준 24 44 2" xfId="15383"/>
    <cellStyle name="표준 24 45" xfId="15384"/>
    <cellStyle name="표준 24 46" xfId="15385"/>
    <cellStyle name="표준 25 24 2 2 2" xfId="15386"/>
    <cellStyle name="표준 25 24 2 3" xfId="15387"/>
    <cellStyle name="표준 25 24 2 3 2" xfId="15388"/>
    <cellStyle name="표준 25 24 2 4" xfId="15389"/>
    <cellStyle name="표준 25 24 2 5" xfId="15390"/>
    <cellStyle name="표준 25 24 3 2 2" xfId="15391"/>
    <cellStyle name="표준 25 24 3 3" xfId="15392"/>
    <cellStyle name="표준 25 24 3 3 2" xfId="15393"/>
    <cellStyle name="표준 25 24 3 4" xfId="15394"/>
    <cellStyle name="표준 25 24 3 5" xfId="15395"/>
    <cellStyle name="표준 25 24 4 2" xfId="15396"/>
    <cellStyle name="표준 25 24 5" xfId="15397"/>
    <cellStyle name="표준 25 24 5 2" xfId="15398"/>
    <cellStyle name="표준 25 24 6" xfId="15399"/>
    <cellStyle name="표준 25 24 7" xfId="15400"/>
    <cellStyle name="표준 25 25 2 2" xfId="15401"/>
    <cellStyle name="표준 25 25 3" xfId="15402"/>
    <cellStyle name="표준 25 25 3 2" xfId="15403"/>
    <cellStyle name="표준 25 25 4" xfId="15404"/>
    <cellStyle name="표준 25 25 5" xfId="15405"/>
    <cellStyle name="표준 25 26 2 2" xfId="15406"/>
    <cellStyle name="표준 25 26 3" xfId="15407"/>
    <cellStyle name="표준 25 26 3 2" xfId="15408"/>
    <cellStyle name="표준 25 26 4" xfId="15409"/>
    <cellStyle name="표준 25 26 5" xfId="15410"/>
    <cellStyle name="표준 25 27 2" xfId="15411"/>
    <cellStyle name="표준 25 28" xfId="15412"/>
    <cellStyle name="표준 25 28 2" xfId="15413"/>
    <cellStyle name="표준 25 29" xfId="15414"/>
    <cellStyle name="표준 25 30" xfId="15415"/>
    <cellStyle name="표준 26 42 2 2" xfId="15416"/>
    <cellStyle name="표준 26 42 3" xfId="15417"/>
    <cellStyle name="표준 26 42 3 2" xfId="15418"/>
    <cellStyle name="표준 26 42 4" xfId="15419"/>
    <cellStyle name="표준 26 42 5" xfId="15420"/>
    <cellStyle name="표준 26 44 2" xfId="15421"/>
    <cellStyle name="표준 26 45" xfId="15422"/>
    <cellStyle name="표준 26 45 2" xfId="15423"/>
    <cellStyle name="표준 26 46" xfId="15424"/>
    <cellStyle name="표준 26 47" xfId="15425"/>
    <cellStyle name="표준 27 42 2 2" xfId="15426"/>
    <cellStyle name="표준 27 42 3" xfId="15427"/>
    <cellStyle name="표준 27 42 3 2" xfId="15428"/>
    <cellStyle name="표준 27 42 4" xfId="15429"/>
    <cellStyle name="표준 27 42 5" xfId="15430"/>
    <cellStyle name="표준 27 43 2 2" xfId="15431"/>
    <cellStyle name="표준 27 43 3" xfId="15432"/>
    <cellStyle name="표준 27 43 3 2" xfId="15433"/>
    <cellStyle name="표준 27 43 4" xfId="15434"/>
    <cellStyle name="표준 27 43 5" xfId="15435"/>
    <cellStyle name="표준 27 44 2" xfId="15436"/>
    <cellStyle name="표준 27 45" xfId="15437"/>
    <cellStyle name="표준 27 45 2" xfId="15438"/>
    <cellStyle name="표준 27 46" xfId="15439"/>
    <cellStyle name="표준 27 47" xfId="15440"/>
    <cellStyle name="표준 28 42 2 2" xfId="15441"/>
    <cellStyle name="표준 28 42 3" xfId="15442"/>
    <cellStyle name="표준 28 42 3 2" xfId="15443"/>
    <cellStyle name="표준 28 42 4" xfId="15444"/>
    <cellStyle name="표준 28 42 5" xfId="15445"/>
    <cellStyle name="표준 28 43 2" xfId="15446"/>
    <cellStyle name="표준 28 44" xfId="15447"/>
    <cellStyle name="표준 28 44 2" xfId="15448"/>
    <cellStyle name="표준 28 45" xfId="15449"/>
    <cellStyle name="표준 28 46" xfId="15450"/>
    <cellStyle name="표준 287 2 2" xfId="15451"/>
    <cellStyle name="표준 287 3 2" xfId="15452"/>
    <cellStyle name="표준 287 4" xfId="15453"/>
    <cellStyle name="표준 287 5" xfId="15454"/>
    <cellStyle name="표준 29 42 2 2" xfId="15455"/>
    <cellStyle name="표준 29 42 3" xfId="15456"/>
    <cellStyle name="표준 29 42 3 2" xfId="15457"/>
    <cellStyle name="표준 29 42 4" xfId="15458"/>
    <cellStyle name="표준 29 42 5" xfId="15459"/>
    <cellStyle name="표준 29 43 2" xfId="15460"/>
    <cellStyle name="표준 29 44" xfId="15461"/>
    <cellStyle name="표준 29 44 2" xfId="15462"/>
    <cellStyle name="표준 29 45" xfId="15463"/>
    <cellStyle name="표준 29 46" xfId="15464"/>
    <cellStyle name="표준 30 41 2 2" xfId="15465"/>
    <cellStyle name="표준 30 41 3" xfId="15466"/>
    <cellStyle name="표준 30 41 3 2" xfId="15467"/>
    <cellStyle name="표준 30 41 4" xfId="15468"/>
    <cellStyle name="표준 30 41 5" xfId="15469"/>
    <cellStyle name="표준 30 42 2" xfId="15470"/>
    <cellStyle name="표준 30 43" xfId="15471"/>
    <cellStyle name="표준 30 43 2" xfId="15472"/>
    <cellStyle name="표준 30 44" xfId="15473"/>
    <cellStyle name="표준 30 45" xfId="15474"/>
    <cellStyle name="표준 31 41" xfId="15475"/>
    <cellStyle name="표준 31 42" xfId="15476"/>
    <cellStyle name="표준 32 41" xfId="15477"/>
    <cellStyle name="표준 33 41" xfId="15478"/>
    <cellStyle name="표준 34 24" xfId="15479"/>
    <cellStyle name="표준 4 16 2 2 2" xfId="15480"/>
    <cellStyle name="표준 4 16 2 3" xfId="15481"/>
    <cellStyle name="표준 4 16 2 3 2" xfId="15482"/>
    <cellStyle name="표준 4 16 2 4" xfId="15483"/>
    <cellStyle name="표준 4 16 2 5" xfId="15484"/>
    <cellStyle name="표준 4 16 3 2" xfId="15485"/>
    <cellStyle name="표준 4 16 4" xfId="15486"/>
    <cellStyle name="표준 4 16 4 2" xfId="15487"/>
    <cellStyle name="표준 4 16 5" xfId="15488"/>
    <cellStyle name="표준 4 16 6" xfId="15489"/>
    <cellStyle name="표준 4 2 2 2 2 2" xfId="15490"/>
    <cellStyle name="표준 4 2 2 2 3" xfId="15491"/>
    <cellStyle name="표준 4 2 2 2 3 2" xfId="15492"/>
    <cellStyle name="표준 4 2 2 2 4" xfId="15493"/>
    <cellStyle name="표준 4 2 2 2 5" xfId="15494"/>
    <cellStyle name="표준 4 2 2 3 2" xfId="15495"/>
    <cellStyle name="표준 4 2 2 4" xfId="15496"/>
    <cellStyle name="표준 4 2 2 4 2" xfId="15497"/>
    <cellStyle name="표준 4 2 2 5" xfId="15498"/>
    <cellStyle name="표준 4 2 2 6" xfId="15499"/>
    <cellStyle name="표준 7 10 10 2" xfId="15500"/>
    <cellStyle name="표준 7 10 11" xfId="15501"/>
    <cellStyle name="표준 7 10 11 2" xfId="15502"/>
    <cellStyle name="표준 7 10 12" xfId="15503"/>
    <cellStyle name="표준 7 10 13" xfId="15504"/>
    <cellStyle name="표준 7 10 2 10" xfId="15505"/>
    <cellStyle name="표준 7 10 2 2 2 2 2 2 2" xfId="15506"/>
    <cellStyle name="표준 7 10 2 2 2 2 2 3" xfId="15507"/>
    <cellStyle name="표준 7 10 2 2 2 2 2 3 2" xfId="15508"/>
    <cellStyle name="표준 7 10 2 2 2 2 2 4" xfId="15509"/>
    <cellStyle name="표준 7 10 2 2 2 2 2 5" xfId="15510"/>
    <cellStyle name="표준 7 10 2 2 2 2 3 2 2" xfId="15511"/>
    <cellStyle name="표준 7 10 2 2 2 2 3 3" xfId="15512"/>
    <cellStyle name="표준 7 10 2 2 2 2 3 3 2" xfId="15513"/>
    <cellStyle name="표준 7 10 2 2 2 2 3 4" xfId="15514"/>
    <cellStyle name="표준 7 10 2 2 2 2 3 5" xfId="15515"/>
    <cellStyle name="표준 7 10 2 2 2 2 4 2" xfId="15516"/>
    <cellStyle name="표준 7 10 2 2 2 2 5" xfId="15517"/>
    <cellStyle name="표준 7 10 2 2 2 2 5 2" xfId="15518"/>
    <cellStyle name="표준 7 10 2 2 2 2 6" xfId="15519"/>
    <cellStyle name="표준 7 10 2 2 2 2 7" xfId="15520"/>
    <cellStyle name="표준 7 10 2 2 2 3 2 2" xfId="15521"/>
    <cellStyle name="표준 7 10 2 2 2 3 3" xfId="15522"/>
    <cellStyle name="표준 7 10 2 2 2 3 3 2" xfId="15523"/>
    <cellStyle name="표준 7 10 2 2 2 3 4" xfId="15524"/>
    <cellStyle name="표준 7 10 2 2 2 3 5" xfId="15525"/>
    <cellStyle name="표준 7 10 2 2 2 4 2 2" xfId="15526"/>
    <cellStyle name="표준 7 10 2 2 2 4 3" xfId="15527"/>
    <cellStyle name="표준 7 10 2 2 2 4 3 2" xfId="15528"/>
    <cellStyle name="표준 7 10 2 2 2 4 4" xfId="15529"/>
    <cellStyle name="표준 7 10 2 2 2 4 5" xfId="15530"/>
    <cellStyle name="표준 7 10 2 2 2 5 2" xfId="15531"/>
    <cellStyle name="표준 7 10 2 2 2 6" xfId="15532"/>
    <cellStyle name="표준 7 10 2 2 2 6 2" xfId="15533"/>
    <cellStyle name="표준 7 10 2 2 2 7" xfId="15534"/>
    <cellStyle name="표준 7 10 2 2 2 8" xfId="15535"/>
    <cellStyle name="표준 7 10 2 2 3 2 2 2" xfId="15536"/>
    <cellStyle name="표준 7 10 2 2 3 2 3" xfId="15537"/>
    <cellStyle name="표준 7 10 2 2 3 2 3 2" xfId="15538"/>
    <cellStyle name="표준 7 10 2 2 3 2 4" xfId="15539"/>
    <cellStyle name="표준 7 10 2 2 3 2 5" xfId="15540"/>
    <cellStyle name="표준 7 10 2 2 3 3 2 2" xfId="15541"/>
    <cellStyle name="표준 7 10 2 2 3 3 3" xfId="15542"/>
    <cellStyle name="표준 7 10 2 2 3 3 3 2" xfId="15543"/>
    <cellStyle name="표준 7 10 2 2 3 3 4" xfId="15544"/>
    <cellStyle name="표준 7 10 2 2 3 3 5" xfId="15545"/>
    <cellStyle name="표준 7 10 2 2 3 4 2" xfId="15546"/>
    <cellStyle name="표준 7 10 2 2 3 5" xfId="15547"/>
    <cellStyle name="표준 7 10 2 2 3 5 2" xfId="15548"/>
    <cellStyle name="표준 7 10 2 2 3 6" xfId="15549"/>
    <cellStyle name="표준 7 10 2 2 3 7" xfId="15550"/>
    <cellStyle name="표준 7 10 2 2 4 2 2" xfId="15551"/>
    <cellStyle name="표준 7 10 2 2 4 3" xfId="15552"/>
    <cellStyle name="표준 7 10 2 2 4 3 2" xfId="15553"/>
    <cellStyle name="표준 7 10 2 2 4 4" xfId="15554"/>
    <cellStyle name="표준 7 10 2 2 4 5" xfId="15555"/>
    <cellStyle name="표준 7 10 2 2 5 2 2" xfId="15556"/>
    <cellStyle name="표준 7 10 2 2 5 3" xfId="15557"/>
    <cellStyle name="표준 7 10 2 2 5 3 2" xfId="15558"/>
    <cellStyle name="표준 7 10 2 2 5 4" xfId="15559"/>
    <cellStyle name="표준 7 10 2 2 5 5" xfId="15560"/>
    <cellStyle name="표준 7 10 2 2 6 2" xfId="15561"/>
    <cellStyle name="표준 7 10 2 2 7" xfId="15562"/>
    <cellStyle name="표준 7 10 2 2 7 2" xfId="15563"/>
    <cellStyle name="표준 7 10 2 2 8" xfId="15564"/>
    <cellStyle name="표준 7 10 2 2 9" xfId="15565"/>
    <cellStyle name="표준 7 10 2 3 2 2 2 2" xfId="15566"/>
    <cellStyle name="표준 7 10 2 3 2 2 3" xfId="15567"/>
    <cellStyle name="표준 7 10 2 3 2 2 3 2" xfId="15568"/>
    <cellStyle name="표준 7 10 2 3 2 2 4" xfId="15569"/>
    <cellStyle name="표준 7 10 2 3 2 2 5" xfId="15570"/>
    <cellStyle name="표준 7 10 2 3 2 3 2 2" xfId="15571"/>
    <cellStyle name="표준 7 10 2 3 2 3 3" xfId="15572"/>
    <cellStyle name="표준 7 10 2 3 2 3 3 2" xfId="15573"/>
    <cellStyle name="표준 7 10 2 3 2 3 4" xfId="15574"/>
    <cellStyle name="표준 7 10 2 3 2 3 5" xfId="15575"/>
    <cellStyle name="표준 7 10 2 3 2 4 2" xfId="15576"/>
    <cellStyle name="표준 7 10 2 3 2 5" xfId="15577"/>
    <cellStyle name="표준 7 10 2 3 2 5 2" xfId="15578"/>
    <cellStyle name="표준 7 10 2 3 2 6" xfId="15579"/>
    <cellStyle name="표준 7 10 2 3 2 7" xfId="15580"/>
    <cellStyle name="표준 7 10 2 3 3 2 2" xfId="15581"/>
    <cellStyle name="표준 7 10 2 3 3 3" xfId="15582"/>
    <cellStyle name="표준 7 10 2 3 3 3 2" xfId="15583"/>
    <cellStyle name="표준 7 10 2 3 3 4" xfId="15584"/>
    <cellStyle name="표준 7 10 2 3 3 5" xfId="15585"/>
    <cellStyle name="표준 7 10 2 3 4 2 2" xfId="15586"/>
    <cellStyle name="표준 7 10 2 3 4 3" xfId="15587"/>
    <cellStyle name="표준 7 10 2 3 4 3 2" xfId="15588"/>
    <cellStyle name="표준 7 10 2 3 4 4" xfId="15589"/>
    <cellStyle name="표준 7 10 2 3 4 5" xfId="15590"/>
    <cellStyle name="표준 7 10 2 3 5 2" xfId="15591"/>
    <cellStyle name="표준 7 10 2 3 6" xfId="15592"/>
    <cellStyle name="표준 7 10 2 3 6 2" xfId="15593"/>
    <cellStyle name="표준 7 10 2 3 7" xfId="15594"/>
    <cellStyle name="표준 7 10 2 3 8" xfId="15595"/>
    <cellStyle name="표준 7 10 2 4 2 2 2" xfId="15596"/>
    <cellStyle name="표준 7 10 2 4 2 3" xfId="15597"/>
    <cellStyle name="표준 7 10 2 4 2 3 2" xfId="15598"/>
    <cellStyle name="표준 7 10 2 4 2 4" xfId="15599"/>
    <cellStyle name="표준 7 10 2 4 2 5" xfId="15600"/>
    <cellStyle name="표준 7 10 2 4 3 2 2" xfId="15601"/>
    <cellStyle name="표준 7 10 2 4 3 3" xfId="15602"/>
    <cellStyle name="표준 7 10 2 4 3 3 2" xfId="15603"/>
    <cellStyle name="표준 7 10 2 4 3 4" xfId="15604"/>
    <cellStyle name="표준 7 10 2 4 3 5" xfId="15605"/>
    <cellStyle name="표준 7 10 2 4 4 2" xfId="15606"/>
    <cellStyle name="표준 7 10 2 4 5" xfId="15607"/>
    <cellStyle name="표준 7 10 2 4 5 2" xfId="15608"/>
    <cellStyle name="표준 7 10 2 4 6" xfId="15609"/>
    <cellStyle name="표준 7 10 2 4 7" xfId="15610"/>
    <cellStyle name="표준 7 10 2 5 2 2" xfId="15611"/>
    <cellStyle name="표준 7 10 2 5 3" xfId="15612"/>
    <cellStyle name="표준 7 10 2 5 3 2" xfId="15613"/>
    <cellStyle name="표준 7 10 2 5 4" xfId="15614"/>
    <cellStyle name="표준 7 10 2 5 5" xfId="15615"/>
    <cellStyle name="표준 7 10 2 6 2 2" xfId="15616"/>
    <cellStyle name="표준 7 10 2 6 3" xfId="15617"/>
    <cellStyle name="표준 7 10 2 6 3 2" xfId="15618"/>
    <cellStyle name="표준 7 10 2 6 4" xfId="15619"/>
    <cellStyle name="표준 7 10 2 6 5" xfId="15620"/>
    <cellStyle name="표준 7 10 2 7 2" xfId="15621"/>
    <cellStyle name="표준 7 10 2 8" xfId="15622"/>
    <cellStyle name="표준 7 10 2 8 2" xfId="15623"/>
    <cellStyle name="표준 7 10 2 9" xfId="15624"/>
    <cellStyle name="표준 7 10 3 10" xfId="15625"/>
    <cellStyle name="표준 7 10 3 2 2 2 2 2 2" xfId="15626"/>
    <cellStyle name="표준 7 10 3 2 2 2 2 3" xfId="15627"/>
    <cellStyle name="표준 7 10 3 2 2 2 2 3 2" xfId="15628"/>
    <cellStyle name="표준 7 10 3 2 2 2 2 4" xfId="15629"/>
    <cellStyle name="표준 7 10 3 2 2 2 2 5" xfId="15630"/>
    <cellStyle name="표준 7 10 3 2 2 2 3 2 2" xfId="15631"/>
    <cellStyle name="표준 7 10 3 2 2 2 3 3" xfId="15632"/>
    <cellStyle name="표준 7 10 3 2 2 2 3 3 2" xfId="15633"/>
    <cellStyle name="표준 7 10 3 2 2 2 3 4" xfId="15634"/>
    <cellStyle name="표준 7 10 3 2 2 2 3 5" xfId="15635"/>
    <cellStyle name="표준 7 10 3 2 2 2 4 2" xfId="15636"/>
    <cellStyle name="표준 7 10 3 2 2 2 5" xfId="15637"/>
    <cellStyle name="표준 7 10 3 2 2 2 5 2" xfId="15638"/>
    <cellStyle name="표준 7 10 3 2 2 2 6" xfId="15639"/>
    <cellStyle name="표준 7 10 3 2 2 2 7" xfId="15640"/>
    <cellStyle name="표준 7 10 3 2 2 3 2 2" xfId="15641"/>
    <cellStyle name="표준 7 10 3 2 2 3 3" xfId="15642"/>
    <cellStyle name="표준 7 10 3 2 2 3 3 2" xfId="15643"/>
    <cellStyle name="표준 7 10 3 2 2 3 4" xfId="15644"/>
    <cellStyle name="표준 7 10 3 2 2 3 5" xfId="15645"/>
    <cellStyle name="표준 7 10 3 2 2 4 2 2" xfId="15646"/>
    <cellStyle name="표준 7 10 3 2 2 4 3" xfId="15647"/>
    <cellStyle name="표준 7 10 3 2 2 4 3 2" xfId="15648"/>
    <cellStyle name="표준 7 10 3 2 2 4 4" xfId="15649"/>
    <cellStyle name="표준 7 10 3 2 2 4 5" xfId="15650"/>
    <cellStyle name="표준 7 10 3 2 2 5 2" xfId="15651"/>
    <cellStyle name="표준 7 10 3 2 2 6" xfId="15652"/>
    <cellStyle name="표준 7 10 3 2 2 6 2" xfId="15653"/>
    <cellStyle name="표준 7 10 3 2 2 7" xfId="15654"/>
    <cellStyle name="표준 7 10 3 2 2 8" xfId="15655"/>
    <cellStyle name="표준 7 10 3 2 3 2 2 2" xfId="15656"/>
    <cellStyle name="표준 7 10 3 2 3 2 3" xfId="15657"/>
    <cellStyle name="표준 7 10 3 2 3 2 3 2" xfId="15658"/>
    <cellStyle name="표준 7 10 3 2 3 2 4" xfId="15659"/>
    <cellStyle name="표준 7 10 3 2 3 2 5" xfId="15660"/>
    <cellStyle name="표준 7 10 3 2 3 3 2 2" xfId="15661"/>
    <cellStyle name="표준 7 10 3 2 3 3 3" xfId="15662"/>
    <cellStyle name="표준 7 10 3 2 3 3 3 2" xfId="15663"/>
    <cellStyle name="표준 7 10 3 2 3 3 4" xfId="15664"/>
    <cellStyle name="표준 7 10 3 2 3 3 5" xfId="15665"/>
    <cellStyle name="표준 7 10 3 2 3 4 2" xfId="15666"/>
    <cellStyle name="표준 7 10 3 2 3 5" xfId="15667"/>
    <cellStyle name="표준 7 10 3 2 3 5 2" xfId="15668"/>
    <cellStyle name="표준 7 10 3 2 3 6" xfId="15669"/>
    <cellStyle name="표준 7 10 3 2 3 7" xfId="15670"/>
    <cellStyle name="표준 7 10 3 2 4 2 2" xfId="15671"/>
    <cellStyle name="표준 7 10 3 2 4 3" xfId="15672"/>
    <cellStyle name="표준 7 10 3 2 4 3 2" xfId="15673"/>
    <cellStyle name="표준 7 10 3 2 4 4" xfId="15674"/>
    <cellStyle name="표준 7 10 3 2 4 5" xfId="15675"/>
    <cellStyle name="표준 7 10 3 2 5 2 2" xfId="15676"/>
    <cellStyle name="표준 7 10 3 2 5 3" xfId="15677"/>
    <cellStyle name="표준 7 10 3 2 5 3 2" xfId="15678"/>
    <cellStyle name="표준 7 10 3 2 5 4" xfId="15679"/>
    <cellStyle name="표준 7 10 3 2 5 5" xfId="15680"/>
    <cellStyle name="표준 7 10 3 2 6 2" xfId="15681"/>
    <cellStyle name="표준 7 10 3 2 7" xfId="15682"/>
    <cellStyle name="표준 7 10 3 2 7 2" xfId="15683"/>
    <cellStyle name="표준 7 10 3 2 8" xfId="15684"/>
    <cellStyle name="표준 7 10 3 2 9" xfId="15685"/>
    <cellStyle name="표준 7 10 3 3 2 2 2 2" xfId="15686"/>
    <cellStyle name="표준 7 10 3 3 2 2 3" xfId="15687"/>
    <cellStyle name="표준 7 10 3 3 2 2 3 2" xfId="15688"/>
    <cellStyle name="표준 7 10 3 3 2 2 4" xfId="15689"/>
    <cellStyle name="표준 7 10 3 3 2 2 5" xfId="15690"/>
    <cellStyle name="표준 7 10 3 3 2 3 2 2" xfId="15691"/>
    <cellStyle name="표준 7 10 3 3 2 3 3" xfId="15692"/>
    <cellStyle name="표준 7 10 3 3 2 3 3 2" xfId="15693"/>
    <cellStyle name="표준 7 10 3 3 2 3 4" xfId="15694"/>
    <cellStyle name="표준 7 10 3 3 2 3 5" xfId="15695"/>
    <cellStyle name="표준 7 10 3 3 2 4 2" xfId="15696"/>
    <cellStyle name="표준 7 10 3 3 2 5" xfId="15697"/>
    <cellStyle name="표준 7 10 3 3 2 5 2" xfId="15698"/>
    <cellStyle name="표준 7 10 3 3 2 6" xfId="15699"/>
    <cellStyle name="표준 7 10 3 3 2 7" xfId="15700"/>
    <cellStyle name="표준 7 10 3 3 3 2 2" xfId="15701"/>
    <cellStyle name="표준 7 10 3 3 3 3" xfId="15702"/>
    <cellStyle name="표준 7 10 3 3 3 3 2" xfId="15703"/>
    <cellStyle name="표준 7 10 3 3 3 4" xfId="15704"/>
    <cellStyle name="표준 7 10 3 3 3 5" xfId="15705"/>
    <cellStyle name="표준 7 10 3 3 4 2 2" xfId="15706"/>
    <cellStyle name="표준 7 10 3 3 4 3" xfId="15707"/>
    <cellStyle name="표준 7 10 3 3 4 3 2" xfId="15708"/>
    <cellStyle name="표준 7 10 3 3 4 4" xfId="15709"/>
    <cellStyle name="표준 7 10 3 3 4 5" xfId="15710"/>
    <cellStyle name="표준 7 10 3 3 5 2" xfId="15711"/>
    <cellStyle name="표준 7 10 3 3 6" xfId="15712"/>
    <cellStyle name="표준 7 10 3 3 6 2" xfId="15713"/>
    <cellStyle name="표준 7 10 3 3 7" xfId="15714"/>
    <cellStyle name="표준 7 10 3 3 8" xfId="15715"/>
    <cellStyle name="표준 7 10 3 4 2 2 2" xfId="15716"/>
    <cellStyle name="표준 7 10 3 4 2 3" xfId="15717"/>
    <cellStyle name="표준 7 10 3 4 2 3 2" xfId="15718"/>
    <cellStyle name="표준 7 10 3 4 2 4" xfId="15719"/>
    <cellStyle name="표준 7 10 3 4 2 5" xfId="15720"/>
    <cellStyle name="표준 7 10 3 4 3 2 2" xfId="15721"/>
    <cellStyle name="표준 7 10 3 4 3 3" xfId="15722"/>
    <cellStyle name="표준 7 10 3 4 3 3 2" xfId="15723"/>
    <cellStyle name="표준 7 10 3 4 3 4" xfId="15724"/>
    <cellStyle name="표준 7 10 3 4 3 5" xfId="15725"/>
    <cellStyle name="표준 7 10 3 4 4 2" xfId="15726"/>
    <cellStyle name="표준 7 10 3 4 5" xfId="15727"/>
    <cellStyle name="표준 7 10 3 4 5 2" xfId="15728"/>
    <cellStyle name="표준 7 10 3 4 6" xfId="15729"/>
    <cellStyle name="표준 7 10 3 4 7" xfId="15730"/>
    <cellStyle name="표준 7 10 3 5 2 2" xfId="15731"/>
    <cellStyle name="표준 7 10 3 5 3" xfId="15732"/>
    <cellStyle name="표준 7 10 3 5 3 2" xfId="15733"/>
    <cellStyle name="표준 7 10 3 5 4" xfId="15734"/>
    <cellStyle name="표준 7 10 3 5 5" xfId="15735"/>
    <cellStyle name="표준 7 10 3 6 2 2" xfId="15736"/>
    <cellStyle name="표준 7 10 3 6 3" xfId="15737"/>
    <cellStyle name="표준 7 10 3 6 3 2" xfId="15738"/>
    <cellStyle name="표준 7 10 3 6 4" xfId="15739"/>
    <cellStyle name="표준 7 10 3 6 5" xfId="15740"/>
    <cellStyle name="표준 7 10 3 7 2" xfId="15741"/>
    <cellStyle name="표준 7 10 3 8" xfId="15742"/>
    <cellStyle name="표준 7 10 3 8 2" xfId="15743"/>
    <cellStyle name="표준 7 10 3 9" xfId="15744"/>
    <cellStyle name="표준 7 10 4 10" xfId="15745"/>
    <cellStyle name="표준 7 10 4 2 2 2 2 2 2" xfId="15746"/>
    <cellStyle name="표준 7 10 4 2 2 2 2 3" xfId="15747"/>
    <cellStyle name="표준 7 10 4 2 2 2 2 3 2" xfId="15748"/>
    <cellStyle name="표준 7 10 4 2 2 2 2 4" xfId="15749"/>
    <cellStyle name="표준 7 10 4 2 2 2 2 5" xfId="15750"/>
    <cellStyle name="표준 7 10 4 2 2 2 3 2 2" xfId="15751"/>
    <cellStyle name="표준 7 10 4 2 2 2 3 3" xfId="15752"/>
    <cellStyle name="표준 7 10 4 2 2 2 3 3 2" xfId="15753"/>
    <cellStyle name="표준 7 10 4 2 2 2 3 4" xfId="15754"/>
    <cellStyle name="표준 7 10 4 2 2 2 3 5" xfId="15755"/>
    <cellStyle name="표준 7 10 4 2 2 2 4 2" xfId="15756"/>
    <cellStyle name="표준 7 10 4 2 2 2 5" xfId="15757"/>
    <cellStyle name="표준 7 10 4 2 2 2 5 2" xfId="15758"/>
    <cellStyle name="표준 7 10 4 2 2 2 6" xfId="15759"/>
    <cellStyle name="표준 7 10 4 2 2 2 7" xfId="15760"/>
    <cellStyle name="표준 7 10 4 2 2 3 2 2" xfId="15761"/>
    <cellStyle name="표준 7 10 4 2 2 3 3" xfId="15762"/>
    <cellStyle name="표준 7 10 4 2 2 3 3 2" xfId="15763"/>
    <cellStyle name="표준 7 10 4 2 2 3 4" xfId="15764"/>
    <cellStyle name="표준 7 10 4 2 2 3 5" xfId="15765"/>
    <cellStyle name="표준 7 10 4 2 2 4 2 2" xfId="15766"/>
    <cellStyle name="표준 7 10 4 2 2 4 3" xfId="15767"/>
    <cellStyle name="표준 7 10 4 2 2 4 3 2" xfId="15768"/>
    <cellStyle name="표준 7 10 4 2 2 4 4" xfId="15769"/>
    <cellStyle name="표준 7 10 4 2 2 4 5" xfId="15770"/>
    <cellStyle name="표준 7 10 4 2 2 5 2" xfId="15771"/>
    <cellStyle name="표준 7 10 4 2 2 6" xfId="15772"/>
    <cellStyle name="표준 7 10 4 2 2 6 2" xfId="15773"/>
    <cellStyle name="표준 7 10 4 2 2 7" xfId="15774"/>
    <cellStyle name="표준 7 10 4 2 2 8" xfId="15775"/>
    <cellStyle name="표준 7 10 4 2 3 2 2 2" xfId="15776"/>
    <cellStyle name="표준 7 10 4 2 3 2 3" xfId="15777"/>
    <cellStyle name="표준 7 10 4 2 3 2 3 2" xfId="15778"/>
    <cellStyle name="표준 7 10 4 2 3 2 4" xfId="15779"/>
    <cellStyle name="표준 7 10 4 2 3 2 5" xfId="15780"/>
    <cellStyle name="표준 7 10 4 2 3 3 2 2" xfId="15781"/>
    <cellStyle name="표준 7 10 4 2 3 3 3" xfId="15782"/>
    <cellStyle name="표준 7 10 4 2 3 3 3 2" xfId="15783"/>
    <cellStyle name="표준 7 10 4 2 3 3 4" xfId="15784"/>
    <cellStyle name="표준 7 10 4 2 3 3 5" xfId="15785"/>
    <cellStyle name="표준 7 10 4 2 3 4 2" xfId="15786"/>
    <cellStyle name="표준 7 10 4 2 3 5" xfId="15787"/>
    <cellStyle name="표준 7 10 4 2 3 5 2" xfId="15788"/>
    <cellStyle name="표준 7 10 4 2 3 6" xfId="15789"/>
    <cellStyle name="표준 7 10 4 2 3 7" xfId="15790"/>
    <cellStyle name="표준 7 10 4 2 4 2 2" xfId="15791"/>
    <cellStyle name="표준 7 10 4 2 4 3" xfId="15792"/>
    <cellStyle name="표준 7 10 4 2 4 3 2" xfId="15793"/>
    <cellStyle name="표준 7 10 4 2 4 4" xfId="15794"/>
    <cellStyle name="표준 7 10 4 2 4 5" xfId="15795"/>
    <cellStyle name="표준 7 10 4 2 5 2 2" xfId="15796"/>
    <cellStyle name="표준 7 10 4 2 5 3" xfId="15797"/>
    <cellStyle name="표준 7 10 4 2 5 3 2" xfId="15798"/>
    <cellStyle name="표준 7 10 4 2 5 4" xfId="15799"/>
    <cellStyle name="표준 7 10 4 2 5 5" xfId="15800"/>
    <cellStyle name="표준 7 10 4 2 6 2" xfId="15801"/>
    <cellStyle name="표준 7 10 4 2 7" xfId="15802"/>
    <cellStyle name="표준 7 10 4 2 7 2" xfId="15803"/>
    <cellStyle name="표준 7 10 4 2 8" xfId="15804"/>
    <cellStyle name="표준 7 10 4 2 9" xfId="15805"/>
    <cellStyle name="표준 7 10 4 3 2 2 2 2" xfId="15806"/>
    <cellStyle name="표준 7 10 4 3 2 2 3" xfId="15807"/>
    <cellStyle name="표준 7 10 4 3 2 2 3 2" xfId="15808"/>
    <cellStyle name="표준 7 10 4 3 2 2 4" xfId="15809"/>
    <cellStyle name="표준 7 10 4 3 2 2 5" xfId="15810"/>
    <cellStyle name="표준 7 10 4 3 2 3 2 2" xfId="15811"/>
    <cellStyle name="표준 7 10 4 3 2 3 3" xfId="15812"/>
    <cellStyle name="표준 7 10 4 3 2 3 3 2" xfId="15813"/>
    <cellStyle name="표준 7 10 4 3 2 3 4" xfId="15814"/>
    <cellStyle name="표준 7 10 4 3 2 3 5" xfId="15815"/>
    <cellStyle name="표준 7 10 4 3 2 4 2" xfId="15816"/>
    <cellStyle name="표준 7 10 4 3 2 5" xfId="15817"/>
    <cellStyle name="표준 7 10 4 3 2 5 2" xfId="15818"/>
    <cellStyle name="표준 7 10 4 3 2 6" xfId="15819"/>
    <cellStyle name="표준 7 10 4 3 2 7" xfId="15820"/>
    <cellStyle name="표준 7 10 4 3 3 2 2" xfId="15821"/>
    <cellStyle name="표준 7 10 4 3 3 3" xfId="15822"/>
    <cellStyle name="표준 7 10 4 3 3 3 2" xfId="15823"/>
    <cellStyle name="표준 7 10 4 3 3 4" xfId="15824"/>
    <cellStyle name="표준 7 10 4 3 3 5" xfId="15825"/>
    <cellStyle name="표준 7 10 4 3 4 2 2" xfId="15826"/>
    <cellStyle name="표준 7 10 4 3 4 3" xfId="15827"/>
    <cellStyle name="표준 7 10 4 3 4 3 2" xfId="15828"/>
    <cellStyle name="표준 7 10 4 3 4 4" xfId="15829"/>
    <cellStyle name="표준 7 10 4 3 4 5" xfId="15830"/>
    <cellStyle name="표준 7 10 4 3 5 2" xfId="15831"/>
    <cellStyle name="표준 7 10 4 3 6" xfId="15832"/>
    <cellStyle name="표준 7 10 4 3 6 2" xfId="15833"/>
    <cellStyle name="표준 7 10 4 3 7" xfId="15834"/>
    <cellStyle name="표준 7 10 4 3 8" xfId="15835"/>
    <cellStyle name="표준 7 10 4 4 2 2 2" xfId="15836"/>
    <cellStyle name="표준 7 10 4 4 2 3" xfId="15837"/>
    <cellStyle name="표준 7 10 4 4 2 3 2" xfId="15838"/>
    <cellStyle name="표준 7 10 4 4 2 4" xfId="15839"/>
    <cellStyle name="표준 7 10 4 4 2 5" xfId="15840"/>
    <cellStyle name="표준 7 10 4 4 3 2 2" xfId="15841"/>
    <cellStyle name="표준 7 10 4 4 3 3" xfId="15842"/>
    <cellStyle name="표준 7 10 4 4 3 3 2" xfId="15843"/>
    <cellStyle name="표준 7 10 4 4 3 4" xfId="15844"/>
    <cellStyle name="표준 7 10 4 4 3 5" xfId="15845"/>
    <cellStyle name="표준 7 10 4 4 4 2" xfId="15846"/>
    <cellStyle name="표준 7 10 4 4 5" xfId="15847"/>
    <cellStyle name="표준 7 10 4 4 5 2" xfId="15848"/>
    <cellStyle name="표준 7 10 4 4 6" xfId="15849"/>
    <cellStyle name="표준 7 10 4 4 7" xfId="15850"/>
    <cellStyle name="표준 7 10 4 5 2 2" xfId="15851"/>
    <cellStyle name="표준 7 10 4 5 3" xfId="15852"/>
    <cellStyle name="표준 7 10 4 5 3 2" xfId="15853"/>
    <cellStyle name="표준 7 10 4 5 4" xfId="15854"/>
    <cellStyle name="표준 7 10 4 5 5" xfId="15855"/>
    <cellStyle name="표준 7 10 4 6 2 2" xfId="15856"/>
    <cellStyle name="표준 7 10 4 6 3" xfId="15857"/>
    <cellStyle name="표준 7 10 4 6 3 2" xfId="15858"/>
    <cellStyle name="표준 7 10 4 6 4" xfId="15859"/>
    <cellStyle name="표준 7 10 4 6 5" xfId="15860"/>
    <cellStyle name="표준 7 10 4 7 2" xfId="15861"/>
    <cellStyle name="표준 7 10 4 8" xfId="15862"/>
    <cellStyle name="표준 7 10 4 8 2" xfId="15863"/>
    <cellStyle name="표준 7 10 4 9" xfId="15864"/>
    <cellStyle name="표준 7 10 5 2 2 2 2 2" xfId="15865"/>
    <cellStyle name="표준 7 10 5 2 2 2 3" xfId="15866"/>
    <cellStyle name="표준 7 10 5 2 2 2 3 2" xfId="15867"/>
    <cellStyle name="표준 7 10 5 2 2 2 4" xfId="15868"/>
    <cellStyle name="표준 7 10 5 2 2 2 5" xfId="15869"/>
    <cellStyle name="표준 7 10 5 2 2 3 2 2" xfId="15870"/>
    <cellStyle name="표준 7 10 5 2 2 3 3" xfId="15871"/>
    <cellStyle name="표준 7 10 5 2 2 3 3 2" xfId="15872"/>
    <cellStyle name="표준 7 10 5 2 2 3 4" xfId="15873"/>
    <cellStyle name="표준 7 10 5 2 2 3 5" xfId="15874"/>
    <cellStyle name="표준 7 10 5 2 2 4 2" xfId="15875"/>
    <cellStyle name="표준 7 10 5 2 2 5" xfId="15876"/>
    <cellStyle name="표준 7 10 5 2 2 5 2" xfId="15877"/>
    <cellStyle name="표준 7 10 5 2 2 6" xfId="15878"/>
    <cellStyle name="표준 7 10 5 2 2 7" xfId="15879"/>
    <cellStyle name="표준 7 10 5 2 3 2 2" xfId="15880"/>
    <cellStyle name="표준 7 10 5 2 3 3" xfId="15881"/>
    <cellStyle name="표준 7 10 5 2 3 3 2" xfId="15882"/>
    <cellStyle name="표준 7 10 5 2 3 4" xfId="15883"/>
    <cellStyle name="표준 7 10 5 2 3 5" xfId="15884"/>
    <cellStyle name="표준 7 10 5 2 4 2 2" xfId="15885"/>
    <cellStyle name="표준 7 10 5 2 4 3" xfId="15886"/>
    <cellStyle name="표준 7 10 5 2 4 3 2" xfId="15887"/>
    <cellStyle name="표준 7 10 5 2 4 4" xfId="15888"/>
    <cellStyle name="표준 7 10 5 2 4 5" xfId="15889"/>
    <cellStyle name="표준 7 10 5 2 5 2" xfId="15890"/>
    <cellStyle name="표준 7 10 5 2 6" xfId="15891"/>
    <cellStyle name="표준 7 10 5 2 6 2" xfId="15892"/>
    <cellStyle name="표준 7 10 5 2 7" xfId="15893"/>
    <cellStyle name="표준 7 10 5 2 8" xfId="15894"/>
    <cellStyle name="표준 7 10 5 3 2 2 2" xfId="15895"/>
    <cellStyle name="표준 7 10 5 3 2 3" xfId="15896"/>
    <cellStyle name="표준 7 10 5 3 2 3 2" xfId="15897"/>
    <cellStyle name="표준 7 10 5 3 2 4" xfId="15898"/>
    <cellStyle name="표준 7 10 5 3 2 5" xfId="15899"/>
    <cellStyle name="표준 7 10 5 3 3 2 2" xfId="15900"/>
    <cellStyle name="표준 7 10 5 3 3 3" xfId="15901"/>
    <cellStyle name="표준 7 10 5 3 3 3 2" xfId="15902"/>
    <cellStyle name="표준 7 10 5 3 3 4" xfId="15903"/>
    <cellStyle name="표준 7 10 5 3 3 5" xfId="15904"/>
    <cellStyle name="표준 7 10 5 3 4 2" xfId="15905"/>
    <cellStyle name="표준 7 10 5 3 5" xfId="15906"/>
    <cellStyle name="표준 7 10 5 3 5 2" xfId="15907"/>
    <cellStyle name="표준 7 10 5 3 6" xfId="15908"/>
    <cellStyle name="표준 7 10 5 3 7" xfId="15909"/>
    <cellStyle name="표준 7 10 5 4 2 2" xfId="15910"/>
    <cellStyle name="표준 7 10 5 4 3" xfId="15911"/>
    <cellStyle name="표준 7 10 5 4 3 2" xfId="15912"/>
    <cellStyle name="표준 7 10 5 4 4" xfId="15913"/>
    <cellStyle name="표준 7 10 5 4 5" xfId="15914"/>
    <cellStyle name="표준 7 10 5 5 2 2" xfId="15915"/>
    <cellStyle name="표준 7 10 5 5 3" xfId="15916"/>
    <cellStyle name="표준 7 10 5 5 3 2" xfId="15917"/>
    <cellStyle name="표준 7 10 5 5 4" xfId="15918"/>
    <cellStyle name="표준 7 10 5 5 5" xfId="15919"/>
    <cellStyle name="표준 7 10 5 6 2" xfId="15920"/>
    <cellStyle name="표준 7 10 5 7" xfId="15921"/>
    <cellStyle name="표준 7 10 5 7 2" xfId="15922"/>
    <cellStyle name="표준 7 10 5 8" xfId="15923"/>
    <cellStyle name="표준 7 10 5 9" xfId="15924"/>
    <cellStyle name="표준 7 10 6 2 2 2 2" xfId="15925"/>
    <cellStyle name="표준 7 10 6 2 2 3" xfId="15926"/>
    <cellStyle name="표준 7 10 6 2 2 3 2" xfId="15927"/>
    <cellStyle name="표준 7 10 6 2 2 4" xfId="15928"/>
    <cellStyle name="표준 7 10 6 2 2 5" xfId="15929"/>
    <cellStyle name="표준 7 10 6 2 3 2 2" xfId="15930"/>
    <cellStyle name="표준 7 10 6 2 3 3" xfId="15931"/>
    <cellStyle name="표준 7 10 6 2 3 3 2" xfId="15932"/>
    <cellStyle name="표준 7 10 6 2 3 4" xfId="15933"/>
    <cellStyle name="표준 7 10 6 2 3 5" xfId="15934"/>
    <cellStyle name="표준 7 10 6 2 4 2" xfId="15935"/>
    <cellStyle name="표준 7 10 6 2 5" xfId="15936"/>
    <cellStyle name="표준 7 10 6 2 5 2" xfId="15937"/>
    <cellStyle name="표준 7 10 6 2 6" xfId="15938"/>
    <cellStyle name="표준 7 10 6 2 7" xfId="15939"/>
    <cellStyle name="표준 7 10 6 3 2 2" xfId="15940"/>
    <cellStyle name="표준 7 10 6 3 3" xfId="15941"/>
    <cellStyle name="표준 7 10 6 3 3 2" xfId="15942"/>
    <cellStyle name="표준 7 10 6 3 4" xfId="15943"/>
    <cellStyle name="표준 7 10 6 3 5" xfId="15944"/>
    <cellStyle name="표준 7 10 6 4 2 2" xfId="15945"/>
    <cellStyle name="표준 7 10 6 4 3" xfId="15946"/>
    <cellStyle name="표준 7 10 6 4 3 2" xfId="15947"/>
    <cellStyle name="표준 7 10 6 4 4" xfId="15948"/>
    <cellStyle name="표준 7 10 6 4 5" xfId="15949"/>
    <cellStyle name="표준 7 10 6 5 2" xfId="15950"/>
    <cellStyle name="표준 7 10 6 6" xfId="15951"/>
    <cellStyle name="표준 7 10 6 6 2" xfId="15952"/>
    <cellStyle name="표준 7 10 6 7" xfId="15953"/>
    <cellStyle name="표준 7 10 6 8" xfId="15954"/>
    <cellStyle name="표준 7 10 7 2 2 2" xfId="15955"/>
    <cellStyle name="표준 7 10 7 2 3" xfId="15956"/>
    <cellStyle name="표준 7 10 7 2 3 2" xfId="15957"/>
    <cellStyle name="표준 7 10 7 2 4" xfId="15958"/>
    <cellStyle name="표준 7 10 7 2 5" xfId="15959"/>
    <cellStyle name="표준 7 10 7 3 2 2" xfId="15960"/>
    <cellStyle name="표준 7 10 7 3 3" xfId="15961"/>
    <cellStyle name="표준 7 10 7 3 3 2" xfId="15962"/>
    <cellStyle name="표준 7 10 7 3 4" xfId="15963"/>
    <cellStyle name="표준 7 10 7 3 5" xfId="15964"/>
    <cellStyle name="표준 7 10 7 4 2" xfId="15965"/>
    <cellStyle name="표준 7 10 7 5" xfId="15966"/>
    <cellStyle name="표준 7 10 7 5 2" xfId="15967"/>
    <cellStyle name="표준 7 10 7 6" xfId="15968"/>
    <cellStyle name="표준 7 10 7 7" xfId="15969"/>
    <cellStyle name="표준 7 10 8 2 2" xfId="15970"/>
    <cellStyle name="표준 7 10 8 3" xfId="15971"/>
    <cellStyle name="표준 7 10 8 3 2" xfId="15972"/>
    <cellStyle name="표준 7 10 8 4" xfId="15973"/>
    <cellStyle name="표준 7 10 8 5" xfId="15974"/>
    <cellStyle name="표준 7 10 9 2 2" xfId="15975"/>
    <cellStyle name="표준 7 10 9 3" xfId="15976"/>
    <cellStyle name="표준 7 10 9 3 2" xfId="15977"/>
    <cellStyle name="표준 7 10 9 4" xfId="15978"/>
    <cellStyle name="표준 7 10 9 5" xfId="15979"/>
    <cellStyle name="표준 7 11 10 2" xfId="15980"/>
    <cellStyle name="표준 7 11 11" xfId="15981"/>
    <cellStyle name="표준 7 11 11 2" xfId="15982"/>
    <cellStyle name="표준 7 11 12" xfId="15983"/>
    <cellStyle name="표준 7 11 13" xfId="15984"/>
    <cellStyle name="표준 7 11 2 10" xfId="15985"/>
    <cellStyle name="표준 7 11 2 2 2 2 2 2 2" xfId="15986"/>
    <cellStyle name="표준 7 11 2 2 2 2 2 3" xfId="15987"/>
    <cellStyle name="표준 7 11 2 2 2 2 2 3 2" xfId="15988"/>
    <cellStyle name="표준 7 11 2 2 2 2 2 4" xfId="15989"/>
    <cellStyle name="표준 7 11 2 2 2 2 2 5" xfId="15990"/>
    <cellStyle name="표준 7 11 2 2 2 2 3 2 2" xfId="15991"/>
    <cellStyle name="표준 7 11 2 2 2 2 3 3" xfId="15992"/>
    <cellStyle name="표준 7 11 2 2 2 2 3 3 2" xfId="15993"/>
    <cellStyle name="표준 7 11 2 2 2 2 3 4" xfId="15994"/>
    <cellStyle name="표준 7 11 2 2 2 2 3 5" xfId="15995"/>
    <cellStyle name="표준 7 11 2 2 2 2 4 2" xfId="15996"/>
    <cellStyle name="표준 7 11 2 2 2 2 5" xfId="15997"/>
    <cellStyle name="표준 7 11 2 2 2 2 5 2" xfId="15998"/>
    <cellStyle name="표준 7 11 2 2 2 2 6" xfId="15999"/>
    <cellStyle name="표준 7 11 2 2 2 2 7" xfId="16000"/>
    <cellStyle name="표준 7 11 2 2 2 3 2 2" xfId="16001"/>
    <cellStyle name="표준 7 11 2 2 2 3 3" xfId="16002"/>
    <cellStyle name="표준 7 11 2 2 2 3 3 2" xfId="16003"/>
    <cellStyle name="표준 7 11 2 2 2 3 4" xfId="16004"/>
    <cellStyle name="표준 7 11 2 2 2 3 5" xfId="16005"/>
    <cellStyle name="표준 7 11 2 2 2 4 2 2" xfId="16006"/>
    <cellStyle name="표준 7 11 2 2 2 4 3" xfId="16007"/>
    <cellStyle name="표준 7 11 2 2 2 4 3 2" xfId="16008"/>
    <cellStyle name="표준 7 11 2 2 2 4 4" xfId="16009"/>
    <cellStyle name="표준 7 11 2 2 2 4 5" xfId="16010"/>
    <cellStyle name="표준 7 11 2 2 2 5 2" xfId="16011"/>
    <cellStyle name="표준 7 11 2 2 2 6" xfId="16012"/>
    <cellStyle name="표준 7 11 2 2 2 6 2" xfId="16013"/>
    <cellStyle name="표준 7 11 2 2 2 7" xfId="16014"/>
    <cellStyle name="표준 7 11 2 2 2 8" xfId="16015"/>
    <cellStyle name="표준 7 11 2 2 3 2 2 2" xfId="16016"/>
    <cellStyle name="표준 7 11 2 2 3 2 3" xfId="16017"/>
    <cellStyle name="표준 7 11 2 2 3 2 3 2" xfId="16018"/>
    <cellStyle name="표준 7 11 2 2 3 2 4" xfId="16019"/>
    <cellStyle name="표준 7 11 2 2 3 2 5" xfId="16020"/>
    <cellStyle name="표준 7 11 2 2 3 3 2 2" xfId="16021"/>
    <cellStyle name="표준 7 11 2 2 3 3 3" xfId="16022"/>
    <cellStyle name="표준 7 11 2 2 3 3 3 2" xfId="16023"/>
    <cellStyle name="표준 7 11 2 2 3 3 4" xfId="16024"/>
    <cellStyle name="표준 7 11 2 2 3 3 5" xfId="16025"/>
    <cellStyle name="표준 7 11 2 2 3 4 2" xfId="16026"/>
    <cellStyle name="표준 7 11 2 2 3 5" xfId="16027"/>
    <cellStyle name="표준 7 11 2 2 3 5 2" xfId="16028"/>
    <cellStyle name="표준 7 11 2 2 3 6" xfId="16029"/>
    <cellStyle name="표준 7 11 2 2 3 7" xfId="16030"/>
    <cellStyle name="표준 7 11 2 2 4 2 2" xfId="16031"/>
    <cellStyle name="표준 7 11 2 2 4 3" xfId="16032"/>
    <cellStyle name="표준 7 11 2 2 4 3 2" xfId="16033"/>
    <cellStyle name="표준 7 11 2 2 4 4" xfId="16034"/>
    <cellStyle name="표준 7 11 2 2 4 5" xfId="16035"/>
    <cellStyle name="표준 7 11 2 2 5 2 2" xfId="16036"/>
    <cellStyle name="표준 7 11 2 2 5 3" xfId="16037"/>
    <cellStyle name="표준 7 11 2 2 5 3 2" xfId="16038"/>
    <cellStyle name="표준 7 11 2 2 5 4" xfId="16039"/>
    <cellStyle name="표준 7 11 2 2 5 5" xfId="16040"/>
    <cellStyle name="표준 7 11 2 2 6 2" xfId="16041"/>
    <cellStyle name="표준 7 11 2 2 7" xfId="16042"/>
    <cellStyle name="표준 7 11 2 2 7 2" xfId="16043"/>
    <cellStyle name="표준 7 11 2 2 8" xfId="16044"/>
    <cellStyle name="표준 7 11 2 2 9" xfId="16045"/>
    <cellStyle name="표준 7 11 2 3 2 2 2 2" xfId="16046"/>
    <cellStyle name="표준 7 11 2 3 2 2 3" xfId="16047"/>
    <cellStyle name="표준 7 11 2 3 2 2 3 2" xfId="16048"/>
    <cellStyle name="표준 7 11 2 3 2 2 4" xfId="16049"/>
    <cellStyle name="표준 7 11 2 3 2 2 5" xfId="16050"/>
    <cellStyle name="표준 7 11 2 3 2 3 2 2" xfId="16051"/>
    <cellStyle name="표준 7 11 2 3 2 3 3" xfId="16052"/>
    <cellStyle name="표준 7 11 2 3 2 3 3 2" xfId="16053"/>
    <cellStyle name="표준 7 11 2 3 2 3 4" xfId="16054"/>
    <cellStyle name="표준 7 11 2 3 2 3 5" xfId="16055"/>
    <cellStyle name="표준 7 11 2 3 2 4 2" xfId="16056"/>
    <cellStyle name="표준 7 11 2 3 2 5" xfId="16057"/>
    <cellStyle name="표준 7 11 2 3 2 5 2" xfId="16058"/>
    <cellStyle name="표준 7 11 2 3 2 6" xfId="16059"/>
    <cellStyle name="표준 7 11 2 3 2 7" xfId="16060"/>
    <cellStyle name="표준 7 11 2 3 3 2 2" xfId="16061"/>
    <cellStyle name="표준 7 11 2 3 3 3" xfId="16062"/>
    <cellStyle name="표준 7 11 2 3 3 3 2" xfId="16063"/>
    <cellStyle name="표준 7 11 2 3 3 4" xfId="16064"/>
    <cellStyle name="표준 7 11 2 3 3 5" xfId="16065"/>
    <cellStyle name="표준 7 11 2 3 4 2 2" xfId="16066"/>
    <cellStyle name="표준 7 11 2 3 4 3" xfId="16067"/>
    <cellStyle name="표준 7 11 2 3 4 3 2" xfId="16068"/>
    <cellStyle name="표준 7 11 2 3 4 4" xfId="16069"/>
    <cellStyle name="표준 7 11 2 3 4 5" xfId="16070"/>
    <cellStyle name="표준 7 11 2 3 5 2" xfId="16071"/>
    <cellStyle name="표준 7 11 2 3 6" xfId="16072"/>
    <cellStyle name="표준 7 11 2 3 6 2" xfId="16073"/>
    <cellStyle name="표준 7 11 2 3 7" xfId="16074"/>
    <cellStyle name="표준 7 11 2 3 8" xfId="16075"/>
    <cellStyle name="표준 7 11 2 4 2 2 2" xfId="16076"/>
    <cellStyle name="표준 7 11 2 4 2 3" xfId="16077"/>
    <cellStyle name="표준 7 11 2 4 2 3 2" xfId="16078"/>
    <cellStyle name="표준 7 11 2 4 2 4" xfId="16079"/>
    <cellStyle name="표준 7 11 2 4 2 5" xfId="16080"/>
    <cellStyle name="표준 7 11 2 4 3 2 2" xfId="16081"/>
    <cellStyle name="표준 7 11 2 4 3 3" xfId="16082"/>
    <cellStyle name="표준 7 11 2 4 3 3 2" xfId="16083"/>
    <cellStyle name="표준 7 11 2 4 3 4" xfId="16084"/>
    <cellStyle name="표준 7 11 2 4 3 5" xfId="16085"/>
    <cellStyle name="표준 7 11 2 4 4 2" xfId="16086"/>
    <cellStyle name="표준 7 11 2 4 5" xfId="16087"/>
    <cellStyle name="표준 7 11 2 4 5 2" xfId="16088"/>
    <cellStyle name="표준 7 11 2 4 6" xfId="16089"/>
    <cellStyle name="표준 7 11 2 4 7" xfId="16090"/>
    <cellStyle name="표준 7 11 2 5 2 2" xfId="16091"/>
    <cellStyle name="표준 7 11 2 5 3" xfId="16092"/>
    <cellStyle name="표준 7 11 2 5 3 2" xfId="16093"/>
    <cellStyle name="표준 7 11 2 5 4" xfId="16094"/>
    <cellStyle name="표준 7 11 2 5 5" xfId="16095"/>
    <cellStyle name="표준 7 11 2 6 2 2" xfId="16096"/>
    <cellStyle name="표준 7 11 2 6 3" xfId="16097"/>
    <cellStyle name="표준 7 11 2 6 3 2" xfId="16098"/>
    <cellStyle name="표준 7 11 2 6 4" xfId="16099"/>
    <cellStyle name="표준 7 11 2 6 5" xfId="16100"/>
    <cellStyle name="표준 7 11 2 7 2" xfId="16101"/>
    <cellStyle name="표준 7 11 2 8" xfId="16102"/>
    <cellStyle name="표준 7 11 2 8 2" xfId="16103"/>
    <cellStyle name="표준 7 11 2 9" xfId="16104"/>
    <cellStyle name="표준 7 11 3 10" xfId="16105"/>
    <cellStyle name="표준 7 11 3 2 2 2 2 2 2" xfId="16106"/>
    <cellStyle name="표준 7 11 3 2 2 2 2 3" xfId="16107"/>
    <cellStyle name="표준 7 11 3 2 2 2 2 3 2" xfId="16108"/>
    <cellStyle name="표준 7 11 3 2 2 2 2 4" xfId="16109"/>
    <cellStyle name="표준 7 11 3 2 2 2 2 5" xfId="16110"/>
    <cellStyle name="표준 7 11 3 2 2 2 3 2 2" xfId="16111"/>
    <cellStyle name="표준 7 11 3 2 2 2 3 3" xfId="16112"/>
    <cellStyle name="표준 7 11 3 2 2 2 3 3 2" xfId="16113"/>
    <cellStyle name="표준 7 11 3 2 2 2 3 4" xfId="16114"/>
    <cellStyle name="표준 7 11 3 2 2 2 3 5" xfId="16115"/>
    <cellStyle name="표준 7 11 3 2 2 2 4 2" xfId="16116"/>
    <cellStyle name="표준 7 11 3 2 2 2 5" xfId="16117"/>
    <cellStyle name="표준 7 11 3 2 2 2 5 2" xfId="16118"/>
    <cellStyle name="표준 7 11 3 2 2 2 6" xfId="16119"/>
    <cellStyle name="표준 7 11 3 2 2 2 7" xfId="16120"/>
    <cellStyle name="표준 7 11 3 2 2 3 2 2" xfId="16121"/>
    <cellStyle name="표준 7 11 3 2 2 3 3" xfId="16122"/>
    <cellStyle name="표준 7 11 3 2 2 3 3 2" xfId="16123"/>
    <cellStyle name="표준 7 11 3 2 2 3 4" xfId="16124"/>
    <cellStyle name="표준 7 11 3 2 2 3 5" xfId="16125"/>
    <cellStyle name="표준 7 11 3 2 2 4 2 2" xfId="16126"/>
    <cellStyle name="표준 7 11 3 2 2 4 3" xfId="16127"/>
    <cellStyle name="표준 7 11 3 2 2 4 3 2" xfId="16128"/>
    <cellStyle name="표준 7 11 3 2 2 4 4" xfId="16129"/>
    <cellStyle name="표준 7 11 3 2 2 4 5" xfId="16130"/>
    <cellStyle name="표준 7 11 3 2 2 5 2" xfId="16131"/>
    <cellStyle name="표준 7 11 3 2 2 6" xfId="16132"/>
    <cellStyle name="표준 7 11 3 2 2 6 2" xfId="16133"/>
    <cellStyle name="표준 7 11 3 2 2 7" xfId="16134"/>
    <cellStyle name="표준 7 11 3 2 2 8" xfId="16135"/>
    <cellStyle name="표준 7 11 3 2 3 2 2 2" xfId="16136"/>
    <cellStyle name="표준 7 11 3 2 3 2 3" xfId="16137"/>
    <cellStyle name="표준 7 11 3 2 3 2 3 2" xfId="16138"/>
    <cellStyle name="표준 7 11 3 2 3 2 4" xfId="16139"/>
    <cellStyle name="표준 7 11 3 2 3 2 5" xfId="16140"/>
    <cellStyle name="표준 7 11 3 2 3 3 2 2" xfId="16141"/>
    <cellStyle name="표준 7 11 3 2 3 3 3" xfId="16142"/>
    <cellStyle name="표준 7 11 3 2 3 3 3 2" xfId="16143"/>
    <cellStyle name="표준 7 11 3 2 3 3 4" xfId="16144"/>
    <cellStyle name="표준 7 11 3 2 3 3 5" xfId="16145"/>
    <cellStyle name="표준 7 11 3 2 3 4 2" xfId="16146"/>
    <cellStyle name="표준 7 11 3 2 3 5" xfId="16147"/>
    <cellStyle name="표준 7 11 3 2 3 5 2" xfId="16148"/>
    <cellStyle name="표준 7 11 3 2 3 6" xfId="16149"/>
    <cellStyle name="표준 7 11 3 2 3 7" xfId="16150"/>
    <cellStyle name="표준 7 11 3 2 4 2 2" xfId="16151"/>
    <cellStyle name="표준 7 11 3 2 4 3" xfId="16152"/>
    <cellStyle name="표준 7 11 3 2 4 3 2" xfId="16153"/>
    <cellStyle name="표준 7 11 3 2 4 4" xfId="16154"/>
    <cellStyle name="표준 7 11 3 2 4 5" xfId="16155"/>
    <cellStyle name="표준 7 11 3 2 5 2 2" xfId="16156"/>
    <cellStyle name="표준 7 11 3 2 5 3" xfId="16157"/>
    <cellStyle name="표준 7 11 3 2 5 3 2" xfId="16158"/>
    <cellStyle name="표준 7 11 3 2 5 4" xfId="16159"/>
    <cellStyle name="표준 7 11 3 2 5 5" xfId="16160"/>
    <cellStyle name="표준 7 11 3 2 6 2" xfId="16161"/>
    <cellStyle name="표준 7 11 3 2 7" xfId="16162"/>
    <cellStyle name="표준 7 11 3 2 7 2" xfId="16163"/>
    <cellStyle name="표준 7 11 3 2 8" xfId="16164"/>
    <cellStyle name="표준 7 11 3 2 9" xfId="16165"/>
    <cellStyle name="표준 7 11 3 3 2 2 2 2" xfId="16166"/>
    <cellStyle name="표준 7 11 3 3 2 2 3" xfId="16167"/>
    <cellStyle name="표준 7 11 3 3 2 2 3 2" xfId="16168"/>
    <cellStyle name="표준 7 11 3 3 2 2 4" xfId="16169"/>
    <cellStyle name="표준 7 11 3 3 2 2 5" xfId="16170"/>
    <cellStyle name="표준 7 11 3 3 2 3 2 2" xfId="16171"/>
    <cellStyle name="표준 7 11 3 3 2 3 3" xfId="16172"/>
    <cellStyle name="표준 7 11 3 3 2 3 3 2" xfId="16173"/>
    <cellStyle name="표준 7 11 3 3 2 3 4" xfId="16174"/>
    <cellStyle name="표준 7 11 3 3 2 3 5" xfId="16175"/>
    <cellStyle name="표준 7 11 3 3 2 4 2" xfId="16176"/>
    <cellStyle name="표준 7 11 3 3 2 5" xfId="16177"/>
    <cellStyle name="표준 7 11 3 3 2 5 2" xfId="16178"/>
    <cellStyle name="표준 7 11 3 3 2 6" xfId="16179"/>
    <cellStyle name="표준 7 11 3 3 2 7" xfId="16180"/>
    <cellStyle name="표준 7 11 3 3 3 2 2" xfId="16181"/>
    <cellStyle name="표준 7 11 3 3 3 3" xfId="16182"/>
    <cellStyle name="표준 7 11 3 3 3 3 2" xfId="16183"/>
    <cellStyle name="표준 7 11 3 3 3 4" xfId="16184"/>
    <cellStyle name="표준 7 11 3 3 3 5" xfId="16185"/>
    <cellStyle name="표준 7 11 3 3 4 2 2" xfId="16186"/>
    <cellStyle name="표준 7 11 3 3 4 3" xfId="16187"/>
    <cellStyle name="표준 7 11 3 3 4 3 2" xfId="16188"/>
    <cellStyle name="표준 7 11 3 3 4 4" xfId="16189"/>
    <cellStyle name="표준 7 11 3 3 4 5" xfId="16190"/>
    <cellStyle name="표준 7 11 3 3 5 2" xfId="16191"/>
    <cellStyle name="표준 7 11 3 3 6" xfId="16192"/>
    <cellStyle name="표준 7 11 3 3 6 2" xfId="16193"/>
    <cellStyle name="표준 7 11 3 3 7" xfId="16194"/>
    <cellStyle name="표준 7 11 3 3 8" xfId="16195"/>
    <cellStyle name="표준 7 11 3 4 2 2 2" xfId="16196"/>
    <cellStyle name="표준 7 11 3 4 2 3" xfId="16197"/>
    <cellStyle name="표준 7 11 3 4 2 3 2" xfId="16198"/>
    <cellStyle name="표준 7 11 3 4 2 4" xfId="16199"/>
    <cellStyle name="표준 7 11 3 4 2 5" xfId="16200"/>
    <cellStyle name="표준 7 11 3 4 3 2 2" xfId="16201"/>
    <cellStyle name="표준 7 11 3 4 3 3" xfId="16202"/>
    <cellStyle name="표준 7 11 3 4 3 3 2" xfId="16203"/>
    <cellStyle name="표준 7 11 3 4 3 4" xfId="16204"/>
    <cellStyle name="표준 7 11 3 4 3 5" xfId="16205"/>
    <cellStyle name="표준 7 11 3 4 4 2" xfId="16206"/>
    <cellStyle name="표준 7 11 3 4 5" xfId="16207"/>
    <cellStyle name="표준 7 11 3 4 5 2" xfId="16208"/>
    <cellStyle name="표준 7 11 3 4 6" xfId="16209"/>
    <cellStyle name="표준 7 11 3 4 7" xfId="16210"/>
    <cellStyle name="표준 7 11 3 5 2 2" xfId="16211"/>
    <cellStyle name="표준 7 11 3 5 3" xfId="16212"/>
    <cellStyle name="표준 7 11 3 5 3 2" xfId="16213"/>
    <cellStyle name="표준 7 11 3 5 4" xfId="16214"/>
    <cellStyle name="표준 7 11 3 5 5" xfId="16215"/>
    <cellStyle name="표준 7 11 3 6 2 2" xfId="16216"/>
    <cellStyle name="표준 7 11 3 6 3" xfId="16217"/>
    <cellStyle name="표준 7 11 3 6 3 2" xfId="16218"/>
    <cellStyle name="표준 7 11 3 6 4" xfId="16219"/>
    <cellStyle name="표준 7 11 3 6 5" xfId="16220"/>
    <cellStyle name="표준 7 11 3 7 2" xfId="16221"/>
    <cellStyle name="표준 7 11 3 8" xfId="16222"/>
    <cellStyle name="표준 7 11 3 8 2" xfId="16223"/>
    <cellStyle name="표준 7 11 3 9" xfId="16224"/>
    <cellStyle name="표준 7 11 4 10" xfId="16225"/>
    <cellStyle name="표준 7 11 4 2 2 2 2 2 2" xfId="16226"/>
    <cellStyle name="표준 7 11 4 2 2 2 2 3" xfId="16227"/>
    <cellStyle name="표준 7 11 4 2 2 2 2 3 2" xfId="16228"/>
    <cellStyle name="표준 7 11 4 2 2 2 2 4" xfId="16229"/>
    <cellStyle name="표준 7 11 4 2 2 2 2 5" xfId="16230"/>
    <cellStyle name="표준 7 11 4 2 2 2 3 2 2" xfId="16231"/>
    <cellStyle name="표준 7 11 4 2 2 2 3 3" xfId="16232"/>
    <cellStyle name="표준 7 11 4 2 2 2 3 3 2" xfId="16233"/>
    <cellStyle name="표준 7 11 4 2 2 2 3 4" xfId="16234"/>
    <cellStyle name="표준 7 11 4 2 2 2 3 5" xfId="16235"/>
    <cellStyle name="표준 7 11 4 2 2 2 4 2" xfId="16236"/>
    <cellStyle name="표준 7 11 4 2 2 2 5" xfId="16237"/>
    <cellStyle name="표준 7 11 4 2 2 2 5 2" xfId="16238"/>
    <cellStyle name="표준 7 11 4 2 2 2 6" xfId="16239"/>
    <cellStyle name="표준 7 11 4 2 2 2 7" xfId="16240"/>
    <cellStyle name="표준 7 11 4 2 2 3 2 2" xfId="16241"/>
    <cellStyle name="표준 7 11 4 2 2 3 3" xfId="16242"/>
    <cellStyle name="표준 7 11 4 2 2 3 3 2" xfId="16243"/>
    <cellStyle name="표준 7 11 4 2 2 3 4" xfId="16244"/>
    <cellStyle name="표준 7 11 4 2 2 3 5" xfId="16245"/>
    <cellStyle name="표준 7 11 4 2 2 4 2 2" xfId="16246"/>
    <cellStyle name="표준 7 11 4 2 2 4 3" xfId="16247"/>
    <cellStyle name="표준 7 11 4 2 2 4 3 2" xfId="16248"/>
    <cellStyle name="표준 7 11 4 2 2 4 4" xfId="16249"/>
    <cellStyle name="표준 7 11 4 2 2 4 5" xfId="16250"/>
    <cellStyle name="표준 7 11 4 2 2 5 2" xfId="16251"/>
    <cellStyle name="표준 7 11 4 2 2 6" xfId="16252"/>
    <cellStyle name="표준 7 11 4 2 2 6 2" xfId="16253"/>
    <cellStyle name="표준 7 11 4 2 2 7" xfId="16254"/>
    <cellStyle name="표준 7 11 4 2 2 8" xfId="16255"/>
    <cellStyle name="표준 7 11 4 2 3 2 2 2" xfId="16256"/>
    <cellStyle name="표준 7 11 4 2 3 2 3" xfId="16257"/>
    <cellStyle name="표준 7 11 4 2 3 2 3 2" xfId="16258"/>
    <cellStyle name="표준 7 11 4 2 3 2 4" xfId="16259"/>
    <cellStyle name="표준 7 11 4 2 3 2 5" xfId="16260"/>
    <cellStyle name="표준 7 11 4 2 3 3 2 2" xfId="16261"/>
    <cellStyle name="표준 7 11 4 2 3 3 3" xfId="16262"/>
    <cellStyle name="표준 7 11 4 2 3 3 3 2" xfId="16263"/>
    <cellStyle name="표준 7 11 4 2 3 3 4" xfId="16264"/>
    <cellStyle name="표준 7 11 4 2 3 3 5" xfId="16265"/>
    <cellStyle name="표준 7 11 4 2 3 4 2" xfId="16266"/>
    <cellStyle name="표준 7 11 4 2 3 5" xfId="16267"/>
    <cellStyle name="표준 7 11 4 2 3 5 2" xfId="16268"/>
    <cellStyle name="표준 7 11 4 2 3 6" xfId="16269"/>
    <cellStyle name="표준 7 11 4 2 3 7" xfId="16270"/>
    <cellStyle name="표준 7 11 4 2 4 2 2" xfId="16271"/>
    <cellStyle name="표준 7 11 4 2 4 3" xfId="16272"/>
    <cellStyle name="표준 7 11 4 2 4 3 2" xfId="16273"/>
    <cellStyle name="표준 7 11 4 2 4 4" xfId="16274"/>
    <cellStyle name="표준 7 11 4 2 4 5" xfId="16275"/>
    <cellStyle name="표준 7 11 4 2 5 2 2" xfId="16276"/>
    <cellStyle name="표준 7 11 4 2 5 3" xfId="16277"/>
    <cellStyle name="표준 7 11 4 2 5 3 2" xfId="16278"/>
    <cellStyle name="표준 7 11 4 2 5 4" xfId="16279"/>
    <cellStyle name="표준 7 11 4 2 5 5" xfId="16280"/>
    <cellStyle name="표준 7 11 4 2 6 2" xfId="16281"/>
    <cellStyle name="표준 7 11 4 2 7" xfId="16282"/>
    <cellStyle name="표준 7 11 4 2 7 2" xfId="16283"/>
    <cellStyle name="표준 7 11 4 2 8" xfId="16284"/>
    <cellStyle name="표준 7 11 4 2 9" xfId="16285"/>
    <cellStyle name="표준 7 11 4 3 2 2 2 2" xfId="16286"/>
    <cellStyle name="표준 7 11 4 3 2 2 3" xfId="16287"/>
    <cellStyle name="표준 7 11 4 3 2 2 3 2" xfId="16288"/>
    <cellStyle name="표준 7 11 4 3 2 2 4" xfId="16289"/>
    <cellStyle name="표준 7 11 4 3 2 2 5" xfId="16290"/>
    <cellStyle name="표준 7 11 4 3 2 3 2 2" xfId="16291"/>
    <cellStyle name="표준 7 11 4 3 2 3 3" xfId="16292"/>
    <cellStyle name="표준 7 11 4 3 2 3 3 2" xfId="16293"/>
    <cellStyle name="표준 7 11 4 3 2 3 4" xfId="16294"/>
    <cellStyle name="표준 7 11 4 3 2 3 5" xfId="16295"/>
    <cellStyle name="표준 7 11 4 3 2 4 2" xfId="16296"/>
    <cellStyle name="표준 7 11 4 3 2 5" xfId="16297"/>
    <cellStyle name="표준 7 11 4 3 2 5 2" xfId="16298"/>
    <cellStyle name="표준 7 11 4 3 2 6" xfId="16299"/>
    <cellStyle name="표준 7 11 4 3 2 7" xfId="16300"/>
    <cellStyle name="표준 7 11 4 3 3 2 2" xfId="16301"/>
    <cellStyle name="표준 7 11 4 3 3 3" xfId="16302"/>
    <cellStyle name="표준 7 11 4 3 3 3 2" xfId="16303"/>
    <cellStyle name="표준 7 11 4 3 3 4" xfId="16304"/>
    <cellStyle name="표준 7 11 4 3 3 5" xfId="16305"/>
    <cellStyle name="표준 7 11 4 3 4 2 2" xfId="16306"/>
    <cellStyle name="표준 7 11 4 3 4 3" xfId="16307"/>
    <cellStyle name="표준 7 11 4 3 4 3 2" xfId="16308"/>
    <cellStyle name="표준 7 11 4 3 4 4" xfId="16309"/>
    <cellStyle name="표준 7 11 4 3 4 5" xfId="16310"/>
    <cellStyle name="표준 7 11 4 3 5 2" xfId="16311"/>
    <cellStyle name="표준 7 11 4 3 6" xfId="16312"/>
    <cellStyle name="표준 7 11 4 3 6 2" xfId="16313"/>
    <cellStyle name="표준 7 11 4 3 7" xfId="16314"/>
    <cellStyle name="표준 7 11 4 3 8" xfId="16315"/>
    <cellStyle name="표준 7 11 4 4 2 2 2" xfId="16316"/>
    <cellStyle name="표준 7 11 4 4 2 3" xfId="16317"/>
    <cellStyle name="표준 7 11 4 4 2 3 2" xfId="16318"/>
    <cellStyle name="표준 7 11 4 4 2 4" xfId="16319"/>
    <cellStyle name="표준 7 11 4 4 2 5" xfId="16320"/>
    <cellStyle name="표준 7 11 4 4 3 2 2" xfId="16321"/>
    <cellStyle name="표준 7 11 4 4 3 3" xfId="16322"/>
    <cellStyle name="표준 7 11 4 4 3 3 2" xfId="16323"/>
    <cellStyle name="표준 7 11 4 4 3 4" xfId="16324"/>
    <cellStyle name="표준 7 11 4 4 3 5" xfId="16325"/>
    <cellStyle name="표준 7 11 4 4 4 2" xfId="16326"/>
    <cellStyle name="표준 7 11 4 4 5" xfId="16327"/>
    <cellStyle name="표준 7 11 4 4 5 2" xfId="16328"/>
    <cellStyle name="표준 7 11 4 4 6" xfId="16329"/>
    <cellStyle name="표준 7 11 4 4 7" xfId="16330"/>
    <cellStyle name="표준 7 11 4 5 2 2" xfId="16331"/>
    <cellStyle name="표준 7 11 4 5 3" xfId="16332"/>
    <cellStyle name="표준 7 11 4 5 3 2" xfId="16333"/>
    <cellStyle name="표준 7 11 4 5 4" xfId="16334"/>
    <cellStyle name="표준 7 11 4 5 5" xfId="16335"/>
    <cellStyle name="표준 7 11 4 6 2 2" xfId="16336"/>
    <cellStyle name="표준 7 11 4 6 3" xfId="16337"/>
    <cellStyle name="표준 7 11 4 6 3 2" xfId="16338"/>
    <cellStyle name="표준 7 11 4 6 4" xfId="16339"/>
    <cellStyle name="표준 7 11 4 6 5" xfId="16340"/>
    <cellStyle name="표준 7 11 4 7 2" xfId="16341"/>
    <cellStyle name="표준 7 11 4 8" xfId="16342"/>
    <cellStyle name="표준 7 11 4 8 2" xfId="16343"/>
    <cellStyle name="표준 7 11 4 9" xfId="16344"/>
    <cellStyle name="표준 7 11 5 2 2 2 2 2" xfId="16345"/>
    <cellStyle name="표준 7 11 5 2 2 2 3" xfId="16346"/>
    <cellStyle name="표준 7 11 5 2 2 2 3 2" xfId="16347"/>
    <cellStyle name="표준 7 11 5 2 2 2 4" xfId="16348"/>
    <cellStyle name="표준 7 11 5 2 2 2 5" xfId="16349"/>
    <cellStyle name="표준 7 11 5 2 2 3 2 2" xfId="16350"/>
    <cellStyle name="표준 7 11 5 2 2 3 3" xfId="16351"/>
    <cellStyle name="표준 7 11 5 2 2 3 3 2" xfId="16352"/>
    <cellStyle name="표준 7 11 5 2 2 3 4" xfId="16353"/>
    <cellStyle name="표준 7 11 5 2 2 3 5" xfId="16354"/>
    <cellStyle name="표준 7 11 5 2 2 4 2" xfId="16355"/>
    <cellStyle name="표준 7 11 5 2 2 5" xfId="16356"/>
    <cellStyle name="표준 7 11 5 2 2 5 2" xfId="16357"/>
    <cellStyle name="표준 7 11 5 2 2 6" xfId="16358"/>
    <cellStyle name="표준 7 11 5 2 2 7" xfId="16359"/>
    <cellStyle name="표준 7 11 5 2 3 2 2" xfId="16360"/>
    <cellStyle name="표준 7 11 5 2 3 3" xfId="16361"/>
    <cellStyle name="표준 7 11 5 2 3 3 2" xfId="16362"/>
    <cellStyle name="표준 7 11 5 2 3 4" xfId="16363"/>
    <cellStyle name="표준 7 11 5 2 3 5" xfId="16364"/>
    <cellStyle name="표준 7 11 5 2 4 2 2" xfId="16365"/>
    <cellStyle name="표준 7 11 5 2 4 3" xfId="16366"/>
    <cellStyle name="표준 7 11 5 2 4 3 2" xfId="16367"/>
    <cellStyle name="표준 7 11 5 2 4 4" xfId="16368"/>
    <cellStyle name="표준 7 11 5 2 4 5" xfId="16369"/>
    <cellStyle name="표준 7 11 5 2 5 2" xfId="16370"/>
    <cellStyle name="표준 7 11 5 2 6" xfId="16371"/>
    <cellStyle name="표준 7 11 5 2 6 2" xfId="16372"/>
    <cellStyle name="표준 7 11 5 2 7" xfId="16373"/>
    <cellStyle name="표준 7 11 5 2 8" xfId="16374"/>
    <cellStyle name="표준 7 11 5 3 2 2 2" xfId="16375"/>
    <cellStyle name="표준 7 11 5 3 2 3" xfId="16376"/>
    <cellStyle name="표준 7 11 5 3 2 3 2" xfId="16377"/>
    <cellStyle name="표준 7 11 5 3 2 4" xfId="16378"/>
    <cellStyle name="표준 7 11 5 3 2 5" xfId="16379"/>
    <cellStyle name="표준 7 11 5 3 3 2 2" xfId="16380"/>
    <cellStyle name="표준 7 11 5 3 3 3" xfId="16381"/>
    <cellStyle name="표준 7 11 5 3 3 3 2" xfId="16382"/>
    <cellStyle name="표준 7 11 5 3 3 4" xfId="16383"/>
    <cellStyle name="표준 7 11 5 3 3 5" xfId="16384"/>
    <cellStyle name="표준 7 11 5 3 4 2" xfId="16385"/>
    <cellStyle name="표준 7 11 5 3 5" xfId="16386"/>
    <cellStyle name="표준 7 11 5 3 5 2" xfId="16387"/>
    <cellStyle name="표준 7 11 5 3 6" xfId="16388"/>
    <cellStyle name="표준 7 11 5 3 7" xfId="16389"/>
    <cellStyle name="표준 7 11 5 4 2 2" xfId="16390"/>
    <cellStyle name="표준 7 11 5 4 3" xfId="16391"/>
    <cellStyle name="표준 7 11 5 4 3 2" xfId="16392"/>
    <cellStyle name="표준 7 11 5 4 4" xfId="16393"/>
    <cellStyle name="표준 7 11 5 4 5" xfId="16394"/>
    <cellStyle name="표준 7 11 5 5 2 2" xfId="16395"/>
    <cellStyle name="표준 7 11 5 5 3" xfId="16396"/>
    <cellStyle name="표준 7 11 5 5 3 2" xfId="16397"/>
    <cellStyle name="표준 7 11 5 5 4" xfId="16398"/>
    <cellStyle name="표준 7 11 5 5 5" xfId="16399"/>
    <cellStyle name="표준 7 11 5 6 2" xfId="16400"/>
    <cellStyle name="표준 7 11 5 7" xfId="16401"/>
    <cellStyle name="표준 7 11 5 7 2" xfId="16402"/>
    <cellStyle name="표준 7 11 5 8" xfId="16403"/>
    <cellStyle name="표준 7 11 5 9" xfId="16404"/>
    <cellStyle name="표준 7 11 6 2 2 2 2" xfId="16405"/>
    <cellStyle name="표준 7 11 6 2 2 3" xfId="16406"/>
    <cellStyle name="표준 7 11 6 2 2 3 2" xfId="16407"/>
    <cellStyle name="표준 7 11 6 2 2 4" xfId="16408"/>
    <cellStyle name="표준 7 11 6 2 2 5" xfId="16409"/>
    <cellStyle name="표준 7 11 6 2 3 2 2" xfId="16410"/>
    <cellStyle name="표준 7 11 6 2 3 3" xfId="16411"/>
    <cellStyle name="표준 7 11 6 2 3 3 2" xfId="16412"/>
    <cellStyle name="표준 7 11 6 2 3 4" xfId="16413"/>
    <cellStyle name="표준 7 11 6 2 3 5" xfId="16414"/>
    <cellStyle name="표준 7 11 6 2 4 2" xfId="16415"/>
    <cellStyle name="표준 7 11 6 2 5" xfId="16416"/>
    <cellStyle name="표준 7 11 6 2 5 2" xfId="16417"/>
    <cellStyle name="표준 7 11 6 2 6" xfId="16418"/>
    <cellStyle name="표준 7 11 6 2 7" xfId="16419"/>
    <cellStyle name="표준 7 11 6 3 2 2" xfId="16420"/>
    <cellStyle name="표준 7 11 6 3 3" xfId="16421"/>
    <cellStyle name="표준 7 11 6 3 3 2" xfId="16422"/>
    <cellStyle name="표준 7 11 6 3 4" xfId="16423"/>
    <cellStyle name="표준 7 11 6 3 5" xfId="16424"/>
    <cellStyle name="표준 7 11 6 4 2 2" xfId="16425"/>
    <cellStyle name="표준 7 11 6 4 3" xfId="16426"/>
    <cellStyle name="표준 7 11 6 4 3 2" xfId="16427"/>
    <cellStyle name="표준 7 11 6 4 4" xfId="16428"/>
    <cellStyle name="표준 7 11 6 4 5" xfId="16429"/>
    <cellStyle name="표준 7 11 6 5 2" xfId="16430"/>
    <cellStyle name="표준 7 11 6 6" xfId="16431"/>
    <cellStyle name="표준 7 11 6 6 2" xfId="16432"/>
    <cellStyle name="표준 7 11 6 7" xfId="16433"/>
    <cellStyle name="표준 7 11 6 8" xfId="16434"/>
    <cellStyle name="표준 7 11 7 2 2 2" xfId="16435"/>
    <cellStyle name="표준 7 11 7 2 3" xfId="16436"/>
    <cellStyle name="표준 7 11 7 2 3 2" xfId="16437"/>
    <cellStyle name="표준 7 11 7 2 4" xfId="16438"/>
    <cellStyle name="표준 7 11 7 2 5" xfId="16439"/>
    <cellStyle name="표준 7 11 7 3 2 2" xfId="16440"/>
    <cellStyle name="표준 7 11 7 3 3" xfId="16441"/>
    <cellStyle name="표준 7 11 7 3 3 2" xfId="16442"/>
    <cellStyle name="표준 7 11 7 3 4" xfId="16443"/>
    <cellStyle name="표준 7 11 7 3 5" xfId="16444"/>
    <cellStyle name="표준 7 11 7 4 2" xfId="16445"/>
    <cellStyle name="표준 7 11 7 5" xfId="16446"/>
    <cellStyle name="표준 7 11 7 5 2" xfId="16447"/>
    <cellStyle name="표준 7 11 7 6" xfId="16448"/>
    <cellStyle name="표준 7 11 7 7" xfId="16449"/>
    <cellStyle name="표준 7 11 8 2 2" xfId="16450"/>
    <cellStyle name="표준 7 11 8 3" xfId="16451"/>
    <cellStyle name="표준 7 11 8 3 2" xfId="16452"/>
    <cellStyle name="표준 7 11 8 4" xfId="16453"/>
    <cellStyle name="표준 7 11 8 5" xfId="16454"/>
    <cellStyle name="표준 7 11 9 2 2" xfId="16455"/>
    <cellStyle name="표준 7 11 9 3" xfId="16456"/>
    <cellStyle name="표준 7 11 9 3 2" xfId="16457"/>
    <cellStyle name="표준 7 11 9 4" xfId="16458"/>
    <cellStyle name="표준 7 11 9 5" xfId="16459"/>
    <cellStyle name="표준 7 12 10 2" xfId="16460"/>
    <cellStyle name="표준 7 12 11" xfId="16461"/>
    <cellStyle name="표준 7 12 11 2" xfId="16462"/>
    <cellStyle name="표준 7 12 12" xfId="16463"/>
    <cellStyle name="표준 7 12 13" xfId="16464"/>
    <cellStyle name="표준 7 12 2 10" xfId="16465"/>
    <cellStyle name="표준 7 12 2 2 2 2 2 2 2" xfId="16466"/>
    <cellStyle name="표준 7 12 2 2 2 2 2 3" xfId="16467"/>
    <cellStyle name="표준 7 12 2 2 2 2 2 3 2" xfId="16468"/>
    <cellStyle name="표준 7 12 2 2 2 2 2 4" xfId="16469"/>
    <cellStyle name="표준 7 12 2 2 2 2 2 5" xfId="16470"/>
    <cellStyle name="표준 7 12 2 2 2 2 3 2 2" xfId="16471"/>
    <cellStyle name="표준 7 12 2 2 2 2 3 3" xfId="16472"/>
    <cellStyle name="표준 7 12 2 2 2 2 3 3 2" xfId="16473"/>
    <cellStyle name="표준 7 12 2 2 2 2 3 4" xfId="16474"/>
    <cellStyle name="표준 7 12 2 2 2 2 3 5" xfId="16475"/>
    <cellStyle name="표준 7 12 2 2 2 2 4 2" xfId="16476"/>
    <cellStyle name="표준 7 12 2 2 2 2 5" xfId="16477"/>
    <cellStyle name="표준 7 12 2 2 2 2 5 2" xfId="16478"/>
    <cellStyle name="표준 7 12 2 2 2 2 6" xfId="16479"/>
    <cellStyle name="표준 7 12 2 2 2 2 7" xfId="16480"/>
    <cellStyle name="표준 7 12 2 2 2 3 2 2" xfId="16481"/>
    <cellStyle name="표준 7 12 2 2 2 3 3" xfId="16482"/>
    <cellStyle name="표준 7 12 2 2 2 3 3 2" xfId="16483"/>
    <cellStyle name="표준 7 12 2 2 2 3 4" xfId="16484"/>
    <cellStyle name="표준 7 12 2 2 2 3 5" xfId="16485"/>
    <cellStyle name="표준 7 12 2 2 2 4 2 2" xfId="16486"/>
    <cellStyle name="표준 7 12 2 2 2 4 3" xfId="16487"/>
    <cellStyle name="표준 7 12 2 2 2 4 3 2" xfId="16488"/>
    <cellStyle name="표준 7 12 2 2 2 4 4" xfId="16489"/>
    <cellStyle name="표준 7 12 2 2 2 4 5" xfId="16490"/>
    <cellStyle name="표준 7 12 2 2 2 5 2" xfId="16491"/>
    <cellStyle name="표준 7 12 2 2 2 6" xfId="16492"/>
    <cellStyle name="표준 7 12 2 2 2 6 2" xfId="16493"/>
    <cellStyle name="표준 7 12 2 2 2 7" xfId="16494"/>
    <cellStyle name="표준 7 12 2 2 2 8" xfId="16495"/>
    <cellStyle name="표준 7 12 2 2 3 2 2 2" xfId="16496"/>
    <cellStyle name="표준 7 12 2 2 3 2 3" xfId="16497"/>
    <cellStyle name="표준 7 12 2 2 3 2 3 2" xfId="16498"/>
    <cellStyle name="표준 7 12 2 2 3 2 4" xfId="16499"/>
    <cellStyle name="표준 7 12 2 2 3 2 5" xfId="16500"/>
    <cellStyle name="표준 7 12 2 2 3 3 2 2" xfId="16501"/>
    <cellStyle name="표준 7 12 2 2 3 3 3" xfId="16502"/>
    <cellStyle name="표준 7 12 2 2 3 3 3 2" xfId="16503"/>
    <cellStyle name="표준 7 12 2 2 3 3 4" xfId="16504"/>
    <cellStyle name="표준 7 12 2 2 3 3 5" xfId="16505"/>
    <cellStyle name="표준 7 12 2 2 3 4 2" xfId="16506"/>
    <cellStyle name="표준 7 12 2 2 3 5" xfId="16507"/>
    <cellStyle name="표준 7 12 2 2 3 5 2" xfId="16508"/>
    <cellStyle name="표준 7 12 2 2 3 6" xfId="16509"/>
    <cellStyle name="표준 7 12 2 2 3 7" xfId="16510"/>
    <cellStyle name="표준 7 12 2 2 4 2 2" xfId="16511"/>
    <cellStyle name="표준 7 12 2 2 4 3" xfId="16512"/>
    <cellStyle name="표준 7 12 2 2 4 3 2" xfId="16513"/>
    <cellStyle name="표준 7 12 2 2 4 4" xfId="16514"/>
    <cellStyle name="표준 7 12 2 2 4 5" xfId="16515"/>
    <cellStyle name="표준 7 12 2 2 5 2 2" xfId="16516"/>
    <cellStyle name="표준 7 12 2 2 5 3" xfId="16517"/>
    <cellStyle name="표준 7 12 2 2 5 3 2" xfId="16518"/>
    <cellStyle name="표준 7 12 2 2 5 4" xfId="16519"/>
    <cellStyle name="표준 7 12 2 2 5 5" xfId="16520"/>
    <cellStyle name="표준 7 12 2 2 6 2" xfId="16521"/>
    <cellStyle name="표준 7 12 2 2 7" xfId="16522"/>
    <cellStyle name="표준 7 12 2 2 7 2" xfId="16523"/>
    <cellStyle name="표준 7 12 2 2 8" xfId="16524"/>
    <cellStyle name="표준 7 12 2 2 9" xfId="16525"/>
    <cellStyle name="표준 7 12 2 3 2 2 2 2" xfId="16526"/>
    <cellStyle name="표준 7 12 2 3 2 2 3" xfId="16527"/>
    <cellStyle name="표준 7 12 2 3 2 2 3 2" xfId="16528"/>
    <cellStyle name="표준 7 12 2 3 2 2 4" xfId="16529"/>
    <cellStyle name="표준 7 12 2 3 2 2 5" xfId="16530"/>
    <cellStyle name="표준 7 12 2 3 2 3 2 2" xfId="16531"/>
    <cellStyle name="표준 7 12 2 3 2 3 3" xfId="16532"/>
    <cellStyle name="표준 7 12 2 3 2 3 3 2" xfId="16533"/>
    <cellStyle name="표준 7 12 2 3 2 3 4" xfId="16534"/>
    <cellStyle name="표준 7 12 2 3 2 3 5" xfId="16535"/>
    <cellStyle name="표준 7 12 2 3 2 4 2" xfId="16536"/>
    <cellStyle name="표준 7 12 2 3 2 5" xfId="16537"/>
    <cellStyle name="표준 7 12 2 3 2 5 2" xfId="16538"/>
    <cellStyle name="표준 7 12 2 3 2 6" xfId="16539"/>
    <cellStyle name="표준 7 12 2 3 2 7" xfId="16540"/>
    <cellStyle name="표준 7 12 2 3 3 2 2" xfId="16541"/>
    <cellStyle name="표준 7 12 2 3 3 3" xfId="16542"/>
    <cellStyle name="표준 7 12 2 3 3 3 2" xfId="16543"/>
    <cellStyle name="표준 7 12 2 3 3 4" xfId="16544"/>
    <cellStyle name="표준 7 12 2 3 3 5" xfId="16545"/>
    <cellStyle name="표준 7 12 2 3 4 2 2" xfId="16546"/>
    <cellStyle name="표준 7 12 2 3 4 3" xfId="16547"/>
    <cellStyle name="표준 7 12 2 3 4 3 2" xfId="16548"/>
    <cellStyle name="표준 7 12 2 3 4 4" xfId="16549"/>
    <cellStyle name="표준 7 12 2 3 4 5" xfId="16550"/>
    <cellStyle name="표준 7 12 2 3 5 2" xfId="16551"/>
    <cellStyle name="표준 7 12 2 3 6" xfId="16552"/>
    <cellStyle name="표준 7 12 2 3 6 2" xfId="16553"/>
    <cellStyle name="표준 7 12 2 3 7" xfId="16554"/>
    <cellStyle name="표준 7 12 2 3 8" xfId="16555"/>
    <cellStyle name="표준 7 12 2 4 2 2 2" xfId="16556"/>
    <cellStyle name="표준 7 12 2 4 2 3" xfId="16557"/>
    <cellStyle name="표준 7 12 2 4 2 3 2" xfId="16558"/>
    <cellStyle name="표준 7 12 2 4 2 4" xfId="16559"/>
    <cellStyle name="표준 7 12 2 4 2 5" xfId="16560"/>
    <cellStyle name="표준 7 12 2 4 3 2 2" xfId="16561"/>
    <cellStyle name="표준 7 12 2 4 3 3" xfId="16562"/>
    <cellStyle name="표준 7 12 2 4 3 3 2" xfId="16563"/>
    <cellStyle name="표준 7 12 2 4 3 4" xfId="16564"/>
    <cellStyle name="표준 7 12 2 4 3 5" xfId="16565"/>
    <cellStyle name="표준 7 12 2 4 4 2" xfId="16566"/>
    <cellStyle name="표준 7 12 2 4 5" xfId="16567"/>
    <cellStyle name="표준 7 12 2 4 5 2" xfId="16568"/>
    <cellStyle name="표준 7 12 2 4 6" xfId="16569"/>
    <cellStyle name="표준 7 12 2 4 7" xfId="16570"/>
    <cellStyle name="표준 7 12 2 5 2 2" xfId="16571"/>
    <cellStyle name="표준 7 12 2 5 3" xfId="16572"/>
    <cellStyle name="표준 7 12 2 5 3 2" xfId="16573"/>
    <cellStyle name="표준 7 12 2 5 4" xfId="16574"/>
    <cellStyle name="표준 7 12 2 5 5" xfId="16575"/>
    <cellStyle name="표준 7 12 2 6 2 2" xfId="16576"/>
    <cellStyle name="표준 7 12 2 6 3" xfId="16577"/>
    <cellStyle name="표준 7 12 2 6 3 2" xfId="16578"/>
    <cellStyle name="표준 7 12 2 6 4" xfId="16579"/>
    <cellStyle name="표준 7 12 2 6 5" xfId="16580"/>
    <cellStyle name="표준 7 12 2 7 2" xfId="16581"/>
    <cellStyle name="표준 7 12 2 8" xfId="16582"/>
    <cellStyle name="표준 7 12 2 8 2" xfId="16583"/>
    <cellStyle name="표준 7 12 2 9" xfId="16584"/>
    <cellStyle name="표준 7 12 3 10" xfId="16585"/>
    <cellStyle name="표준 7 12 3 2 2 2 2 2 2" xfId="16586"/>
    <cellStyle name="표준 7 12 3 2 2 2 2 3" xfId="16587"/>
    <cellStyle name="표준 7 12 3 2 2 2 2 3 2" xfId="16588"/>
    <cellStyle name="표준 7 12 3 2 2 2 2 4" xfId="16589"/>
    <cellStyle name="표준 7 12 3 2 2 2 2 5" xfId="16590"/>
    <cellStyle name="표준 7 12 3 2 2 2 3 2 2" xfId="16591"/>
    <cellStyle name="표준 7 12 3 2 2 2 3 3" xfId="16592"/>
    <cellStyle name="표준 7 12 3 2 2 2 3 3 2" xfId="16593"/>
    <cellStyle name="표준 7 12 3 2 2 2 3 4" xfId="16594"/>
    <cellStyle name="표준 7 12 3 2 2 2 3 5" xfId="16595"/>
    <cellStyle name="표준 7 12 3 2 2 2 4 2" xfId="16596"/>
    <cellStyle name="표준 7 12 3 2 2 2 5" xfId="16597"/>
    <cellStyle name="표준 7 12 3 2 2 2 5 2" xfId="16598"/>
    <cellStyle name="표준 7 12 3 2 2 2 6" xfId="16599"/>
    <cellStyle name="표준 7 12 3 2 2 2 7" xfId="16600"/>
    <cellStyle name="표준 7 12 3 2 2 3 2 2" xfId="16601"/>
    <cellStyle name="표준 7 12 3 2 2 3 3" xfId="16602"/>
    <cellStyle name="표준 7 12 3 2 2 3 3 2" xfId="16603"/>
    <cellStyle name="표준 7 12 3 2 2 3 4" xfId="16604"/>
    <cellStyle name="표준 7 12 3 2 2 3 5" xfId="16605"/>
    <cellStyle name="표준 7 12 3 2 2 4 2 2" xfId="16606"/>
    <cellStyle name="표준 7 12 3 2 2 4 3" xfId="16607"/>
    <cellStyle name="표준 7 12 3 2 2 4 3 2" xfId="16608"/>
    <cellStyle name="표준 7 12 3 2 2 4 4" xfId="16609"/>
    <cellStyle name="표준 7 12 3 2 2 4 5" xfId="16610"/>
    <cellStyle name="표준 7 12 3 2 2 5 2" xfId="16611"/>
    <cellStyle name="표준 7 12 3 2 2 6" xfId="16612"/>
    <cellStyle name="표준 7 12 3 2 2 6 2" xfId="16613"/>
    <cellStyle name="표준 7 12 3 2 2 7" xfId="16614"/>
    <cellStyle name="표준 7 12 3 2 2 8" xfId="16615"/>
    <cellStyle name="표준 7 12 3 2 3 2 2 2" xfId="16616"/>
    <cellStyle name="표준 7 12 3 2 3 2 3" xfId="16617"/>
    <cellStyle name="표준 7 12 3 2 3 2 3 2" xfId="16618"/>
    <cellStyle name="표준 7 12 3 2 3 2 4" xfId="16619"/>
    <cellStyle name="표준 7 12 3 2 3 2 5" xfId="16620"/>
    <cellStyle name="표준 7 12 3 2 3 3 2 2" xfId="16621"/>
    <cellStyle name="표준 7 12 3 2 3 3 3" xfId="16622"/>
    <cellStyle name="표준 7 12 3 2 3 3 3 2" xfId="16623"/>
    <cellStyle name="표준 7 12 3 2 3 3 4" xfId="16624"/>
    <cellStyle name="표준 7 12 3 2 3 3 5" xfId="16625"/>
    <cellStyle name="표준 7 12 3 2 3 4 2" xfId="16626"/>
    <cellStyle name="표준 7 12 3 2 3 5" xfId="16627"/>
    <cellStyle name="표준 7 12 3 2 3 5 2" xfId="16628"/>
    <cellStyle name="표준 7 12 3 2 3 6" xfId="16629"/>
    <cellStyle name="표준 7 12 3 2 3 7" xfId="16630"/>
    <cellStyle name="표준 7 12 3 2 4 2 2" xfId="16631"/>
    <cellStyle name="표준 7 12 3 2 4 3" xfId="16632"/>
    <cellStyle name="표준 7 12 3 2 4 3 2" xfId="16633"/>
    <cellStyle name="표준 7 12 3 2 4 4" xfId="16634"/>
    <cellStyle name="표준 7 12 3 2 4 5" xfId="16635"/>
    <cellStyle name="표준 7 12 3 2 5 2 2" xfId="16636"/>
    <cellStyle name="표준 7 12 3 2 5 3" xfId="16637"/>
    <cellStyle name="표준 7 12 3 2 5 3 2" xfId="16638"/>
    <cellStyle name="표준 7 12 3 2 5 4" xfId="16639"/>
    <cellStyle name="표준 7 12 3 2 5 5" xfId="16640"/>
    <cellStyle name="표준 7 12 3 2 6 2" xfId="16641"/>
    <cellStyle name="표준 7 12 3 2 7" xfId="16642"/>
    <cellStyle name="표준 7 12 3 2 7 2" xfId="16643"/>
    <cellStyle name="표준 7 12 3 2 8" xfId="16644"/>
    <cellStyle name="표준 7 12 3 2 9" xfId="16645"/>
    <cellStyle name="표준 7 12 3 3 2 2 2 2" xfId="16646"/>
    <cellStyle name="표준 7 12 3 3 2 2 3" xfId="16647"/>
    <cellStyle name="표준 7 12 3 3 2 2 3 2" xfId="16648"/>
    <cellStyle name="표준 7 12 3 3 2 2 4" xfId="16649"/>
    <cellStyle name="표준 7 12 3 3 2 2 5" xfId="16650"/>
    <cellStyle name="표준 7 12 3 3 2 3 2 2" xfId="16651"/>
    <cellStyle name="표준 7 12 3 3 2 3 3" xfId="16652"/>
    <cellStyle name="표준 7 12 3 3 2 3 3 2" xfId="16653"/>
    <cellStyle name="표준 7 12 3 3 2 3 4" xfId="16654"/>
    <cellStyle name="표준 7 12 3 3 2 3 5" xfId="16655"/>
    <cellStyle name="표준 7 12 3 3 2 4 2" xfId="16656"/>
    <cellStyle name="표준 7 12 3 3 2 5" xfId="16657"/>
    <cellStyle name="표준 7 12 3 3 2 5 2" xfId="16658"/>
    <cellStyle name="표준 7 12 3 3 2 6" xfId="16659"/>
    <cellStyle name="표준 7 12 3 3 2 7" xfId="16660"/>
    <cellStyle name="표준 7 12 3 3 3 2 2" xfId="16661"/>
    <cellStyle name="표준 7 12 3 3 3 3" xfId="16662"/>
    <cellStyle name="표준 7 12 3 3 3 3 2" xfId="16663"/>
    <cellStyle name="표준 7 12 3 3 3 4" xfId="16664"/>
    <cellStyle name="표준 7 12 3 3 3 5" xfId="16665"/>
    <cellStyle name="표준 7 12 3 3 4 2 2" xfId="16666"/>
    <cellStyle name="표준 7 12 3 3 4 3" xfId="16667"/>
    <cellStyle name="표준 7 12 3 3 4 3 2" xfId="16668"/>
    <cellStyle name="표준 7 12 3 3 4 4" xfId="16669"/>
    <cellStyle name="표준 7 12 3 3 4 5" xfId="16670"/>
    <cellStyle name="표준 7 12 3 3 5 2" xfId="16671"/>
    <cellStyle name="표준 7 12 3 3 6" xfId="16672"/>
    <cellStyle name="표준 7 12 3 3 6 2" xfId="16673"/>
    <cellStyle name="표준 7 12 3 3 7" xfId="16674"/>
    <cellStyle name="표준 7 12 3 3 8" xfId="16675"/>
    <cellStyle name="표준 7 12 3 4 2 2 2" xfId="16676"/>
    <cellStyle name="표준 7 12 3 4 2 3" xfId="16677"/>
    <cellStyle name="표준 7 12 3 4 2 3 2" xfId="16678"/>
    <cellStyle name="표준 7 12 3 4 2 4" xfId="16679"/>
    <cellStyle name="표준 7 12 3 4 2 5" xfId="16680"/>
    <cellStyle name="표준 7 12 3 4 3 2 2" xfId="16681"/>
    <cellStyle name="표준 7 12 3 4 3 3" xfId="16682"/>
    <cellStyle name="표준 7 12 3 4 3 3 2" xfId="16683"/>
    <cellStyle name="표준 7 12 3 4 3 4" xfId="16684"/>
    <cellStyle name="표준 7 12 3 4 3 5" xfId="16685"/>
    <cellStyle name="표준 7 12 3 4 4 2" xfId="16686"/>
    <cellStyle name="표준 7 12 3 4 5" xfId="16687"/>
    <cellStyle name="표준 7 12 3 4 5 2" xfId="16688"/>
    <cellStyle name="표준 7 12 3 4 6" xfId="16689"/>
    <cellStyle name="표준 7 12 3 4 7" xfId="16690"/>
    <cellStyle name="표준 7 12 3 5 2 2" xfId="16691"/>
    <cellStyle name="표준 7 12 3 5 3" xfId="16692"/>
    <cellStyle name="표준 7 12 3 5 3 2" xfId="16693"/>
    <cellStyle name="표준 7 12 3 5 4" xfId="16694"/>
    <cellStyle name="표준 7 12 3 5 5" xfId="16695"/>
    <cellStyle name="표준 7 12 3 6 2 2" xfId="16696"/>
    <cellStyle name="표준 7 12 3 6 3" xfId="16697"/>
    <cellStyle name="표준 7 12 3 6 3 2" xfId="16698"/>
    <cellStyle name="표준 7 12 3 6 4" xfId="16699"/>
    <cellStyle name="표준 7 12 3 6 5" xfId="16700"/>
    <cellStyle name="표준 7 12 3 7 2" xfId="16701"/>
    <cellStyle name="표준 7 12 3 8" xfId="16702"/>
    <cellStyle name="표준 7 12 3 8 2" xfId="16703"/>
    <cellStyle name="표준 7 12 3 9" xfId="16704"/>
    <cellStyle name="표준 7 12 4 10" xfId="16705"/>
    <cellStyle name="표준 7 12 4 2 2 2 2 2 2" xfId="16706"/>
    <cellStyle name="표준 7 12 4 2 2 2 2 3" xfId="16707"/>
    <cellStyle name="표준 7 12 4 2 2 2 2 3 2" xfId="16708"/>
    <cellStyle name="표준 7 12 4 2 2 2 2 4" xfId="16709"/>
    <cellStyle name="표준 7 12 4 2 2 2 2 5" xfId="16710"/>
    <cellStyle name="표준 7 12 4 2 2 2 3 2 2" xfId="16711"/>
    <cellStyle name="표준 7 12 4 2 2 2 3 3" xfId="16712"/>
    <cellStyle name="표준 7 12 4 2 2 2 3 3 2" xfId="16713"/>
    <cellStyle name="표준 7 12 4 2 2 2 3 4" xfId="16714"/>
    <cellStyle name="표준 7 12 4 2 2 2 3 5" xfId="16715"/>
    <cellStyle name="표준 7 12 4 2 2 2 4 2" xfId="16716"/>
    <cellStyle name="표준 7 12 4 2 2 2 5" xfId="16717"/>
    <cellStyle name="표준 7 12 4 2 2 2 5 2" xfId="16718"/>
    <cellStyle name="표준 7 12 4 2 2 2 6" xfId="16719"/>
    <cellStyle name="표준 7 12 4 2 2 2 7" xfId="16720"/>
    <cellStyle name="표준 7 12 4 2 2 3 2 2" xfId="16721"/>
    <cellStyle name="표준 7 12 4 2 2 3 3" xfId="16722"/>
    <cellStyle name="표준 7 12 4 2 2 3 3 2" xfId="16723"/>
    <cellStyle name="표준 7 12 4 2 2 3 4" xfId="16724"/>
    <cellStyle name="표준 7 12 4 2 2 3 5" xfId="16725"/>
    <cellStyle name="표준 7 12 4 2 2 4 2 2" xfId="16726"/>
    <cellStyle name="표준 7 12 4 2 2 4 3" xfId="16727"/>
    <cellStyle name="표준 7 12 4 2 2 4 3 2" xfId="16728"/>
    <cellStyle name="표준 7 12 4 2 2 4 4" xfId="16729"/>
    <cellStyle name="표준 7 12 4 2 2 4 5" xfId="16730"/>
    <cellStyle name="표준 7 12 4 2 2 5 2" xfId="16731"/>
    <cellStyle name="표준 7 12 4 2 2 6" xfId="16732"/>
    <cellStyle name="표준 7 12 4 2 2 6 2" xfId="16733"/>
    <cellStyle name="표준 7 12 4 2 2 7" xfId="16734"/>
    <cellStyle name="표준 7 12 4 2 2 8" xfId="16735"/>
    <cellStyle name="표준 7 12 4 2 3 2 2 2" xfId="16736"/>
    <cellStyle name="표준 7 12 4 2 3 2 3" xfId="16737"/>
    <cellStyle name="표준 7 12 4 2 3 2 3 2" xfId="16738"/>
    <cellStyle name="표준 7 12 4 2 3 2 4" xfId="16739"/>
    <cellStyle name="표준 7 12 4 2 3 2 5" xfId="16740"/>
    <cellStyle name="표준 7 12 4 2 3 3 2 2" xfId="16741"/>
    <cellStyle name="표준 7 12 4 2 3 3 3" xfId="16742"/>
    <cellStyle name="표준 7 12 4 2 3 3 3 2" xfId="16743"/>
    <cellStyle name="표준 7 12 4 2 3 3 4" xfId="16744"/>
    <cellStyle name="표준 7 12 4 2 3 3 5" xfId="16745"/>
    <cellStyle name="표준 7 12 4 2 3 4 2" xfId="16746"/>
    <cellStyle name="표준 7 12 4 2 3 5" xfId="16747"/>
    <cellStyle name="표준 7 12 4 2 3 5 2" xfId="16748"/>
    <cellStyle name="표준 7 12 4 2 3 6" xfId="16749"/>
    <cellStyle name="표준 7 12 4 2 3 7" xfId="16750"/>
    <cellStyle name="표준 7 12 4 2 4 2 2" xfId="16751"/>
    <cellStyle name="표준 7 12 4 2 4 3" xfId="16752"/>
    <cellStyle name="표준 7 12 4 2 4 3 2" xfId="16753"/>
    <cellStyle name="표준 7 12 4 2 4 4" xfId="16754"/>
    <cellStyle name="표준 7 12 4 2 4 5" xfId="16755"/>
    <cellStyle name="표준 7 12 4 2 5 2 2" xfId="16756"/>
    <cellStyle name="표준 7 12 4 2 5 3" xfId="16757"/>
    <cellStyle name="표준 7 12 4 2 5 3 2" xfId="16758"/>
    <cellStyle name="표준 7 12 4 2 5 4" xfId="16759"/>
    <cellStyle name="표준 7 12 4 2 5 5" xfId="16760"/>
    <cellStyle name="표준 7 12 4 2 6 2" xfId="16761"/>
    <cellStyle name="표준 7 12 4 2 7" xfId="16762"/>
    <cellStyle name="표준 7 12 4 2 7 2" xfId="16763"/>
    <cellStyle name="표준 7 12 4 2 8" xfId="16764"/>
    <cellStyle name="표준 7 12 4 2 9" xfId="16765"/>
    <cellStyle name="표준 7 12 4 3 2 2 2 2" xfId="16766"/>
    <cellStyle name="표준 7 12 4 3 2 2 3" xfId="16767"/>
    <cellStyle name="표준 7 12 4 3 2 2 3 2" xfId="16768"/>
    <cellStyle name="표준 7 12 4 3 2 2 4" xfId="16769"/>
    <cellStyle name="표준 7 12 4 3 2 2 5" xfId="16770"/>
    <cellStyle name="표준 7 12 4 3 2 3 2 2" xfId="16771"/>
    <cellStyle name="표준 7 12 4 3 2 3 3" xfId="16772"/>
    <cellStyle name="표준 7 12 4 3 2 3 3 2" xfId="16773"/>
    <cellStyle name="표준 7 12 4 3 2 3 4" xfId="16774"/>
    <cellStyle name="표준 7 12 4 3 2 3 5" xfId="16775"/>
    <cellStyle name="표준 7 12 4 3 2 4 2" xfId="16776"/>
    <cellStyle name="표준 7 12 4 3 2 5" xfId="16777"/>
    <cellStyle name="표준 7 12 4 3 2 5 2" xfId="16778"/>
    <cellStyle name="표준 7 12 4 3 2 6" xfId="16779"/>
    <cellStyle name="표준 7 12 4 3 2 7" xfId="16780"/>
    <cellStyle name="표준 7 12 4 3 3 2 2" xfId="16781"/>
    <cellStyle name="표준 7 12 4 3 3 3" xfId="16782"/>
    <cellStyle name="표준 7 12 4 3 3 3 2" xfId="16783"/>
    <cellStyle name="표준 7 12 4 3 3 4" xfId="16784"/>
    <cellStyle name="표준 7 12 4 3 3 5" xfId="16785"/>
    <cellStyle name="표준 7 12 4 3 4 2 2" xfId="16786"/>
    <cellStyle name="표준 7 12 4 3 4 3" xfId="16787"/>
    <cellStyle name="표준 7 12 4 3 4 3 2" xfId="16788"/>
    <cellStyle name="표준 7 12 4 3 4 4" xfId="16789"/>
    <cellStyle name="표준 7 12 4 3 4 5" xfId="16790"/>
    <cellStyle name="표준 7 12 4 3 5 2" xfId="16791"/>
    <cellStyle name="표준 7 12 4 3 6" xfId="16792"/>
    <cellStyle name="표준 7 12 4 3 6 2" xfId="16793"/>
    <cellStyle name="표준 7 12 4 3 7" xfId="16794"/>
    <cellStyle name="표준 7 12 4 3 8" xfId="16795"/>
    <cellStyle name="표준 7 12 4 4 2 2 2" xfId="16796"/>
    <cellStyle name="표준 7 12 4 4 2 3" xfId="16797"/>
    <cellStyle name="표준 7 12 4 4 2 3 2" xfId="16798"/>
    <cellStyle name="표준 7 12 4 4 2 4" xfId="16799"/>
    <cellStyle name="표준 7 12 4 4 2 5" xfId="16800"/>
    <cellStyle name="표준 7 12 4 4 3 2 2" xfId="16801"/>
    <cellStyle name="표준 7 12 4 4 3 3" xfId="16802"/>
    <cellStyle name="표준 7 12 4 4 3 3 2" xfId="16803"/>
    <cellStyle name="표준 7 12 4 4 3 4" xfId="16804"/>
    <cellStyle name="표준 7 12 4 4 3 5" xfId="16805"/>
    <cellStyle name="표준 7 12 4 4 4 2" xfId="16806"/>
    <cellStyle name="표준 7 12 4 4 5" xfId="16807"/>
    <cellStyle name="표준 7 12 4 4 5 2" xfId="16808"/>
    <cellStyle name="표준 7 12 4 4 6" xfId="16809"/>
    <cellStyle name="표준 7 12 4 4 7" xfId="16810"/>
    <cellStyle name="표준 7 12 4 5 2 2" xfId="16811"/>
    <cellStyle name="표준 7 12 4 5 3" xfId="16812"/>
    <cellStyle name="표준 7 12 4 5 3 2" xfId="16813"/>
    <cellStyle name="표준 7 12 4 5 4" xfId="16814"/>
    <cellStyle name="표준 7 12 4 5 5" xfId="16815"/>
    <cellStyle name="표준 7 12 4 6 2 2" xfId="16816"/>
    <cellStyle name="표준 7 12 4 6 3" xfId="16817"/>
    <cellStyle name="표준 7 12 4 6 3 2" xfId="16818"/>
    <cellStyle name="표준 7 12 4 6 4" xfId="16819"/>
    <cellStyle name="표준 7 12 4 6 5" xfId="16820"/>
    <cellStyle name="표준 7 12 4 7 2" xfId="16821"/>
    <cellStyle name="표준 7 12 4 8" xfId="16822"/>
    <cellStyle name="표준 7 12 4 8 2" xfId="16823"/>
    <cellStyle name="표준 7 12 4 9" xfId="16824"/>
    <cellStyle name="표준 7 12 5 2 2 2 2 2" xfId="16825"/>
    <cellStyle name="표준 7 12 5 2 2 2 3" xfId="16826"/>
    <cellStyle name="표준 7 12 5 2 2 2 3 2" xfId="16827"/>
    <cellStyle name="표준 7 12 5 2 2 2 4" xfId="16828"/>
    <cellStyle name="표준 7 12 5 2 2 2 5" xfId="16829"/>
    <cellStyle name="표준 7 12 5 2 2 3 2 2" xfId="16830"/>
    <cellStyle name="표준 7 12 5 2 2 3 3" xfId="16831"/>
    <cellStyle name="표준 7 12 5 2 2 3 3 2" xfId="16832"/>
    <cellStyle name="표준 7 12 5 2 2 3 4" xfId="16833"/>
    <cellStyle name="표준 7 12 5 2 2 3 5" xfId="16834"/>
    <cellStyle name="표준 7 12 5 2 2 4 2" xfId="16835"/>
    <cellStyle name="표준 7 12 5 2 2 5" xfId="16836"/>
    <cellStyle name="표준 7 12 5 2 2 5 2" xfId="16837"/>
    <cellStyle name="표준 7 12 5 2 2 6" xfId="16838"/>
    <cellStyle name="표준 7 12 5 2 2 7" xfId="16839"/>
    <cellStyle name="표준 7 12 5 2 3 2 2" xfId="16840"/>
    <cellStyle name="표준 7 12 5 2 3 3" xfId="16841"/>
    <cellStyle name="표준 7 12 5 2 3 3 2" xfId="16842"/>
    <cellStyle name="표준 7 12 5 2 3 4" xfId="16843"/>
    <cellStyle name="표준 7 12 5 2 3 5" xfId="16844"/>
    <cellStyle name="표준 7 12 5 2 4 2 2" xfId="16845"/>
    <cellStyle name="표준 7 12 5 2 4 3" xfId="16846"/>
    <cellStyle name="표준 7 12 5 2 4 3 2" xfId="16847"/>
    <cellStyle name="표준 7 12 5 2 4 4" xfId="16848"/>
    <cellStyle name="표준 7 12 5 2 4 5" xfId="16849"/>
    <cellStyle name="표준 7 12 5 2 5 2" xfId="16850"/>
    <cellStyle name="표준 7 12 5 2 6" xfId="16851"/>
    <cellStyle name="표준 7 12 5 2 6 2" xfId="16852"/>
    <cellStyle name="표준 7 12 5 2 7" xfId="16853"/>
    <cellStyle name="표준 7 12 5 2 8" xfId="16854"/>
    <cellStyle name="표준 7 12 5 3 2 2 2" xfId="16855"/>
    <cellStyle name="표준 7 12 5 3 2 3" xfId="16856"/>
    <cellStyle name="표준 7 12 5 3 2 3 2" xfId="16857"/>
    <cellStyle name="표준 7 12 5 3 2 4" xfId="16858"/>
    <cellStyle name="표준 7 12 5 3 2 5" xfId="16859"/>
    <cellStyle name="표준 7 12 5 3 3 2 2" xfId="16860"/>
    <cellStyle name="표준 7 12 5 3 3 3" xfId="16861"/>
    <cellStyle name="표준 7 12 5 3 3 3 2" xfId="16862"/>
    <cellStyle name="표준 7 12 5 3 3 4" xfId="16863"/>
    <cellStyle name="표준 7 12 5 3 3 5" xfId="16864"/>
    <cellStyle name="표준 7 12 5 3 4 2" xfId="16865"/>
    <cellStyle name="표준 7 12 5 3 5" xfId="16866"/>
    <cellStyle name="표준 7 12 5 3 5 2" xfId="16867"/>
    <cellStyle name="표준 7 12 5 3 6" xfId="16868"/>
    <cellStyle name="표준 7 12 5 3 7" xfId="16869"/>
    <cellStyle name="표준 7 12 5 4 2 2" xfId="16870"/>
    <cellStyle name="표준 7 12 5 4 3" xfId="16871"/>
    <cellStyle name="표준 7 12 5 4 3 2" xfId="16872"/>
    <cellStyle name="표준 7 12 5 4 4" xfId="16873"/>
    <cellStyle name="표준 7 12 5 4 5" xfId="16874"/>
    <cellStyle name="표준 7 12 5 5 2 2" xfId="16875"/>
    <cellStyle name="표준 7 12 5 5 3" xfId="16876"/>
    <cellStyle name="표준 7 12 5 5 3 2" xfId="16877"/>
    <cellStyle name="표준 7 12 5 5 4" xfId="16878"/>
    <cellStyle name="표준 7 12 5 5 5" xfId="16879"/>
    <cellStyle name="표준 7 12 5 6 2" xfId="16880"/>
    <cellStyle name="표준 7 12 5 7" xfId="16881"/>
    <cellStyle name="표준 7 12 5 7 2" xfId="16882"/>
    <cellStyle name="표준 7 12 5 8" xfId="16883"/>
    <cellStyle name="표준 7 12 5 9" xfId="16884"/>
    <cellStyle name="표준 7 12 6 2 2 2 2" xfId="16885"/>
    <cellStyle name="표준 7 12 6 2 2 3" xfId="16886"/>
    <cellStyle name="표준 7 12 6 2 2 3 2" xfId="16887"/>
    <cellStyle name="표준 7 12 6 2 2 4" xfId="16888"/>
    <cellStyle name="표준 7 12 6 2 2 5" xfId="16889"/>
    <cellStyle name="표준 7 12 6 2 3 2 2" xfId="16890"/>
    <cellStyle name="표준 7 12 6 2 3 3" xfId="16891"/>
    <cellStyle name="표준 7 12 6 2 3 3 2" xfId="16892"/>
    <cellStyle name="표준 7 12 6 2 3 4" xfId="16893"/>
    <cellStyle name="표준 7 12 6 2 3 5" xfId="16894"/>
    <cellStyle name="표준 7 12 6 2 4 2" xfId="16895"/>
    <cellStyle name="표준 7 12 6 2 5" xfId="16896"/>
    <cellStyle name="표준 7 12 6 2 5 2" xfId="16897"/>
    <cellStyle name="표준 7 12 6 2 6" xfId="16898"/>
    <cellStyle name="표준 7 12 6 2 7" xfId="16899"/>
    <cellStyle name="표준 7 12 6 3 2 2" xfId="16900"/>
    <cellStyle name="표준 7 12 6 3 3" xfId="16901"/>
    <cellStyle name="표준 7 12 6 3 3 2" xfId="16902"/>
    <cellStyle name="표준 7 12 6 3 4" xfId="16903"/>
    <cellStyle name="표준 7 12 6 3 5" xfId="16904"/>
    <cellStyle name="표준 7 12 6 4 2 2" xfId="16905"/>
    <cellStyle name="표준 7 12 6 4 3" xfId="16906"/>
    <cellStyle name="표준 7 12 6 4 3 2" xfId="16907"/>
    <cellStyle name="표준 7 12 6 4 4" xfId="16908"/>
    <cellStyle name="표준 7 12 6 4 5" xfId="16909"/>
    <cellStyle name="표준 7 12 6 5 2" xfId="16910"/>
    <cellStyle name="표준 7 12 6 6" xfId="16911"/>
    <cellStyle name="표준 7 12 6 6 2" xfId="16912"/>
    <cellStyle name="표준 7 12 6 7" xfId="16913"/>
    <cellStyle name="표준 7 12 6 8" xfId="16914"/>
    <cellStyle name="표준 7 12 7 2 2 2" xfId="16915"/>
    <cellStyle name="표준 7 12 7 2 3" xfId="16916"/>
    <cellStyle name="표준 7 12 7 2 3 2" xfId="16917"/>
    <cellStyle name="표준 7 12 7 2 4" xfId="16918"/>
    <cellStyle name="표준 7 12 7 2 5" xfId="16919"/>
    <cellStyle name="표준 7 12 7 3 2 2" xfId="16920"/>
    <cellStyle name="표준 7 12 7 3 3" xfId="16921"/>
    <cellStyle name="표준 7 12 7 3 3 2" xfId="16922"/>
    <cellStyle name="표준 7 12 7 3 4" xfId="16923"/>
    <cellStyle name="표준 7 12 7 3 5" xfId="16924"/>
    <cellStyle name="표준 7 12 7 4 2" xfId="16925"/>
    <cellStyle name="표준 7 12 7 5" xfId="16926"/>
    <cellStyle name="표준 7 12 7 5 2" xfId="16927"/>
    <cellStyle name="표준 7 12 7 6" xfId="16928"/>
    <cellStyle name="표준 7 12 7 7" xfId="16929"/>
    <cellStyle name="표준 7 12 8 2 2" xfId="16930"/>
    <cellStyle name="표준 7 12 8 3" xfId="16931"/>
    <cellStyle name="표준 7 12 8 3 2" xfId="16932"/>
    <cellStyle name="표준 7 12 8 4" xfId="16933"/>
    <cellStyle name="표준 7 12 8 5" xfId="16934"/>
    <cellStyle name="표준 7 12 9 2 2" xfId="16935"/>
    <cellStyle name="표준 7 12 9 3" xfId="16936"/>
    <cellStyle name="표준 7 12 9 3 2" xfId="16937"/>
    <cellStyle name="표준 7 12 9 4" xfId="16938"/>
    <cellStyle name="표준 7 12 9 5" xfId="16939"/>
    <cellStyle name="표준 7 13 10 2" xfId="16940"/>
    <cellStyle name="표준 7 13 11" xfId="16941"/>
    <cellStyle name="표준 7 13 11 2" xfId="16942"/>
    <cellStyle name="표준 7 13 12" xfId="16943"/>
    <cellStyle name="표준 7 13 13" xfId="16944"/>
    <cellStyle name="표준 7 13 2 10" xfId="16945"/>
    <cellStyle name="표준 7 13 2 2 2 2 2 2 2" xfId="16946"/>
    <cellStyle name="표준 7 13 2 2 2 2 2 3" xfId="16947"/>
    <cellStyle name="표준 7 13 2 2 2 2 2 3 2" xfId="16948"/>
    <cellStyle name="표준 7 13 2 2 2 2 2 4" xfId="16949"/>
    <cellStyle name="표준 7 13 2 2 2 2 2 5" xfId="16950"/>
    <cellStyle name="표준 7 13 2 2 2 2 3 2 2" xfId="16951"/>
    <cellStyle name="표준 7 13 2 2 2 2 3 3" xfId="16952"/>
    <cellStyle name="표준 7 13 2 2 2 2 3 3 2" xfId="16953"/>
    <cellStyle name="표준 7 13 2 2 2 2 3 4" xfId="16954"/>
    <cellStyle name="표준 7 13 2 2 2 2 3 5" xfId="16955"/>
    <cellStyle name="표준 7 13 2 2 2 2 4 2" xfId="16956"/>
    <cellStyle name="표준 7 13 2 2 2 2 5" xfId="16957"/>
    <cellStyle name="표준 7 13 2 2 2 2 5 2" xfId="16958"/>
    <cellStyle name="표준 7 13 2 2 2 2 6" xfId="16959"/>
    <cellStyle name="표준 7 13 2 2 2 2 7" xfId="16960"/>
    <cellStyle name="표준 7 13 2 2 2 3 2 2" xfId="16961"/>
    <cellStyle name="표준 7 13 2 2 2 3 3" xfId="16962"/>
    <cellStyle name="표준 7 13 2 2 2 3 3 2" xfId="16963"/>
    <cellStyle name="표준 7 13 2 2 2 3 4" xfId="16964"/>
    <cellStyle name="표준 7 13 2 2 2 3 5" xfId="16965"/>
    <cellStyle name="표준 7 13 2 2 2 4 2 2" xfId="16966"/>
    <cellStyle name="표준 7 13 2 2 2 4 3" xfId="16967"/>
    <cellStyle name="표준 7 13 2 2 2 4 3 2" xfId="16968"/>
    <cellStyle name="표준 7 13 2 2 2 4 4" xfId="16969"/>
    <cellStyle name="표준 7 13 2 2 2 4 5" xfId="16970"/>
    <cellStyle name="표준 7 13 2 2 2 5 2" xfId="16971"/>
    <cellStyle name="표준 7 13 2 2 2 6" xfId="16972"/>
    <cellStyle name="표준 7 13 2 2 2 6 2" xfId="16973"/>
    <cellStyle name="표준 7 13 2 2 2 7" xfId="16974"/>
    <cellStyle name="표준 7 13 2 2 2 8" xfId="16975"/>
    <cellStyle name="표준 7 13 2 2 3 2 2 2" xfId="16976"/>
    <cellStyle name="표준 7 13 2 2 3 2 3" xfId="16977"/>
    <cellStyle name="표준 7 13 2 2 3 2 3 2" xfId="16978"/>
    <cellStyle name="표준 7 13 2 2 3 2 4" xfId="16979"/>
    <cellStyle name="표준 7 13 2 2 3 2 5" xfId="16980"/>
    <cellStyle name="표준 7 13 2 2 3 3 2 2" xfId="16981"/>
    <cellStyle name="표준 7 13 2 2 3 3 3" xfId="16982"/>
    <cellStyle name="표준 7 13 2 2 3 3 3 2" xfId="16983"/>
    <cellStyle name="표준 7 13 2 2 3 3 4" xfId="16984"/>
    <cellStyle name="표준 7 13 2 2 3 3 5" xfId="16985"/>
    <cellStyle name="표준 7 13 2 2 3 4 2" xfId="16986"/>
    <cellStyle name="표준 7 13 2 2 3 5" xfId="16987"/>
    <cellStyle name="표준 7 13 2 2 3 5 2" xfId="16988"/>
    <cellStyle name="표준 7 13 2 2 3 6" xfId="16989"/>
    <cellStyle name="표준 7 13 2 2 3 7" xfId="16990"/>
    <cellStyle name="표준 7 13 2 2 4 2 2" xfId="16991"/>
    <cellStyle name="표준 7 13 2 2 4 3" xfId="16992"/>
    <cellStyle name="표준 7 13 2 2 4 3 2" xfId="16993"/>
    <cellStyle name="표준 7 13 2 2 4 4" xfId="16994"/>
    <cellStyle name="표준 7 13 2 2 4 5" xfId="16995"/>
    <cellStyle name="표준 7 13 2 2 5 2 2" xfId="16996"/>
    <cellStyle name="표준 7 13 2 2 5 3" xfId="16997"/>
    <cellStyle name="표준 7 13 2 2 5 3 2" xfId="16998"/>
    <cellStyle name="표준 7 13 2 2 5 4" xfId="16999"/>
    <cellStyle name="표준 7 13 2 2 5 5" xfId="17000"/>
    <cellStyle name="표준 7 13 2 2 6 2" xfId="17001"/>
    <cellStyle name="표준 7 13 2 2 7" xfId="17002"/>
    <cellStyle name="표준 7 13 2 2 7 2" xfId="17003"/>
    <cellStyle name="표준 7 13 2 2 8" xfId="17004"/>
    <cellStyle name="표준 7 13 2 2 9" xfId="17005"/>
    <cellStyle name="표준 7 13 2 3 2 2 2 2" xfId="17006"/>
    <cellStyle name="표준 7 13 2 3 2 2 3" xfId="17007"/>
    <cellStyle name="표준 7 13 2 3 2 2 3 2" xfId="17008"/>
    <cellStyle name="표준 7 13 2 3 2 2 4" xfId="17009"/>
    <cellStyle name="표준 7 13 2 3 2 2 5" xfId="17010"/>
    <cellStyle name="표준 7 13 2 3 2 3 2 2" xfId="17011"/>
    <cellStyle name="표준 7 13 2 3 2 3 3" xfId="17012"/>
    <cellStyle name="표준 7 13 2 3 2 3 3 2" xfId="17013"/>
    <cellStyle name="표준 7 13 2 3 2 3 4" xfId="17014"/>
    <cellStyle name="표준 7 13 2 3 2 3 5" xfId="17015"/>
    <cellStyle name="표준 7 13 2 3 2 4 2" xfId="17016"/>
    <cellStyle name="표준 7 13 2 3 2 5" xfId="17017"/>
    <cellStyle name="표준 7 13 2 3 2 5 2" xfId="17018"/>
    <cellStyle name="표준 7 13 2 3 2 6" xfId="17019"/>
    <cellStyle name="표준 7 13 2 3 2 7" xfId="17020"/>
    <cellStyle name="표준 7 13 2 3 3 2 2" xfId="17021"/>
    <cellStyle name="표준 7 13 2 3 3 3" xfId="17022"/>
    <cellStyle name="표준 7 13 2 3 3 3 2" xfId="17023"/>
    <cellStyle name="표준 7 13 2 3 3 4" xfId="17024"/>
    <cellStyle name="표준 7 13 2 3 3 5" xfId="17025"/>
    <cellStyle name="표준 7 13 2 3 4 2 2" xfId="17026"/>
    <cellStyle name="표준 7 13 2 3 4 3" xfId="17027"/>
    <cellStyle name="표준 7 13 2 3 4 3 2" xfId="17028"/>
    <cellStyle name="표준 7 13 2 3 4 4" xfId="17029"/>
    <cellStyle name="표준 7 13 2 3 4 5" xfId="17030"/>
    <cellStyle name="표준 7 13 2 3 5 2" xfId="17031"/>
    <cellStyle name="표준 7 13 2 3 6" xfId="17032"/>
    <cellStyle name="표준 7 13 2 3 6 2" xfId="17033"/>
    <cellStyle name="표준 7 13 2 3 7" xfId="17034"/>
    <cellStyle name="표준 7 13 2 3 8" xfId="17035"/>
    <cellStyle name="표준 7 13 2 4 2 2 2" xfId="17036"/>
    <cellStyle name="표준 7 13 2 4 2 3" xfId="17037"/>
    <cellStyle name="표준 7 13 2 4 2 3 2" xfId="17038"/>
    <cellStyle name="표준 7 13 2 4 2 4" xfId="17039"/>
    <cellStyle name="표준 7 13 2 4 2 5" xfId="17040"/>
    <cellStyle name="표준 7 13 2 4 3 2 2" xfId="17041"/>
    <cellStyle name="표준 7 13 2 4 3 3" xfId="17042"/>
    <cellStyle name="표준 7 13 2 4 3 3 2" xfId="17043"/>
    <cellStyle name="표준 7 13 2 4 3 4" xfId="17044"/>
    <cellStyle name="표준 7 13 2 4 3 5" xfId="17045"/>
    <cellStyle name="표준 7 13 2 4 4 2" xfId="17046"/>
    <cellStyle name="표준 7 13 2 4 5" xfId="17047"/>
    <cellStyle name="표준 7 13 2 4 5 2" xfId="17048"/>
    <cellStyle name="표준 7 13 2 4 6" xfId="17049"/>
    <cellStyle name="표준 7 13 2 4 7" xfId="17050"/>
    <cellStyle name="표준 7 13 2 5 2 2" xfId="17051"/>
    <cellStyle name="표준 7 13 2 5 3" xfId="17052"/>
    <cellStyle name="표준 7 13 2 5 3 2" xfId="17053"/>
    <cellStyle name="표준 7 13 2 5 4" xfId="17054"/>
    <cellStyle name="표준 7 13 2 5 5" xfId="17055"/>
    <cellStyle name="표준 7 13 2 6 2 2" xfId="17056"/>
    <cellStyle name="표준 7 13 2 6 3" xfId="17057"/>
    <cellStyle name="표준 7 13 2 6 3 2" xfId="17058"/>
    <cellStyle name="표준 7 13 2 6 4" xfId="17059"/>
    <cellStyle name="표준 7 13 2 6 5" xfId="17060"/>
    <cellStyle name="표준 7 13 2 7 2" xfId="17061"/>
    <cellStyle name="표준 7 13 2 8" xfId="17062"/>
    <cellStyle name="표준 7 13 2 8 2" xfId="17063"/>
    <cellStyle name="표준 7 13 2 9" xfId="17064"/>
    <cellStyle name="표준 7 13 3 10" xfId="17065"/>
    <cellStyle name="표준 7 13 3 2 2 2 2 2 2" xfId="17066"/>
    <cellStyle name="표준 7 13 3 2 2 2 2 3" xfId="17067"/>
    <cellStyle name="표준 7 13 3 2 2 2 2 3 2" xfId="17068"/>
    <cellStyle name="표준 7 13 3 2 2 2 2 4" xfId="17069"/>
    <cellStyle name="표준 7 13 3 2 2 2 2 5" xfId="17070"/>
    <cellStyle name="표준 7 13 3 2 2 2 3 2 2" xfId="17071"/>
    <cellStyle name="표준 7 13 3 2 2 2 3 3" xfId="17072"/>
    <cellStyle name="표준 7 13 3 2 2 2 3 3 2" xfId="17073"/>
    <cellStyle name="표준 7 13 3 2 2 2 3 4" xfId="17074"/>
    <cellStyle name="표준 7 13 3 2 2 2 3 5" xfId="17075"/>
    <cellStyle name="표준 7 13 3 2 2 2 4 2" xfId="17076"/>
    <cellStyle name="표준 7 13 3 2 2 2 5" xfId="17077"/>
    <cellStyle name="표준 7 13 3 2 2 2 5 2" xfId="17078"/>
    <cellStyle name="표준 7 13 3 2 2 2 6" xfId="17079"/>
    <cellStyle name="표준 7 13 3 2 2 2 7" xfId="17080"/>
    <cellStyle name="표준 7 13 3 2 2 3 2 2" xfId="17081"/>
    <cellStyle name="표준 7 13 3 2 2 3 3" xfId="17082"/>
    <cellStyle name="표준 7 13 3 2 2 3 3 2" xfId="17083"/>
    <cellStyle name="표준 7 13 3 2 2 3 4" xfId="17084"/>
    <cellStyle name="표준 7 13 3 2 2 3 5" xfId="17085"/>
    <cellStyle name="표준 7 13 3 2 2 4 2 2" xfId="17086"/>
    <cellStyle name="표준 7 13 3 2 2 4 3" xfId="17087"/>
    <cellStyle name="표준 7 13 3 2 2 4 3 2" xfId="17088"/>
    <cellStyle name="표준 7 13 3 2 2 4 4" xfId="17089"/>
    <cellStyle name="표준 7 13 3 2 2 4 5" xfId="17090"/>
    <cellStyle name="표준 7 13 3 2 2 5 2" xfId="17091"/>
    <cellStyle name="표준 7 13 3 2 2 6" xfId="17092"/>
    <cellStyle name="표준 7 13 3 2 2 6 2" xfId="17093"/>
    <cellStyle name="표준 7 13 3 2 2 7" xfId="17094"/>
    <cellStyle name="표준 7 13 3 2 2 8" xfId="17095"/>
    <cellStyle name="표준 7 13 3 2 3 2 2 2" xfId="17096"/>
    <cellStyle name="표준 7 13 3 2 3 2 3" xfId="17097"/>
    <cellStyle name="표준 7 13 3 2 3 2 3 2" xfId="17098"/>
    <cellStyle name="표준 7 13 3 2 3 2 4" xfId="17099"/>
    <cellStyle name="표준 7 13 3 2 3 2 5" xfId="17100"/>
    <cellStyle name="표준 7 13 3 2 3 3 2 2" xfId="17101"/>
    <cellStyle name="표준 7 13 3 2 3 3 3" xfId="17102"/>
    <cellStyle name="표준 7 13 3 2 3 3 3 2" xfId="17103"/>
    <cellStyle name="표준 7 13 3 2 3 3 4" xfId="17104"/>
    <cellStyle name="표준 7 13 3 2 3 3 5" xfId="17105"/>
    <cellStyle name="표준 7 13 3 2 3 4 2" xfId="17106"/>
    <cellStyle name="표준 7 13 3 2 3 5" xfId="17107"/>
    <cellStyle name="표준 7 13 3 2 3 5 2" xfId="17108"/>
    <cellStyle name="표준 7 13 3 2 3 6" xfId="17109"/>
    <cellStyle name="표준 7 13 3 2 3 7" xfId="17110"/>
    <cellStyle name="표준 7 13 3 2 4 2 2" xfId="17111"/>
    <cellStyle name="표준 7 13 3 2 4 3" xfId="17112"/>
    <cellStyle name="표준 7 13 3 2 4 3 2" xfId="17113"/>
    <cellStyle name="표준 7 13 3 2 4 4" xfId="17114"/>
    <cellStyle name="표준 7 13 3 2 4 5" xfId="17115"/>
    <cellStyle name="표준 7 13 3 2 5 2 2" xfId="17116"/>
    <cellStyle name="표준 7 13 3 2 5 3" xfId="17117"/>
    <cellStyle name="표준 7 13 3 2 5 3 2" xfId="17118"/>
    <cellStyle name="표준 7 13 3 2 5 4" xfId="17119"/>
    <cellStyle name="표준 7 13 3 2 5 5" xfId="17120"/>
    <cellStyle name="표준 7 13 3 2 6 2" xfId="17121"/>
    <cellStyle name="표준 7 13 3 2 7" xfId="17122"/>
    <cellStyle name="표준 7 13 3 2 7 2" xfId="17123"/>
    <cellStyle name="표준 7 13 3 2 8" xfId="17124"/>
    <cellStyle name="표준 7 13 3 2 9" xfId="17125"/>
    <cellStyle name="표준 7 13 3 3 2 2 2 2" xfId="17126"/>
    <cellStyle name="표준 7 13 3 3 2 2 3" xfId="17127"/>
    <cellStyle name="표준 7 13 3 3 2 2 3 2" xfId="17128"/>
    <cellStyle name="표준 7 13 3 3 2 2 4" xfId="17129"/>
    <cellStyle name="표준 7 13 3 3 2 2 5" xfId="17130"/>
    <cellStyle name="표준 7 13 3 3 2 3 2 2" xfId="17131"/>
    <cellStyle name="표준 7 13 3 3 2 3 3" xfId="17132"/>
    <cellStyle name="표준 7 13 3 3 2 3 3 2" xfId="17133"/>
    <cellStyle name="표준 7 13 3 3 2 3 4" xfId="17134"/>
    <cellStyle name="표준 7 13 3 3 2 3 5" xfId="17135"/>
    <cellStyle name="표준 7 13 3 3 2 4 2" xfId="17136"/>
    <cellStyle name="표준 7 13 3 3 2 5" xfId="17137"/>
    <cellStyle name="표준 7 13 3 3 2 5 2" xfId="17138"/>
    <cellStyle name="표준 7 13 3 3 2 6" xfId="17139"/>
    <cellStyle name="표준 7 13 3 3 2 7" xfId="17140"/>
    <cellStyle name="표준 7 13 3 3 3 2 2" xfId="17141"/>
    <cellStyle name="표준 7 13 3 3 3 3" xfId="17142"/>
    <cellStyle name="표준 7 13 3 3 3 3 2" xfId="17143"/>
    <cellStyle name="표준 7 13 3 3 3 4" xfId="17144"/>
    <cellStyle name="표준 7 13 3 3 3 5" xfId="17145"/>
    <cellStyle name="표준 7 13 3 3 4 2 2" xfId="17146"/>
    <cellStyle name="표준 7 13 3 3 4 3" xfId="17147"/>
    <cellStyle name="표준 7 13 3 3 4 3 2" xfId="17148"/>
    <cellStyle name="표준 7 13 3 3 4 4" xfId="17149"/>
    <cellStyle name="표준 7 13 3 3 4 5" xfId="17150"/>
    <cellStyle name="표준 7 13 3 3 5 2" xfId="17151"/>
    <cellStyle name="표준 7 13 3 3 6" xfId="17152"/>
    <cellStyle name="표준 7 13 3 3 6 2" xfId="17153"/>
    <cellStyle name="표준 7 13 3 3 7" xfId="17154"/>
    <cellStyle name="표준 7 13 3 3 8" xfId="17155"/>
    <cellStyle name="표준 7 13 3 4 2 2 2" xfId="17156"/>
    <cellStyle name="표준 7 13 3 4 2 3" xfId="17157"/>
    <cellStyle name="표준 7 13 3 4 2 3 2" xfId="17158"/>
    <cellStyle name="표준 7 13 3 4 2 4" xfId="17159"/>
    <cellStyle name="표준 7 13 3 4 2 5" xfId="17160"/>
    <cellStyle name="표준 7 13 3 4 3 2 2" xfId="17161"/>
    <cellStyle name="표준 7 13 3 4 3 3" xfId="17162"/>
    <cellStyle name="표준 7 13 3 4 3 3 2" xfId="17163"/>
    <cellStyle name="표준 7 13 3 4 3 4" xfId="17164"/>
    <cellStyle name="표준 7 13 3 4 3 5" xfId="17165"/>
    <cellStyle name="표준 7 13 3 4 4 2" xfId="17166"/>
    <cellStyle name="표준 7 13 3 4 5" xfId="17167"/>
    <cellStyle name="표준 7 13 3 4 5 2" xfId="17168"/>
    <cellStyle name="표준 7 13 3 4 6" xfId="17169"/>
    <cellStyle name="표준 7 13 3 4 7" xfId="17170"/>
    <cellStyle name="표준 7 13 3 5 2 2" xfId="17171"/>
    <cellStyle name="표준 7 13 3 5 3" xfId="17172"/>
    <cellStyle name="표준 7 13 3 5 3 2" xfId="17173"/>
    <cellStyle name="표준 7 13 3 5 4" xfId="17174"/>
    <cellStyle name="표준 7 13 3 5 5" xfId="17175"/>
    <cellStyle name="표준 7 13 3 6 2 2" xfId="17176"/>
    <cellStyle name="표준 7 13 3 6 3" xfId="17177"/>
    <cellStyle name="표준 7 13 3 6 3 2" xfId="17178"/>
    <cellStyle name="표준 7 13 3 6 4" xfId="17179"/>
    <cellStyle name="표준 7 13 3 6 5" xfId="17180"/>
    <cellStyle name="표준 7 13 3 7 2" xfId="17181"/>
    <cellStyle name="표준 7 13 3 8" xfId="17182"/>
    <cellStyle name="표준 7 13 3 8 2" xfId="17183"/>
    <cellStyle name="표준 7 13 3 9" xfId="17184"/>
    <cellStyle name="표준 7 13 4 10" xfId="17185"/>
    <cellStyle name="표준 7 13 4 2 2 2 2 2 2" xfId="17186"/>
    <cellStyle name="표준 7 13 4 2 2 2 2 3" xfId="17187"/>
    <cellStyle name="표준 7 13 4 2 2 2 2 3 2" xfId="17188"/>
    <cellStyle name="표준 7 13 4 2 2 2 2 4" xfId="17189"/>
    <cellStyle name="표준 7 13 4 2 2 2 2 5" xfId="17190"/>
    <cellStyle name="표준 7 13 4 2 2 2 3 2 2" xfId="17191"/>
    <cellStyle name="표준 7 13 4 2 2 2 3 3" xfId="17192"/>
    <cellStyle name="표준 7 13 4 2 2 2 3 3 2" xfId="17193"/>
    <cellStyle name="표준 7 13 4 2 2 2 3 4" xfId="17194"/>
    <cellStyle name="표준 7 13 4 2 2 2 3 5" xfId="17195"/>
    <cellStyle name="표준 7 13 4 2 2 2 4 2" xfId="17196"/>
    <cellStyle name="표준 7 13 4 2 2 2 5" xfId="17197"/>
    <cellStyle name="표준 7 13 4 2 2 2 5 2" xfId="17198"/>
    <cellStyle name="표준 7 13 4 2 2 2 6" xfId="17199"/>
    <cellStyle name="표준 7 13 4 2 2 2 7" xfId="17200"/>
    <cellStyle name="표준 7 13 4 2 2 3 2 2" xfId="17201"/>
    <cellStyle name="표준 7 13 4 2 2 3 3" xfId="17202"/>
    <cellStyle name="표준 7 13 4 2 2 3 3 2" xfId="17203"/>
    <cellStyle name="표준 7 13 4 2 2 3 4" xfId="17204"/>
    <cellStyle name="표준 7 13 4 2 2 3 5" xfId="17205"/>
    <cellStyle name="표준 7 13 4 2 2 4 2 2" xfId="17206"/>
    <cellStyle name="표준 7 13 4 2 2 4 3" xfId="17207"/>
    <cellStyle name="표준 7 13 4 2 2 4 3 2" xfId="17208"/>
    <cellStyle name="표준 7 13 4 2 2 4 4" xfId="17209"/>
    <cellStyle name="표준 7 13 4 2 2 4 5" xfId="17210"/>
    <cellStyle name="표준 7 13 4 2 2 5 2" xfId="17211"/>
    <cellStyle name="표준 7 13 4 2 2 6" xfId="17212"/>
    <cellStyle name="표준 7 13 4 2 2 6 2" xfId="17213"/>
    <cellStyle name="표준 7 13 4 2 2 7" xfId="17214"/>
    <cellStyle name="표준 7 13 4 2 2 8" xfId="17215"/>
    <cellStyle name="표준 7 13 4 2 3 2 2 2" xfId="17216"/>
    <cellStyle name="표준 7 13 4 2 3 2 3" xfId="17217"/>
    <cellStyle name="표준 7 13 4 2 3 2 3 2" xfId="17218"/>
    <cellStyle name="표준 7 13 4 2 3 2 4" xfId="17219"/>
    <cellStyle name="표준 7 13 4 2 3 2 5" xfId="17220"/>
    <cellStyle name="표준 7 13 4 2 3 3 2 2" xfId="17221"/>
    <cellStyle name="표준 7 13 4 2 3 3 3" xfId="17222"/>
    <cellStyle name="표준 7 13 4 2 3 3 3 2" xfId="17223"/>
    <cellStyle name="표준 7 13 4 2 3 3 4" xfId="17224"/>
    <cellStyle name="표준 7 13 4 2 3 3 5" xfId="17225"/>
    <cellStyle name="표준 7 13 4 2 3 4 2" xfId="17226"/>
    <cellStyle name="표준 7 13 4 2 3 5" xfId="17227"/>
    <cellStyle name="표준 7 13 4 2 3 5 2" xfId="17228"/>
    <cellStyle name="표준 7 13 4 2 3 6" xfId="17229"/>
    <cellStyle name="표준 7 13 4 2 3 7" xfId="17230"/>
    <cellStyle name="표준 7 13 4 2 4 2 2" xfId="17231"/>
    <cellStyle name="표준 7 13 4 2 4 3" xfId="17232"/>
    <cellStyle name="표준 7 13 4 2 4 3 2" xfId="17233"/>
    <cellStyle name="표준 7 13 4 2 4 4" xfId="17234"/>
    <cellStyle name="표준 7 13 4 2 4 5" xfId="17235"/>
    <cellStyle name="표준 7 13 4 2 5 2 2" xfId="17236"/>
    <cellStyle name="표준 7 13 4 2 5 3" xfId="17237"/>
    <cellStyle name="표준 7 13 4 2 5 3 2" xfId="17238"/>
    <cellStyle name="표준 7 13 4 2 5 4" xfId="17239"/>
    <cellStyle name="표준 7 13 4 2 5 5" xfId="17240"/>
    <cellStyle name="표준 7 13 4 2 6 2" xfId="17241"/>
    <cellStyle name="표준 7 13 4 2 7" xfId="17242"/>
    <cellStyle name="표준 7 13 4 2 7 2" xfId="17243"/>
    <cellStyle name="표준 7 13 4 2 8" xfId="17244"/>
    <cellStyle name="표준 7 13 4 2 9" xfId="17245"/>
    <cellStyle name="표준 7 13 4 3 2 2 2 2" xfId="17246"/>
    <cellStyle name="표준 7 13 4 3 2 2 3" xfId="17247"/>
    <cellStyle name="표준 7 13 4 3 2 2 3 2" xfId="17248"/>
    <cellStyle name="표준 7 13 4 3 2 2 4" xfId="17249"/>
    <cellStyle name="표준 7 13 4 3 2 2 5" xfId="17250"/>
    <cellStyle name="표준 7 13 4 3 2 3 2 2" xfId="17251"/>
    <cellStyle name="표준 7 13 4 3 2 3 3" xfId="17252"/>
    <cellStyle name="표준 7 13 4 3 2 3 3 2" xfId="17253"/>
    <cellStyle name="표준 7 13 4 3 2 3 4" xfId="17254"/>
    <cellStyle name="표준 7 13 4 3 2 3 5" xfId="17255"/>
    <cellStyle name="표준 7 13 4 3 2 4 2" xfId="17256"/>
    <cellStyle name="표준 7 13 4 3 2 5" xfId="17257"/>
    <cellStyle name="표준 7 13 4 3 2 5 2" xfId="17258"/>
    <cellStyle name="표준 7 13 4 3 2 6" xfId="17259"/>
    <cellStyle name="표준 7 13 4 3 2 7" xfId="17260"/>
    <cellStyle name="표준 7 13 4 3 3 2 2" xfId="17261"/>
    <cellStyle name="표준 7 13 4 3 3 3" xfId="17262"/>
    <cellStyle name="표준 7 13 4 3 3 3 2" xfId="17263"/>
    <cellStyle name="표준 7 13 4 3 3 4" xfId="17264"/>
    <cellStyle name="표준 7 13 4 3 3 5" xfId="17265"/>
    <cellStyle name="표준 7 13 4 3 4 2 2" xfId="17266"/>
    <cellStyle name="표준 7 13 4 3 4 3" xfId="17267"/>
    <cellStyle name="표준 7 13 4 3 4 3 2" xfId="17268"/>
    <cellStyle name="표준 7 13 4 3 4 4" xfId="17269"/>
    <cellStyle name="표준 7 13 4 3 4 5" xfId="17270"/>
    <cellStyle name="표준 7 13 4 3 5 2" xfId="17271"/>
    <cellStyle name="표준 7 13 4 3 6" xfId="17272"/>
    <cellStyle name="표준 7 13 4 3 6 2" xfId="17273"/>
    <cellStyle name="표준 7 13 4 3 7" xfId="17274"/>
    <cellStyle name="표준 7 13 4 3 8" xfId="17275"/>
    <cellStyle name="표준 7 13 4 4 2 2 2" xfId="17276"/>
    <cellStyle name="표준 7 13 4 4 2 3" xfId="17277"/>
    <cellStyle name="표준 7 13 4 4 2 3 2" xfId="17278"/>
    <cellStyle name="표준 7 13 4 4 2 4" xfId="17279"/>
    <cellStyle name="표준 7 13 4 4 2 5" xfId="17280"/>
    <cellStyle name="표준 7 13 4 4 3 2 2" xfId="17281"/>
    <cellStyle name="표준 7 13 4 4 3 3" xfId="17282"/>
    <cellStyle name="표준 7 13 4 4 3 3 2" xfId="17283"/>
    <cellStyle name="표준 7 13 4 4 3 4" xfId="17284"/>
    <cellStyle name="표준 7 13 4 4 3 5" xfId="17285"/>
    <cellStyle name="표준 7 13 4 4 4 2" xfId="17286"/>
    <cellStyle name="표준 7 13 4 4 5" xfId="17287"/>
    <cellStyle name="표준 7 13 4 4 5 2" xfId="17288"/>
    <cellStyle name="표준 7 13 4 4 6" xfId="17289"/>
    <cellStyle name="표준 7 13 4 4 7" xfId="17290"/>
    <cellStyle name="표준 7 13 4 5 2 2" xfId="17291"/>
    <cellStyle name="표준 7 13 4 5 3" xfId="17292"/>
    <cellStyle name="표준 7 13 4 5 3 2" xfId="17293"/>
    <cellStyle name="표준 7 13 4 5 4" xfId="17294"/>
    <cellStyle name="표준 7 13 4 5 5" xfId="17295"/>
    <cellStyle name="표준 7 13 4 6 2 2" xfId="17296"/>
    <cellStyle name="표준 7 13 4 6 3" xfId="17297"/>
    <cellStyle name="표준 7 13 4 6 3 2" xfId="17298"/>
    <cellStyle name="표준 7 13 4 6 4" xfId="17299"/>
    <cellStyle name="표준 7 13 4 6 5" xfId="17300"/>
    <cellStyle name="표준 7 13 4 7 2" xfId="17301"/>
    <cellStyle name="표준 7 13 4 8" xfId="17302"/>
    <cellStyle name="표준 7 13 4 8 2" xfId="17303"/>
    <cellStyle name="표준 7 13 4 9" xfId="17304"/>
    <cellStyle name="표준 7 13 5 2 2 2 2 2" xfId="17305"/>
    <cellStyle name="표준 7 13 5 2 2 2 3" xfId="17306"/>
    <cellStyle name="표준 7 13 5 2 2 2 3 2" xfId="17307"/>
    <cellStyle name="표준 7 13 5 2 2 2 4" xfId="17308"/>
    <cellStyle name="표준 7 13 5 2 2 2 5" xfId="17309"/>
    <cellStyle name="표준 7 13 5 2 2 3 2 2" xfId="17310"/>
    <cellStyle name="표준 7 13 5 2 2 3 3" xfId="17311"/>
    <cellStyle name="표준 7 13 5 2 2 3 3 2" xfId="17312"/>
    <cellStyle name="표준 7 13 5 2 2 3 4" xfId="17313"/>
    <cellStyle name="표준 7 13 5 2 2 3 5" xfId="17314"/>
    <cellStyle name="표준 7 13 5 2 2 4 2" xfId="17315"/>
    <cellStyle name="표준 7 13 5 2 2 5" xfId="17316"/>
    <cellStyle name="표준 7 13 5 2 2 5 2" xfId="17317"/>
    <cellStyle name="표준 7 13 5 2 2 6" xfId="17318"/>
    <cellStyle name="표준 7 13 5 2 2 7" xfId="17319"/>
    <cellStyle name="표준 7 13 5 2 3 2 2" xfId="17320"/>
    <cellStyle name="표준 7 13 5 2 3 3" xfId="17321"/>
    <cellStyle name="표준 7 13 5 2 3 3 2" xfId="17322"/>
    <cellStyle name="표준 7 13 5 2 3 4" xfId="17323"/>
    <cellStyle name="표준 7 13 5 2 3 5" xfId="17324"/>
    <cellStyle name="표준 7 13 5 2 4 2 2" xfId="17325"/>
    <cellStyle name="표준 7 13 5 2 4 3" xfId="17326"/>
    <cellStyle name="표준 7 13 5 2 4 3 2" xfId="17327"/>
    <cellStyle name="표준 7 13 5 2 4 4" xfId="17328"/>
    <cellStyle name="표준 7 13 5 2 4 5" xfId="17329"/>
    <cellStyle name="표준 7 13 5 2 5 2" xfId="17330"/>
    <cellStyle name="표준 7 13 5 2 6" xfId="17331"/>
    <cellStyle name="표준 7 13 5 2 6 2" xfId="17332"/>
    <cellStyle name="표준 7 13 5 2 7" xfId="17333"/>
    <cellStyle name="표준 7 13 5 2 8" xfId="17334"/>
    <cellStyle name="표준 7 13 5 3 2 2 2" xfId="17335"/>
    <cellStyle name="표준 7 13 5 3 2 3" xfId="17336"/>
    <cellStyle name="표준 7 13 5 3 2 3 2" xfId="17337"/>
    <cellStyle name="표준 7 13 5 3 2 4" xfId="17338"/>
    <cellStyle name="표준 7 13 5 3 2 5" xfId="17339"/>
    <cellStyle name="표준 7 13 5 3 3 2 2" xfId="17340"/>
    <cellStyle name="표준 7 13 5 3 3 3" xfId="17341"/>
    <cellStyle name="표준 7 13 5 3 3 3 2" xfId="17342"/>
    <cellStyle name="표준 7 13 5 3 3 4" xfId="17343"/>
    <cellStyle name="표준 7 13 5 3 3 5" xfId="17344"/>
    <cellStyle name="표준 7 13 5 3 4 2" xfId="17345"/>
    <cellStyle name="표준 7 13 5 3 5" xfId="17346"/>
    <cellStyle name="표준 7 13 5 3 5 2" xfId="17347"/>
    <cellStyle name="표준 7 13 5 3 6" xfId="17348"/>
    <cellStyle name="표준 7 13 5 3 7" xfId="17349"/>
    <cellStyle name="표준 7 13 5 4 2 2" xfId="17350"/>
    <cellStyle name="표준 7 13 5 4 3" xfId="17351"/>
    <cellStyle name="표준 7 13 5 4 3 2" xfId="17352"/>
    <cellStyle name="표준 7 13 5 4 4" xfId="17353"/>
    <cellStyle name="표준 7 13 5 4 5" xfId="17354"/>
    <cellStyle name="표준 7 13 5 5 2 2" xfId="17355"/>
    <cellStyle name="표준 7 13 5 5 3" xfId="17356"/>
    <cellStyle name="표준 7 13 5 5 3 2" xfId="17357"/>
    <cellStyle name="표준 7 13 5 5 4" xfId="17358"/>
    <cellStyle name="표준 7 13 5 5 5" xfId="17359"/>
    <cellStyle name="표준 7 13 5 6 2" xfId="17360"/>
    <cellStyle name="표준 7 13 5 7" xfId="17361"/>
    <cellStyle name="표준 7 13 5 7 2" xfId="17362"/>
    <cellStyle name="표준 7 13 5 8" xfId="17363"/>
    <cellStyle name="표준 7 13 5 9" xfId="17364"/>
    <cellStyle name="표준 7 13 6 2 2 2 2" xfId="17365"/>
    <cellStyle name="표준 7 13 6 2 2 3" xfId="17366"/>
    <cellStyle name="표준 7 13 6 2 2 3 2" xfId="17367"/>
    <cellStyle name="표준 7 13 6 2 2 4" xfId="17368"/>
    <cellStyle name="표준 7 13 6 2 2 5" xfId="17369"/>
    <cellStyle name="표준 7 13 6 2 3 2 2" xfId="17370"/>
    <cellStyle name="표준 7 13 6 2 3 3" xfId="17371"/>
    <cellStyle name="표준 7 13 6 2 3 3 2" xfId="17372"/>
    <cellStyle name="표준 7 13 6 2 3 4" xfId="17373"/>
    <cellStyle name="표준 7 13 6 2 3 5" xfId="17374"/>
    <cellStyle name="표준 7 13 6 2 4 2" xfId="17375"/>
    <cellStyle name="표준 7 13 6 2 5" xfId="17376"/>
    <cellStyle name="표준 7 13 6 2 5 2" xfId="17377"/>
    <cellStyle name="표준 7 13 6 2 6" xfId="17378"/>
    <cellStyle name="표준 7 13 6 2 7" xfId="17379"/>
    <cellStyle name="표준 7 13 6 3 2 2" xfId="17380"/>
    <cellStyle name="표준 7 13 6 3 3" xfId="17381"/>
    <cellStyle name="표준 7 13 6 3 3 2" xfId="17382"/>
    <cellStyle name="표준 7 13 6 3 4" xfId="17383"/>
    <cellStyle name="표준 7 13 6 3 5" xfId="17384"/>
    <cellStyle name="표준 7 13 6 4 2 2" xfId="17385"/>
    <cellStyle name="표준 7 13 6 4 3" xfId="17386"/>
    <cellStyle name="표준 7 13 6 4 3 2" xfId="17387"/>
    <cellStyle name="표준 7 13 6 4 4" xfId="17388"/>
    <cellStyle name="표준 7 13 6 4 5" xfId="17389"/>
    <cellStyle name="표준 7 13 6 5 2" xfId="17390"/>
    <cellStyle name="표준 7 13 6 6" xfId="17391"/>
    <cellStyle name="표준 7 13 6 6 2" xfId="17392"/>
    <cellStyle name="표준 7 13 6 7" xfId="17393"/>
    <cellStyle name="표준 7 13 6 8" xfId="17394"/>
    <cellStyle name="표준 7 13 7 2 2 2" xfId="17395"/>
    <cellStyle name="표준 7 13 7 2 3" xfId="17396"/>
    <cellStyle name="표준 7 13 7 2 3 2" xfId="17397"/>
    <cellStyle name="표준 7 13 7 2 4" xfId="17398"/>
    <cellStyle name="표준 7 13 7 2 5" xfId="17399"/>
    <cellStyle name="표준 7 13 7 3 2 2" xfId="17400"/>
    <cellStyle name="표준 7 13 7 3 3" xfId="17401"/>
    <cellStyle name="표준 7 13 7 3 3 2" xfId="17402"/>
    <cellStyle name="표준 7 13 7 3 4" xfId="17403"/>
    <cellStyle name="표준 7 13 7 3 5" xfId="17404"/>
    <cellStyle name="표준 7 13 7 4 2" xfId="17405"/>
    <cellStyle name="표준 7 13 7 5" xfId="17406"/>
    <cellStyle name="표준 7 13 7 5 2" xfId="17407"/>
    <cellStyle name="표준 7 13 7 6" xfId="17408"/>
    <cellStyle name="표준 7 13 7 7" xfId="17409"/>
    <cellStyle name="표준 7 13 8 2 2" xfId="17410"/>
    <cellStyle name="표준 7 13 8 3" xfId="17411"/>
    <cellStyle name="표준 7 13 8 3 2" xfId="17412"/>
    <cellStyle name="표준 7 13 8 4" xfId="17413"/>
    <cellStyle name="표준 7 13 8 5" xfId="17414"/>
    <cellStyle name="표준 7 13 9 2 2" xfId="17415"/>
    <cellStyle name="표준 7 13 9 3" xfId="17416"/>
    <cellStyle name="표준 7 13 9 3 2" xfId="17417"/>
    <cellStyle name="표준 7 13 9 4" xfId="17418"/>
    <cellStyle name="표준 7 13 9 5" xfId="17419"/>
    <cellStyle name="표준 7 14 10 2" xfId="17420"/>
    <cellStyle name="표준 7 14 11" xfId="17421"/>
    <cellStyle name="표준 7 14 11 2" xfId="17422"/>
    <cellStyle name="표준 7 14 12" xfId="17423"/>
    <cellStyle name="표준 7 14 13" xfId="17424"/>
    <cellStyle name="표준 7 14 2 10" xfId="17425"/>
    <cellStyle name="표준 7 14 2 2 2 2 2 2 2" xfId="17426"/>
    <cellStyle name="표준 7 14 2 2 2 2 2 3" xfId="17427"/>
    <cellStyle name="표준 7 14 2 2 2 2 2 3 2" xfId="17428"/>
    <cellStyle name="표준 7 14 2 2 2 2 2 4" xfId="17429"/>
    <cellStyle name="표준 7 14 2 2 2 2 2 5" xfId="17430"/>
    <cellStyle name="표준 7 14 2 2 2 2 3 2 2" xfId="17431"/>
    <cellStyle name="표준 7 14 2 2 2 2 3 3" xfId="17432"/>
    <cellStyle name="표준 7 14 2 2 2 2 3 3 2" xfId="17433"/>
    <cellStyle name="표준 7 14 2 2 2 2 3 4" xfId="17434"/>
    <cellStyle name="표준 7 14 2 2 2 2 3 5" xfId="17435"/>
    <cellStyle name="표준 7 14 2 2 2 2 4 2" xfId="17436"/>
    <cellStyle name="표준 7 14 2 2 2 2 5" xfId="17437"/>
    <cellStyle name="표준 7 14 2 2 2 2 5 2" xfId="17438"/>
    <cellStyle name="표준 7 14 2 2 2 2 6" xfId="17439"/>
    <cellStyle name="표준 7 14 2 2 2 2 7" xfId="17440"/>
    <cellStyle name="표준 7 14 2 2 2 3 2 2" xfId="17441"/>
    <cellStyle name="표준 7 14 2 2 2 3 3" xfId="17442"/>
    <cellStyle name="표준 7 14 2 2 2 3 3 2" xfId="17443"/>
    <cellStyle name="표준 7 14 2 2 2 3 4" xfId="17444"/>
    <cellStyle name="표준 7 14 2 2 2 3 5" xfId="17445"/>
    <cellStyle name="표준 7 14 2 2 2 4 2 2" xfId="17446"/>
    <cellStyle name="표준 7 14 2 2 2 4 3" xfId="17447"/>
    <cellStyle name="표준 7 14 2 2 2 4 3 2" xfId="17448"/>
    <cellStyle name="표준 7 14 2 2 2 4 4" xfId="17449"/>
    <cellStyle name="표준 7 14 2 2 2 4 5" xfId="17450"/>
    <cellStyle name="표준 7 14 2 2 2 5 2" xfId="17451"/>
    <cellStyle name="표준 7 14 2 2 2 6" xfId="17452"/>
    <cellStyle name="표준 7 14 2 2 2 6 2" xfId="17453"/>
    <cellStyle name="표준 7 14 2 2 2 7" xfId="17454"/>
    <cellStyle name="표준 7 14 2 2 2 8" xfId="17455"/>
    <cellStyle name="표준 7 14 2 2 3 2 2 2" xfId="17456"/>
    <cellStyle name="표준 7 14 2 2 3 2 3" xfId="17457"/>
    <cellStyle name="표준 7 14 2 2 3 2 3 2" xfId="17458"/>
    <cellStyle name="표준 7 14 2 2 3 2 4" xfId="17459"/>
    <cellStyle name="표준 7 14 2 2 3 2 5" xfId="17460"/>
    <cellStyle name="표준 7 14 2 2 3 3 2 2" xfId="17461"/>
    <cellStyle name="표준 7 14 2 2 3 3 3" xfId="17462"/>
    <cellStyle name="표준 7 14 2 2 3 3 3 2" xfId="17463"/>
    <cellStyle name="표준 7 14 2 2 3 3 4" xfId="17464"/>
    <cellStyle name="표준 7 14 2 2 3 3 5" xfId="17465"/>
    <cellStyle name="표준 7 14 2 2 3 4 2" xfId="17466"/>
    <cellStyle name="표준 7 14 2 2 3 5" xfId="17467"/>
    <cellStyle name="표준 7 14 2 2 3 5 2" xfId="17468"/>
    <cellStyle name="표준 7 14 2 2 3 6" xfId="17469"/>
    <cellStyle name="표준 7 14 2 2 3 7" xfId="17470"/>
    <cellStyle name="표준 7 14 2 2 4 2 2" xfId="17471"/>
    <cellStyle name="표준 7 14 2 2 4 3" xfId="17472"/>
    <cellStyle name="표준 7 14 2 2 4 3 2" xfId="17473"/>
    <cellStyle name="표준 7 14 2 2 4 4" xfId="17474"/>
    <cellStyle name="표준 7 14 2 2 4 5" xfId="17475"/>
    <cellStyle name="표준 7 14 2 2 5 2 2" xfId="17476"/>
    <cellStyle name="표준 7 14 2 2 5 3" xfId="17477"/>
    <cellStyle name="표준 7 14 2 2 5 3 2" xfId="17478"/>
    <cellStyle name="표준 7 14 2 2 5 4" xfId="17479"/>
    <cellStyle name="표준 7 14 2 2 5 5" xfId="17480"/>
    <cellStyle name="표준 7 14 2 2 6 2" xfId="17481"/>
    <cellStyle name="표준 7 14 2 2 7" xfId="17482"/>
    <cellStyle name="표준 7 14 2 2 7 2" xfId="17483"/>
    <cellStyle name="표준 7 14 2 2 8" xfId="17484"/>
    <cellStyle name="표준 7 14 2 2 9" xfId="17485"/>
    <cellStyle name="표준 7 14 2 3 2 2 2 2" xfId="17486"/>
    <cellStyle name="표준 7 14 2 3 2 2 3" xfId="17487"/>
    <cellStyle name="표준 7 14 2 3 2 2 3 2" xfId="17488"/>
    <cellStyle name="표준 7 14 2 3 2 2 4" xfId="17489"/>
    <cellStyle name="표준 7 14 2 3 2 2 5" xfId="17490"/>
    <cellStyle name="표준 7 14 2 3 2 3 2 2" xfId="17491"/>
    <cellStyle name="표준 7 14 2 3 2 3 3" xfId="17492"/>
    <cellStyle name="표준 7 14 2 3 2 3 3 2" xfId="17493"/>
    <cellStyle name="표준 7 14 2 3 2 3 4" xfId="17494"/>
    <cellStyle name="표준 7 14 2 3 2 3 5" xfId="17495"/>
    <cellStyle name="표준 7 14 2 3 2 4 2" xfId="17496"/>
    <cellStyle name="표준 7 14 2 3 2 5" xfId="17497"/>
    <cellStyle name="표준 7 14 2 3 2 5 2" xfId="17498"/>
    <cellStyle name="표준 7 14 2 3 2 6" xfId="17499"/>
    <cellStyle name="표준 7 14 2 3 2 7" xfId="17500"/>
    <cellStyle name="표준 7 14 2 3 3 2 2" xfId="17501"/>
    <cellStyle name="표준 7 14 2 3 3 3" xfId="17502"/>
    <cellStyle name="표준 7 14 2 3 3 3 2" xfId="17503"/>
    <cellStyle name="표준 7 14 2 3 3 4" xfId="17504"/>
    <cellStyle name="표준 7 14 2 3 3 5" xfId="17505"/>
    <cellStyle name="표준 7 14 2 3 4 2 2" xfId="17506"/>
    <cellStyle name="표준 7 14 2 3 4 3" xfId="17507"/>
    <cellStyle name="표준 7 14 2 3 4 3 2" xfId="17508"/>
    <cellStyle name="표준 7 14 2 3 4 4" xfId="17509"/>
    <cellStyle name="표준 7 14 2 3 4 5" xfId="17510"/>
    <cellStyle name="표준 7 14 2 3 5 2" xfId="17511"/>
    <cellStyle name="표준 7 14 2 3 6" xfId="17512"/>
    <cellStyle name="표준 7 14 2 3 6 2" xfId="17513"/>
    <cellStyle name="표준 7 14 2 3 7" xfId="17514"/>
    <cellStyle name="표준 7 14 2 3 8" xfId="17515"/>
    <cellStyle name="표준 7 14 2 4 2 2 2" xfId="17516"/>
    <cellStyle name="표준 7 14 2 4 2 3" xfId="17517"/>
    <cellStyle name="표준 7 14 2 4 2 3 2" xfId="17518"/>
    <cellStyle name="표준 7 14 2 4 2 4" xfId="17519"/>
    <cellStyle name="표준 7 14 2 4 2 5" xfId="17520"/>
    <cellStyle name="표준 7 14 2 4 3 2 2" xfId="17521"/>
    <cellStyle name="표준 7 14 2 4 3 3" xfId="17522"/>
    <cellStyle name="표준 7 14 2 4 3 3 2" xfId="17523"/>
    <cellStyle name="표준 7 14 2 4 3 4" xfId="17524"/>
    <cellStyle name="표준 7 14 2 4 3 5" xfId="17525"/>
    <cellStyle name="표준 7 14 2 4 4 2" xfId="17526"/>
    <cellStyle name="표준 7 14 2 4 5" xfId="17527"/>
    <cellStyle name="표준 7 14 2 4 5 2" xfId="17528"/>
    <cellStyle name="표준 7 14 2 4 6" xfId="17529"/>
    <cellStyle name="표준 7 14 2 4 7" xfId="17530"/>
    <cellStyle name="표준 7 14 2 5 2 2" xfId="17531"/>
    <cellStyle name="표준 7 14 2 5 3" xfId="17532"/>
    <cellStyle name="표준 7 14 2 5 3 2" xfId="17533"/>
    <cellStyle name="표준 7 14 2 5 4" xfId="17534"/>
    <cellStyle name="표준 7 14 2 5 5" xfId="17535"/>
    <cellStyle name="표준 7 14 2 6 2 2" xfId="17536"/>
    <cellStyle name="표준 7 14 2 6 3" xfId="17537"/>
    <cellStyle name="표준 7 14 2 6 3 2" xfId="17538"/>
    <cellStyle name="표준 7 14 2 6 4" xfId="17539"/>
    <cellStyle name="표준 7 14 2 6 5" xfId="17540"/>
    <cellStyle name="표준 7 14 2 7 2" xfId="17541"/>
    <cellStyle name="표준 7 14 2 8" xfId="17542"/>
    <cellStyle name="표준 7 14 2 8 2" xfId="17543"/>
    <cellStyle name="표준 7 14 2 9" xfId="17544"/>
    <cellStyle name="표준 7 14 3 10" xfId="17545"/>
    <cellStyle name="표준 7 14 3 2 2 2 2 2 2" xfId="17546"/>
    <cellStyle name="표준 7 14 3 2 2 2 2 3" xfId="17547"/>
    <cellStyle name="표준 7 14 3 2 2 2 2 3 2" xfId="17548"/>
    <cellStyle name="표준 7 14 3 2 2 2 2 4" xfId="17549"/>
    <cellStyle name="표준 7 14 3 2 2 2 2 5" xfId="17550"/>
    <cellStyle name="표준 7 14 3 2 2 2 3 2 2" xfId="17551"/>
    <cellStyle name="표준 7 14 3 2 2 2 3 3" xfId="17552"/>
    <cellStyle name="표준 7 14 3 2 2 2 3 3 2" xfId="17553"/>
    <cellStyle name="표준 7 14 3 2 2 2 3 4" xfId="17554"/>
    <cellStyle name="표준 7 14 3 2 2 2 3 5" xfId="17555"/>
    <cellStyle name="표준 7 14 3 2 2 2 4 2" xfId="17556"/>
    <cellStyle name="표준 7 14 3 2 2 2 5" xfId="17557"/>
    <cellStyle name="표준 7 14 3 2 2 2 5 2" xfId="17558"/>
    <cellStyle name="표준 7 14 3 2 2 2 6" xfId="17559"/>
    <cellStyle name="표준 7 14 3 2 2 2 7" xfId="17560"/>
    <cellStyle name="표준 7 14 3 2 2 3 2 2" xfId="17561"/>
    <cellStyle name="표준 7 14 3 2 2 3 3" xfId="17562"/>
    <cellStyle name="표준 7 14 3 2 2 3 3 2" xfId="17563"/>
    <cellStyle name="표준 7 14 3 2 2 3 4" xfId="17564"/>
    <cellStyle name="표준 7 14 3 2 2 3 5" xfId="17565"/>
    <cellStyle name="표준 7 14 3 2 2 4 2 2" xfId="17566"/>
    <cellStyle name="표준 7 14 3 2 2 4 3" xfId="17567"/>
    <cellStyle name="표준 7 14 3 2 2 4 3 2" xfId="17568"/>
    <cellStyle name="표준 7 14 3 2 2 4 4" xfId="17569"/>
    <cellStyle name="표준 7 14 3 2 2 4 5" xfId="17570"/>
    <cellStyle name="표준 7 14 3 2 2 5 2" xfId="17571"/>
    <cellStyle name="표준 7 14 3 2 2 6" xfId="17572"/>
    <cellStyle name="표준 7 14 3 2 2 6 2" xfId="17573"/>
    <cellStyle name="표준 7 14 3 2 2 7" xfId="17574"/>
    <cellStyle name="표준 7 14 3 2 2 8" xfId="17575"/>
    <cellStyle name="표준 7 14 3 2 3 2 2 2" xfId="17576"/>
    <cellStyle name="표준 7 14 3 2 3 2 3" xfId="17577"/>
    <cellStyle name="표준 7 14 3 2 3 2 3 2" xfId="17578"/>
    <cellStyle name="표준 7 14 3 2 3 2 4" xfId="17579"/>
    <cellStyle name="표준 7 14 3 2 3 2 5" xfId="17580"/>
    <cellStyle name="표준 7 14 3 2 3 3 2 2" xfId="17581"/>
    <cellStyle name="표준 7 14 3 2 3 3 3" xfId="17582"/>
    <cellStyle name="표준 7 14 3 2 3 3 3 2" xfId="17583"/>
    <cellStyle name="표준 7 14 3 2 3 3 4" xfId="17584"/>
    <cellStyle name="표준 7 14 3 2 3 3 5" xfId="17585"/>
    <cellStyle name="표준 7 14 3 2 3 4 2" xfId="17586"/>
    <cellStyle name="표준 7 14 3 2 3 5" xfId="17587"/>
    <cellStyle name="표준 7 14 3 2 3 5 2" xfId="17588"/>
    <cellStyle name="표준 7 14 3 2 3 6" xfId="17589"/>
    <cellStyle name="표준 7 14 3 2 3 7" xfId="17590"/>
    <cellStyle name="표준 7 14 3 2 4 2 2" xfId="17591"/>
    <cellStyle name="표준 7 14 3 2 4 3" xfId="17592"/>
    <cellStyle name="표준 7 14 3 2 4 3 2" xfId="17593"/>
    <cellStyle name="표준 7 14 3 2 4 4" xfId="17594"/>
    <cellStyle name="표준 7 14 3 2 4 5" xfId="17595"/>
    <cellStyle name="표준 7 14 3 2 5 2 2" xfId="17596"/>
    <cellStyle name="표준 7 14 3 2 5 3" xfId="17597"/>
    <cellStyle name="표준 7 14 3 2 5 3 2" xfId="17598"/>
    <cellStyle name="표준 7 14 3 2 5 4" xfId="17599"/>
    <cellStyle name="표준 7 14 3 2 5 5" xfId="17600"/>
    <cellStyle name="표준 7 14 3 2 6 2" xfId="17601"/>
    <cellStyle name="표준 7 14 3 2 7" xfId="17602"/>
    <cellStyle name="표준 7 14 3 2 7 2" xfId="17603"/>
    <cellStyle name="표준 7 14 3 2 8" xfId="17604"/>
    <cellStyle name="표준 7 14 3 2 9" xfId="17605"/>
    <cellStyle name="표준 7 14 3 3 2 2 2 2" xfId="17606"/>
    <cellStyle name="표준 7 14 3 3 2 2 3" xfId="17607"/>
    <cellStyle name="표준 7 14 3 3 2 2 3 2" xfId="17608"/>
    <cellStyle name="표준 7 14 3 3 2 2 4" xfId="17609"/>
    <cellStyle name="표준 7 14 3 3 2 2 5" xfId="17610"/>
    <cellStyle name="표준 7 14 3 3 2 3 2 2" xfId="17611"/>
    <cellStyle name="표준 7 14 3 3 2 3 3" xfId="17612"/>
    <cellStyle name="표준 7 14 3 3 2 3 3 2" xfId="17613"/>
    <cellStyle name="표준 7 14 3 3 2 3 4" xfId="17614"/>
    <cellStyle name="표준 7 14 3 3 2 3 5" xfId="17615"/>
    <cellStyle name="표준 7 14 3 3 2 4 2" xfId="17616"/>
    <cellStyle name="표준 7 14 3 3 2 5" xfId="17617"/>
    <cellStyle name="표준 7 14 3 3 2 5 2" xfId="17618"/>
    <cellStyle name="표준 7 14 3 3 2 6" xfId="17619"/>
    <cellStyle name="표준 7 14 3 3 2 7" xfId="17620"/>
    <cellStyle name="표준 7 14 3 3 3 2 2" xfId="17621"/>
    <cellStyle name="표준 7 14 3 3 3 3" xfId="17622"/>
    <cellStyle name="표준 7 14 3 3 3 3 2" xfId="17623"/>
    <cellStyle name="표준 7 14 3 3 3 4" xfId="17624"/>
    <cellStyle name="표준 7 14 3 3 3 5" xfId="17625"/>
    <cellStyle name="표준 7 14 3 3 4 2 2" xfId="17626"/>
    <cellStyle name="표준 7 14 3 3 4 3" xfId="17627"/>
    <cellStyle name="표준 7 14 3 3 4 3 2" xfId="17628"/>
    <cellStyle name="표준 7 14 3 3 4 4" xfId="17629"/>
    <cellStyle name="표준 7 14 3 3 4 5" xfId="17630"/>
    <cellStyle name="표준 7 14 3 3 5 2" xfId="17631"/>
    <cellStyle name="표준 7 14 3 3 6" xfId="17632"/>
    <cellStyle name="표준 7 14 3 3 6 2" xfId="17633"/>
    <cellStyle name="표준 7 14 3 3 7" xfId="17634"/>
    <cellStyle name="표준 7 14 3 3 8" xfId="17635"/>
    <cellStyle name="표준 7 14 3 4 2 2 2" xfId="17636"/>
    <cellStyle name="표준 7 14 3 4 2 3" xfId="17637"/>
    <cellStyle name="표준 7 14 3 4 2 3 2" xfId="17638"/>
    <cellStyle name="표준 7 14 3 4 2 4" xfId="17639"/>
    <cellStyle name="표준 7 14 3 4 2 5" xfId="17640"/>
    <cellStyle name="표준 7 14 3 4 3 2 2" xfId="17641"/>
    <cellStyle name="표준 7 14 3 4 3 3" xfId="17642"/>
    <cellStyle name="표준 7 14 3 4 3 3 2" xfId="17643"/>
    <cellStyle name="표준 7 14 3 4 3 4" xfId="17644"/>
    <cellStyle name="표준 7 14 3 4 3 5" xfId="17645"/>
    <cellStyle name="표준 7 14 3 4 4 2" xfId="17646"/>
    <cellStyle name="표준 7 14 3 4 5" xfId="17647"/>
    <cellStyle name="표준 7 14 3 4 5 2" xfId="17648"/>
    <cellStyle name="표준 7 14 3 4 6" xfId="17649"/>
    <cellStyle name="표준 7 14 3 4 7" xfId="17650"/>
    <cellStyle name="표준 7 14 3 5 2 2" xfId="17651"/>
    <cellStyle name="표준 7 14 3 5 3" xfId="17652"/>
    <cellStyle name="표준 7 14 3 5 3 2" xfId="17653"/>
    <cellStyle name="표준 7 14 3 5 4" xfId="17654"/>
    <cellStyle name="표준 7 14 3 5 5" xfId="17655"/>
    <cellStyle name="표준 7 14 3 6 2 2" xfId="17656"/>
    <cellStyle name="표준 7 14 3 6 3" xfId="17657"/>
    <cellStyle name="표준 7 14 3 6 3 2" xfId="17658"/>
    <cellStyle name="표준 7 14 3 6 4" xfId="17659"/>
    <cellStyle name="표준 7 14 3 6 5" xfId="17660"/>
    <cellStyle name="표준 7 14 3 7 2" xfId="17661"/>
    <cellStyle name="표준 7 14 3 8" xfId="17662"/>
    <cellStyle name="표준 7 14 3 8 2" xfId="17663"/>
    <cellStyle name="표준 7 14 3 9" xfId="17664"/>
    <cellStyle name="표준 7 14 4 10" xfId="17665"/>
    <cellStyle name="표준 7 14 4 2 2 2 2 2 2" xfId="17666"/>
    <cellStyle name="표준 7 14 4 2 2 2 2 3" xfId="17667"/>
    <cellStyle name="표준 7 14 4 2 2 2 2 3 2" xfId="17668"/>
    <cellStyle name="표준 7 14 4 2 2 2 2 4" xfId="17669"/>
    <cellStyle name="표준 7 14 4 2 2 2 2 5" xfId="17670"/>
    <cellStyle name="표준 7 14 4 2 2 2 3 2 2" xfId="17671"/>
    <cellStyle name="표준 7 14 4 2 2 2 3 3" xfId="17672"/>
    <cellStyle name="표준 7 14 4 2 2 2 3 3 2" xfId="17673"/>
    <cellStyle name="표준 7 14 4 2 2 2 3 4" xfId="17674"/>
    <cellStyle name="표준 7 14 4 2 2 2 3 5" xfId="17675"/>
    <cellStyle name="표준 7 14 4 2 2 2 4 2" xfId="17676"/>
    <cellStyle name="표준 7 14 4 2 2 2 5" xfId="17677"/>
    <cellStyle name="표준 7 14 4 2 2 2 5 2" xfId="17678"/>
    <cellStyle name="표준 7 14 4 2 2 2 6" xfId="17679"/>
    <cellStyle name="표준 7 14 4 2 2 2 7" xfId="17680"/>
    <cellStyle name="표준 7 14 4 2 2 3 2 2" xfId="17681"/>
    <cellStyle name="표준 7 14 4 2 2 3 3" xfId="17682"/>
    <cellStyle name="표준 7 14 4 2 2 3 3 2" xfId="17683"/>
    <cellStyle name="표준 7 14 4 2 2 3 4" xfId="17684"/>
    <cellStyle name="표준 7 14 4 2 2 3 5" xfId="17685"/>
    <cellStyle name="표준 7 14 4 2 2 4 2 2" xfId="17686"/>
    <cellStyle name="표준 7 14 4 2 2 4 3" xfId="17687"/>
    <cellStyle name="표준 7 14 4 2 2 4 3 2" xfId="17688"/>
    <cellStyle name="표준 7 14 4 2 2 4 4" xfId="17689"/>
    <cellStyle name="표준 7 14 4 2 2 4 5" xfId="17690"/>
    <cellStyle name="표준 7 14 4 2 2 5 2" xfId="17691"/>
    <cellStyle name="표준 7 14 4 2 2 6" xfId="17692"/>
    <cellStyle name="표준 7 14 4 2 2 6 2" xfId="17693"/>
    <cellStyle name="표준 7 14 4 2 2 7" xfId="17694"/>
    <cellStyle name="표준 7 14 4 2 2 8" xfId="17695"/>
    <cellStyle name="표준 7 14 4 2 3 2 2 2" xfId="17696"/>
    <cellStyle name="표준 7 14 4 2 3 2 3" xfId="17697"/>
    <cellStyle name="표준 7 14 4 2 3 2 3 2" xfId="17698"/>
    <cellStyle name="표준 7 14 4 2 3 2 4" xfId="17699"/>
    <cellStyle name="표준 7 14 4 2 3 2 5" xfId="17700"/>
    <cellStyle name="표준 7 14 4 2 3 3 2 2" xfId="17701"/>
    <cellStyle name="표준 7 14 4 2 3 3 3" xfId="17702"/>
    <cellStyle name="표준 7 14 4 2 3 3 3 2" xfId="17703"/>
    <cellStyle name="표준 7 14 4 2 3 3 4" xfId="17704"/>
    <cellStyle name="표준 7 14 4 2 3 3 5" xfId="17705"/>
    <cellStyle name="표준 7 14 4 2 3 4 2" xfId="17706"/>
    <cellStyle name="표준 7 14 4 2 3 5" xfId="17707"/>
    <cellStyle name="표준 7 14 4 2 3 5 2" xfId="17708"/>
    <cellStyle name="표준 7 14 4 2 3 6" xfId="17709"/>
    <cellStyle name="표준 7 14 4 2 3 7" xfId="17710"/>
    <cellStyle name="표준 7 14 4 2 4 2 2" xfId="17711"/>
    <cellStyle name="표준 7 14 4 2 4 3" xfId="17712"/>
    <cellStyle name="표준 7 14 4 2 4 3 2" xfId="17713"/>
    <cellStyle name="표준 7 14 4 2 4 4" xfId="17714"/>
    <cellStyle name="표준 7 14 4 2 4 5" xfId="17715"/>
    <cellStyle name="표준 7 14 4 2 5 2 2" xfId="17716"/>
    <cellStyle name="표준 7 14 4 2 5 3" xfId="17717"/>
    <cellStyle name="표준 7 14 4 2 5 3 2" xfId="17718"/>
    <cellStyle name="표준 7 14 4 2 5 4" xfId="17719"/>
    <cellStyle name="표준 7 14 4 2 5 5" xfId="17720"/>
    <cellStyle name="표준 7 14 4 2 6 2" xfId="17721"/>
    <cellStyle name="표준 7 14 4 2 7" xfId="17722"/>
    <cellStyle name="표준 7 14 4 2 7 2" xfId="17723"/>
    <cellStyle name="표준 7 14 4 2 8" xfId="17724"/>
    <cellStyle name="표준 7 14 4 2 9" xfId="17725"/>
    <cellStyle name="표준 7 14 4 3 2 2 2 2" xfId="17726"/>
    <cellStyle name="표준 7 14 4 3 2 2 3" xfId="17727"/>
    <cellStyle name="표준 7 14 4 3 2 2 3 2" xfId="17728"/>
    <cellStyle name="표준 7 14 4 3 2 2 4" xfId="17729"/>
    <cellStyle name="표준 7 14 4 3 2 2 5" xfId="17730"/>
    <cellStyle name="표준 7 14 4 3 2 3 2 2" xfId="17731"/>
    <cellStyle name="표준 7 14 4 3 2 3 3" xfId="17732"/>
    <cellStyle name="표준 7 14 4 3 2 3 3 2" xfId="17733"/>
    <cellStyle name="표준 7 14 4 3 2 3 4" xfId="17734"/>
    <cellStyle name="표준 7 14 4 3 2 3 5" xfId="17735"/>
    <cellStyle name="표준 7 14 4 3 2 4 2" xfId="17736"/>
    <cellStyle name="표준 7 14 4 3 2 5" xfId="17737"/>
    <cellStyle name="표준 7 14 4 3 2 5 2" xfId="17738"/>
    <cellStyle name="표준 7 14 4 3 2 6" xfId="17739"/>
    <cellStyle name="표준 7 14 4 3 2 7" xfId="17740"/>
    <cellStyle name="표준 7 14 4 3 3 2 2" xfId="17741"/>
    <cellStyle name="표준 7 14 4 3 3 3" xfId="17742"/>
    <cellStyle name="표준 7 14 4 3 3 3 2" xfId="17743"/>
    <cellStyle name="표준 7 14 4 3 3 4" xfId="17744"/>
    <cellStyle name="표준 7 14 4 3 3 5" xfId="17745"/>
    <cellStyle name="표준 7 14 4 3 4 2 2" xfId="17746"/>
    <cellStyle name="표준 7 14 4 3 4 3" xfId="17747"/>
    <cellStyle name="표준 7 14 4 3 4 3 2" xfId="17748"/>
    <cellStyle name="표준 7 14 4 3 4 4" xfId="17749"/>
    <cellStyle name="표준 7 14 4 3 4 5" xfId="17750"/>
    <cellStyle name="표준 7 14 4 3 5 2" xfId="17751"/>
    <cellStyle name="표준 7 14 4 3 6" xfId="17752"/>
    <cellStyle name="표준 7 14 4 3 6 2" xfId="17753"/>
    <cellStyle name="표준 7 14 4 3 7" xfId="17754"/>
    <cellStyle name="표준 7 14 4 3 8" xfId="17755"/>
    <cellStyle name="표준 7 14 4 4 2 2 2" xfId="17756"/>
    <cellStyle name="표준 7 14 4 4 2 3" xfId="17757"/>
    <cellStyle name="표준 7 14 4 4 2 3 2" xfId="17758"/>
    <cellStyle name="표준 7 14 4 4 2 4" xfId="17759"/>
    <cellStyle name="표준 7 14 4 4 2 5" xfId="17760"/>
    <cellStyle name="표준 7 14 4 4 3 2 2" xfId="17761"/>
    <cellStyle name="표준 7 14 4 4 3 3" xfId="17762"/>
    <cellStyle name="표준 7 14 4 4 3 3 2" xfId="17763"/>
    <cellStyle name="표준 7 14 4 4 3 4" xfId="17764"/>
    <cellStyle name="표준 7 14 4 4 3 5" xfId="17765"/>
    <cellStyle name="표준 7 14 4 4 4 2" xfId="17766"/>
    <cellStyle name="표준 7 14 4 4 5" xfId="17767"/>
    <cellStyle name="표준 7 14 4 4 5 2" xfId="17768"/>
    <cellStyle name="표준 7 14 4 4 6" xfId="17769"/>
    <cellStyle name="표준 7 14 4 4 7" xfId="17770"/>
    <cellStyle name="표준 7 14 4 5 2 2" xfId="17771"/>
    <cellStyle name="표준 7 14 4 5 3" xfId="17772"/>
    <cellStyle name="표준 7 14 4 5 3 2" xfId="17773"/>
    <cellStyle name="표준 7 14 4 5 4" xfId="17774"/>
    <cellStyle name="표준 7 14 4 5 5" xfId="17775"/>
    <cellStyle name="표준 7 14 4 6 2 2" xfId="17776"/>
    <cellStyle name="표준 7 14 4 6 3" xfId="17777"/>
    <cellStyle name="표준 7 14 4 6 3 2" xfId="17778"/>
    <cellStyle name="표준 7 14 4 6 4" xfId="17779"/>
    <cellStyle name="표준 7 14 4 6 5" xfId="17780"/>
    <cellStyle name="표준 7 14 4 7 2" xfId="17781"/>
    <cellStyle name="표준 7 14 4 8" xfId="17782"/>
    <cellStyle name="표준 7 14 4 8 2" xfId="17783"/>
    <cellStyle name="표준 7 14 4 9" xfId="17784"/>
    <cellStyle name="표준 7 14 5 2 2 2 2 2" xfId="17785"/>
    <cellStyle name="표준 7 14 5 2 2 2 3" xfId="17786"/>
    <cellStyle name="표준 7 14 5 2 2 2 3 2" xfId="17787"/>
    <cellStyle name="표준 7 14 5 2 2 2 4" xfId="17788"/>
    <cellStyle name="표준 7 14 5 2 2 2 5" xfId="17789"/>
    <cellStyle name="표준 7 14 5 2 2 3 2 2" xfId="17790"/>
    <cellStyle name="표준 7 14 5 2 2 3 3" xfId="17791"/>
    <cellStyle name="표준 7 14 5 2 2 3 3 2" xfId="17792"/>
    <cellStyle name="표준 7 14 5 2 2 3 4" xfId="17793"/>
    <cellStyle name="표준 7 14 5 2 2 3 5" xfId="17794"/>
    <cellStyle name="표준 7 14 5 2 2 4 2" xfId="17795"/>
    <cellStyle name="표준 7 14 5 2 2 5" xfId="17796"/>
    <cellStyle name="표준 7 14 5 2 2 5 2" xfId="17797"/>
    <cellStyle name="표준 7 14 5 2 2 6" xfId="17798"/>
    <cellStyle name="표준 7 14 5 2 2 7" xfId="17799"/>
    <cellStyle name="표준 7 14 5 2 3 2 2" xfId="17800"/>
    <cellStyle name="표준 7 14 5 2 3 3" xfId="17801"/>
    <cellStyle name="표준 7 14 5 2 3 3 2" xfId="17802"/>
    <cellStyle name="표준 7 14 5 2 3 4" xfId="17803"/>
    <cellStyle name="표준 7 14 5 2 3 5" xfId="17804"/>
    <cellStyle name="표준 7 14 5 2 4 2 2" xfId="17805"/>
    <cellStyle name="표준 7 14 5 2 4 3" xfId="17806"/>
    <cellStyle name="표준 7 14 5 2 4 3 2" xfId="17807"/>
    <cellStyle name="표준 7 14 5 2 4 4" xfId="17808"/>
    <cellStyle name="표준 7 14 5 2 4 5" xfId="17809"/>
    <cellStyle name="표준 7 14 5 2 5 2" xfId="17810"/>
    <cellStyle name="표준 7 14 5 2 6" xfId="17811"/>
    <cellStyle name="표준 7 14 5 2 6 2" xfId="17812"/>
    <cellStyle name="표준 7 14 5 2 7" xfId="17813"/>
    <cellStyle name="표준 7 14 5 2 8" xfId="17814"/>
    <cellStyle name="표준 7 14 5 3 2 2 2" xfId="17815"/>
    <cellStyle name="표준 7 14 5 3 2 3" xfId="17816"/>
    <cellStyle name="표준 7 14 5 3 2 3 2" xfId="17817"/>
    <cellStyle name="표준 7 14 5 3 2 4" xfId="17818"/>
    <cellStyle name="표준 7 14 5 3 2 5" xfId="17819"/>
    <cellStyle name="표준 7 14 5 3 3 2 2" xfId="17820"/>
    <cellStyle name="표준 7 14 5 3 3 3" xfId="17821"/>
    <cellStyle name="표준 7 14 5 3 3 3 2" xfId="17822"/>
    <cellStyle name="표준 7 14 5 3 3 4" xfId="17823"/>
    <cellStyle name="표준 7 14 5 3 3 5" xfId="17824"/>
    <cellStyle name="표준 7 14 5 3 4 2" xfId="17825"/>
    <cellStyle name="표준 7 14 5 3 5" xfId="17826"/>
    <cellStyle name="표준 7 14 5 3 5 2" xfId="17827"/>
    <cellStyle name="표준 7 14 5 3 6" xfId="17828"/>
    <cellStyle name="표준 7 14 5 3 7" xfId="17829"/>
    <cellStyle name="표준 7 14 5 4 2 2" xfId="17830"/>
    <cellStyle name="표준 7 14 5 4 3" xfId="17831"/>
    <cellStyle name="표준 7 14 5 4 3 2" xfId="17832"/>
    <cellStyle name="표준 7 14 5 4 4" xfId="17833"/>
    <cellStyle name="표준 7 14 5 4 5" xfId="17834"/>
    <cellStyle name="표준 7 14 5 5 2 2" xfId="17835"/>
    <cellStyle name="표준 7 14 5 5 3" xfId="17836"/>
    <cellStyle name="표준 7 14 5 5 3 2" xfId="17837"/>
    <cellStyle name="표준 7 14 5 5 4" xfId="17838"/>
    <cellStyle name="표준 7 14 5 5 5" xfId="17839"/>
    <cellStyle name="표준 7 14 5 6 2" xfId="17840"/>
    <cellStyle name="표준 7 14 5 7" xfId="17841"/>
    <cellStyle name="표준 7 14 5 7 2" xfId="17842"/>
    <cellStyle name="표준 7 14 5 8" xfId="17843"/>
    <cellStyle name="표준 7 14 5 9" xfId="17844"/>
    <cellStyle name="표준 7 14 6 2 2 2 2" xfId="17845"/>
    <cellStyle name="표준 7 14 6 2 2 3" xfId="17846"/>
    <cellStyle name="표준 7 14 6 2 2 3 2" xfId="17847"/>
    <cellStyle name="표준 7 14 6 2 2 4" xfId="17848"/>
    <cellStyle name="표준 7 14 6 2 2 5" xfId="17849"/>
    <cellStyle name="표준 7 14 6 2 3 2 2" xfId="17850"/>
    <cellStyle name="표준 7 14 6 2 3 3" xfId="17851"/>
    <cellStyle name="표준 7 14 6 2 3 3 2" xfId="17852"/>
    <cellStyle name="표준 7 14 6 2 3 4" xfId="17853"/>
    <cellStyle name="표준 7 14 6 2 3 5" xfId="17854"/>
    <cellStyle name="표준 7 14 6 2 4 2" xfId="17855"/>
    <cellStyle name="표준 7 14 6 2 5" xfId="17856"/>
    <cellStyle name="표준 7 14 6 2 5 2" xfId="17857"/>
    <cellStyle name="표준 7 14 6 2 6" xfId="17858"/>
    <cellStyle name="표준 7 14 6 2 7" xfId="17859"/>
    <cellStyle name="표준 7 14 6 3 2 2" xfId="17860"/>
    <cellStyle name="표준 7 14 6 3 3" xfId="17861"/>
    <cellStyle name="표준 7 14 6 3 3 2" xfId="17862"/>
    <cellStyle name="표준 7 14 6 3 4" xfId="17863"/>
    <cellStyle name="표준 7 14 6 3 5" xfId="17864"/>
    <cellStyle name="표준 7 14 6 4 2 2" xfId="17865"/>
    <cellStyle name="표준 7 14 6 4 3" xfId="17866"/>
    <cellStyle name="표준 7 14 6 4 3 2" xfId="17867"/>
    <cellStyle name="표준 7 14 6 4 4" xfId="17868"/>
    <cellStyle name="표준 7 14 6 4 5" xfId="17869"/>
    <cellStyle name="표준 7 14 6 5 2" xfId="17870"/>
    <cellStyle name="표준 7 14 6 6" xfId="17871"/>
    <cellStyle name="표준 7 14 6 6 2" xfId="17872"/>
    <cellStyle name="표준 7 14 6 7" xfId="17873"/>
    <cellStyle name="표준 7 14 6 8" xfId="17874"/>
    <cellStyle name="표준 7 14 7 2 2 2" xfId="17875"/>
    <cellStyle name="표준 7 14 7 2 3" xfId="17876"/>
    <cellStyle name="표준 7 14 7 2 3 2" xfId="17877"/>
    <cellStyle name="표준 7 14 7 2 4" xfId="17878"/>
    <cellStyle name="표준 7 14 7 2 5" xfId="17879"/>
    <cellStyle name="표준 7 14 7 3 2 2" xfId="17880"/>
    <cellStyle name="표준 7 14 7 3 3" xfId="17881"/>
    <cellStyle name="표준 7 14 7 3 3 2" xfId="17882"/>
    <cellStyle name="표준 7 14 7 3 4" xfId="17883"/>
    <cellStyle name="표준 7 14 7 3 5" xfId="17884"/>
    <cellStyle name="표준 7 14 7 4 2" xfId="17885"/>
    <cellStyle name="표준 7 14 7 5" xfId="17886"/>
    <cellStyle name="표준 7 14 7 5 2" xfId="17887"/>
    <cellStyle name="표준 7 14 7 6" xfId="17888"/>
    <cellStyle name="표준 7 14 7 7" xfId="17889"/>
    <cellStyle name="표준 7 14 8 2 2" xfId="17890"/>
    <cellStyle name="표준 7 14 8 3" xfId="17891"/>
    <cellStyle name="표준 7 14 8 3 2" xfId="17892"/>
    <cellStyle name="표준 7 14 8 4" xfId="17893"/>
    <cellStyle name="표준 7 14 8 5" xfId="17894"/>
    <cellStyle name="표준 7 14 9 2 2" xfId="17895"/>
    <cellStyle name="표준 7 14 9 3" xfId="17896"/>
    <cellStyle name="표준 7 14 9 3 2" xfId="17897"/>
    <cellStyle name="표준 7 14 9 4" xfId="17898"/>
    <cellStyle name="표준 7 14 9 5" xfId="17899"/>
    <cellStyle name="표준 7 15 10" xfId="17900"/>
    <cellStyle name="표준 7 15 10 2" xfId="17901"/>
    <cellStyle name="표준 7 15 11" xfId="17902"/>
    <cellStyle name="표준 7 15 12" xfId="17903"/>
    <cellStyle name="표준 7 15 2 10" xfId="17904"/>
    <cellStyle name="표준 7 15 2 2 2 2 2 2 2" xfId="17905"/>
    <cellStyle name="표준 7 15 2 2 2 2 2 3" xfId="17906"/>
    <cellStyle name="표준 7 15 2 2 2 2 2 3 2" xfId="17907"/>
    <cellStyle name="표준 7 15 2 2 2 2 2 4" xfId="17908"/>
    <cellStyle name="표준 7 15 2 2 2 2 2 5" xfId="17909"/>
    <cellStyle name="표준 7 15 2 2 2 2 3 2 2" xfId="17910"/>
    <cellStyle name="표준 7 15 2 2 2 2 3 3" xfId="17911"/>
    <cellStyle name="표준 7 15 2 2 2 2 3 3 2" xfId="17912"/>
    <cellStyle name="표준 7 15 2 2 2 2 3 4" xfId="17913"/>
    <cellStyle name="표준 7 15 2 2 2 2 3 5" xfId="17914"/>
    <cellStyle name="표준 7 15 2 2 2 2 4 2" xfId="17915"/>
    <cellStyle name="표준 7 15 2 2 2 2 5" xfId="17916"/>
    <cellStyle name="표준 7 15 2 2 2 2 5 2" xfId="17917"/>
    <cellStyle name="표준 7 15 2 2 2 2 6" xfId="17918"/>
    <cellStyle name="표준 7 15 2 2 2 2 7" xfId="17919"/>
    <cellStyle name="표준 7 15 2 2 2 3 2 2" xfId="17920"/>
    <cellStyle name="표준 7 15 2 2 2 3 3" xfId="17921"/>
    <cellStyle name="표준 7 15 2 2 2 3 3 2" xfId="17922"/>
    <cellStyle name="표준 7 15 2 2 2 3 4" xfId="17923"/>
    <cellStyle name="표준 7 15 2 2 2 3 5" xfId="17924"/>
    <cellStyle name="표준 7 15 2 2 2 4 2 2" xfId="17925"/>
    <cellStyle name="표준 7 15 2 2 2 4 3" xfId="17926"/>
    <cellStyle name="표준 7 15 2 2 2 4 3 2" xfId="17927"/>
    <cellStyle name="표준 7 15 2 2 2 4 4" xfId="17928"/>
    <cellStyle name="표준 7 15 2 2 2 4 5" xfId="17929"/>
    <cellStyle name="표준 7 15 2 2 2 5 2" xfId="17930"/>
    <cellStyle name="표준 7 15 2 2 2 6" xfId="17931"/>
    <cellStyle name="표준 7 15 2 2 2 6 2" xfId="17932"/>
    <cellStyle name="표준 7 15 2 2 2 7" xfId="17933"/>
    <cellStyle name="표준 7 15 2 2 2 8" xfId="17934"/>
    <cellStyle name="표준 7 15 2 2 3 2 2 2" xfId="17935"/>
    <cellStyle name="표준 7 15 2 2 3 2 3" xfId="17936"/>
    <cellStyle name="표준 7 15 2 2 3 2 3 2" xfId="17937"/>
    <cellStyle name="표준 7 15 2 2 3 2 4" xfId="17938"/>
    <cellStyle name="표준 7 15 2 2 3 2 5" xfId="17939"/>
    <cellStyle name="표준 7 15 2 2 3 3 2 2" xfId="17940"/>
    <cellStyle name="표준 7 15 2 2 3 3 3" xfId="17941"/>
    <cellStyle name="표준 7 15 2 2 3 3 3 2" xfId="17942"/>
    <cellStyle name="표준 7 15 2 2 3 3 4" xfId="17943"/>
    <cellStyle name="표준 7 15 2 2 3 3 5" xfId="17944"/>
    <cellStyle name="표준 7 15 2 2 3 4 2" xfId="17945"/>
    <cellStyle name="표준 7 15 2 2 3 5" xfId="17946"/>
    <cellStyle name="표준 7 15 2 2 3 5 2" xfId="17947"/>
    <cellStyle name="표준 7 15 2 2 3 6" xfId="17948"/>
    <cellStyle name="표준 7 15 2 2 3 7" xfId="17949"/>
    <cellStyle name="표준 7 15 2 2 4 2 2" xfId="17950"/>
    <cellStyle name="표준 7 15 2 2 4 3" xfId="17951"/>
    <cellStyle name="표준 7 15 2 2 4 3 2" xfId="17952"/>
    <cellStyle name="표준 7 15 2 2 4 4" xfId="17953"/>
    <cellStyle name="표준 7 15 2 2 4 5" xfId="17954"/>
    <cellStyle name="표준 7 15 2 2 5 2 2" xfId="17955"/>
    <cellStyle name="표준 7 15 2 2 5 3" xfId="17956"/>
    <cellStyle name="표준 7 15 2 2 5 3 2" xfId="17957"/>
    <cellStyle name="표준 7 15 2 2 5 4" xfId="17958"/>
    <cellStyle name="표준 7 15 2 2 5 5" xfId="17959"/>
    <cellStyle name="표준 7 15 2 2 6 2" xfId="17960"/>
    <cellStyle name="표준 7 15 2 2 7" xfId="17961"/>
    <cellStyle name="표준 7 15 2 2 7 2" xfId="17962"/>
    <cellStyle name="표준 7 15 2 2 8" xfId="17963"/>
    <cellStyle name="표준 7 15 2 2 9" xfId="17964"/>
    <cellStyle name="표준 7 15 2 3 2 2 2 2" xfId="17965"/>
    <cellStyle name="표준 7 15 2 3 2 2 3" xfId="17966"/>
    <cellStyle name="표준 7 15 2 3 2 2 3 2" xfId="17967"/>
    <cellStyle name="표준 7 15 2 3 2 2 4" xfId="17968"/>
    <cellStyle name="표준 7 15 2 3 2 2 5" xfId="17969"/>
    <cellStyle name="표준 7 15 2 3 2 3 2 2" xfId="17970"/>
    <cellStyle name="표준 7 15 2 3 2 3 3" xfId="17971"/>
    <cellStyle name="표준 7 15 2 3 2 3 3 2" xfId="17972"/>
    <cellStyle name="표준 7 15 2 3 2 3 4" xfId="17973"/>
    <cellStyle name="표준 7 15 2 3 2 3 5" xfId="17974"/>
    <cellStyle name="표준 7 15 2 3 2 4 2" xfId="17975"/>
    <cellStyle name="표준 7 15 2 3 2 5" xfId="17976"/>
    <cellStyle name="표준 7 15 2 3 2 5 2" xfId="17977"/>
    <cellStyle name="표준 7 15 2 3 2 6" xfId="17978"/>
    <cellStyle name="표준 7 15 2 3 2 7" xfId="17979"/>
    <cellStyle name="표준 7 15 2 3 3 2 2" xfId="17980"/>
    <cellStyle name="표준 7 15 2 3 3 3" xfId="17981"/>
    <cellStyle name="표준 7 15 2 3 3 3 2" xfId="17982"/>
    <cellStyle name="표준 7 15 2 3 3 4" xfId="17983"/>
    <cellStyle name="표준 7 15 2 3 3 5" xfId="17984"/>
    <cellStyle name="표준 7 15 2 3 4 2 2" xfId="17985"/>
    <cellStyle name="표준 7 15 2 3 4 3" xfId="17986"/>
    <cellStyle name="표준 7 15 2 3 4 3 2" xfId="17987"/>
    <cellStyle name="표준 7 15 2 3 4 4" xfId="17988"/>
    <cellStyle name="표준 7 15 2 3 4 5" xfId="17989"/>
    <cellStyle name="표준 7 15 2 3 5 2" xfId="17990"/>
    <cellStyle name="표준 7 15 2 3 6" xfId="17991"/>
    <cellStyle name="표준 7 15 2 3 6 2" xfId="17992"/>
    <cellStyle name="표준 7 15 2 3 7" xfId="17993"/>
    <cellStyle name="표준 7 15 2 3 8" xfId="17994"/>
    <cellStyle name="표준 7 15 2 4 2 2 2" xfId="17995"/>
    <cellStyle name="표준 7 15 2 4 2 3" xfId="17996"/>
    <cellStyle name="표준 7 15 2 4 2 3 2" xfId="17997"/>
    <cellStyle name="표준 7 15 2 4 2 4" xfId="17998"/>
    <cellStyle name="표준 7 15 2 4 2 5" xfId="17999"/>
    <cellStyle name="표준 7 15 2 4 3 2 2" xfId="18000"/>
    <cellStyle name="표준 7 15 2 4 3 3" xfId="18001"/>
    <cellStyle name="표준 7 15 2 4 3 3 2" xfId="18002"/>
    <cellStyle name="표준 7 15 2 4 3 4" xfId="18003"/>
    <cellStyle name="표준 7 15 2 4 3 5" xfId="18004"/>
    <cellStyle name="표준 7 15 2 4 4 2" xfId="18005"/>
    <cellStyle name="표준 7 15 2 4 5" xfId="18006"/>
    <cellStyle name="표준 7 15 2 4 5 2" xfId="18007"/>
    <cellStyle name="표준 7 15 2 4 6" xfId="18008"/>
    <cellStyle name="표준 7 15 2 4 7" xfId="18009"/>
    <cellStyle name="표준 7 15 2 5 2 2" xfId="18010"/>
    <cellStyle name="표준 7 15 2 5 3" xfId="18011"/>
    <cellStyle name="표준 7 15 2 5 3 2" xfId="18012"/>
    <cellStyle name="표준 7 15 2 5 4" xfId="18013"/>
    <cellStyle name="표준 7 15 2 5 5" xfId="18014"/>
    <cellStyle name="표준 7 15 2 6 2 2" xfId="18015"/>
    <cellStyle name="표준 7 15 2 6 3" xfId="18016"/>
    <cellStyle name="표준 7 15 2 6 3 2" xfId="18017"/>
    <cellStyle name="표준 7 15 2 6 4" xfId="18018"/>
    <cellStyle name="표준 7 15 2 6 5" xfId="18019"/>
    <cellStyle name="표준 7 15 2 7 2" xfId="18020"/>
    <cellStyle name="표준 7 15 2 8" xfId="18021"/>
    <cellStyle name="표준 7 15 2 8 2" xfId="18022"/>
    <cellStyle name="표준 7 15 2 9" xfId="18023"/>
    <cellStyle name="표준 7 15 3 10" xfId="18024"/>
    <cellStyle name="표준 7 15 3 2 2 2 2 2 2" xfId="18025"/>
    <cellStyle name="표준 7 15 3 2 2 2 2 3" xfId="18026"/>
    <cellStyle name="표준 7 15 3 2 2 2 2 3 2" xfId="18027"/>
    <cellStyle name="표준 7 15 3 2 2 2 2 4" xfId="18028"/>
    <cellStyle name="표준 7 15 3 2 2 2 2 5" xfId="18029"/>
    <cellStyle name="표준 7 15 3 2 2 2 3 2 2" xfId="18030"/>
    <cellStyle name="표준 7 15 3 2 2 2 3 3" xfId="18031"/>
    <cellStyle name="표준 7 15 3 2 2 2 3 3 2" xfId="18032"/>
    <cellStyle name="표준 7 15 3 2 2 2 3 4" xfId="18033"/>
    <cellStyle name="표준 7 15 3 2 2 2 3 5" xfId="18034"/>
    <cellStyle name="표준 7 15 3 2 2 2 4 2" xfId="18035"/>
    <cellStyle name="표준 7 15 3 2 2 2 5" xfId="18036"/>
    <cellStyle name="표준 7 15 3 2 2 2 5 2" xfId="18037"/>
    <cellStyle name="표준 7 15 3 2 2 2 6" xfId="18038"/>
    <cellStyle name="표준 7 15 3 2 2 2 7" xfId="18039"/>
    <cellStyle name="표준 7 15 3 2 2 3 2 2" xfId="18040"/>
    <cellStyle name="표준 7 15 3 2 2 3 3" xfId="18041"/>
    <cellStyle name="표준 7 15 3 2 2 3 3 2" xfId="18042"/>
    <cellStyle name="표준 7 15 3 2 2 3 4" xfId="18043"/>
    <cellStyle name="표준 7 15 3 2 2 3 5" xfId="18044"/>
    <cellStyle name="표준 7 15 3 2 2 4 2 2" xfId="18045"/>
    <cellStyle name="표준 7 15 3 2 2 4 3" xfId="18046"/>
    <cellStyle name="표준 7 15 3 2 2 4 3 2" xfId="18047"/>
    <cellStyle name="표준 7 15 3 2 2 4 4" xfId="18048"/>
    <cellStyle name="표준 7 15 3 2 2 4 5" xfId="18049"/>
    <cellStyle name="표준 7 15 3 2 2 5 2" xfId="18050"/>
    <cellStyle name="표준 7 15 3 2 2 6" xfId="18051"/>
    <cellStyle name="표준 7 15 3 2 2 6 2" xfId="18052"/>
    <cellStyle name="표준 7 15 3 2 2 7" xfId="18053"/>
    <cellStyle name="표준 7 15 3 2 2 8" xfId="18054"/>
    <cellStyle name="표준 7 15 3 2 3 2 2 2" xfId="18055"/>
    <cellStyle name="표준 7 15 3 2 3 2 3" xfId="18056"/>
    <cellStyle name="표준 7 15 3 2 3 2 3 2" xfId="18057"/>
    <cellStyle name="표준 7 15 3 2 3 2 4" xfId="18058"/>
    <cellStyle name="표준 7 15 3 2 3 2 5" xfId="18059"/>
    <cellStyle name="표준 7 15 3 2 3 3 2 2" xfId="18060"/>
    <cellStyle name="표준 7 15 3 2 3 3 3" xfId="18061"/>
    <cellStyle name="표준 7 15 3 2 3 3 3 2" xfId="18062"/>
    <cellStyle name="표준 7 15 3 2 3 3 4" xfId="18063"/>
    <cellStyle name="표준 7 15 3 2 3 3 5" xfId="18064"/>
    <cellStyle name="표준 7 15 3 2 3 4 2" xfId="18065"/>
    <cellStyle name="표준 7 15 3 2 3 5" xfId="18066"/>
    <cellStyle name="표준 7 15 3 2 3 5 2" xfId="18067"/>
    <cellStyle name="표준 7 15 3 2 3 6" xfId="18068"/>
    <cellStyle name="표준 7 15 3 2 3 7" xfId="18069"/>
    <cellStyle name="표준 7 15 3 2 4 2 2" xfId="18070"/>
    <cellStyle name="표준 7 15 3 2 4 3" xfId="18071"/>
    <cellStyle name="표준 7 15 3 2 4 3 2" xfId="18072"/>
    <cellStyle name="표준 7 15 3 2 4 4" xfId="18073"/>
    <cellStyle name="표준 7 15 3 2 4 5" xfId="18074"/>
    <cellStyle name="표준 7 15 3 2 5 2 2" xfId="18075"/>
    <cellStyle name="표준 7 15 3 2 5 3" xfId="18076"/>
    <cellStyle name="표준 7 15 3 2 5 3 2" xfId="18077"/>
    <cellStyle name="표준 7 15 3 2 5 4" xfId="18078"/>
    <cellStyle name="표준 7 15 3 2 5 5" xfId="18079"/>
    <cellStyle name="표준 7 15 3 2 6 2" xfId="18080"/>
    <cellStyle name="표준 7 15 3 2 7" xfId="18081"/>
    <cellStyle name="표준 7 15 3 2 7 2" xfId="18082"/>
    <cellStyle name="표준 7 15 3 2 8" xfId="18083"/>
    <cellStyle name="표준 7 15 3 2 9" xfId="18084"/>
    <cellStyle name="표준 7 15 3 3 2 2 2 2" xfId="18085"/>
    <cellStyle name="표준 7 15 3 3 2 2 3" xfId="18086"/>
    <cellStyle name="표준 7 15 3 3 2 2 3 2" xfId="18087"/>
    <cellStyle name="표준 7 15 3 3 2 2 4" xfId="18088"/>
    <cellStyle name="표준 7 15 3 3 2 2 5" xfId="18089"/>
    <cellStyle name="표준 7 15 3 3 2 3 2 2" xfId="18090"/>
    <cellStyle name="표준 7 15 3 3 2 3 3" xfId="18091"/>
    <cellStyle name="표준 7 15 3 3 2 3 3 2" xfId="18092"/>
    <cellStyle name="표준 7 15 3 3 2 3 4" xfId="18093"/>
    <cellStyle name="표준 7 15 3 3 2 3 5" xfId="18094"/>
    <cellStyle name="표준 7 15 3 3 2 4 2" xfId="18095"/>
    <cellStyle name="표준 7 15 3 3 2 5" xfId="18096"/>
    <cellStyle name="표준 7 15 3 3 2 5 2" xfId="18097"/>
    <cellStyle name="표준 7 15 3 3 2 6" xfId="18098"/>
    <cellStyle name="표준 7 15 3 3 2 7" xfId="18099"/>
    <cellStyle name="표준 7 15 3 3 3 2 2" xfId="18100"/>
    <cellStyle name="표준 7 15 3 3 3 3" xfId="18101"/>
    <cellStyle name="표준 7 15 3 3 3 3 2" xfId="18102"/>
    <cellStyle name="표준 7 15 3 3 3 4" xfId="18103"/>
    <cellStyle name="표준 7 15 3 3 3 5" xfId="18104"/>
    <cellStyle name="표준 7 15 3 3 4 2 2" xfId="18105"/>
    <cellStyle name="표준 7 15 3 3 4 3" xfId="18106"/>
    <cellStyle name="표준 7 15 3 3 4 3 2" xfId="18107"/>
    <cellStyle name="표준 7 15 3 3 4 4" xfId="18108"/>
    <cellStyle name="표준 7 15 3 3 4 5" xfId="18109"/>
    <cellStyle name="표준 7 15 3 3 5 2" xfId="18110"/>
    <cellStyle name="표준 7 15 3 3 6" xfId="18111"/>
    <cellStyle name="표준 7 15 3 3 6 2" xfId="18112"/>
    <cellStyle name="표준 7 15 3 3 7" xfId="18113"/>
    <cellStyle name="표준 7 15 3 3 8" xfId="18114"/>
    <cellStyle name="표준 7 15 3 4 2 2 2" xfId="18115"/>
    <cellStyle name="표준 7 15 3 4 2 3" xfId="18116"/>
    <cellStyle name="표준 7 15 3 4 2 3 2" xfId="18117"/>
    <cellStyle name="표준 7 15 3 4 2 4" xfId="18118"/>
    <cellStyle name="표준 7 15 3 4 2 5" xfId="18119"/>
    <cellStyle name="표준 7 15 3 4 3 2 2" xfId="18120"/>
    <cellStyle name="표준 7 15 3 4 3 3" xfId="18121"/>
    <cellStyle name="표준 7 15 3 4 3 3 2" xfId="18122"/>
    <cellStyle name="표준 7 15 3 4 3 4" xfId="18123"/>
    <cellStyle name="표준 7 15 3 4 3 5" xfId="18124"/>
    <cellStyle name="표준 7 15 3 4 4 2" xfId="18125"/>
    <cellStyle name="표준 7 15 3 4 5" xfId="18126"/>
    <cellStyle name="표준 7 15 3 4 5 2" xfId="18127"/>
    <cellStyle name="표준 7 15 3 4 6" xfId="18128"/>
    <cellStyle name="표준 7 15 3 4 7" xfId="18129"/>
    <cellStyle name="표준 7 15 3 5 2 2" xfId="18130"/>
    <cellStyle name="표준 7 15 3 5 3" xfId="18131"/>
    <cellStyle name="표준 7 15 3 5 3 2" xfId="18132"/>
    <cellStyle name="표준 7 15 3 5 4" xfId="18133"/>
    <cellStyle name="표준 7 15 3 5 5" xfId="18134"/>
    <cellStyle name="표준 7 15 3 6 2 2" xfId="18135"/>
    <cellStyle name="표준 7 15 3 6 3" xfId="18136"/>
    <cellStyle name="표준 7 15 3 6 3 2" xfId="18137"/>
    <cellStyle name="표준 7 15 3 6 4" xfId="18138"/>
    <cellStyle name="표준 7 15 3 6 5" xfId="18139"/>
    <cellStyle name="표준 7 15 3 7 2" xfId="18140"/>
    <cellStyle name="표준 7 15 3 8" xfId="18141"/>
    <cellStyle name="표준 7 15 3 8 2" xfId="18142"/>
    <cellStyle name="표준 7 15 3 9" xfId="18143"/>
    <cellStyle name="표준 7 15 4 2 2 2 2 2" xfId="18144"/>
    <cellStyle name="표준 7 15 4 2 2 2 3" xfId="18145"/>
    <cellStyle name="표준 7 15 4 2 2 2 3 2" xfId="18146"/>
    <cellStyle name="표준 7 15 4 2 2 2 4" xfId="18147"/>
    <cellStyle name="표준 7 15 4 2 2 2 5" xfId="18148"/>
    <cellStyle name="표준 7 15 4 2 2 3 2 2" xfId="18149"/>
    <cellStyle name="표준 7 15 4 2 2 3 3" xfId="18150"/>
    <cellStyle name="표준 7 15 4 2 2 3 3 2" xfId="18151"/>
    <cellStyle name="표준 7 15 4 2 2 3 4" xfId="18152"/>
    <cellStyle name="표준 7 15 4 2 2 3 5" xfId="18153"/>
    <cellStyle name="표준 7 15 4 2 2 4 2" xfId="18154"/>
    <cellStyle name="표준 7 15 4 2 2 5" xfId="18155"/>
    <cellStyle name="표준 7 15 4 2 2 5 2" xfId="18156"/>
    <cellStyle name="표준 7 15 4 2 2 6" xfId="18157"/>
    <cellStyle name="표준 7 15 4 2 2 7" xfId="18158"/>
    <cellStyle name="표준 7 15 4 2 3 2 2" xfId="18159"/>
    <cellStyle name="표준 7 15 4 2 3 3" xfId="18160"/>
    <cellStyle name="표준 7 15 4 2 3 3 2" xfId="18161"/>
    <cellStyle name="표준 7 15 4 2 3 4" xfId="18162"/>
    <cellStyle name="표준 7 15 4 2 3 5" xfId="18163"/>
    <cellStyle name="표준 7 15 4 2 4 2 2" xfId="18164"/>
    <cellStyle name="표준 7 15 4 2 4 3" xfId="18165"/>
    <cellStyle name="표준 7 15 4 2 4 3 2" xfId="18166"/>
    <cellStyle name="표준 7 15 4 2 4 4" xfId="18167"/>
    <cellStyle name="표준 7 15 4 2 4 5" xfId="18168"/>
    <cellStyle name="표준 7 15 4 2 5 2" xfId="18169"/>
    <cellStyle name="표준 7 15 4 2 6" xfId="18170"/>
    <cellStyle name="표준 7 15 4 2 6 2" xfId="18171"/>
    <cellStyle name="표준 7 15 4 2 7" xfId="18172"/>
    <cellStyle name="표준 7 15 4 2 8" xfId="18173"/>
    <cellStyle name="표준 7 15 4 3 2 2 2" xfId="18174"/>
    <cellStyle name="표준 7 15 4 3 2 3" xfId="18175"/>
    <cellStyle name="표준 7 15 4 3 2 3 2" xfId="18176"/>
    <cellStyle name="표준 7 15 4 3 2 4" xfId="18177"/>
    <cellStyle name="표준 7 15 4 3 2 5" xfId="18178"/>
    <cellStyle name="표준 7 15 4 3 3 2 2" xfId="18179"/>
    <cellStyle name="표준 7 15 4 3 3 3" xfId="18180"/>
    <cellStyle name="표준 7 15 4 3 3 3 2" xfId="18181"/>
    <cellStyle name="표준 7 15 4 3 3 4" xfId="18182"/>
    <cellStyle name="표준 7 15 4 3 3 5" xfId="18183"/>
    <cellStyle name="표준 7 15 4 3 4 2" xfId="18184"/>
    <cellStyle name="표준 7 15 4 3 5" xfId="18185"/>
    <cellStyle name="표준 7 15 4 3 5 2" xfId="18186"/>
    <cellStyle name="표준 7 15 4 3 6" xfId="18187"/>
    <cellStyle name="표준 7 15 4 3 7" xfId="18188"/>
    <cellStyle name="표준 7 15 4 4 2 2" xfId="18189"/>
    <cellStyle name="표준 7 15 4 4 3" xfId="18190"/>
    <cellStyle name="표준 7 15 4 4 3 2" xfId="18191"/>
    <cellStyle name="표준 7 15 4 4 4" xfId="18192"/>
    <cellStyle name="표준 7 15 4 4 5" xfId="18193"/>
    <cellStyle name="표준 7 15 4 5 2 2" xfId="18194"/>
    <cellStyle name="표준 7 15 4 5 3" xfId="18195"/>
    <cellStyle name="표준 7 15 4 5 3 2" xfId="18196"/>
    <cellStyle name="표준 7 15 4 5 4" xfId="18197"/>
    <cellStyle name="표준 7 15 4 5 5" xfId="18198"/>
    <cellStyle name="표준 7 15 4 6 2" xfId="18199"/>
    <cellStyle name="표준 7 15 4 7" xfId="18200"/>
    <cellStyle name="표준 7 15 4 7 2" xfId="18201"/>
    <cellStyle name="표준 7 15 4 8" xfId="18202"/>
    <cellStyle name="표준 7 15 4 9" xfId="18203"/>
    <cellStyle name="표준 7 15 5 2 2 2 2" xfId="18204"/>
    <cellStyle name="표준 7 15 5 2 2 3" xfId="18205"/>
    <cellStyle name="표준 7 15 5 2 2 3 2" xfId="18206"/>
    <cellStyle name="표준 7 15 5 2 2 4" xfId="18207"/>
    <cellStyle name="표준 7 15 5 2 2 5" xfId="18208"/>
    <cellStyle name="표준 7 15 5 2 3 2 2" xfId="18209"/>
    <cellStyle name="표준 7 15 5 2 3 3" xfId="18210"/>
    <cellStyle name="표준 7 15 5 2 3 3 2" xfId="18211"/>
    <cellStyle name="표준 7 15 5 2 3 4" xfId="18212"/>
    <cellStyle name="표준 7 15 5 2 3 5" xfId="18213"/>
    <cellStyle name="표준 7 15 5 2 4 2" xfId="18214"/>
    <cellStyle name="표준 7 15 5 2 5" xfId="18215"/>
    <cellStyle name="표준 7 15 5 2 5 2" xfId="18216"/>
    <cellStyle name="표준 7 15 5 2 6" xfId="18217"/>
    <cellStyle name="표준 7 15 5 2 7" xfId="18218"/>
    <cellStyle name="표준 7 15 5 3 2 2" xfId="18219"/>
    <cellStyle name="표준 7 15 5 3 3" xfId="18220"/>
    <cellStyle name="표준 7 15 5 3 3 2" xfId="18221"/>
    <cellStyle name="표준 7 15 5 3 4" xfId="18222"/>
    <cellStyle name="표준 7 15 5 3 5" xfId="18223"/>
    <cellStyle name="표준 7 15 5 4 2 2" xfId="18224"/>
    <cellStyle name="표준 7 15 5 4 3" xfId="18225"/>
    <cellStyle name="표준 7 15 5 4 3 2" xfId="18226"/>
    <cellStyle name="표준 7 15 5 4 4" xfId="18227"/>
    <cellStyle name="표준 7 15 5 4 5" xfId="18228"/>
    <cellStyle name="표준 7 15 5 5 2" xfId="18229"/>
    <cellStyle name="표준 7 15 5 6" xfId="18230"/>
    <cellStyle name="표준 7 15 5 6 2" xfId="18231"/>
    <cellStyle name="표준 7 15 5 7" xfId="18232"/>
    <cellStyle name="표준 7 15 5 8" xfId="18233"/>
    <cellStyle name="표준 7 15 6 2 2 2" xfId="18234"/>
    <cellStyle name="표준 7 15 6 2 3" xfId="18235"/>
    <cellStyle name="표준 7 15 6 2 3 2" xfId="18236"/>
    <cellStyle name="표준 7 15 6 2 4" xfId="18237"/>
    <cellStyle name="표준 7 15 6 2 5" xfId="18238"/>
    <cellStyle name="표준 7 15 6 3 2 2" xfId="18239"/>
    <cellStyle name="표준 7 15 6 3 3" xfId="18240"/>
    <cellStyle name="표준 7 15 6 3 3 2" xfId="18241"/>
    <cellStyle name="표준 7 15 6 3 4" xfId="18242"/>
    <cellStyle name="표준 7 15 6 3 5" xfId="18243"/>
    <cellStyle name="표준 7 15 6 4 2" xfId="18244"/>
    <cellStyle name="표준 7 15 6 5" xfId="18245"/>
    <cellStyle name="표준 7 15 6 5 2" xfId="18246"/>
    <cellStyle name="표준 7 15 6 6" xfId="18247"/>
    <cellStyle name="표준 7 15 6 7" xfId="18248"/>
    <cellStyle name="표준 7 15 7 2 2" xfId="18249"/>
    <cellStyle name="표준 7 15 7 3" xfId="18250"/>
    <cellStyle name="표준 7 15 7 3 2" xfId="18251"/>
    <cellStyle name="표준 7 15 7 4" xfId="18252"/>
    <cellStyle name="표준 7 15 7 5" xfId="18253"/>
    <cellStyle name="표준 7 15 8 2 2" xfId="18254"/>
    <cellStyle name="표준 7 15 8 3" xfId="18255"/>
    <cellStyle name="표준 7 15 8 3 2" xfId="18256"/>
    <cellStyle name="표준 7 15 8 4" xfId="18257"/>
    <cellStyle name="표준 7 15 8 5" xfId="18258"/>
    <cellStyle name="표준 7 15 9 2" xfId="18259"/>
    <cellStyle name="표준 7 16 10" xfId="18260"/>
    <cellStyle name="표준 7 16 2 2 2 2 2 2" xfId="18261"/>
    <cellStyle name="표준 7 16 2 2 2 2 3" xfId="18262"/>
    <cellStyle name="표준 7 16 2 2 2 2 3 2" xfId="18263"/>
    <cellStyle name="표준 7 16 2 2 2 2 4" xfId="18264"/>
    <cellStyle name="표준 7 16 2 2 2 2 5" xfId="18265"/>
    <cellStyle name="표준 7 16 2 2 2 3 2 2" xfId="18266"/>
    <cellStyle name="표준 7 16 2 2 2 3 3" xfId="18267"/>
    <cellStyle name="표준 7 16 2 2 2 3 3 2" xfId="18268"/>
    <cellStyle name="표준 7 16 2 2 2 3 4" xfId="18269"/>
    <cellStyle name="표준 7 16 2 2 2 3 5" xfId="18270"/>
    <cellStyle name="표준 7 16 2 2 2 4 2" xfId="18271"/>
    <cellStyle name="표준 7 16 2 2 2 5" xfId="18272"/>
    <cellStyle name="표준 7 16 2 2 2 5 2" xfId="18273"/>
    <cellStyle name="표준 7 16 2 2 2 6" xfId="18274"/>
    <cellStyle name="표준 7 16 2 2 2 7" xfId="18275"/>
    <cellStyle name="표준 7 16 2 2 3 2 2" xfId="18276"/>
    <cellStyle name="표준 7 16 2 2 3 3" xfId="18277"/>
    <cellStyle name="표준 7 16 2 2 3 3 2" xfId="18278"/>
    <cellStyle name="표준 7 16 2 2 3 4" xfId="18279"/>
    <cellStyle name="표준 7 16 2 2 3 5" xfId="18280"/>
    <cellStyle name="표준 7 16 2 2 4 2 2" xfId="18281"/>
    <cellStyle name="표준 7 16 2 2 4 3" xfId="18282"/>
    <cellStyle name="표준 7 16 2 2 4 3 2" xfId="18283"/>
    <cellStyle name="표준 7 16 2 2 4 4" xfId="18284"/>
    <cellStyle name="표준 7 16 2 2 4 5" xfId="18285"/>
    <cellStyle name="표준 7 16 2 2 5 2" xfId="18286"/>
    <cellStyle name="표준 7 16 2 2 6" xfId="18287"/>
    <cellStyle name="표준 7 16 2 2 6 2" xfId="18288"/>
    <cellStyle name="표준 7 16 2 2 7" xfId="18289"/>
    <cellStyle name="표준 7 16 2 2 8" xfId="18290"/>
    <cellStyle name="표준 7 16 2 3 2 2 2" xfId="18291"/>
    <cellStyle name="표준 7 16 2 3 2 3" xfId="18292"/>
    <cellStyle name="표준 7 16 2 3 2 3 2" xfId="18293"/>
    <cellStyle name="표준 7 16 2 3 2 4" xfId="18294"/>
    <cellStyle name="표준 7 16 2 3 2 5" xfId="18295"/>
    <cellStyle name="표준 7 16 2 3 3 2 2" xfId="18296"/>
    <cellStyle name="표준 7 16 2 3 3 3" xfId="18297"/>
    <cellStyle name="표준 7 16 2 3 3 3 2" xfId="18298"/>
    <cellStyle name="표준 7 16 2 3 3 4" xfId="18299"/>
    <cellStyle name="표준 7 16 2 3 3 5" xfId="18300"/>
    <cellStyle name="표준 7 16 2 3 4 2" xfId="18301"/>
    <cellStyle name="표준 7 16 2 3 5" xfId="18302"/>
    <cellStyle name="표준 7 16 2 3 5 2" xfId="18303"/>
    <cellStyle name="표준 7 16 2 3 6" xfId="18304"/>
    <cellStyle name="표준 7 16 2 3 7" xfId="18305"/>
    <cellStyle name="표준 7 16 2 4 2 2" xfId="18306"/>
    <cellStyle name="표준 7 16 2 4 3" xfId="18307"/>
    <cellStyle name="표준 7 16 2 4 3 2" xfId="18308"/>
    <cellStyle name="표준 7 16 2 4 4" xfId="18309"/>
    <cellStyle name="표준 7 16 2 4 5" xfId="18310"/>
    <cellStyle name="표준 7 16 2 5 2 2" xfId="18311"/>
    <cellStyle name="표준 7 16 2 5 3" xfId="18312"/>
    <cellStyle name="표준 7 16 2 5 3 2" xfId="18313"/>
    <cellStyle name="표준 7 16 2 5 4" xfId="18314"/>
    <cellStyle name="표준 7 16 2 5 5" xfId="18315"/>
    <cellStyle name="표준 7 16 2 6 2" xfId="18316"/>
    <cellStyle name="표준 7 16 2 7" xfId="18317"/>
    <cellStyle name="표준 7 16 2 7 2" xfId="18318"/>
    <cellStyle name="표준 7 16 2 8" xfId="18319"/>
    <cellStyle name="표준 7 16 2 9" xfId="18320"/>
    <cellStyle name="표준 7 16 3 2 2 2 2" xfId="18321"/>
    <cellStyle name="표준 7 16 3 2 2 3" xfId="18322"/>
    <cellStyle name="표준 7 16 3 2 2 3 2" xfId="18323"/>
    <cellStyle name="표준 7 16 3 2 2 4" xfId="18324"/>
    <cellStyle name="표준 7 16 3 2 2 5" xfId="18325"/>
    <cellStyle name="표준 7 16 3 2 3 2 2" xfId="18326"/>
    <cellStyle name="표준 7 16 3 2 3 3" xfId="18327"/>
    <cellStyle name="표준 7 16 3 2 3 3 2" xfId="18328"/>
    <cellStyle name="표준 7 16 3 2 3 4" xfId="18329"/>
    <cellStyle name="표준 7 16 3 2 3 5" xfId="18330"/>
    <cellStyle name="표준 7 16 3 2 4 2" xfId="18331"/>
    <cellStyle name="표준 7 16 3 2 5" xfId="18332"/>
    <cellStyle name="표준 7 16 3 2 5 2" xfId="18333"/>
    <cellStyle name="표준 7 16 3 2 6" xfId="18334"/>
    <cellStyle name="표준 7 16 3 2 7" xfId="18335"/>
    <cellStyle name="표준 7 16 3 3 2 2" xfId="18336"/>
    <cellStyle name="표준 7 16 3 3 3" xfId="18337"/>
    <cellStyle name="표준 7 16 3 3 3 2" xfId="18338"/>
    <cellStyle name="표준 7 16 3 3 4" xfId="18339"/>
    <cellStyle name="표준 7 16 3 3 5" xfId="18340"/>
    <cellStyle name="표준 7 16 3 4 2 2" xfId="18341"/>
    <cellStyle name="표준 7 16 3 4 3" xfId="18342"/>
    <cellStyle name="표준 7 16 3 4 3 2" xfId="18343"/>
    <cellStyle name="표준 7 16 3 4 4" xfId="18344"/>
    <cellStyle name="표준 7 16 3 4 5" xfId="18345"/>
    <cellStyle name="표준 7 16 3 5 2" xfId="18346"/>
    <cellStyle name="표준 7 16 3 6" xfId="18347"/>
    <cellStyle name="표준 7 16 3 6 2" xfId="18348"/>
    <cellStyle name="표준 7 16 3 7" xfId="18349"/>
    <cellStyle name="표준 7 16 3 8" xfId="18350"/>
    <cellStyle name="표준 7 16 4 2 2 2" xfId="18351"/>
    <cellStyle name="표준 7 16 4 2 3" xfId="18352"/>
    <cellStyle name="표준 7 16 4 2 3 2" xfId="18353"/>
    <cellStyle name="표준 7 16 4 2 4" xfId="18354"/>
    <cellStyle name="표준 7 16 4 2 5" xfId="18355"/>
    <cellStyle name="표준 7 16 4 3 2 2" xfId="18356"/>
    <cellStyle name="표준 7 16 4 3 3" xfId="18357"/>
    <cellStyle name="표준 7 16 4 3 3 2" xfId="18358"/>
    <cellStyle name="표준 7 16 4 3 4" xfId="18359"/>
    <cellStyle name="표준 7 16 4 3 5" xfId="18360"/>
    <cellStyle name="표준 7 16 4 4 2" xfId="18361"/>
    <cellStyle name="표준 7 16 4 5" xfId="18362"/>
    <cellStyle name="표준 7 16 4 5 2" xfId="18363"/>
    <cellStyle name="표준 7 16 4 6" xfId="18364"/>
    <cellStyle name="표준 7 16 4 7" xfId="18365"/>
    <cellStyle name="표준 7 16 5 2 2" xfId="18366"/>
    <cellStyle name="표준 7 16 5 3" xfId="18367"/>
    <cellStyle name="표준 7 16 5 3 2" xfId="18368"/>
    <cellStyle name="표준 7 16 5 4" xfId="18369"/>
    <cellStyle name="표준 7 16 5 5" xfId="18370"/>
    <cellStyle name="표준 7 16 6 2 2" xfId="18371"/>
    <cellStyle name="표준 7 16 6 3" xfId="18372"/>
    <cellStyle name="표준 7 16 6 3 2" xfId="18373"/>
    <cellStyle name="표준 7 16 6 4" xfId="18374"/>
    <cellStyle name="표준 7 16 6 5" xfId="18375"/>
    <cellStyle name="표준 7 16 7 2" xfId="18376"/>
    <cellStyle name="표준 7 16 8" xfId="18377"/>
    <cellStyle name="표준 7 16 8 2" xfId="18378"/>
    <cellStyle name="표준 7 16 9" xfId="18379"/>
    <cellStyle name="표준 7 17 10" xfId="18380"/>
    <cellStyle name="표준 7 17 2 2 2 2 2 2" xfId="18381"/>
    <cellStyle name="표준 7 17 2 2 2 2 3" xfId="18382"/>
    <cellStyle name="표준 7 17 2 2 2 2 3 2" xfId="18383"/>
    <cellStyle name="표준 7 17 2 2 2 2 4" xfId="18384"/>
    <cellStyle name="표준 7 17 2 2 2 2 5" xfId="18385"/>
    <cellStyle name="표준 7 17 2 2 2 3 2 2" xfId="18386"/>
    <cellStyle name="표준 7 17 2 2 2 3 3" xfId="18387"/>
    <cellStyle name="표준 7 17 2 2 2 3 3 2" xfId="18388"/>
    <cellStyle name="표준 7 17 2 2 2 3 4" xfId="18389"/>
    <cellStyle name="표준 7 17 2 2 2 3 5" xfId="18390"/>
    <cellStyle name="표준 7 17 2 2 2 4 2" xfId="18391"/>
    <cellStyle name="표준 7 17 2 2 2 5" xfId="18392"/>
    <cellStyle name="표준 7 17 2 2 2 5 2" xfId="18393"/>
    <cellStyle name="표준 7 17 2 2 2 6" xfId="18394"/>
    <cellStyle name="표준 7 17 2 2 2 7" xfId="18395"/>
    <cellStyle name="표준 7 17 2 2 3 2 2" xfId="18396"/>
    <cellStyle name="표준 7 17 2 2 3 3" xfId="18397"/>
    <cellStyle name="표준 7 17 2 2 3 3 2" xfId="18398"/>
    <cellStyle name="표준 7 17 2 2 3 4" xfId="18399"/>
    <cellStyle name="표준 7 17 2 2 3 5" xfId="18400"/>
    <cellStyle name="표준 7 17 2 2 4 2 2" xfId="18401"/>
    <cellStyle name="표준 7 17 2 2 4 3" xfId="18402"/>
    <cellStyle name="표준 7 17 2 2 4 3 2" xfId="18403"/>
    <cellStyle name="표준 7 17 2 2 4 4" xfId="18404"/>
    <cellStyle name="표준 7 17 2 2 4 5" xfId="18405"/>
    <cellStyle name="표준 7 17 2 2 5 2" xfId="18406"/>
    <cellStyle name="표준 7 17 2 2 6" xfId="18407"/>
    <cellStyle name="표준 7 17 2 2 6 2" xfId="18408"/>
    <cellStyle name="표준 7 17 2 2 7" xfId="18409"/>
    <cellStyle name="표준 7 17 2 2 8" xfId="18410"/>
    <cellStyle name="표준 7 17 2 3 2 2 2" xfId="18411"/>
    <cellStyle name="표준 7 17 2 3 2 3" xfId="18412"/>
    <cellStyle name="표준 7 17 2 3 2 3 2" xfId="18413"/>
    <cellStyle name="표준 7 17 2 3 2 4" xfId="18414"/>
    <cellStyle name="표준 7 17 2 3 2 5" xfId="18415"/>
    <cellStyle name="표준 7 17 2 3 3 2 2" xfId="18416"/>
    <cellStyle name="표준 7 17 2 3 3 3" xfId="18417"/>
    <cellStyle name="표준 7 17 2 3 3 3 2" xfId="18418"/>
    <cellStyle name="표준 7 17 2 3 3 4" xfId="18419"/>
    <cellStyle name="표준 7 17 2 3 3 5" xfId="18420"/>
    <cellStyle name="표준 7 17 2 3 4 2" xfId="18421"/>
    <cellStyle name="표준 7 17 2 3 5" xfId="18422"/>
    <cellStyle name="표준 7 17 2 3 5 2" xfId="18423"/>
    <cellStyle name="표준 7 17 2 3 6" xfId="18424"/>
    <cellStyle name="표준 7 17 2 3 7" xfId="18425"/>
    <cellStyle name="표준 7 17 2 4 2 2" xfId="18426"/>
    <cellStyle name="표준 7 17 2 4 3" xfId="18427"/>
    <cellStyle name="표준 7 17 2 4 3 2" xfId="18428"/>
    <cellStyle name="표준 7 17 2 4 4" xfId="18429"/>
    <cellStyle name="표준 7 17 2 4 5" xfId="18430"/>
    <cellStyle name="표준 7 17 2 5 2 2" xfId="18431"/>
    <cellStyle name="표준 7 17 2 5 3" xfId="18432"/>
    <cellStyle name="표준 7 17 2 5 3 2" xfId="18433"/>
    <cellStyle name="표준 7 17 2 5 4" xfId="18434"/>
    <cellStyle name="표준 7 17 2 5 5" xfId="18435"/>
    <cellStyle name="표준 7 17 2 6 2" xfId="18436"/>
    <cellStyle name="표준 7 17 2 7" xfId="18437"/>
    <cellStyle name="표준 7 17 2 7 2" xfId="18438"/>
    <cellStyle name="표준 7 17 2 8" xfId="18439"/>
    <cellStyle name="표준 7 17 2 9" xfId="18440"/>
    <cellStyle name="표준 7 17 3 2 2 2 2" xfId="18441"/>
    <cellStyle name="표준 7 17 3 2 2 3" xfId="18442"/>
    <cellStyle name="표준 7 17 3 2 2 3 2" xfId="18443"/>
    <cellStyle name="표준 7 17 3 2 2 4" xfId="18444"/>
    <cellStyle name="표준 7 17 3 2 2 5" xfId="18445"/>
    <cellStyle name="표준 7 17 3 2 3 2 2" xfId="18446"/>
    <cellStyle name="표준 7 17 3 2 3 3" xfId="18447"/>
    <cellStyle name="표준 7 17 3 2 3 3 2" xfId="18448"/>
    <cellStyle name="표준 7 17 3 2 3 4" xfId="18449"/>
    <cellStyle name="표준 7 17 3 2 3 5" xfId="18450"/>
    <cellStyle name="표준 7 17 3 2 4 2" xfId="18451"/>
    <cellStyle name="표준 7 17 3 2 5" xfId="18452"/>
    <cellStyle name="표준 7 17 3 2 5 2" xfId="18453"/>
    <cellStyle name="표준 7 17 3 2 6" xfId="18454"/>
    <cellStyle name="표준 7 17 3 2 7" xfId="18455"/>
    <cellStyle name="표준 7 17 3 3 2 2" xfId="18456"/>
    <cellStyle name="표준 7 17 3 3 3" xfId="18457"/>
    <cellStyle name="표준 7 17 3 3 3 2" xfId="18458"/>
    <cellStyle name="표준 7 17 3 3 4" xfId="18459"/>
    <cellStyle name="표준 7 17 3 3 5" xfId="18460"/>
    <cellStyle name="표준 7 17 3 4 2 2" xfId="18461"/>
    <cellStyle name="표준 7 17 3 4 3" xfId="18462"/>
    <cellStyle name="표준 7 17 3 4 3 2" xfId="18463"/>
    <cellStyle name="표준 7 17 3 4 4" xfId="18464"/>
    <cellStyle name="표준 7 17 3 4 5" xfId="18465"/>
    <cellStyle name="표준 7 17 3 5 2" xfId="18466"/>
    <cellStyle name="표준 7 17 3 6" xfId="18467"/>
    <cellStyle name="표준 7 17 3 6 2" xfId="18468"/>
    <cellStyle name="표준 7 17 3 7" xfId="18469"/>
    <cellStyle name="표준 7 17 3 8" xfId="18470"/>
    <cellStyle name="표준 7 17 4 2 2 2" xfId="18471"/>
    <cellStyle name="표준 7 17 4 2 3" xfId="18472"/>
    <cellStyle name="표준 7 17 4 2 3 2" xfId="18473"/>
    <cellStyle name="표준 7 17 4 2 4" xfId="18474"/>
    <cellStyle name="표준 7 17 4 2 5" xfId="18475"/>
    <cellStyle name="표준 7 17 4 3 2 2" xfId="18476"/>
    <cellStyle name="표준 7 17 4 3 3" xfId="18477"/>
    <cellStyle name="표준 7 17 4 3 3 2" xfId="18478"/>
    <cellStyle name="표준 7 17 4 3 4" xfId="18479"/>
    <cellStyle name="표준 7 17 4 3 5" xfId="18480"/>
    <cellStyle name="표준 7 17 4 4 2" xfId="18481"/>
    <cellStyle name="표준 7 17 4 5" xfId="18482"/>
    <cellStyle name="표준 7 17 4 5 2" xfId="18483"/>
    <cellStyle name="표준 7 17 4 6" xfId="18484"/>
    <cellStyle name="표준 7 17 4 7" xfId="18485"/>
    <cellStyle name="표준 7 17 5 2 2" xfId="18486"/>
    <cellStyle name="표준 7 17 5 3" xfId="18487"/>
    <cellStyle name="표준 7 17 5 3 2" xfId="18488"/>
    <cellStyle name="표준 7 17 5 4" xfId="18489"/>
    <cellStyle name="표준 7 17 5 5" xfId="18490"/>
    <cellStyle name="표준 7 17 6 2 2" xfId="18491"/>
    <cellStyle name="표준 7 17 6 3" xfId="18492"/>
    <cellStyle name="표준 7 17 6 3 2" xfId="18493"/>
    <cellStyle name="표준 7 17 6 4" xfId="18494"/>
    <cellStyle name="표준 7 17 6 5" xfId="18495"/>
    <cellStyle name="표준 7 17 7 2" xfId="18496"/>
    <cellStyle name="표준 7 17 8" xfId="18497"/>
    <cellStyle name="표준 7 17 8 2" xfId="18498"/>
    <cellStyle name="표준 7 17 9" xfId="18499"/>
    <cellStyle name="표준 7 18 10" xfId="18500"/>
    <cellStyle name="표준 7 18 2 2 2 2 2 2" xfId="18501"/>
    <cellStyle name="표준 7 18 2 2 2 2 3" xfId="18502"/>
    <cellStyle name="표준 7 18 2 2 2 2 3 2" xfId="18503"/>
    <cellStyle name="표준 7 18 2 2 2 2 4" xfId="18504"/>
    <cellStyle name="표준 7 18 2 2 2 2 5" xfId="18505"/>
    <cellStyle name="표준 7 18 2 2 2 3 2 2" xfId="18506"/>
    <cellStyle name="표준 7 18 2 2 2 3 3" xfId="18507"/>
    <cellStyle name="표준 7 18 2 2 2 3 3 2" xfId="18508"/>
    <cellStyle name="표준 7 18 2 2 2 3 4" xfId="18509"/>
    <cellStyle name="표준 7 18 2 2 2 3 5" xfId="18510"/>
    <cellStyle name="표준 7 18 2 2 2 4 2" xfId="18511"/>
    <cellStyle name="표준 7 18 2 2 2 5" xfId="18512"/>
    <cellStyle name="표준 7 18 2 2 2 5 2" xfId="18513"/>
    <cellStyle name="표준 7 18 2 2 2 6" xfId="18514"/>
    <cellStyle name="표준 7 18 2 2 2 7" xfId="18515"/>
    <cellStyle name="표준 7 18 2 2 3 2 2" xfId="18516"/>
    <cellStyle name="표준 7 18 2 2 3 3" xfId="18517"/>
    <cellStyle name="표준 7 18 2 2 3 3 2" xfId="18518"/>
    <cellStyle name="표준 7 18 2 2 3 4" xfId="18519"/>
    <cellStyle name="표준 7 18 2 2 3 5" xfId="18520"/>
    <cellStyle name="표준 7 18 2 2 4 2 2" xfId="18521"/>
    <cellStyle name="표준 7 18 2 2 4 3" xfId="18522"/>
    <cellStyle name="표준 7 18 2 2 4 3 2" xfId="18523"/>
    <cellStyle name="표준 7 18 2 2 4 4" xfId="18524"/>
    <cellStyle name="표준 7 18 2 2 4 5" xfId="18525"/>
    <cellStyle name="표준 7 18 2 2 5 2" xfId="18526"/>
    <cellStyle name="표준 7 18 2 2 6" xfId="18527"/>
    <cellStyle name="표준 7 18 2 2 6 2" xfId="18528"/>
    <cellStyle name="표준 7 18 2 2 7" xfId="18529"/>
    <cellStyle name="표준 7 18 2 2 8" xfId="18530"/>
    <cellStyle name="표준 7 18 2 3 2 2 2" xfId="18531"/>
    <cellStyle name="표준 7 18 2 3 2 3" xfId="18532"/>
    <cellStyle name="표준 7 18 2 3 2 3 2" xfId="18533"/>
    <cellStyle name="표준 7 18 2 3 2 4" xfId="18534"/>
    <cellStyle name="표준 7 18 2 3 2 5" xfId="18535"/>
    <cellStyle name="표준 7 18 2 3 3 2 2" xfId="18536"/>
    <cellStyle name="표준 7 18 2 3 3 3" xfId="18537"/>
    <cellStyle name="표준 7 18 2 3 3 3 2" xfId="18538"/>
    <cellStyle name="표준 7 18 2 3 3 4" xfId="18539"/>
    <cellStyle name="표준 7 18 2 3 3 5" xfId="18540"/>
    <cellStyle name="표준 7 18 2 3 4 2" xfId="18541"/>
    <cellStyle name="표준 7 18 2 3 5" xfId="18542"/>
    <cellStyle name="표준 7 18 2 3 5 2" xfId="18543"/>
    <cellStyle name="표준 7 18 2 3 6" xfId="18544"/>
    <cellStyle name="표준 7 18 2 3 7" xfId="18545"/>
    <cellStyle name="표준 7 18 2 4 2 2" xfId="18546"/>
    <cellStyle name="표준 7 18 2 4 3" xfId="18547"/>
    <cellStyle name="표준 7 18 2 4 3 2" xfId="18548"/>
    <cellStyle name="표준 7 18 2 4 4" xfId="18549"/>
    <cellStyle name="표준 7 18 2 4 5" xfId="18550"/>
    <cellStyle name="표준 7 18 2 5 2 2" xfId="18551"/>
    <cellStyle name="표준 7 18 2 5 3" xfId="18552"/>
    <cellStyle name="표준 7 18 2 5 3 2" xfId="18553"/>
    <cellStyle name="표준 7 18 2 5 4" xfId="18554"/>
    <cellStyle name="표준 7 18 2 5 5" xfId="18555"/>
    <cellStyle name="표준 7 18 2 6 2" xfId="18556"/>
    <cellStyle name="표준 7 18 2 7" xfId="18557"/>
    <cellStyle name="표준 7 18 2 7 2" xfId="18558"/>
    <cellStyle name="표준 7 18 2 8" xfId="18559"/>
    <cellStyle name="표준 7 18 2 9" xfId="18560"/>
    <cellStyle name="표준 7 18 3 2 2 2 2" xfId="18561"/>
    <cellStyle name="표준 7 18 3 2 2 3" xfId="18562"/>
    <cellStyle name="표준 7 18 3 2 2 3 2" xfId="18563"/>
    <cellStyle name="표준 7 18 3 2 2 4" xfId="18564"/>
    <cellStyle name="표준 7 18 3 2 2 5" xfId="18565"/>
    <cellStyle name="표준 7 18 3 2 3 2 2" xfId="18566"/>
    <cellStyle name="표준 7 18 3 2 3 3" xfId="18567"/>
    <cellStyle name="표준 7 18 3 2 3 3 2" xfId="18568"/>
    <cellStyle name="표준 7 18 3 2 3 4" xfId="18569"/>
    <cellStyle name="표준 7 18 3 2 3 5" xfId="18570"/>
    <cellStyle name="표준 7 18 3 2 4 2" xfId="18571"/>
    <cellStyle name="표준 7 18 3 2 5" xfId="18572"/>
    <cellStyle name="표준 7 18 3 2 5 2" xfId="18573"/>
    <cellStyle name="표준 7 18 3 2 6" xfId="18574"/>
    <cellStyle name="표준 7 18 3 2 7" xfId="18575"/>
    <cellStyle name="표준 7 18 3 3 2 2" xfId="18576"/>
    <cellStyle name="표준 7 18 3 3 3" xfId="18577"/>
    <cellStyle name="표준 7 18 3 3 3 2" xfId="18578"/>
    <cellStyle name="표준 7 18 3 3 4" xfId="18579"/>
    <cellStyle name="표준 7 18 3 3 5" xfId="18580"/>
    <cellStyle name="표준 7 18 3 4 2 2" xfId="18581"/>
    <cellStyle name="표준 7 18 3 4 3" xfId="18582"/>
    <cellStyle name="표준 7 18 3 4 3 2" xfId="18583"/>
    <cellStyle name="표준 7 18 3 4 4" xfId="18584"/>
    <cellStyle name="표준 7 18 3 4 5" xfId="18585"/>
    <cellStyle name="표준 7 18 3 5 2" xfId="18586"/>
    <cellStyle name="표준 7 18 3 6" xfId="18587"/>
    <cellStyle name="표준 7 18 3 6 2" xfId="18588"/>
    <cellStyle name="표준 7 18 3 7" xfId="18589"/>
    <cellStyle name="표준 7 18 3 8" xfId="18590"/>
    <cellStyle name="표준 7 18 4 2 2 2" xfId="18591"/>
    <cellStyle name="표준 7 18 4 2 3" xfId="18592"/>
    <cellStyle name="표준 7 18 4 2 3 2" xfId="18593"/>
    <cellStyle name="표준 7 18 4 2 4" xfId="18594"/>
    <cellStyle name="표준 7 18 4 2 5" xfId="18595"/>
    <cellStyle name="표준 7 18 4 3 2 2" xfId="18596"/>
    <cellStyle name="표준 7 18 4 3 3" xfId="18597"/>
    <cellStyle name="표준 7 18 4 3 3 2" xfId="18598"/>
    <cellStyle name="표준 7 18 4 3 4" xfId="18599"/>
    <cellStyle name="표준 7 18 4 3 5" xfId="18600"/>
    <cellStyle name="표준 7 18 4 4 2" xfId="18601"/>
    <cellStyle name="표준 7 18 4 5" xfId="18602"/>
    <cellStyle name="표준 7 18 4 5 2" xfId="18603"/>
    <cellStyle name="표준 7 18 4 6" xfId="18604"/>
    <cellStyle name="표준 7 18 4 7" xfId="18605"/>
    <cellStyle name="표준 7 18 5 2 2" xfId="18606"/>
    <cellStyle name="표준 7 18 5 3" xfId="18607"/>
    <cellStyle name="표준 7 18 5 3 2" xfId="18608"/>
    <cellStyle name="표준 7 18 5 4" xfId="18609"/>
    <cellStyle name="표준 7 18 5 5" xfId="18610"/>
    <cellStyle name="표준 7 18 6 2 2" xfId="18611"/>
    <cellStyle name="표준 7 18 6 3" xfId="18612"/>
    <cellStyle name="표준 7 18 6 3 2" xfId="18613"/>
    <cellStyle name="표준 7 18 6 4" xfId="18614"/>
    <cellStyle name="표준 7 18 6 5" xfId="18615"/>
    <cellStyle name="표준 7 18 7 2" xfId="18616"/>
    <cellStyle name="표준 7 18 8" xfId="18617"/>
    <cellStyle name="표준 7 18 8 2" xfId="18618"/>
    <cellStyle name="표준 7 18 9" xfId="18619"/>
    <cellStyle name="표준 7 2 10 2 2" xfId="18620"/>
    <cellStyle name="표준 7 2 10 3" xfId="18621"/>
    <cellStyle name="표준 7 2 10 3 2" xfId="18622"/>
    <cellStyle name="표준 7 2 10 4" xfId="18623"/>
    <cellStyle name="표준 7 2 10 5" xfId="18624"/>
    <cellStyle name="표준 7 2 11 2" xfId="18625"/>
    <cellStyle name="표준 7 2 12" xfId="18626"/>
    <cellStyle name="표준 7 2 12 2" xfId="18627"/>
    <cellStyle name="표준 7 2 13" xfId="18628"/>
    <cellStyle name="표준 7 2 14" xfId="18629"/>
    <cellStyle name="표준 7 2 3 10" xfId="18630"/>
    <cellStyle name="표준 7 2 3 2 2 2 2 2 2" xfId="18631"/>
    <cellStyle name="표준 7 2 3 2 2 2 2 3" xfId="18632"/>
    <cellStyle name="표준 7 2 3 2 2 2 2 3 2" xfId="18633"/>
    <cellStyle name="표준 7 2 3 2 2 2 2 4" xfId="18634"/>
    <cellStyle name="표준 7 2 3 2 2 2 2 5" xfId="18635"/>
    <cellStyle name="표준 7 2 3 2 2 2 3 2 2" xfId="18636"/>
    <cellStyle name="표준 7 2 3 2 2 2 3 3" xfId="18637"/>
    <cellStyle name="표준 7 2 3 2 2 2 3 3 2" xfId="18638"/>
    <cellStyle name="표준 7 2 3 2 2 2 3 4" xfId="18639"/>
    <cellStyle name="표준 7 2 3 2 2 2 3 5" xfId="18640"/>
    <cellStyle name="표준 7 2 3 2 2 2 4 2" xfId="18641"/>
    <cellStyle name="표준 7 2 3 2 2 2 5" xfId="18642"/>
    <cellStyle name="표준 7 2 3 2 2 2 5 2" xfId="18643"/>
    <cellStyle name="표준 7 2 3 2 2 2 6" xfId="18644"/>
    <cellStyle name="표준 7 2 3 2 2 2 7" xfId="18645"/>
    <cellStyle name="표준 7 2 3 2 2 3 2 2" xfId="18646"/>
    <cellStyle name="표준 7 2 3 2 2 3 3" xfId="18647"/>
    <cellStyle name="표준 7 2 3 2 2 3 3 2" xfId="18648"/>
    <cellStyle name="표준 7 2 3 2 2 3 4" xfId="18649"/>
    <cellStyle name="표준 7 2 3 2 2 3 5" xfId="18650"/>
    <cellStyle name="표준 7 2 3 2 2 4 2 2" xfId="18651"/>
    <cellStyle name="표준 7 2 3 2 2 4 3" xfId="18652"/>
    <cellStyle name="표준 7 2 3 2 2 4 3 2" xfId="18653"/>
    <cellStyle name="표준 7 2 3 2 2 4 4" xfId="18654"/>
    <cellStyle name="표준 7 2 3 2 2 4 5" xfId="18655"/>
    <cellStyle name="표준 7 2 3 2 2 5 2" xfId="18656"/>
    <cellStyle name="표준 7 2 3 2 2 6" xfId="18657"/>
    <cellStyle name="표준 7 2 3 2 2 6 2" xfId="18658"/>
    <cellStyle name="표준 7 2 3 2 2 7" xfId="18659"/>
    <cellStyle name="표준 7 2 3 2 2 8" xfId="18660"/>
    <cellStyle name="표준 7 2 3 2 3 2 2 2" xfId="18661"/>
    <cellStyle name="표준 7 2 3 2 3 2 3" xfId="18662"/>
    <cellStyle name="표준 7 2 3 2 3 2 3 2" xfId="18663"/>
    <cellStyle name="표준 7 2 3 2 3 2 4" xfId="18664"/>
    <cellStyle name="표준 7 2 3 2 3 2 5" xfId="18665"/>
    <cellStyle name="표준 7 2 3 2 3 3 2 2" xfId="18666"/>
    <cellStyle name="표준 7 2 3 2 3 3 3" xfId="18667"/>
    <cellStyle name="표준 7 2 3 2 3 3 3 2" xfId="18668"/>
    <cellStyle name="표준 7 2 3 2 3 3 4" xfId="18669"/>
    <cellStyle name="표준 7 2 3 2 3 3 5" xfId="18670"/>
    <cellStyle name="표준 7 2 3 2 3 4 2" xfId="18671"/>
    <cellStyle name="표준 7 2 3 2 3 5" xfId="18672"/>
    <cellStyle name="표준 7 2 3 2 3 5 2" xfId="18673"/>
    <cellStyle name="표준 7 2 3 2 3 6" xfId="18674"/>
    <cellStyle name="표준 7 2 3 2 3 7" xfId="18675"/>
    <cellStyle name="표준 7 2 3 2 4 2 2" xfId="18676"/>
    <cellStyle name="표준 7 2 3 2 4 3" xfId="18677"/>
    <cellStyle name="표준 7 2 3 2 4 3 2" xfId="18678"/>
    <cellStyle name="표준 7 2 3 2 4 4" xfId="18679"/>
    <cellStyle name="표준 7 2 3 2 4 5" xfId="18680"/>
    <cellStyle name="표준 7 2 3 2 5 2 2" xfId="18681"/>
    <cellStyle name="표준 7 2 3 2 5 3" xfId="18682"/>
    <cellStyle name="표준 7 2 3 2 5 3 2" xfId="18683"/>
    <cellStyle name="표준 7 2 3 2 5 4" xfId="18684"/>
    <cellStyle name="표준 7 2 3 2 5 5" xfId="18685"/>
    <cellStyle name="표준 7 2 3 2 6 2" xfId="18686"/>
    <cellStyle name="표준 7 2 3 2 7" xfId="18687"/>
    <cellStyle name="표준 7 2 3 2 7 2" xfId="18688"/>
    <cellStyle name="표준 7 2 3 2 8" xfId="18689"/>
    <cellStyle name="표준 7 2 3 2 9" xfId="18690"/>
    <cellStyle name="표준 7 2 3 3 2 2 2 2" xfId="18691"/>
    <cellStyle name="표준 7 2 3 3 2 2 3" xfId="18692"/>
    <cellStyle name="표준 7 2 3 3 2 2 3 2" xfId="18693"/>
    <cellStyle name="표준 7 2 3 3 2 2 4" xfId="18694"/>
    <cellStyle name="표준 7 2 3 3 2 2 5" xfId="18695"/>
    <cellStyle name="표준 7 2 3 3 2 3 2 2" xfId="18696"/>
    <cellStyle name="표준 7 2 3 3 2 3 3" xfId="18697"/>
    <cellStyle name="표준 7 2 3 3 2 3 3 2" xfId="18698"/>
    <cellStyle name="표준 7 2 3 3 2 3 4" xfId="18699"/>
    <cellStyle name="표준 7 2 3 3 2 3 5" xfId="18700"/>
    <cellStyle name="표준 7 2 3 3 2 4 2" xfId="18701"/>
    <cellStyle name="표준 7 2 3 3 2 5" xfId="18702"/>
    <cellStyle name="표준 7 2 3 3 2 5 2" xfId="18703"/>
    <cellStyle name="표준 7 2 3 3 2 6" xfId="18704"/>
    <cellStyle name="표준 7 2 3 3 2 7" xfId="18705"/>
    <cellStyle name="표준 7 2 3 3 3 2 2" xfId="18706"/>
    <cellStyle name="표준 7 2 3 3 3 3" xfId="18707"/>
    <cellStyle name="표준 7 2 3 3 3 3 2" xfId="18708"/>
    <cellStyle name="표준 7 2 3 3 3 4" xfId="18709"/>
    <cellStyle name="표준 7 2 3 3 3 5" xfId="18710"/>
    <cellStyle name="표준 7 2 3 3 4 2 2" xfId="18711"/>
    <cellStyle name="표준 7 2 3 3 4 3" xfId="18712"/>
    <cellStyle name="표준 7 2 3 3 4 3 2" xfId="18713"/>
    <cellStyle name="표준 7 2 3 3 4 4" xfId="18714"/>
    <cellStyle name="표준 7 2 3 3 4 5" xfId="18715"/>
    <cellStyle name="표준 7 2 3 3 5 2" xfId="18716"/>
    <cellStyle name="표준 7 2 3 3 6" xfId="18717"/>
    <cellStyle name="표준 7 2 3 3 6 2" xfId="18718"/>
    <cellStyle name="표준 7 2 3 3 7" xfId="18719"/>
    <cellStyle name="표준 7 2 3 3 8" xfId="18720"/>
    <cellStyle name="표준 7 2 3 4 2 2 2" xfId="18721"/>
    <cellStyle name="표준 7 2 3 4 2 3" xfId="18722"/>
    <cellStyle name="표준 7 2 3 4 2 3 2" xfId="18723"/>
    <cellStyle name="표준 7 2 3 4 2 4" xfId="18724"/>
    <cellStyle name="표준 7 2 3 4 2 5" xfId="18725"/>
    <cellStyle name="표준 7 2 3 4 3 2 2" xfId="18726"/>
    <cellStyle name="표준 7 2 3 4 3 3" xfId="18727"/>
    <cellStyle name="표준 7 2 3 4 3 3 2" xfId="18728"/>
    <cellStyle name="표준 7 2 3 4 3 4" xfId="18729"/>
    <cellStyle name="표준 7 2 3 4 3 5" xfId="18730"/>
    <cellStyle name="표준 7 2 3 4 4 2" xfId="18731"/>
    <cellStyle name="표준 7 2 3 4 5" xfId="18732"/>
    <cellStyle name="표준 7 2 3 4 5 2" xfId="18733"/>
    <cellStyle name="표준 7 2 3 4 6" xfId="18734"/>
    <cellStyle name="표준 7 2 3 4 7" xfId="18735"/>
    <cellStyle name="표준 7 2 3 5 2 2" xfId="18736"/>
    <cellStyle name="표준 7 2 3 5 3" xfId="18737"/>
    <cellStyle name="표준 7 2 3 5 3 2" xfId="18738"/>
    <cellStyle name="표준 7 2 3 5 4" xfId="18739"/>
    <cellStyle name="표준 7 2 3 5 5" xfId="18740"/>
    <cellStyle name="표준 7 2 3 6 2 2" xfId="18741"/>
    <cellStyle name="표준 7 2 3 6 3" xfId="18742"/>
    <cellStyle name="표준 7 2 3 6 3 2" xfId="18743"/>
    <cellStyle name="표준 7 2 3 6 4" xfId="18744"/>
    <cellStyle name="표준 7 2 3 6 5" xfId="18745"/>
    <cellStyle name="표준 7 2 3 7 2" xfId="18746"/>
    <cellStyle name="표준 7 2 3 8" xfId="18747"/>
    <cellStyle name="표준 7 2 3 8 2" xfId="18748"/>
    <cellStyle name="표준 7 2 3 9" xfId="18749"/>
    <cellStyle name="표준 7 2 4 10" xfId="18750"/>
    <cellStyle name="표준 7 2 4 2 2 2 2 2 2" xfId="18751"/>
    <cellStyle name="표준 7 2 4 2 2 2 2 3" xfId="18752"/>
    <cellStyle name="표준 7 2 4 2 2 2 2 3 2" xfId="18753"/>
    <cellStyle name="표준 7 2 4 2 2 2 2 4" xfId="18754"/>
    <cellStyle name="표준 7 2 4 2 2 2 2 5" xfId="18755"/>
    <cellStyle name="표준 7 2 4 2 2 2 3 2 2" xfId="18756"/>
    <cellStyle name="표준 7 2 4 2 2 2 3 3" xfId="18757"/>
    <cellStyle name="표준 7 2 4 2 2 2 3 3 2" xfId="18758"/>
    <cellStyle name="표준 7 2 4 2 2 2 3 4" xfId="18759"/>
    <cellStyle name="표준 7 2 4 2 2 2 3 5" xfId="18760"/>
    <cellStyle name="표준 7 2 4 2 2 2 4 2" xfId="18761"/>
    <cellStyle name="표준 7 2 4 2 2 2 5" xfId="18762"/>
    <cellStyle name="표준 7 2 4 2 2 2 5 2" xfId="18763"/>
    <cellStyle name="표준 7 2 4 2 2 2 6" xfId="18764"/>
    <cellStyle name="표준 7 2 4 2 2 2 7" xfId="18765"/>
    <cellStyle name="표준 7 2 4 2 2 3 2 2" xfId="18766"/>
    <cellStyle name="표준 7 2 4 2 2 3 3" xfId="18767"/>
    <cellStyle name="표준 7 2 4 2 2 3 3 2" xfId="18768"/>
    <cellStyle name="표준 7 2 4 2 2 3 4" xfId="18769"/>
    <cellStyle name="표준 7 2 4 2 2 3 5" xfId="18770"/>
    <cellStyle name="표준 7 2 4 2 2 4 2 2" xfId="18771"/>
    <cellStyle name="표준 7 2 4 2 2 4 3" xfId="18772"/>
    <cellStyle name="표준 7 2 4 2 2 4 3 2" xfId="18773"/>
    <cellStyle name="표준 7 2 4 2 2 4 4" xfId="18774"/>
    <cellStyle name="표준 7 2 4 2 2 4 5" xfId="18775"/>
    <cellStyle name="표준 7 2 4 2 2 5 2" xfId="18776"/>
    <cellStyle name="표준 7 2 4 2 2 6" xfId="18777"/>
    <cellStyle name="표준 7 2 4 2 2 6 2" xfId="18778"/>
    <cellStyle name="표준 7 2 4 2 2 7" xfId="18779"/>
    <cellStyle name="표준 7 2 4 2 2 8" xfId="18780"/>
    <cellStyle name="표준 7 2 4 2 3 2 2 2" xfId="18781"/>
    <cellStyle name="표준 7 2 4 2 3 2 3" xfId="18782"/>
    <cellStyle name="표준 7 2 4 2 3 2 3 2" xfId="18783"/>
    <cellStyle name="표준 7 2 4 2 3 2 4" xfId="18784"/>
    <cellStyle name="표준 7 2 4 2 3 2 5" xfId="18785"/>
    <cellStyle name="표준 7 2 4 2 3 3 2 2" xfId="18786"/>
    <cellStyle name="표준 7 2 4 2 3 3 3" xfId="18787"/>
    <cellStyle name="표준 7 2 4 2 3 3 3 2" xfId="18788"/>
    <cellStyle name="표준 7 2 4 2 3 3 4" xfId="18789"/>
    <cellStyle name="표준 7 2 4 2 3 3 5" xfId="18790"/>
    <cellStyle name="표준 7 2 4 2 3 4 2" xfId="18791"/>
    <cellStyle name="표준 7 2 4 2 3 5" xfId="18792"/>
    <cellStyle name="표준 7 2 4 2 3 5 2" xfId="18793"/>
    <cellStyle name="표준 7 2 4 2 3 6" xfId="18794"/>
    <cellStyle name="표준 7 2 4 2 3 7" xfId="18795"/>
    <cellStyle name="표준 7 2 4 2 4 2 2" xfId="18796"/>
    <cellStyle name="표준 7 2 4 2 4 3" xfId="18797"/>
    <cellStyle name="표준 7 2 4 2 4 3 2" xfId="18798"/>
    <cellStyle name="표준 7 2 4 2 4 4" xfId="18799"/>
    <cellStyle name="표준 7 2 4 2 4 5" xfId="18800"/>
    <cellStyle name="표준 7 2 4 2 5 2 2" xfId="18801"/>
    <cellStyle name="표준 7 2 4 2 5 3" xfId="18802"/>
    <cellStyle name="표준 7 2 4 2 5 3 2" xfId="18803"/>
    <cellStyle name="표준 7 2 4 2 5 4" xfId="18804"/>
    <cellStyle name="표준 7 2 4 2 5 5" xfId="18805"/>
    <cellStyle name="표준 7 2 4 2 6 2" xfId="18806"/>
    <cellStyle name="표준 7 2 4 2 7" xfId="18807"/>
    <cellStyle name="표준 7 2 4 2 7 2" xfId="18808"/>
    <cellStyle name="표준 7 2 4 2 8" xfId="18809"/>
    <cellStyle name="표준 7 2 4 2 9" xfId="18810"/>
    <cellStyle name="표준 7 2 4 3 2 2 2 2" xfId="18811"/>
    <cellStyle name="표준 7 2 4 3 2 2 3" xfId="18812"/>
    <cellStyle name="표준 7 2 4 3 2 2 3 2" xfId="18813"/>
    <cellStyle name="표준 7 2 4 3 2 2 4" xfId="18814"/>
    <cellStyle name="표준 7 2 4 3 2 2 5" xfId="18815"/>
    <cellStyle name="표준 7 2 4 3 2 3 2 2" xfId="18816"/>
    <cellStyle name="표준 7 2 4 3 2 3 3" xfId="18817"/>
    <cellStyle name="표준 7 2 4 3 2 3 3 2" xfId="18818"/>
    <cellStyle name="표준 7 2 4 3 2 3 4" xfId="18819"/>
    <cellStyle name="표준 7 2 4 3 2 3 5" xfId="18820"/>
    <cellStyle name="표준 7 2 4 3 2 4 2" xfId="18821"/>
    <cellStyle name="표준 7 2 4 3 2 5" xfId="18822"/>
    <cellStyle name="표준 7 2 4 3 2 5 2" xfId="18823"/>
    <cellStyle name="표준 7 2 4 3 2 6" xfId="18824"/>
    <cellStyle name="표준 7 2 4 3 2 7" xfId="18825"/>
    <cellStyle name="표준 7 2 4 3 3 2 2" xfId="18826"/>
    <cellStyle name="표준 7 2 4 3 3 3" xfId="18827"/>
    <cellStyle name="표준 7 2 4 3 3 3 2" xfId="18828"/>
    <cellStyle name="표준 7 2 4 3 3 4" xfId="18829"/>
    <cellStyle name="표준 7 2 4 3 3 5" xfId="18830"/>
    <cellStyle name="표준 7 2 4 3 4 2 2" xfId="18831"/>
    <cellStyle name="표준 7 2 4 3 4 3" xfId="18832"/>
    <cellStyle name="표준 7 2 4 3 4 3 2" xfId="18833"/>
    <cellStyle name="표준 7 2 4 3 4 4" xfId="18834"/>
    <cellStyle name="표준 7 2 4 3 4 5" xfId="18835"/>
    <cellStyle name="표준 7 2 4 3 5 2" xfId="18836"/>
    <cellStyle name="표준 7 2 4 3 6" xfId="18837"/>
    <cellStyle name="표준 7 2 4 3 6 2" xfId="18838"/>
    <cellStyle name="표준 7 2 4 3 7" xfId="18839"/>
    <cellStyle name="표준 7 2 4 3 8" xfId="18840"/>
    <cellStyle name="표준 7 2 4 4 2 2 2" xfId="18841"/>
    <cellStyle name="표준 7 2 4 4 2 3" xfId="18842"/>
    <cellStyle name="표준 7 2 4 4 2 3 2" xfId="18843"/>
    <cellStyle name="표준 7 2 4 4 2 4" xfId="18844"/>
    <cellStyle name="표준 7 2 4 4 2 5" xfId="18845"/>
    <cellStyle name="표준 7 2 4 4 3 2 2" xfId="18846"/>
    <cellStyle name="표준 7 2 4 4 3 3" xfId="18847"/>
    <cellStyle name="표준 7 2 4 4 3 3 2" xfId="18848"/>
    <cellStyle name="표준 7 2 4 4 3 4" xfId="18849"/>
    <cellStyle name="표준 7 2 4 4 3 5" xfId="18850"/>
    <cellStyle name="표준 7 2 4 4 4 2" xfId="18851"/>
    <cellStyle name="표준 7 2 4 4 5" xfId="18852"/>
    <cellStyle name="표준 7 2 4 4 5 2" xfId="18853"/>
    <cellStyle name="표준 7 2 4 4 6" xfId="18854"/>
    <cellStyle name="표준 7 2 4 4 7" xfId="18855"/>
    <cellStyle name="표준 7 2 4 5 2 2" xfId="18856"/>
    <cellStyle name="표준 7 2 4 5 3" xfId="18857"/>
    <cellStyle name="표준 7 2 4 5 3 2" xfId="18858"/>
    <cellStyle name="표준 7 2 4 5 4" xfId="18859"/>
    <cellStyle name="표준 7 2 4 5 5" xfId="18860"/>
    <cellStyle name="표준 7 2 4 6 2 2" xfId="18861"/>
    <cellStyle name="표준 7 2 4 6 3" xfId="18862"/>
    <cellStyle name="표준 7 2 4 6 3 2" xfId="18863"/>
    <cellStyle name="표준 7 2 4 6 4" xfId="18864"/>
    <cellStyle name="표준 7 2 4 6 5" xfId="18865"/>
    <cellStyle name="표준 7 2 4 7 2" xfId="18866"/>
    <cellStyle name="표준 7 2 4 8" xfId="18867"/>
    <cellStyle name="표준 7 2 4 8 2" xfId="18868"/>
    <cellStyle name="표준 7 2 4 9" xfId="18869"/>
    <cellStyle name="표준 7 2 5 10" xfId="18870"/>
    <cellStyle name="표준 7 2 5 2 2 2 2 2 2" xfId="18871"/>
    <cellStyle name="표준 7 2 5 2 2 2 2 3" xfId="18872"/>
    <cellStyle name="표준 7 2 5 2 2 2 2 3 2" xfId="18873"/>
    <cellStyle name="표준 7 2 5 2 2 2 2 4" xfId="18874"/>
    <cellStyle name="표준 7 2 5 2 2 2 2 5" xfId="18875"/>
    <cellStyle name="표준 7 2 5 2 2 2 3 2 2" xfId="18876"/>
    <cellStyle name="표준 7 2 5 2 2 2 3 3" xfId="18877"/>
    <cellStyle name="표준 7 2 5 2 2 2 3 3 2" xfId="18878"/>
    <cellStyle name="표준 7 2 5 2 2 2 3 4" xfId="18879"/>
    <cellStyle name="표준 7 2 5 2 2 2 3 5" xfId="18880"/>
    <cellStyle name="표준 7 2 5 2 2 2 4 2" xfId="18881"/>
    <cellStyle name="표준 7 2 5 2 2 2 5" xfId="18882"/>
    <cellStyle name="표준 7 2 5 2 2 2 5 2" xfId="18883"/>
    <cellStyle name="표준 7 2 5 2 2 2 6" xfId="18884"/>
    <cellStyle name="표준 7 2 5 2 2 2 7" xfId="18885"/>
    <cellStyle name="표준 7 2 5 2 2 3 2 2" xfId="18886"/>
    <cellStyle name="표준 7 2 5 2 2 3 3" xfId="18887"/>
    <cellStyle name="표준 7 2 5 2 2 3 3 2" xfId="18888"/>
    <cellStyle name="표준 7 2 5 2 2 3 4" xfId="18889"/>
    <cellStyle name="표준 7 2 5 2 2 3 5" xfId="18890"/>
    <cellStyle name="표준 7 2 5 2 2 4 2 2" xfId="18891"/>
    <cellStyle name="표준 7 2 5 2 2 4 3" xfId="18892"/>
    <cellStyle name="표준 7 2 5 2 2 4 3 2" xfId="18893"/>
    <cellStyle name="표준 7 2 5 2 2 4 4" xfId="18894"/>
    <cellStyle name="표준 7 2 5 2 2 4 5" xfId="18895"/>
    <cellStyle name="표준 7 2 5 2 2 5 2" xfId="18896"/>
    <cellStyle name="표준 7 2 5 2 2 6" xfId="18897"/>
    <cellStyle name="표준 7 2 5 2 2 6 2" xfId="18898"/>
    <cellStyle name="표준 7 2 5 2 2 7" xfId="18899"/>
    <cellStyle name="표준 7 2 5 2 2 8" xfId="18900"/>
    <cellStyle name="표준 7 2 5 2 3 2 2 2" xfId="18901"/>
    <cellStyle name="표준 7 2 5 2 3 2 3" xfId="18902"/>
    <cellStyle name="표준 7 2 5 2 3 2 3 2" xfId="18903"/>
    <cellStyle name="표준 7 2 5 2 3 2 4" xfId="18904"/>
    <cellStyle name="표준 7 2 5 2 3 2 5" xfId="18905"/>
    <cellStyle name="표준 7 2 5 2 3 3 2 2" xfId="18906"/>
    <cellStyle name="표준 7 2 5 2 3 3 3" xfId="18907"/>
    <cellStyle name="표준 7 2 5 2 3 3 3 2" xfId="18908"/>
    <cellStyle name="표준 7 2 5 2 3 3 4" xfId="18909"/>
    <cellStyle name="표준 7 2 5 2 3 3 5" xfId="18910"/>
    <cellStyle name="표준 7 2 5 2 3 4 2" xfId="18911"/>
    <cellStyle name="표준 7 2 5 2 3 5" xfId="18912"/>
    <cellStyle name="표준 7 2 5 2 3 5 2" xfId="18913"/>
    <cellStyle name="표준 7 2 5 2 3 6" xfId="18914"/>
    <cellStyle name="표준 7 2 5 2 3 7" xfId="18915"/>
    <cellStyle name="표준 7 2 5 2 4 2 2" xfId="18916"/>
    <cellStyle name="표준 7 2 5 2 4 3" xfId="18917"/>
    <cellStyle name="표준 7 2 5 2 4 3 2" xfId="18918"/>
    <cellStyle name="표준 7 2 5 2 4 4" xfId="18919"/>
    <cellStyle name="표준 7 2 5 2 4 5" xfId="18920"/>
    <cellStyle name="표준 7 2 5 2 5 2 2" xfId="18921"/>
    <cellStyle name="표준 7 2 5 2 5 3" xfId="18922"/>
    <cellStyle name="표준 7 2 5 2 5 3 2" xfId="18923"/>
    <cellStyle name="표준 7 2 5 2 5 4" xfId="18924"/>
    <cellStyle name="표준 7 2 5 2 5 5" xfId="18925"/>
    <cellStyle name="표준 7 2 5 2 6 2" xfId="18926"/>
    <cellStyle name="표준 7 2 5 2 7" xfId="18927"/>
    <cellStyle name="표준 7 2 5 2 7 2" xfId="18928"/>
    <cellStyle name="표준 7 2 5 2 8" xfId="18929"/>
    <cellStyle name="표준 7 2 5 2 9" xfId="18930"/>
    <cellStyle name="표준 7 2 5 3 2 2 2 2" xfId="18931"/>
    <cellStyle name="표준 7 2 5 3 2 2 3" xfId="18932"/>
    <cellStyle name="표준 7 2 5 3 2 2 3 2" xfId="18933"/>
    <cellStyle name="표준 7 2 5 3 2 2 4" xfId="18934"/>
    <cellStyle name="표준 7 2 5 3 2 2 5" xfId="18935"/>
    <cellStyle name="표준 7 2 5 3 2 3 2 2" xfId="18936"/>
    <cellStyle name="표준 7 2 5 3 2 3 3" xfId="18937"/>
    <cellStyle name="표준 7 2 5 3 2 3 3 2" xfId="18938"/>
    <cellStyle name="표준 7 2 5 3 2 3 4" xfId="18939"/>
    <cellStyle name="표준 7 2 5 3 2 3 5" xfId="18940"/>
    <cellStyle name="표준 7 2 5 3 2 4 2" xfId="18941"/>
    <cellStyle name="표준 7 2 5 3 2 5" xfId="18942"/>
    <cellStyle name="표준 7 2 5 3 2 5 2" xfId="18943"/>
    <cellStyle name="표준 7 2 5 3 2 6" xfId="18944"/>
    <cellStyle name="표준 7 2 5 3 2 7" xfId="18945"/>
    <cellStyle name="표준 7 2 5 3 3 2 2" xfId="18946"/>
    <cellStyle name="표준 7 2 5 3 3 3" xfId="18947"/>
    <cellStyle name="표준 7 2 5 3 3 3 2" xfId="18948"/>
    <cellStyle name="표준 7 2 5 3 3 4" xfId="18949"/>
    <cellStyle name="표준 7 2 5 3 3 5" xfId="18950"/>
    <cellStyle name="표준 7 2 5 3 4 2 2" xfId="18951"/>
    <cellStyle name="표준 7 2 5 3 4 3" xfId="18952"/>
    <cellStyle name="표준 7 2 5 3 4 3 2" xfId="18953"/>
    <cellStyle name="표준 7 2 5 3 4 4" xfId="18954"/>
    <cellStyle name="표준 7 2 5 3 4 5" xfId="18955"/>
    <cellStyle name="표준 7 2 5 3 5 2" xfId="18956"/>
    <cellStyle name="표준 7 2 5 3 6" xfId="18957"/>
    <cellStyle name="표준 7 2 5 3 6 2" xfId="18958"/>
    <cellStyle name="표준 7 2 5 3 7" xfId="18959"/>
    <cellStyle name="표준 7 2 5 3 8" xfId="18960"/>
    <cellStyle name="표준 7 2 5 4 2 2 2" xfId="18961"/>
    <cellStyle name="표준 7 2 5 4 2 3" xfId="18962"/>
    <cellStyle name="표준 7 2 5 4 2 3 2" xfId="18963"/>
    <cellStyle name="표준 7 2 5 4 2 4" xfId="18964"/>
    <cellStyle name="표준 7 2 5 4 2 5" xfId="18965"/>
    <cellStyle name="표준 7 2 5 4 3 2 2" xfId="18966"/>
    <cellStyle name="표준 7 2 5 4 3 3" xfId="18967"/>
    <cellStyle name="표준 7 2 5 4 3 3 2" xfId="18968"/>
    <cellStyle name="표준 7 2 5 4 3 4" xfId="18969"/>
    <cellStyle name="표준 7 2 5 4 3 5" xfId="18970"/>
    <cellStyle name="표준 7 2 5 4 4 2" xfId="18971"/>
    <cellStyle name="표준 7 2 5 4 5" xfId="18972"/>
    <cellStyle name="표준 7 2 5 4 5 2" xfId="18973"/>
    <cellStyle name="표준 7 2 5 4 6" xfId="18974"/>
    <cellStyle name="표준 7 2 5 4 7" xfId="18975"/>
    <cellStyle name="표준 7 2 5 5 2 2" xfId="18976"/>
    <cellStyle name="표준 7 2 5 5 3" xfId="18977"/>
    <cellStyle name="표준 7 2 5 5 3 2" xfId="18978"/>
    <cellStyle name="표준 7 2 5 5 4" xfId="18979"/>
    <cellStyle name="표준 7 2 5 5 5" xfId="18980"/>
    <cellStyle name="표준 7 2 5 6 2 2" xfId="18981"/>
    <cellStyle name="표준 7 2 5 6 3" xfId="18982"/>
    <cellStyle name="표준 7 2 5 6 3 2" xfId="18983"/>
    <cellStyle name="표준 7 2 5 6 4" xfId="18984"/>
    <cellStyle name="표준 7 2 5 6 5" xfId="18985"/>
    <cellStyle name="표준 7 2 5 7 2" xfId="18986"/>
    <cellStyle name="표준 7 2 5 8" xfId="18987"/>
    <cellStyle name="표준 7 2 5 8 2" xfId="18988"/>
    <cellStyle name="표준 7 2 5 9" xfId="18989"/>
    <cellStyle name="표준 7 2 6 2 2 2 2 2" xfId="18990"/>
    <cellStyle name="표준 7 2 6 2 2 2 3" xfId="18991"/>
    <cellStyle name="표준 7 2 6 2 2 2 3 2" xfId="18992"/>
    <cellStyle name="표준 7 2 6 2 2 2 4" xfId="18993"/>
    <cellStyle name="표준 7 2 6 2 2 2 5" xfId="18994"/>
    <cellStyle name="표준 7 2 6 2 2 3 2 2" xfId="18995"/>
    <cellStyle name="표준 7 2 6 2 2 3 3" xfId="18996"/>
    <cellStyle name="표준 7 2 6 2 2 3 3 2" xfId="18997"/>
    <cellStyle name="표준 7 2 6 2 2 3 4" xfId="18998"/>
    <cellStyle name="표준 7 2 6 2 2 3 5" xfId="18999"/>
    <cellStyle name="표준 7 2 6 2 2 4 2" xfId="19000"/>
    <cellStyle name="표준 7 2 6 2 2 5" xfId="19001"/>
    <cellStyle name="표준 7 2 6 2 2 5 2" xfId="19002"/>
    <cellStyle name="표준 7 2 6 2 2 6" xfId="19003"/>
    <cellStyle name="표준 7 2 6 2 2 7" xfId="19004"/>
    <cellStyle name="표준 7 2 6 2 3 2 2" xfId="19005"/>
    <cellStyle name="표준 7 2 6 2 3 3" xfId="19006"/>
    <cellStyle name="표준 7 2 6 2 3 3 2" xfId="19007"/>
    <cellStyle name="표준 7 2 6 2 3 4" xfId="19008"/>
    <cellStyle name="표준 7 2 6 2 3 5" xfId="19009"/>
    <cellStyle name="표준 7 2 6 2 4 2 2" xfId="19010"/>
    <cellStyle name="표준 7 2 6 2 4 3" xfId="19011"/>
    <cellStyle name="표준 7 2 6 2 4 3 2" xfId="19012"/>
    <cellStyle name="표준 7 2 6 2 4 4" xfId="19013"/>
    <cellStyle name="표준 7 2 6 2 4 5" xfId="19014"/>
    <cellStyle name="표준 7 2 6 2 5 2" xfId="19015"/>
    <cellStyle name="표준 7 2 6 2 6" xfId="19016"/>
    <cellStyle name="표준 7 2 6 2 6 2" xfId="19017"/>
    <cellStyle name="표준 7 2 6 2 7" xfId="19018"/>
    <cellStyle name="표준 7 2 6 2 8" xfId="19019"/>
    <cellStyle name="표준 7 2 6 3 2 2 2" xfId="19020"/>
    <cellStyle name="표준 7 2 6 3 2 3" xfId="19021"/>
    <cellStyle name="표준 7 2 6 3 2 3 2" xfId="19022"/>
    <cellStyle name="표준 7 2 6 3 2 4" xfId="19023"/>
    <cellStyle name="표준 7 2 6 3 2 5" xfId="19024"/>
    <cellStyle name="표준 7 2 6 3 3 2 2" xfId="19025"/>
    <cellStyle name="표준 7 2 6 3 3 3" xfId="19026"/>
    <cellStyle name="표준 7 2 6 3 3 3 2" xfId="19027"/>
    <cellStyle name="표준 7 2 6 3 3 4" xfId="19028"/>
    <cellStyle name="표준 7 2 6 3 3 5" xfId="19029"/>
    <cellStyle name="표준 7 2 6 3 4 2" xfId="19030"/>
    <cellStyle name="표준 7 2 6 3 5" xfId="19031"/>
    <cellStyle name="표준 7 2 6 3 5 2" xfId="19032"/>
    <cellStyle name="표준 7 2 6 3 6" xfId="19033"/>
    <cellStyle name="표준 7 2 6 3 7" xfId="19034"/>
    <cellStyle name="표준 7 2 6 4 2 2" xfId="19035"/>
    <cellStyle name="표준 7 2 6 4 3" xfId="19036"/>
    <cellStyle name="표준 7 2 6 4 3 2" xfId="19037"/>
    <cellStyle name="표준 7 2 6 4 4" xfId="19038"/>
    <cellStyle name="표준 7 2 6 4 5" xfId="19039"/>
    <cellStyle name="표준 7 2 6 5 2 2" xfId="19040"/>
    <cellStyle name="표준 7 2 6 5 3" xfId="19041"/>
    <cellStyle name="표준 7 2 6 5 3 2" xfId="19042"/>
    <cellStyle name="표준 7 2 6 5 4" xfId="19043"/>
    <cellStyle name="표준 7 2 6 5 5" xfId="19044"/>
    <cellStyle name="표준 7 2 6 6 2" xfId="19045"/>
    <cellStyle name="표준 7 2 6 7" xfId="19046"/>
    <cellStyle name="표준 7 2 6 7 2" xfId="19047"/>
    <cellStyle name="표준 7 2 6 8" xfId="19048"/>
    <cellStyle name="표준 7 2 6 9" xfId="19049"/>
    <cellStyle name="표준 7 2 7 2 2 2 2" xfId="19050"/>
    <cellStyle name="표준 7 2 7 2 2 3" xfId="19051"/>
    <cellStyle name="표준 7 2 7 2 2 3 2" xfId="19052"/>
    <cellStyle name="표준 7 2 7 2 2 4" xfId="19053"/>
    <cellStyle name="표준 7 2 7 2 2 5" xfId="19054"/>
    <cellStyle name="표준 7 2 7 2 3 2 2" xfId="19055"/>
    <cellStyle name="표준 7 2 7 2 3 3" xfId="19056"/>
    <cellStyle name="표준 7 2 7 2 3 3 2" xfId="19057"/>
    <cellStyle name="표준 7 2 7 2 3 4" xfId="19058"/>
    <cellStyle name="표준 7 2 7 2 3 5" xfId="19059"/>
    <cellStyle name="표준 7 2 7 2 4 2" xfId="19060"/>
    <cellStyle name="표준 7 2 7 2 5" xfId="19061"/>
    <cellStyle name="표준 7 2 7 2 5 2" xfId="19062"/>
    <cellStyle name="표준 7 2 7 2 6" xfId="19063"/>
    <cellStyle name="표준 7 2 7 2 7" xfId="19064"/>
    <cellStyle name="표준 7 2 7 3 2 2" xfId="19065"/>
    <cellStyle name="표준 7 2 7 3 3" xfId="19066"/>
    <cellStyle name="표준 7 2 7 3 3 2" xfId="19067"/>
    <cellStyle name="표준 7 2 7 3 4" xfId="19068"/>
    <cellStyle name="표준 7 2 7 3 5" xfId="19069"/>
    <cellStyle name="표준 7 2 7 4 2 2" xfId="19070"/>
    <cellStyle name="표준 7 2 7 4 3" xfId="19071"/>
    <cellStyle name="표준 7 2 7 4 3 2" xfId="19072"/>
    <cellStyle name="표준 7 2 7 4 4" xfId="19073"/>
    <cellStyle name="표준 7 2 7 4 5" xfId="19074"/>
    <cellStyle name="표준 7 2 7 5 2" xfId="19075"/>
    <cellStyle name="표준 7 2 7 6" xfId="19076"/>
    <cellStyle name="표준 7 2 7 6 2" xfId="19077"/>
    <cellStyle name="표준 7 2 7 7" xfId="19078"/>
    <cellStyle name="표준 7 2 7 8" xfId="19079"/>
    <cellStyle name="표준 7 2 8 2 2 2" xfId="19080"/>
    <cellStyle name="표준 7 2 8 2 3" xfId="19081"/>
    <cellStyle name="표준 7 2 8 2 3 2" xfId="19082"/>
    <cellStyle name="표준 7 2 8 2 4" xfId="19083"/>
    <cellStyle name="표준 7 2 8 2 5" xfId="19084"/>
    <cellStyle name="표준 7 2 8 3 2 2" xfId="19085"/>
    <cellStyle name="표준 7 2 8 3 3" xfId="19086"/>
    <cellStyle name="표준 7 2 8 3 3 2" xfId="19087"/>
    <cellStyle name="표준 7 2 8 3 4" xfId="19088"/>
    <cellStyle name="표준 7 2 8 3 5" xfId="19089"/>
    <cellStyle name="표준 7 2 8 4 2" xfId="19090"/>
    <cellStyle name="표준 7 2 8 5" xfId="19091"/>
    <cellStyle name="표준 7 2 8 5 2" xfId="19092"/>
    <cellStyle name="표준 7 2 8 6" xfId="19093"/>
    <cellStyle name="표준 7 2 8 7" xfId="19094"/>
    <cellStyle name="표준 7 2 9 2 2" xfId="19095"/>
    <cellStyle name="표준 7 2 9 3" xfId="19096"/>
    <cellStyle name="표준 7 2 9 3 2" xfId="19097"/>
    <cellStyle name="표준 7 2 9 4" xfId="19098"/>
    <cellStyle name="표준 7 2 9 5" xfId="19099"/>
    <cellStyle name="표준 7 20 2 2 2 2 2" xfId="19100"/>
    <cellStyle name="표준 7 20 2 2 2 3" xfId="19101"/>
    <cellStyle name="표준 7 20 2 2 2 3 2" xfId="19102"/>
    <cellStyle name="표준 7 20 2 2 2 4" xfId="19103"/>
    <cellStyle name="표준 7 20 2 2 2 5" xfId="19104"/>
    <cellStyle name="표준 7 20 2 2 3 2 2" xfId="19105"/>
    <cellStyle name="표준 7 20 2 2 3 3" xfId="19106"/>
    <cellStyle name="표준 7 20 2 2 3 3 2" xfId="19107"/>
    <cellStyle name="표준 7 20 2 2 3 4" xfId="19108"/>
    <cellStyle name="표준 7 20 2 2 3 5" xfId="19109"/>
    <cellStyle name="표준 7 20 2 2 4 2" xfId="19110"/>
    <cellStyle name="표준 7 20 2 2 5" xfId="19111"/>
    <cellStyle name="표준 7 20 2 2 5 2" xfId="19112"/>
    <cellStyle name="표준 7 20 2 2 6" xfId="19113"/>
    <cellStyle name="표준 7 20 2 2 7" xfId="19114"/>
    <cellStyle name="표준 7 20 2 3 2 2" xfId="19115"/>
    <cellStyle name="표준 7 20 2 3 3" xfId="19116"/>
    <cellStyle name="표준 7 20 2 3 3 2" xfId="19117"/>
    <cellStyle name="표준 7 20 2 3 4" xfId="19118"/>
    <cellStyle name="표준 7 20 2 3 5" xfId="19119"/>
    <cellStyle name="표준 7 20 2 4 2 2" xfId="19120"/>
    <cellStyle name="표준 7 20 2 4 3" xfId="19121"/>
    <cellStyle name="표준 7 20 2 4 3 2" xfId="19122"/>
    <cellStyle name="표준 7 20 2 4 4" xfId="19123"/>
    <cellStyle name="표준 7 20 2 4 5" xfId="19124"/>
    <cellStyle name="표준 7 20 2 5 2" xfId="19125"/>
    <cellStyle name="표준 7 20 2 6" xfId="19126"/>
    <cellStyle name="표준 7 20 2 6 2" xfId="19127"/>
    <cellStyle name="표준 7 20 2 7" xfId="19128"/>
    <cellStyle name="표준 7 20 2 8" xfId="19129"/>
    <cellStyle name="표준 7 20 3 2 2 2" xfId="19130"/>
    <cellStyle name="표준 7 20 3 2 3" xfId="19131"/>
    <cellStyle name="표준 7 20 3 2 3 2" xfId="19132"/>
    <cellStyle name="표준 7 20 3 2 4" xfId="19133"/>
    <cellStyle name="표준 7 20 3 2 5" xfId="19134"/>
    <cellStyle name="표준 7 20 3 3 2 2" xfId="19135"/>
    <cellStyle name="표준 7 20 3 3 3" xfId="19136"/>
    <cellStyle name="표준 7 20 3 3 3 2" xfId="19137"/>
    <cellStyle name="표준 7 20 3 3 4" xfId="19138"/>
    <cellStyle name="표준 7 20 3 3 5" xfId="19139"/>
    <cellStyle name="표준 7 20 3 4 2" xfId="19140"/>
    <cellStyle name="표준 7 20 3 5" xfId="19141"/>
    <cellStyle name="표준 7 20 3 5 2" xfId="19142"/>
    <cellStyle name="표준 7 20 3 6" xfId="19143"/>
    <cellStyle name="표준 7 20 3 7" xfId="19144"/>
    <cellStyle name="표준 7 20 4 2 2" xfId="19145"/>
    <cellStyle name="표준 7 20 4 3" xfId="19146"/>
    <cellStyle name="표준 7 20 4 3 2" xfId="19147"/>
    <cellStyle name="표준 7 20 4 4" xfId="19148"/>
    <cellStyle name="표준 7 20 4 5" xfId="19149"/>
    <cellStyle name="표준 7 20 5 2 2" xfId="19150"/>
    <cellStyle name="표준 7 20 5 3" xfId="19151"/>
    <cellStyle name="표준 7 20 5 3 2" xfId="19152"/>
    <cellStyle name="표준 7 20 5 4" xfId="19153"/>
    <cellStyle name="표준 7 20 5 5" xfId="19154"/>
    <cellStyle name="표준 7 20 6 2" xfId="19155"/>
    <cellStyle name="표준 7 20 7" xfId="19156"/>
    <cellStyle name="표준 7 20 7 2" xfId="19157"/>
    <cellStyle name="표준 7 20 8" xfId="19158"/>
    <cellStyle name="표준 7 20 9" xfId="19159"/>
    <cellStyle name="표준 7 21 2 2 2 2" xfId="19160"/>
    <cellStyle name="표준 7 21 2 2 3" xfId="19161"/>
    <cellStyle name="표준 7 21 2 2 3 2" xfId="19162"/>
    <cellStyle name="표준 7 21 2 2 4" xfId="19163"/>
    <cellStyle name="표준 7 21 2 2 5" xfId="19164"/>
    <cellStyle name="표준 7 21 2 3 2 2" xfId="19165"/>
    <cellStyle name="표준 7 21 2 3 3" xfId="19166"/>
    <cellStyle name="표준 7 21 2 3 3 2" xfId="19167"/>
    <cellStyle name="표준 7 21 2 3 4" xfId="19168"/>
    <cellStyle name="표준 7 21 2 3 5" xfId="19169"/>
    <cellStyle name="표준 7 21 2 4 2" xfId="19170"/>
    <cellStyle name="표준 7 21 2 5" xfId="19171"/>
    <cellStyle name="표준 7 21 2 5 2" xfId="19172"/>
    <cellStyle name="표준 7 21 2 6" xfId="19173"/>
    <cellStyle name="표준 7 21 2 7" xfId="19174"/>
    <cellStyle name="표준 7 21 3 2 2" xfId="19175"/>
    <cellStyle name="표준 7 21 3 3" xfId="19176"/>
    <cellStyle name="표준 7 21 3 3 2" xfId="19177"/>
    <cellStyle name="표준 7 21 3 4" xfId="19178"/>
    <cellStyle name="표준 7 21 3 5" xfId="19179"/>
    <cellStyle name="표준 7 21 4 2 2" xfId="19180"/>
    <cellStyle name="표준 7 21 4 3" xfId="19181"/>
    <cellStyle name="표준 7 21 4 3 2" xfId="19182"/>
    <cellStyle name="표준 7 21 4 4" xfId="19183"/>
    <cellStyle name="표준 7 21 4 5" xfId="19184"/>
    <cellStyle name="표준 7 21 5 2" xfId="19185"/>
    <cellStyle name="표준 7 21 6" xfId="19186"/>
    <cellStyle name="표준 7 21 6 2" xfId="19187"/>
    <cellStyle name="표준 7 21 7" xfId="19188"/>
    <cellStyle name="표준 7 21 8" xfId="19189"/>
    <cellStyle name="표준 7 22 2 2 2" xfId="19190"/>
    <cellStyle name="표준 7 22 2 3" xfId="19191"/>
    <cellStyle name="표준 7 22 2 3 2" xfId="19192"/>
    <cellStyle name="표준 7 22 2 4" xfId="19193"/>
    <cellStyle name="표준 7 22 2 5" xfId="19194"/>
    <cellStyle name="표준 7 22 3 2 2" xfId="19195"/>
    <cellStyle name="표준 7 22 3 3" xfId="19196"/>
    <cellStyle name="표준 7 22 3 3 2" xfId="19197"/>
    <cellStyle name="표준 7 22 3 4" xfId="19198"/>
    <cellStyle name="표준 7 22 3 5" xfId="19199"/>
    <cellStyle name="표준 7 22 4 2" xfId="19200"/>
    <cellStyle name="표준 7 22 5" xfId="19201"/>
    <cellStyle name="표준 7 22 5 2" xfId="19202"/>
    <cellStyle name="표준 7 22 6" xfId="19203"/>
    <cellStyle name="표준 7 22 7" xfId="19204"/>
    <cellStyle name="표준 7 23 2 2" xfId="19205"/>
    <cellStyle name="표준 7 23 3" xfId="19206"/>
    <cellStyle name="표준 7 23 3 2" xfId="19207"/>
    <cellStyle name="표준 7 23 4" xfId="19208"/>
    <cellStyle name="표준 7 23 5" xfId="19209"/>
    <cellStyle name="표준 7 24 2 2" xfId="19210"/>
    <cellStyle name="표준 7 24 3" xfId="19211"/>
    <cellStyle name="표준 7 24 3 2" xfId="19212"/>
    <cellStyle name="표준 7 24 4" xfId="19213"/>
    <cellStyle name="표준 7 24 5" xfId="19214"/>
    <cellStyle name="표준 7 25 2" xfId="19215"/>
    <cellStyle name="표준 7 26" xfId="19216"/>
    <cellStyle name="표준 7 26 2" xfId="19217"/>
    <cellStyle name="표준 7 27" xfId="19218"/>
    <cellStyle name="표준 7 28" xfId="19219"/>
    <cellStyle name="표준 8 10 10" xfId="19220"/>
    <cellStyle name="표준 8 10 2 2 2 2 2 2" xfId="19221"/>
    <cellStyle name="표준 8 10 2 2 2 2 3" xfId="19222"/>
    <cellStyle name="표준 8 10 2 2 2 2 3 2" xfId="19223"/>
    <cellStyle name="표준 8 10 2 2 2 2 4" xfId="19224"/>
    <cellStyle name="표준 8 10 2 2 2 2 5" xfId="19225"/>
    <cellStyle name="표준 8 10 2 2 2 3 2 2" xfId="19226"/>
    <cellStyle name="표준 8 10 2 2 2 3 3" xfId="19227"/>
    <cellStyle name="표준 8 10 2 2 2 3 3 2" xfId="19228"/>
    <cellStyle name="표준 8 10 2 2 2 3 4" xfId="19229"/>
    <cellStyle name="표준 8 10 2 2 2 3 5" xfId="19230"/>
    <cellStyle name="표준 8 10 2 2 2 4 2" xfId="19231"/>
    <cellStyle name="표준 8 10 2 2 2 5" xfId="19232"/>
    <cellStyle name="표준 8 10 2 2 2 5 2" xfId="19233"/>
    <cellStyle name="표준 8 10 2 2 2 6" xfId="19234"/>
    <cellStyle name="표준 8 10 2 2 2 7" xfId="19235"/>
    <cellStyle name="표준 8 10 2 2 3 2 2" xfId="19236"/>
    <cellStyle name="표준 8 10 2 2 3 3" xfId="19237"/>
    <cellStyle name="표준 8 10 2 2 3 3 2" xfId="19238"/>
    <cellStyle name="표준 8 10 2 2 3 4" xfId="19239"/>
    <cellStyle name="표준 8 10 2 2 3 5" xfId="19240"/>
    <cellStyle name="표준 8 10 2 2 4 2 2" xfId="19241"/>
    <cellStyle name="표준 8 10 2 2 4 3" xfId="19242"/>
    <cellStyle name="표준 8 10 2 2 4 3 2" xfId="19243"/>
    <cellStyle name="표준 8 10 2 2 4 4" xfId="19244"/>
    <cellStyle name="표준 8 10 2 2 4 5" xfId="19245"/>
    <cellStyle name="표준 8 10 2 2 5 2" xfId="19246"/>
    <cellStyle name="표준 8 10 2 2 6" xfId="19247"/>
    <cellStyle name="표준 8 10 2 2 6 2" xfId="19248"/>
    <cellStyle name="표준 8 10 2 2 7" xfId="19249"/>
    <cellStyle name="표준 8 10 2 2 8" xfId="19250"/>
    <cellStyle name="표준 8 10 2 3 2 2 2" xfId="19251"/>
    <cellStyle name="표준 8 10 2 3 2 3" xfId="19252"/>
    <cellStyle name="표준 8 10 2 3 2 3 2" xfId="19253"/>
    <cellStyle name="표준 8 10 2 3 2 4" xfId="19254"/>
    <cellStyle name="표준 8 10 2 3 2 5" xfId="19255"/>
    <cellStyle name="표준 8 10 2 3 3 2 2" xfId="19256"/>
    <cellStyle name="표준 8 10 2 3 3 3" xfId="19257"/>
    <cellStyle name="표준 8 10 2 3 3 3 2" xfId="19258"/>
    <cellStyle name="표준 8 10 2 3 3 4" xfId="19259"/>
    <cellStyle name="표준 8 10 2 3 3 5" xfId="19260"/>
    <cellStyle name="표준 8 10 2 3 4 2" xfId="19261"/>
    <cellStyle name="표준 8 10 2 3 5" xfId="19262"/>
    <cellStyle name="표준 8 10 2 3 5 2" xfId="19263"/>
    <cellStyle name="표준 8 10 2 3 6" xfId="19264"/>
    <cellStyle name="표준 8 10 2 3 7" xfId="19265"/>
    <cellStyle name="표준 8 10 2 4 2 2" xfId="19266"/>
    <cellStyle name="표준 8 10 2 4 3" xfId="19267"/>
    <cellStyle name="표준 8 10 2 4 3 2" xfId="19268"/>
    <cellStyle name="표준 8 10 2 4 4" xfId="19269"/>
    <cellStyle name="표준 8 10 2 4 5" xfId="19270"/>
    <cellStyle name="표준 8 10 2 5 2 2" xfId="19271"/>
    <cellStyle name="표준 8 10 2 5 3" xfId="19272"/>
    <cellStyle name="표준 8 10 2 5 3 2" xfId="19273"/>
    <cellStyle name="표준 8 10 2 5 4" xfId="19274"/>
    <cellStyle name="표준 8 10 2 5 5" xfId="19275"/>
    <cellStyle name="표준 8 10 2 6 2" xfId="19276"/>
    <cellStyle name="표준 8 10 2 7" xfId="19277"/>
    <cellStyle name="표준 8 10 2 7 2" xfId="19278"/>
    <cellStyle name="표준 8 10 2 8" xfId="19279"/>
    <cellStyle name="표준 8 10 2 9" xfId="19280"/>
    <cellStyle name="표준 8 10 3 2 2 2 2" xfId="19281"/>
    <cellStyle name="표준 8 10 3 2 2 3" xfId="19282"/>
    <cellStyle name="표준 8 10 3 2 2 3 2" xfId="19283"/>
    <cellStyle name="표준 8 10 3 2 2 4" xfId="19284"/>
    <cellStyle name="표준 8 10 3 2 2 5" xfId="19285"/>
    <cellStyle name="표준 8 10 3 2 3 2 2" xfId="19286"/>
    <cellStyle name="표준 8 10 3 2 3 3" xfId="19287"/>
    <cellStyle name="표준 8 10 3 2 3 3 2" xfId="19288"/>
    <cellStyle name="표준 8 10 3 2 3 4" xfId="19289"/>
    <cellStyle name="표준 8 10 3 2 3 5" xfId="19290"/>
    <cellStyle name="표준 8 10 3 2 4 2" xfId="19291"/>
    <cellStyle name="표준 8 10 3 2 5" xfId="19292"/>
    <cellStyle name="표준 8 10 3 2 5 2" xfId="19293"/>
    <cellStyle name="표준 8 10 3 2 6" xfId="19294"/>
    <cellStyle name="표준 8 10 3 2 7" xfId="19295"/>
    <cellStyle name="표준 8 10 3 3 2 2" xfId="19296"/>
    <cellStyle name="표준 8 10 3 3 3" xfId="19297"/>
    <cellStyle name="표준 8 10 3 3 3 2" xfId="19298"/>
    <cellStyle name="표준 8 10 3 3 4" xfId="19299"/>
    <cellStyle name="표준 8 10 3 3 5" xfId="19300"/>
    <cellStyle name="표준 8 10 3 4 2 2" xfId="19301"/>
    <cellStyle name="표준 8 10 3 4 3" xfId="19302"/>
    <cellStyle name="표준 8 10 3 4 3 2" xfId="19303"/>
    <cellStyle name="표준 8 10 3 4 4" xfId="19304"/>
    <cellStyle name="표준 8 10 3 4 5" xfId="19305"/>
    <cellStyle name="표준 8 10 3 5 2" xfId="19306"/>
    <cellStyle name="표준 8 10 3 6" xfId="19307"/>
    <cellStyle name="표준 8 10 3 6 2" xfId="19308"/>
    <cellStyle name="표준 8 10 3 7" xfId="19309"/>
    <cellStyle name="표준 8 10 3 8" xfId="19310"/>
    <cellStyle name="표준 8 10 4 2 2 2" xfId="19311"/>
    <cellStyle name="표준 8 10 4 2 3" xfId="19312"/>
    <cellStyle name="표준 8 10 4 2 3 2" xfId="19313"/>
    <cellStyle name="표준 8 10 4 2 4" xfId="19314"/>
    <cellStyle name="표준 8 10 4 2 5" xfId="19315"/>
    <cellStyle name="표준 8 10 4 3 2 2" xfId="19316"/>
    <cellStyle name="표준 8 10 4 3 3" xfId="19317"/>
    <cellStyle name="표준 8 10 4 3 3 2" xfId="19318"/>
    <cellStyle name="표준 8 10 4 3 4" xfId="19319"/>
    <cellStyle name="표준 8 10 4 3 5" xfId="19320"/>
    <cellStyle name="표준 8 10 4 4 2" xfId="19321"/>
    <cellStyle name="표준 8 10 4 5" xfId="19322"/>
    <cellStyle name="표준 8 10 4 5 2" xfId="19323"/>
    <cellStyle name="표준 8 10 4 6" xfId="19324"/>
    <cellStyle name="표준 8 10 4 7" xfId="19325"/>
    <cellStyle name="표준 8 10 5 2 2" xfId="19326"/>
    <cellStyle name="표준 8 10 5 3" xfId="19327"/>
    <cellStyle name="표준 8 10 5 3 2" xfId="19328"/>
    <cellStyle name="표준 8 10 5 4" xfId="19329"/>
    <cellStyle name="표준 8 10 5 5" xfId="19330"/>
    <cellStyle name="표준 8 10 6 2 2" xfId="19331"/>
    <cellStyle name="표준 8 10 6 3" xfId="19332"/>
    <cellStyle name="표준 8 10 6 3 2" xfId="19333"/>
    <cellStyle name="표준 8 10 6 4" xfId="19334"/>
    <cellStyle name="표준 8 10 6 5" xfId="19335"/>
    <cellStyle name="표준 8 10 7 2" xfId="19336"/>
    <cellStyle name="표준 8 10 8" xfId="19337"/>
    <cellStyle name="표준 8 10 8 2" xfId="19338"/>
    <cellStyle name="표준 8 10 9" xfId="19339"/>
    <cellStyle name="표준 8 11 10" xfId="19340"/>
    <cellStyle name="표준 8 11 2 2 2 2 2 2" xfId="19341"/>
    <cellStyle name="표준 8 11 2 2 2 2 3" xfId="19342"/>
    <cellStyle name="표준 8 11 2 2 2 2 3 2" xfId="19343"/>
    <cellStyle name="표준 8 11 2 2 2 2 4" xfId="19344"/>
    <cellStyle name="표준 8 11 2 2 2 2 5" xfId="19345"/>
    <cellStyle name="표준 8 11 2 2 2 3 2 2" xfId="19346"/>
    <cellStyle name="표준 8 11 2 2 2 3 3" xfId="19347"/>
    <cellStyle name="표준 8 11 2 2 2 3 3 2" xfId="19348"/>
    <cellStyle name="표준 8 11 2 2 2 3 4" xfId="19349"/>
    <cellStyle name="표준 8 11 2 2 2 3 5" xfId="19350"/>
    <cellStyle name="표준 8 11 2 2 2 4 2" xfId="19351"/>
    <cellStyle name="표준 8 11 2 2 2 5" xfId="19352"/>
    <cellStyle name="표준 8 11 2 2 2 5 2" xfId="19353"/>
    <cellStyle name="표준 8 11 2 2 2 6" xfId="19354"/>
    <cellStyle name="표준 8 11 2 2 2 7" xfId="19355"/>
    <cellStyle name="표준 8 11 2 2 3 2 2" xfId="19356"/>
    <cellStyle name="표준 8 11 2 2 3 3" xfId="19357"/>
    <cellStyle name="표준 8 11 2 2 3 3 2" xfId="19358"/>
    <cellStyle name="표준 8 11 2 2 3 4" xfId="19359"/>
    <cellStyle name="표준 8 11 2 2 3 5" xfId="19360"/>
    <cellStyle name="표준 8 11 2 2 4 2 2" xfId="19361"/>
    <cellStyle name="표준 8 11 2 2 4 3" xfId="19362"/>
    <cellStyle name="표준 8 11 2 2 4 3 2" xfId="19363"/>
    <cellStyle name="표준 8 11 2 2 4 4" xfId="19364"/>
    <cellStyle name="표준 8 11 2 2 4 5" xfId="19365"/>
    <cellStyle name="표준 8 11 2 2 5 2" xfId="19366"/>
    <cellStyle name="표준 8 11 2 2 6" xfId="19367"/>
    <cellStyle name="표준 8 11 2 2 6 2" xfId="19368"/>
    <cellStyle name="표준 8 11 2 2 7" xfId="19369"/>
    <cellStyle name="표준 8 11 2 2 8" xfId="19370"/>
    <cellStyle name="표준 8 11 2 3 2 2 2" xfId="19371"/>
    <cellStyle name="표준 8 11 2 3 2 3" xfId="19372"/>
    <cellStyle name="표준 8 11 2 3 2 3 2" xfId="19373"/>
    <cellStyle name="표준 8 11 2 3 2 4" xfId="19374"/>
    <cellStyle name="표준 8 11 2 3 2 5" xfId="19375"/>
    <cellStyle name="표준 8 11 2 3 3 2 2" xfId="19376"/>
    <cellStyle name="표준 8 11 2 3 3 3" xfId="19377"/>
    <cellStyle name="표준 8 11 2 3 3 3 2" xfId="19378"/>
    <cellStyle name="표준 8 11 2 3 3 4" xfId="19379"/>
    <cellStyle name="표준 8 11 2 3 3 5" xfId="19380"/>
    <cellStyle name="표준 8 11 2 3 4 2" xfId="19381"/>
    <cellStyle name="표준 8 11 2 3 5" xfId="19382"/>
    <cellStyle name="표준 8 11 2 3 5 2" xfId="19383"/>
    <cellStyle name="표준 8 11 2 3 6" xfId="19384"/>
    <cellStyle name="표준 8 11 2 3 7" xfId="19385"/>
    <cellStyle name="표준 8 11 2 4 2 2" xfId="19386"/>
    <cellStyle name="표준 8 11 2 4 3" xfId="19387"/>
    <cellStyle name="표준 8 11 2 4 3 2" xfId="19388"/>
    <cellStyle name="표준 8 11 2 4 4" xfId="19389"/>
    <cellStyle name="표준 8 11 2 4 5" xfId="19390"/>
    <cellStyle name="표준 8 11 2 5 2 2" xfId="19391"/>
    <cellStyle name="표준 8 11 2 5 3" xfId="19392"/>
    <cellStyle name="표준 8 11 2 5 3 2" xfId="19393"/>
    <cellStyle name="표준 8 11 2 5 4" xfId="19394"/>
    <cellStyle name="표준 8 11 2 5 5" xfId="19395"/>
    <cellStyle name="표준 8 11 2 6 2" xfId="19396"/>
    <cellStyle name="표준 8 11 2 7" xfId="19397"/>
    <cellStyle name="표준 8 11 2 7 2" xfId="19398"/>
    <cellStyle name="표준 8 11 2 8" xfId="19399"/>
    <cellStyle name="표준 8 11 2 9" xfId="19400"/>
    <cellStyle name="표준 8 11 3 2 2 2 2" xfId="19401"/>
    <cellStyle name="표준 8 11 3 2 2 3" xfId="19402"/>
    <cellStyle name="표준 8 11 3 2 2 3 2" xfId="19403"/>
    <cellStyle name="표준 8 11 3 2 2 4" xfId="19404"/>
    <cellStyle name="표준 8 11 3 2 2 5" xfId="19405"/>
    <cellStyle name="표준 8 11 3 2 3 2 2" xfId="19406"/>
    <cellStyle name="표준 8 11 3 2 3 3" xfId="19407"/>
    <cellStyle name="표준 8 11 3 2 3 3 2" xfId="19408"/>
    <cellStyle name="표준 8 11 3 2 3 4" xfId="19409"/>
    <cellStyle name="표준 8 11 3 2 3 5" xfId="19410"/>
    <cellStyle name="표준 8 11 3 2 4 2" xfId="19411"/>
    <cellStyle name="표준 8 11 3 2 5" xfId="19412"/>
    <cellStyle name="표준 8 11 3 2 5 2" xfId="19413"/>
    <cellStyle name="표준 8 11 3 2 6" xfId="19414"/>
    <cellStyle name="표준 8 11 3 2 7" xfId="19415"/>
    <cellStyle name="표준 8 11 3 3 2 2" xfId="19416"/>
    <cellStyle name="표준 8 11 3 3 3" xfId="19417"/>
    <cellStyle name="표준 8 11 3 3 3 2" xfId="19418"/>
    <cellStyle name="표준 8 11 3 3 4" xfId="19419"/>
    <cellStyle name="표준 8 11 3 3 5" xfId="19420"/>
    <cellStyle name="표준 8 11 3 4 2 2" xfId="19421"/>
    <cellStyle name="표준 8 11 3 4 3" xfId="19422"/>
    <cellStyle name="표준 8 11 3 4 3 2" xfId="19423"/>
    <cellStyle name="표준 8 11 3 4 4" xfId="19424"/>
    <cellStyle name="표준 8 11 3 4 5" xfId="19425"/>
    <cellStyle name="표준 8 11 3 5 2" xfId="19426"/>
    <cellStyle name="표준 8 11 3 6" xfId="19427"/>
    <cellStyle name="표준 8 11 3 6 2" xfId="19428"/>
    <cellStyle name="표준 8 11 3 7" xfId="19429"/>
    <cellStyle name="표준 8 11 3 8" xfId="19430"/>
    <cellStyle name="표준 8 11 4 2 2 2" xfId="19431"/>
    <cellStyle name="표준 8 11 4 2 3" xfId="19432"/>
    <cellStyle name="표준 8 11 4 2 3 2" xfId="19433"/>
    <cellStyle name="표준 8 11 4 2 4" xfId="19434"/>
    <cellStyle name="표준 8 11 4 2 5" xfId="19435"/>
    <cellStyle name="표준 8 11 4 3 2 2" xfId="19436"/>
    <cellStyle name="표준 8 11 4 3 3" xfId="19437"/>
    <cellStyle name="표준 8 11 4 3 3 2" xfId="19438"/>
    <cellStyle name="표준 8 11 4 3 4" xfId="19439"/>
    <cellStyle name="표준 8 11 4 3 5" xfId="19440"/>
    <cellStyle name="표준 8 11 4 4 2" xfId="19441"/>
    <cellStyle name="표준 8 11 4 5" xfId="19442"/>
    <cellStyle name="표준 8 11 4 5 2" xfId="19443"/>
    <cellStyle name="표준 8 11 4 6" xfId="19444"/>
    <cellStyle name="표준 8 11 4 7" xfId="19445"/>
    <cellStyle name="표준 8 11 5 2 2" xfId="19446"/>
    <cellStyle name="표준 8 11 5 3" xfId="19447"/>
    <cellStyle name="표준 8 11 5 3 2" xfId="19448"/>
    <cellStyle name="표준 8 11 5 4" xfId="19449"/>
    <cellStyle name="표준 8 11 5 5" xfId="19450"/>
    <cellStyle name="표준 8 11 6 2 2" xfId="19451"/>
    <cellStyle name="표준 8 11 6 3" xfId="19452"/>
    <cellStyle name="표준 8 11 6 3 2" xfId="19453"/>
    <cellStyle name="표준 8 11 6 4" xfId="19454"/>
    <cellStyle name="표준 8 11 6 5" xfId="19455"/>
    <cellStyle name="표준 8 11 7 2" xfId="19456"/>
    <cellStyle name="표준 8 11 8" xfId="19457"/>
    <cellStyle name="표준 8 11 8 2" xfId="19458"/>
    <cellStyle name="표준 8 11 9" xfId="19459"/>
    <cellStyle name="표준 8 12 10" xfId="19460"/>
    <cellStyle name="표준 8 12 2 2 2 2 2 2" xfId="19461"/>
    <cellStyle name="표준 8 12 2 2 2 2 3" xfId="19462"/>
    <cellStyle name="표준 8 12 2 2 2 2 3 2" xfId="19463"/>
    <cellStyle name="표준 8 12 2 2 2 2 4" xfId="19464"/>
    <cellStyle name="표준 8 12 2 2 2 2 5" xfId="19465"/>
    <cellStyle name="표준 8 12 2 2 2 3 2 2" xfId="19466"/>
    <cellStyle name="표준 8 12 2 2 2 3 3" xfId="19467"/>
    <cellStyle name="표준 8 12 2 2 2 3 3 2" xfId="19468"/>
    <cellStyle name="표준 8 12 2 2 2 3 4" xfId="19469"/>
    <cellStyle name="표준 8 12 2 2 2 3 5" xfId="19470"/>
    <cellStyle name="표준 8 12 2 2 2 4 2" xfId="19471"/>
    <cellStyle name="표준 8 12 2 2 2 5" xfId="19472"/>
    <cellStyle name="표준 8 12 2 2 2 5 2" xfId="19473"/>
    <cellStyle name="표준 8 12 2 2 2 6" xfId="19474"/>
    <cellStyle name="표준 8 12 2 2 2 7" xfId="19475"/>
    <cellStyle name="표준 8 12 2 2 3 2 2" xfId="19476"/>
    <cellStyle name="표준 8 12 2 2 3 3" xfId="19477"/>
    <cellStyle name="표준 8 12 2 2 3 3 2" xfId="19478"/>
    <cellStyle name="표준 8 12 2 2 3 4" xfId="19479"/>
    <cellStyle name="표준 8 12 2 2 3 5" xfId="19480"/>
    <cellStyle name="표준 8 12 2 2 4 2 2" xfId="19481"/>
    <cellStyle name="표준 8 12 2 2 4 3" xfId="19482"/>
    <cellStyle name="표준 8 12 2 2 4 3 2" xfId="19483"/>
    <cellStyle name="표준 8 12 2 2 4 4" xfId="19484"/>
    <cellStyle name="표준 8 12 2 2 4 5" xfId="19485"/>
    <cellStyle name="표준 8 12 2 2 5 2" xfId="19486"/>
    <cellStyle name="표준 8 12 2 2 6" xfId="19487"/>
    <cellStyle name="표준 8 12 2 2 6 2" xfId="19488"/>
    <cellStyle name="표준 8 12 2 2 7" xfId="19489"/>
    <cellStyle name="표준 8 12 2 2 8" xfId="19490"/>
    <cellStyle name="표준 8 12 2 3 2 2 2" xfId="19491"/>
    <cellStyle name="표준 8 12 2 3 2 3" xfId="19492"/>
    <cellStyle name="표준 8 12 2 3 2 3 2" xfId="19493"/>
    <cellStyle name="표준 8 12 2 3 2 4" xfId="19494"/>
    <cellStyle name="표준 8 12 2 3 2 5" xfId="19495"/>
    <cellStyle name="표준 8 12 2 3 3 2 2" xfId="19496"/>
    <cellStyle name="표준 8 12 2 3 3 3" xfId="19497"/>
    <cellStyle name="표준 8 12 2 3 3 3 2" xfId="19498"/>
    <cellStyle name="표준 8 12 2 3 3 4" xfId="19499"/>
    <cellStyle name="표준 8 12 2 3 3 5" xfId="19500"/>
    <cellStyle name="표준 8 12 2 3 4 2" xfId="19501"/>
    <cellStyle name="표준 8 12 2 3 5" xfId="19502"/>
    <cellStyle name="표준 8 12 2 3 5 2" xfId="19503"/>
    <cellStyle name="표준 8 12 2 3 6" xfId="19504"/>
    <cellStyle name="표준 8 12 2 3 7" xfId="19505"/>
    <cellStyle name="표준 8 12 2 4 2 2" xfId="19506"/>
    <cellStyle name="표준 8 12 2 4 3" xfId="19507"/>
    <cellStyle name="표준 8 12 2 4 3 2" xfId="19508"/>
    <cellStyle name="표준 8 12 2 4 4" xfId="19509"/>
    <cellStyle name="표준 8 12 2 4 5" xfId="19510"/>
    <cellStyle name="표준 8 12 2 5 2 2" xfId="19511"/>
    <cellStyle name="표준 8 12 2 5 3" xfId="19512"/>
    <cellStyle name="표준 8 12 2 5 3 2" xfId="19513"/>
    <cellStyle name="표준 8 12 2 5 4" xfId="19514"/>
    <cellStyle name="표준 8 12 2 5 5" xfId="19515"/>
    <cellStyle name="표준 8 12 2 6 2" xfId="19516"/>
    <cellStyle name="표준 8 12 2 7" xfId="19517"/>
    <cellStyle name="표준 8 12 2 7 2" xfId="19518"/>
    <cellStyle name="표준 8 12 2 8" xfId="19519"/>
    <cellStyle name="표준 8 12 2 9" xfId="19520"/>
    <cellStyle name="표준 8 12 3 2 2 2 2" xfId="19521"/>
    <cellStyle name="표준 8 12 3 2 2 3" xfId="19522"/>
    <cellStyle name="표준 8 12 3 2 2 3 2" xfId="19523"/>
    <cellStyle name="표준 8 12 3 2 2 4" xfId="19524"/>
    <cellStyle name="표준 8 12 3 2 2 5" xfId="19525"/>
    <cellStyle name="표준 8 12 3 2 3 2 2" xfId="19526"/>
    <cellStyle name="표준 8 12 3 2 3 3" xfId="19527"/>
    <cellStyle name="표준 8 12 3 2 3 3 2" xfId="19528"/>
    <cellStyle name="표준 8 12 3 2 3 4" xfId="19529"/>
    <cellStyle name="표준 8 12 3 2 3 5" xfId="19530"/>
    <cellStyle name="표준 8 12 3 2 4 2" xfId="19531"/>
    <cellStyle name="표준 8 12 3 2 5" xfId="19532"/>
    <cellStyle name="표준 8 12 3 2 5 2" xfId="19533"/>
    <cellStyle name="표준 8 12 3 2 6" xfId="19534"/>
    <cellStyle name="표준 8 12 3 2 7" xfId="19535"/>
    <cellStyle name="표준 8 12 3 3 2 2" xfId="19536"/>
    <cellStyle name="표준 8 12 3 3 3" xfId="19537"/>
    <cellStyle name="표준 8 12 3 3 3 2" xfId="19538"/>
    <cellStyle name="표준 8 12 3 3 4" xfId="19539"/>
    <cellStyle name="표준 8 12 3 3 5" xfId="19540"/>
    <cellStyle name="표준 8 12 3 4 2 2" xfId="19541"/>
    <cellStyle name="표준 8 12 3 4 3" xfId="19542"/>
    <cellStyle name="표준 8 12 3 4 3 2" xfId="19543"/>
    <cellStyle name="표준 8 12 3 4 4" xfId="19544"/>
    <cellStyle name="표준 8 12 3 4 5" xfId="19545"/>
    <cellStyle name="표준 8 12 3 5 2" xfId="19546"/>
    <cellStyle name="표준 8 12 3 6" xfId="19547"/>
    <cellStyle name="표준 8 12 3 6 2" xfId="19548"/>
    <cellStyle name="표준 8 12 3 7" xfId="19549"/>
    <cellStyle name="표준 8 12 3 8" xfId="19550"/>
    <cellStyle name="표준 8 12 4 2 2 2" xfId="19551"/>
    <cellStyle name="표준 8 12 4 2 3" xfId="19552"/>
    <cellStyle name="표준 8 12 4 2 3 2" xfId="19553"/>
    <cellStyle name="표준 8 12 4 2 4" xfId="19554"/>
    <cellStyle name="표준 8 12 4 2 5" xfId="19555"/>
    <cellStyle name="표준 8 12 4 3 2 2" xfId="19556"/>
    <cellStyle name="표준 8 12 4 3 3" xfId="19557"/>
    <cellStyle name="표준 8 12 4 3 3 2" xfId="19558"/>
    <cellStyle name="표준 8 12 4 3 4" xfId="19559"/>
    <cellStyle name="표준 8 12 4 3 5" xfId="19560"/>
    <cellStyle name="표준 8 12 4 4 2" xfId="19561"/>
    <cellStyle name="표준 8 12 4 5" xfId="19562"/>
    <cellStyle name="표준 8 12 4 5 2" xfId="19563"/>
    <cellStyle name="표준 8 12 4 6" xfId="19564"/>
    <cellStyle name="표준 8 12 4 7" xfId="19565"/>
    <cellStyle name="표준 8 12 5 2 2" xfId="19566"/>
    <cellStyle name="표준 8 12 5 3" xfId="19567"/>
    <cellStyle name="표준 8 12 5 3 2" xfId="19568"/>
    <cellStyle name="표준 8 12 5 4" xfId="19569"/>
    <cellStyle name="표준 8 12 5 5" xfId="19570"/>
    <cellStyle name="표준 8 12 6 2 2" xfId="19571"/>
    <cellStyle name="표준 8 12 6 3" xfId="19572"/>
    <cellStyle name="표준 8 12 6 3 2" xfId="19573"/>
    <cellStyle name="표준 8 12 6 4" xfId="19574"/>
    <cellStyle name="표준 8 12 6 5" xfId="19575"/>
    <cellStyle name="표준 8 12 7 2" xfId="19576"/>
    <cellStyle name="표준 8 12 8" xfId="19577"/>
    <cellStyle name="표준 8 12 8 2" xfId="19578"/>
    <cellStyle name="표준 8 12 9" xfId="19579"/>
    <cellStyle name="표준 8 14 2 2 2 2 2" xfId="19580"/>
    <cellStyle name="표준 8 14 2 2 2 3" xfId="19581"/>
    <cellStyle name="표준 8 14 2 2 2 3 2" xfId="19582"/>
    <cellStyle name="표준 8 14 2 2 2 4" xfId="19583"/>
    <cellStyle name="표준 8 14 2 2 2 5" xfId="19584"/>
    <cellStyle name="표준 8 14 2 2 3 2 2" xfId="19585"/>
    <cellStyle name="표준 8 14 2 2 3 3" xfId="19586"/>
    <cellStyle name="표준 8 14 2 2 3 3 2" xfId="19587"/>
    <cellStyle name="표준 8 14 2 2 3 4" xfId="19588"/>
    <cellStyle name="표준 8 14 2 2 3 5" xfId="19589"/>
    <cellStyle name="표준 8 14 2 2 4 2" xfId="19590"/>
    <cellStyle name="표준 8 14 2 2 5" xfId="19591"/>
    <cellStyle name="표준 8 14 2 2 5 2" xfId="19592"/>
    <cellStyle name="표준 8 14 2 2 6" xfId="19593"/>
    <cellStyle name="표준 8 14 2 2 7" xfId="19594"/>
    <cellStyle name="표준 8 14 2 3 2 2" xfId="19595"/>
    <cellStyle name="표준 8 14 2 3 3" xfId="19596"/>
    <cellStyle name="표준 8 14 2 3 3 2" xfId="19597"/>
    <cellStyle name="표준 8 14 2 3 4" xfId="19598"/>
    <cellStyle name="표준 8 14 2 3 5" xfId="19599"/>
    <cellStyle name="표준 8 14 2 4 2 2" xfId="19600"/>
    <cellStyle name="표준 8 14 2 4 3" xfId="19601"/>
    <cellStyle name="표준 8 14 2 4 3 2" xfId="19602"/>
    <cellStyle name="표준 8 14 2 4 4" xfId="19603"/>
    <cellStyle name="표준 8 14 2 4 5" xfId="19604"/>
    <cellStyle name="표준 8 14 2 5 2" xfId="19605"/>
    <cellStyle name="표준 8 14 2 6" xfId="19606"/>
    <cellStyle name="표준 8 14 2 6 2" xfId="19607"/>
    <cellStyle name="표준 8 14 2 7" xfId="19608"/>
    <cellStyle name="표준 8 14 2 8" xfId="19609"/>
    <cellStyle name="표준 8 14 3 2 2 2" xfId="19610"/>
    <cellStyle name="표준 8 14 3 2 3" xfId="19611"/>
    <cellStyle name="표준 8 14 3 2 3 2" xfId="19612"/>
    <cellStyle name="표준 8 14 3 2 4" xfId="19613"/>
    <cellStyle name="표준 8 14 3 2 5" xfId="19614"/>
    <cellStyle name="표준 8 14 3 3 2 2" xfId="19615"/>
    <cellStyle name="표준 8 14 3 3 3" xfId="19616"/>
    <cellStyle name="표준 8 14 3 3 3 2" xfId="19617"/>
    <cellStyle name="표준 8 14 3 3 4" xfId="19618"/>
    <cellStyle name="표준 8 14 3 3 5" xfId="19619"/>
    <cellStyle name="표준 8 14 3 4 2" xfId="19620"/>
    <cellStyle name="표준 8 14 3 5" xfId="19621"/>
    <cellStyle name="표준 8 14 3 5 2" xfId="19622"/>
    <cellStyle name="표준 8 14 3 6" xfId="19623"/>
    <cellStyle name="표준 8 14 3 7" xfId="19624"/>
    <cellStyle name="표준 8 14 4 2 2" xfId="19625"/>
    <cellStyle name="표준 8 14 4 3" xfId="19626"/>
    <cellStyle name="표준 8 14 4 3 2" xfId="19627"/>
    <cellStyle name="표준 8 14 4 4" xfId="19628"/>
    <cellStyle name="표준 8 14 4 5" xfId="19629"/>
    <cellStyle name="표준 8 14 5 2 2" xfId="19630"/>
    <cellStyle name="표준 8 14 5 3" xfId="19631"/>
    <cellStyle name="표준 8 14 5 3 2" xfId="19632"/>
    <cellStyle name="표준 8 14 5 4" xfId="19633"/>
    <cellStyle name="표준 8 14 5 5" xfId="19634"/>
    <cellStyle name="표준 8 14 6 2" xfId="19635"/>
    <cellStyle name="표준 8 14 7" xfId="19636"/>
    <cellStyle name="표준 8 14 7 2" xfId="19637"/>
    <cellStyle name="표준 8 14 8" xfId="19638"/>
    <cellStyle name="표준 8 14 9" xfId="19639"/>
    <cellStyle name="표준 8 15 2 2 2 2" xfId="19640"/>
    <cellStyle name="표준 8 15 2 2 3" xfId="19641"/>
    <cellStyle name="표준 8 15 2 2 3 2" xfId="19642"/>
    <cellStyle name="표준 8 15 2 2 4" xfId="19643"/>
    <cellStyle name="표준 8 15 2 2 5" xfId="19644"/>
    <cellStyle name="표준 8 15 2 3 2 2" xfId="19645"/>
    <cellStyle name="표준 8 15 2 3 3" xfId="19646"/>
    <cellStyle name="표준 8 15 2 3 3 2" xfId="19647"/>
    <cellStyle name="표준 8 15 2 3 4" xfId="19648"/>
    <cellStyle name="표준 8 15 2 3 5" xfId="19649"/>
    <cellStyle name="표준 8 15 2 4 2" xfId="19650"/>
    <cellStyle name="표준 8 15 2 5" xfId="19651"/>
    <cellStyle name="표준 8 15 2 5 2" xfId="19652"/>
    <cellStyle name="표준 8 15 2 6" xfId="19653"/>
    <cellStyle name="표준 8 15 2 7" xfId="19654"/>
    <cellStyle name="표준 8 15 3 2 2" xfId="19655"/>
    <cellStyle name="표준 8 15 3 3" xfId="19656"/>
    <cellStyle name="표준 8 15 3 3 2" xfId="19657"/>
    <cellStyle name="표준 8 15 3 4" xfId="19658"/>
    <cellStyle name="표준 8 15 3 5" xfId="19659"/>
    <cellStyle name="표준 8 15 4 2 2" xfId="19660"/>
    <cellStyle name="표준 8 15 4 3" xfId="19661"/>
    <cellStyle name="표준 8 15 4 3 2" xfId="19662"/>
    <cellStyle name="표준 8 15 4 4" xfId="19663"/>
    <cellStyle name="표준 8 15 4 5" xfId="19664"/>
    <cellStyle name="표준 8 15 5 2" xfId="19665"/>
    <cellStyle name="표준 8 15 6" xfId="19666"/>
    <cellStyle name="표준 8 15 6 2" xfId="19667"/>
    <cellStyle name="표준 8 15 7" xfId="19668"/>
    <cellStyle name="표준 8 15 8" xfId="19669"/>
    <cellStyle name="표준 8 16 2 2 2" xfId="19670"/>
    <cellStyle name="표준 8 16 2 3" xfId="19671"/>
    <cellStyle name="표준 8 16 2 3 2" xfId="19672"/>
    <cellStyle name="표준 8 16 2 4" xfId="19673"/>
    <cellStyle name="표준 8 16 2 5" xfId="19674"/>
    <cellStyle name="표준 8 16 3 2 2" xfId="19675"/>
    <cellStyle name="표준 8 16 3 3" xfId="19676"/>
    <cellStyle name="표준 8 16 3 3 2" xfId="19677"/>
    <cellStyle name="표준 8 16 3 4" xfId="19678"/>
    <cellStyle name="표준 8 16 3 5" xfId="19679"/>
    <cellStyle name="표준 8 16 4 2" xfId="19680"/>
    <cellStyle name="표준 8 16 5" xfId="19681"/>
    <cellStyle name="표준 8 16 5 2" xfId="19682"/>
    <cellStyle name="표준 8 16 6" xfId="19683"/>
    <cellStyle name="표준 8 16 7" xfId="19684"/>
    <cellStyle name="표준 8 17 2 2" xfId="19685"/>
    <cellStyle name="표준 8 17 3" xfId="19686"/>
    <cellStyle name="표준 8 17 3 2" xfId="19687"/>
    <cellStyle name="표준 8 17 4" xfId="19688"/>
    <cellStyle name="표준 8 17 5" xfId="19689"/>
    <cellStyle name="표준 8 18 2 2" xfId="19690"/>
    <cellStyle name="표준 8 18 3" xfId="19691"/>
    <cellStyle name="표준 8 18 3 2" xfId="19692"/>
    <cellStyle name="표준 8 18 4" xfId="19693"/>
    <cellStyle name="표준 8 18 5" xfId="19694"/>
    <cellStyle name="표준 8 19 2" xfId="19695"/>
    <cellStyle name="표준 8 2 10 2" xfId="19696"/>
    <cellStyle name="표준 8 2 11" xfId="19697"/>
    <cellStyle name="표준 8 2 11 2" xfId="19698"/>
    <cellStyle name="표준 8 2 12" xfId="19699"/>
    <cellStyle name="표준 8 2 13" xfId="19700"/>
    <cellStyle name="표준 8 2 2 10" xfId="19701"/>
    <cellStyle name="표준 8 2 2 2 2 2 2 2 2" xfId="19702"/>
    <cellStyle name="표준 8 2 2 2 2 2 2 3" xfId="19703"/>
    <cellStyle name="표준 8 2 2 2 2 2 2 3 2" xfId="19704"/>
    <cellStyle name="표준 8 2 2 2 2 2 2 4" xfId="19705"/>
    <cellStyle name="표준 8 2 2 2 2 2 2 5" xfId="19706"/>
    <cellStyle name="표준 8 2 2 2 2 2 3 2 2" xfId="19707"/>
    <cellStyle name="표준 8 2 2 2 2 2 3 3" xfId="19708"/>
    <cellStyle name="표준 8 2 2 2 2 2 3 3 2" xfId="19709"/>
    <cellStyle name="표준 8 2 2 2 2 2 3 4" xfId="19710"/>
    <cellStyle name="표준 8 2 2 2 2 2 3 5" xfId="19711"/>
    <cellStyle name="표준 8 2 2 2 2 2 4 2" xfId="19712"/>
    <cellStyle name="표준 8 2 2 2 2 2 5" xfId="19713"/>
    <cellStyle name="표준 8 2 2 2 2 2 5 2" xfId="19714"/>
    <cellStyle name="표준 8 2 2 2 2 2 6" xfId="19715"/>
    <cellStyle name="표준 8 2 2 2 2 2 7" xfId="19716"/>
    <cellStyle name="표준 8 2 2 2 2 3 2 2" xfId="19717"/>
    <cellStyle name="표준 8 2 2 2 2 3 3" xfId="19718"/>
    <cellStyle name="표준 8 2 2 2 2 3 3 2" xfId="19719"/>
    <cellStyle name="표준 8 2 2 2 2 3 4" xfId="19720"/>
    <cellStyle name="표준 8 2 2 2 2 3 5" xfId="19721"/>
    <cellStyle name="표준 8 2 2 2 2 4 2 2" xfId="19722"/>
    <cellStyle name="표준 8 2 2 2 2 4 3" xfId="19723"/>
    <cellStyle name="표준 8 2 2 2 2 4 3 2" xfId="19724"/>
    <cellStyle name="표준 8 2 2 2 2 4 4" xfId="19725"/>
    <cellStyle name="표준 8 2 2 2 2 4 5" xfId="19726"/>
    <cellStyle name="표준 8 2 2 2 2 5 2" xfId="19727"/>
    <cellStyle name="표준 8 2 2 2 2 6" xfId="19728"/>
    <cellStyle name="표준 8 2 2 2 2 6 2" xfId="19729"/>
    <cellStyle name="표준 8 2 2 2 2 7" xfId="19730"/>
    <cellStyle name="표준 8 2 2 2 2 8" xfId="19731"/>
    <cellStyle name="표준 8 2 2 2 3 2 2 2" xfId="19732"/>
    <cellStyle name="표준 8 2 2 2 3 2 3" xfId="19733"/>
    <cellStyle name="표준 8 2 2 2 3 2 3 2" xfId="19734"/>
    <cellStyle name="표준 8 2 2 2 3 2 4" xfId="19735"/>
    <cellStyle name="표준 8 2 2 2 3 2 5" xfId="19736"/>
    <cellStyle name="표준 8 2 2 2 3 3 2 2" xfId="19737"/>
    <cellStyle name="표준 8 2 2 2 3 3 3" xfId="19738"/>
    <cellStyle name="표준 8 2 2 2 3 3 3 2" xfId="19739"/>
    <cellStyle name="표준 8 2 2 2 3 3 4" xfId="19740"/>
    <cellStyle name="표준 8 2 2 2 3 3 5" xfId="19741"/>
    <cellStyle name="표준 8 2 2 2 3 4 2" xfId="19742"/>
    <cellStyle name="표준 8 2 2 2 3 5" xfId="19743"/>
    <cellStyle name="표준 8 2 2 2 3 5 2" xfId="19744"/>
    <cellStyle name="표준 8 2 2 2 3 6" xfId="19745"/>
    <cellStyle name="표준 8 2 2 2 3 7" xfId="19746"/>
    <cellStyle name="표준 8 2 2 2 4 2 2" xfId="19747"/>
    <cellStyle name="표준 8 2 2 2 4 3" xfId="19748"/>
    <cellStyle name="표준 8 2 2 2 4 3 2" xfId="19749"/>
    <cellStyle name="표준 8 2 2 2 4 4" xfId="19750"/>
    <cellStyle name="표준 8 2 2 2 4 5" xfId="19751"/>
    <cellStyle name="표준 8 2 2 2 5 2 2" xfId="19752"/>
    <cellStyle name="표준 8 2 2 2 5 3" xfId="19753"/>
    <cellStyle name="표준 8 2 2 2 5 3 2" xfId="19754"/>
    <cellStyle name="표준 8 2 2 2 5 4" xfId="19755"/>
    <cellStyle name="표준 8 2 2 2 5 5" xfId="19756"/>
    <cellStyle name="표준 8 2 2 2 6 2" xfId="19757"/>
    <cellStyle name="표준 8 2 2 2 7" xfId="19758"/>
    <cellStyle name="표준 8 2 2 2 7 2" xfId="19759"/>
    <cellStyle name="표준 8 2 2 2 8" xfId="19760"/>
    <cellStyle name="표준 8 2 2 2 9" xfId="19761"/>
    <cellStyle name="표준 8 2 2 3 2 2 2 2" xfId="19762"/>
    <cellStyle name="표준 8 2 2 3 2 2 3" xfId="19763"/>
    <cellStyle name="표준 8 2 2 3 2 2 3 2" xfId="19764"/>
    <cellStyle name="표준 8 2 2 3 2 2 4" xfId="19765"/>
    <cellStyle name="표준 8 2 2 3 2 2 5" xfId="19766"/>
    <cellStyle name="표준 8 2 2 3 2 3 2 2" xfId="19767"/>
    <cellStyle name="표준 8 2 2 3 2 3 3" xfId="19768"/>
    <cellStyle name="표준 8 2 2 3 2 3 3 2" xfId="19769"/>
    <cellStyle name="표준 8 2 2 3 2 3 4" xfId="19770"/>
    <cellStyle name="표준 8 2 2 3 2 3 5" xfId="19771"/>
    <cellStyle name="표준 8 2 2 3 2 4 2" xfId="19772"/>
    <cellStyle name="표준 8 2 2 3 2 5" xfId="19773"/>
    <cellStyle name="표준 8 2 2 3 2 5 2" xfId="19774"/>
    <cellStyle name="표준 8 2 2 3 2 6" xfId="19775"/>
    <cellStyle name="표준 8 2 2 3 2 7" xfId="19776"/>
    <cellStyle name="표준 8 2 2 3 3 2 2" xfId="19777"/>
    <cellStyle name="표준 8 2 2 3 3 3" xfId="19778"/>
    <cellStyle name="표준 8 2 2 3 3 3 2" xfId="19779"/>
    <cellStyle name="표준 8 2 2 3 3 4" xfId="19780"/>
    <cellStyle name="표준 8 2 2 3 3 5" xfId="19781"/>
    <cellStyle name="표준 8 2 2 3 4 2 2" xfId="19782"/>
    <cellStyle name="표준 8 2 2 3 4 3" xfId="19783"/>
    <cellStyle name="표준 8 2 2 3 4 3 2" xfId="19784"/>
    <cellStyle name="표준 8 2 2 3 4 4" xfId="19785"/>
    <cellStyle name="표준 8 2 2 3 4 5" xfId="19786"/>
    <cellStyle name="표준 8 2 2 3 5 2" xfId="19787"/>
    <cellStyle name="표준 8 2 2 3 6" xfId="19788"/>
    <cellStyle name="표준 8 2 2 3 6 2" xfId="19789"/>
    <cellStyle name="표준 8 2 2 3 7" xfId="19790"/>
    <cellStyle name="표준 8 2 2 3 8" xfId="19791"/>
    <cellStyle name="표준 8 2 2 4 2 2 2" xfId="19792"/>
    <cellStyle name="표준 8 2 2 4 2 3" xfId="19793"/>
    <cellStyle name="표준 8 2 2 4 2 3 2" xfId="19794"/>
    <cellStyle name="표준 8 2 2 4 2 4" xfId="19795"/>
    <cellStyle name="표준 8 2 2 4 2 5" xfId="19796"/>
    <cellStyle name="표준 8 2 2 4 3 2 2" xfId="19797"/>
    <cellStyle name="표준 8 2 2 4 3 3" xfId="19798"/>
    <cellStyle name="표준 8 2 2 4 3 3 2" xfId="19799"/>
    <cellStyle name="표준 8 2 2 4 3 4" xfId="19800"/>
    <cellStyle name="표준 8 2 2 4 3 5" xfId="19801"/>
    <cellStyle name="표준 8 2 2 4 4 2" xfId="19802"/>
    <cellStyle name="표준 8 2 2 4 5" xfId="19803"/>
    <cellStyle name="표준 8 2 2 4 5 2" xfId="19804"/>
    <cellStyle name="표준 8 2 2 4 6" xfId="19805"/>
    <cellStyle name="표준 8 2 2 4 7" xfId="19806"/>
    <cellStyle name="표준 8 2 2 5 2 2" xfId="19807"/>
    <cellStyle name="표준 8 2 2 5 3" xfId="19808"/>
    <cellStyle name="표준 8 2 2 5 3 2" xfId="19809"/>
    <cellStyle name="표준 8 2 2 5 4" xfId="19810"/>
    <cellStyle name="표준 8 2 2 5 5" xfId="19811"/>
    <cellStyle name="표준 8 2 2 6 2 2" xfId="19812"/>
    <cellStyle name="표준 8 2 2 6 3" xfId="19813"/>
    <cellStyle name="표준 8 2 2 6 3 2" xfId="19814"/>
    <cellStyle name="표준 8 2 2 6 4" xfId="19815"/>
    <cellStyle name="표준 8 2 2 6 5" xfId="19816"/>
    <cellStyle name="표준 8 2 2 7 2" xfId="19817"/>
    <cellStyle name="표준 8 2 2 8" xfId="19818"/>
    <cellStyle name="표준 8 2 2 8 2" xfId="19819"/>
    <cellStyle name="표준 8 2 2 9" xfId="19820"/>
    <cellStyle name="표준 8 2 3 10" xfId="19821"/>
    <cellStyle name="표준 8 2 3 2 2 2 2 2 2" xfId="19822"/>
    <cellStyle name="표준 8 2 3 2 2 2 2 3" xfId="19823"/>
    <cellStyle name="표준 8 2 3 2 2 2 2 3 2" xfId="19824"/>
    <cellStyle name="표준 8 2 3 2 2 2 2 4" xfId="19825"/>
    <cellStyle name="표준 8 2 3 2 2 2 2 5" xfId="19826"/>
    <cellStyle name="표준 8 2 3 2 2 2 3 2 2" xfId="19827"/>
    <cellStyle name="표준 8 2 3 2 2 2 3 3" xfId="19828"/>
    <cellStyle name="표준 8 2 3 2 2 2 3 3 2" xfId="19829"/>
    <cellStyle name="표준 8 2 3 2 2 2 3 4" xfId="19830"/>
    <cellStyle name="표준 8 2 3 2 2 2 3 5" xfId="19831"/>
    <cellStyle name="표준 8 2 3 2 2 2 4 2" xfId="19832"/>
    <cellStyle name="표준 8 2 3 2 2 2 5" xfId="19833"/>
    <cellStyle name="표준 8 2 3 2 2 2 5 2" xfId="19834"/>
    <cellStyle name="표준 8 2 3 2 2 2 6" xfId="19835"/>
    <cellStyle name="표준 8 2 3 2 2 2 7" xfId="19836"/>
    <cellStyle name="표준 8 2 3 2 2 3 2 2" xfId="19837"/>
    <cellStyle name="표준 8 2 3 2 2 3 3" xfId="19838"/>
    <cellStyle name="표준 8 2 3 2 2 3 3 2" xfId="19839"/>
    <cellStyle name="표준 8 2 3 2 2 3 4" xfId="19840"/>
    <cellStyle name="표준 8 2 3 2 2 3 5" xfId="19841"/>
    <cellStyle name="표준 8 2 3 2 2 4 2 2" xfId="19842"/>
    <cellStyle name="표준 8 2 3 2 2 4 3" xfId="19843"/>
    <cellStyle name="표준 8 2 3 2 2 4 3 2" xfId="19844"/>
    <cellStyle name="표준 8 2 3 2 2 4 4" xfId="19845"/>
    <cellStyle name="표준 8 2 3 2 2 4 5" xfId="19846"/>
    <cellStyle name="표준 8 2 3 2 2 5 2" xfId="19847"/>
    <cellStyle name="표준 8 2 3 2 2 6" xfId="19848"/>
    <cellStyle name="표준 8 2 3 2 2 6 2" xfId="19849"/>
    <cellStyle name="표준 8 2 3 2 2 7" xfId="19850"/>
    <cellStyle name="표준 8 2 3 2 2 8" xfId="19851"/>
    <cellStyle name="표준 8 2 3 2 3 2 2 2" xfId="19852"/>
    <cellStyle name="표준 8 2 3 2 3 2 3" xfId="19853"/>
    <cellStyle name="표준 8 2 3 2 3 2 3 2" xfId="19854"/>
    <cellStyle name="표준 8 2 3 2 3 2 4" xfId="19855"/>
    <cellStyle name="표준 8 2 3 2 3 2 5" xfId="19856"/>
    <cellStyle name="표준 8 2 3 2 3 3 2 2" xfId="19857"/>
    <cellStyle name="표준 8 2 3 2 3 3 3" xfId="19858"/>
    <cellStyle name="표준 8 2 3 2 3 3 3 2" xfId="19859"/>
    <cellStyle name="표준 8 2 3 2 3 3 4" xfId="19860"/>
    <cellStyle name="표준 8 2 3 2 3 3 5" xfId="19861"/>
    <cellStyle name="표준 8 2 3 2 3 4 2" xfId="19862"/>
    <cellStyle name="표준 8 2 3 2 3 5" xfId="19863"/>
    <cellStyle name="표준 8 2 3 2 3 5 2" xfId="19864"/>
    <cellStyle name="표준 8 2 3 2 3 6" xfId="19865"/>
    <cellStyle name="표준 8 2 3 2 3 7" xfId="19866"/>
    <cellStyle name="표준 8 2 3 2 4 2 2" xfId="19867"/>
    <cellStyle name="표준 8 2 3 2 4 3" xfId="19868"/>
    <cellStyle name="표준 8 2 3 2 4 3 2" xfId="19869"/>
    <cellStyle name="표준 8 2 3 2 4 4" xfId="19870"/>
    <cellStyle name="표준 8 2 3 2 4 5" xfId="19871"/>
    <cellStyle name="표준 8 2 3 2 5 2 2" xfId="19872"/>
    <cellStyle name="표준 8 2 3 2 5 3" xfId="19873"/>
    <cellStyle name="표준 8 2 3 2 5 3 2" xfId="19874"/>
    <cellStyle name="표준 8 2 3 2 5 4" xfId="19875"/>
    <cellStyle name="표준 8 2 3 2 5 5" xfId="19876"/>
    <cellStyle name="표준 8 2 3 2 6 2" xfId="19877"/>
    <cellStyle name="표준 8 2 3 2 7" xfId="19878"/>
    <cellStyle name="표준 8 2 3 2 7 2" xfId="19879"/>
    <cellStyle name="표준 8 2 3 2 8" xfId="19880"/>
    <cellStyle name="표준 8 2 3 2 9" xfId="19881"/>
    <cellStyle name="표준 8 2 3 3 2 2 2 2" xfId="19882"/>
    <cellStyle name="표준 8 2 3 3 2 2 3" xfId="19883"/>
    <cellStyle name="표준 8 2 3 3 2 2 3 2" xfId="19884"/>
    <cellStyle name="표준 8 2 3 3 2 2 4" xfId="19885"/>
    <cellStyle name="표준 8 2 3 3 2 2 5" xfId="19886"/>
    <cellStyle name="표준 8 2 3 3 2 3 2 2" xfId="19887"/>
    <cellStyle name="표준 8 2 3 3 2 3 3" xfId="19888"/>
    <cellStyle name="표준 8 2 3 3 2 3 3 2" xfId="19889"/>
    <cellStyle name="표준 8 2 3 3 2 3 4" xfId="19890"/>
    <cellStyle name="표준 8 2 3 3 2 3 5" xfId="19891"/>
    <cellStyle name="표준 8 2 3 3 2 4 2" xfId="19892"/>
    <cellStyle name="표준 8 2 3 3 2 5" xfId="19893"/>
    <cellStyle name="표준 8 2 3 3 2 5 2" xfId="19894"/>
    <cellStyle name="표준 8 2 3 3 2 6" xfId="19895"/>
    <cellStyle name="표준 8 2 3 3 2 7" xfId="19896"/>
    <cellStyle name="표준 8 2 3 3 3 2 2" xfId="19897"/>
    <cellStyle name="표준 8 2 3 3 3 3" xfId="19898"/>
    <cellStyle name="표준 8 2 3 3 3 3 2" xfId="19899"/>
    <cellStyle name="표준 8 2 3 3 3 4" xfId="19900"/>
    <cellStyle name="표준 8 2 3 3 3 5" xfId="19901"/>
    <cellStyle name="표준 8 2 3 3 4 2 2" xfId="19902"/>
    <cellStyle name="표준 8 2 3 3 4 3" xfId="19903"/>
    <cellStyle name="표준 8 2 3 3 4 3 2" xfId="19904"/>
    <cellStyle name="표준 8 2 3 3 4 4" xfId="19905"/>
    <cellStyle name="표준 8 2 3 3 4 5" xfId="19906"/>
    <cellStyle name="표준 8 2 3 3 5 2" xfId="19907"/>
    <cellStyle name="표준 8 2 3 3 6" xfId="19908"/>
    <cellStyle name="표준 8 2 3 3 6 2" xfId="19909"/>
    <cellStyle name="표준 8 2 3 3 7" xfId="19910"/>
    <cellStyle name="표준 8 2 3 3 8" xfId="19911"/>
    <cellStyle name="표준 8 2 3 4 2 2 2" xfId="19912"/>
    <cellStyle name="표준 8 2 3 4 2 3" xfId="19913"/>
    <cellStyle name="표준 8 2 3 4 2 3 2" xfId="19914"/>
    <cellStyle name="표준 8 2 3 4 2 4" xfId="19915"/>
    <cellStyle name="표준 8 2 3 4 2 5" xfId="19916"/>
    <cellStyle name="표준 8 2 3 4 3 2 2" xfId="19917"/>
    <cellStyle name="표준 8 2 3 4 3 3" xfId="19918"/>
    <cellStyle name="표준 8 2 3 4 3 3 2" xfId="19919"/>
    <cellStyle name="표준 8 2 3 4 3 4" xfId="19920"/>
    <cellStyle name="표준 8 2 3 4 3 5" xfId="19921"/>
    <cellStyle name="표준 8 2 3 4 4 2" xfId="19922"/>
    <cellStyle name="표준 8 2 3 4 5" xfId="19923"/>
    <cellStyle name="표준 8 2 3 4 5 2" xfId="19924"/>
    <cellStyle name="표준 8 2 3 4 6" xfId="19925"/>
    <cellStyle name="표준 8 2 3 4 7" xfId="19926"/>
    <cellStyle name="표준 8 2 3 5 2 2" xfId="19927"/>
    <cellStyle name="표준 8 2 3 5 3" xfId="19928"/>
    <cellStyle name="표준 8 2 3 5 3 2" xfId="19929"/>
    <cellStyle name="표준 8 2 3 5 4" xfId="19930"/>
    <cellStyle name="표준 8 2 3 5 5" xfId="19931"/>
    <cellStyle name="표준 8 2 3 6 2 2" xfId="19932"/>
    <cellStyle name="표준 8 2 3 6 3" xfId="19933"/>
    <cellStyle name="표준 8 2 3 6 3 2" xfId="19934"/>
    <cellStyle name="표준 8 2 3 6 4" xfId="19935"/>
    <cellStyle name="표준 8 2 3 6 5" xfId="19936"/>
    <cellStyle name="표준 8 2 3 7 2" xfId="19937"/>
    <cellStyle name="표준 8 2 3 8" xfId="19938"/>
    <cellStyle name="표준 8 2 3 8 2" xfId="19939"/>
    <cellStyle name="표준 8 2 3 9" xfId="19940"/>
    <cellStyle name="표준 8 2 4 10" xfId="19941"/>
    <cellStyle name="표준 8 2 4 2 2 2 2 2 2" xfId="19942"/>
    <cellStyle name="표준 8 2 4 2 2 2 2 3" xfId="19943"/>
    <cellStyle name="표준 8 2 4 2 2 2 2 3 2" xfId="19944"/>
    <cellStyle name="표준 8 2 4 2 2 2 2 4" xfId="19945"/>
    <cellStyle name="표준 8 2 4 2 2 2 2 5" xfId="19946"/>
    <cellStyle name="표준 8 2 4 2 2 2 3 2 2" xfId="19947"/>
    <cellStyle name="표준 8 2 4 2 2 2 3 3" xfId="19948"/>
    <cellStyle name="표준 8 2 4 2 2 2 3 3 2" xfId="19949"/>
    <cellStyle name="표준 8 2 4 2 2 2 3 4" xfId="19950"/>
    <cellStyle name="표준 8 2 4 2 2 2 3 5" xfId="19951"/>
    <cellStyle name="표준 8 2 4 2 2 2 4 2" xfId="19952"/>
    <cellStyle name="표준 8 2 4 2 2 2 5" xfId="19953"/>
    <cellStyle name="표준 8 2 4 2 2 2 5 2" xfId="19954"/>
    <cellStyle name="표준 8 2 4 2 2 2 6" xfId="19955"/>
    <cellStyle name="표준 8 2 4 2 2 2 7" xfId="19956"/>
    <cellStyle name="표준 8 2 4 2 2 3 2 2" xfId="19957"/>
    <cellStyle name="표준 8 2 4 2 2 3 3" xfId="19958"/>
    <cellStyle name="표준 8 2 4 2 2 3 3 2" xfId="19959"/>
    <cellStyle name="표준 8 2 4 2 2 3 4" xfId="19960"/>
    <cellStyle name="표준 8 2 4 2 2 3 5" xfId="19961"/>
    <cellStyle name="표준 8 2 4 2 2 4 2 2" xfId="19962"/>
    <cellStyle name="표준 8 2 4 2 2 4 3" xfId="19963"/>
    <cellStyle name="표준 8 2 4 2 2 4 3 2" xfId="19964"/>
    <cellStyle name="표준 8 2 4 2 2 4 4" xfId="19965"/>
    <cellStyle name="표준 8 2 4 2 2 4 5" xfId="19966"/>
    <cellStyle name="표준 8 2 4 2 2 5 2" xfId="19967"/>
    <cellStyle name="표준 8 2 4 2 2 6" xfId="19968"/>
    <cellStyle name="표준 8 2 4 2 2 6 2" xfId="19969"/>
    <cellStyle name="표준 8 2 4 2 2 7" xfId="19970"/>
    <cellStyle name="표준 8 2 4 2 2 8" xfId="19971"/>
    <cellStyle name="표준 8 2 4 2 3 2 2 2" xfId="19972"/>
    <cellStyle name="표준 8 2 4 2 3 2 3" xfId="19973"/>
    <cellStyle name="표준 8 2 4 2 3 2 3 2" xfId="19974"/>
    <cellStyle name="표준 8 2 4 2 3 2 4" xfId="19975"/>
    <cellStyle name="표준 8 2 4 2 3 2 5" xfId="19976"/>
    <cellStyle name="표준 8 2 4 2 3 3 2 2" xfId="19977"/>
    <cellStyle name="표준 8 2 4 2 3 3 3" xfId="19978"/>
    <cellStyle name="표준 8 2 4 2 3 3 3 2" xfId="19979"/>
    <cellStyle name="표준 8 2 4 2 3 3 4" xfId="19980"/>
    <cellStyle name="표준 8 2 4 2 3 3 5" xfId="19981"/>
    <cellStyle name="표준 8 2 4 2 3 4 2" xfId="19982"/>
    <cellStyle name="표준 8 2 4 2 3 5" xfId="19983"/>
    <cellStyle name="표준 8 2 4 2 3 5 2" xfId="19984"/>
    <cellStyle name="표준 8 2 4 2 3 6" xfId="19985"/>
    <cellStyle name="표준 8 2 4 2 3 7" xfId="19986"/>
    <cellStyle name="표준 8 2 4 2 4 2 2" xfId="19987"/>
    <cellStyle name="표준 8 2 4 2 4 3" xfId="19988"/>
    <cellStyle name="표준 8 2 4 2 4 3 2" xfId="19989"/>
    <cellStyle name="표준 8 2 4 2 4 4" xfId="19990"/>
    <cellStyle name="표준 8 2 4 2 4 5" xfId="19991"/>
    <cellStyle name="표준 8 2 4 2 5 2 2" xfId="19992"/>
    <cellStyle name="표준 8 2 4 2 5 3" xfId="19993"/>
    <cellStyle name="표준 8 2 4 2 5 3 2" xfId="19994"/>
    <cellStyle name="표준 8 2 4 2 5 4" xfId="19995"/>
    <cellStyle name="표준 8 2 4 2 5 5" xfId="19996"/>
    <cellStyle name="표준 8 2 4 2 6 2" xfId="19997"/>
    <cellStyle name="표준 8 2 4 2 7" xfId="19998"/>
    <cellStyle name="표준 8 2 4 2 7 2" xfId="19999"/>
    <cellStyle name="표준 8 2 4 2 8" xfId="20000"/>
    <cellStyle name="표준 8 2 4 2 9" xfId="20001"/>
    <cellStyle name="표준 8 2 4 3 2 2 2 2" xfId="20002"/>
    <cellStyle name="표준 8 2 4 3 2 2 3" xfId="20003"/>
    <cellStyle name="표준 8 2 4 3 2 2 3 2" xfId="20004"/>
    <cellStyle name="표준 8 2 4 3 2 2 4" xfId="20005"/>
    <cellStyle name="표준 8 2 4 3 2 2 5" xfId="20006"/>
    <cellStyle name="표준 8 2 4 3 2 3 2 2" xfId="20007"/>
    <cellStyle name="표준 8 2 4 3 2 3 3" xfId="20008"/>
    <cellStyle name="표준 8 2 4 3 2 3 3 2" xfId="20009"/>
    <cellStyle name="표준 8 2 4 3 2 3 4" xfId="20010"/>
    <cellStyle name="표준 8 2 4 3 2 3 5" xfId="20011"/>
    <cellStyle name="표준 8 2 4 3 2 4 2" xfId="20012"/>
    <cellStyle name="표준 8 2 4 3 2 5" xfId="20013"/>
    <cellStyle name="표준 8 2 4 3 2 5 2" xfId="20014"/>
    <cellStyle name="표준 8 2 4 3 2 6" xfId="20015"/>
    <cellStyle name="표준 8 2 4 3 2 7" xfId="20016"/>
    <cellStyle name="표준 8 2 4 3 3 2 2" xfId="20017"/>
    <cellStyle name="표준 8 2 4 3 3 3" xfId="20018"/>
    <cellStyle name="표준 8 2 4 3 3 3 2" xfId="20019"/>
    <cellStyle name="표준 8 2 4 3 3 4" xfId="20020"/>
    <cellStyle name="표준 8 2 4 3 3 5" xfId="20021"/>
    <cellStyle name="표준 8 2 4 3 4 2 2" xfId="20022"/>
    <cellStyle name="표준 8 2 4 3 4 3" xfId="20023"/>
    <cellStyle name="표준 8 2 4 3 4 3 2" xfId="20024"/>
    <cellStyle name="표준 8 2 4 3 4 4" xfId="20025"/>
    <cellStyle name="표준 8 2 4 3 4 5" xfId="20026"/>
    <cellStyle name="표준 8 2 4 3 5 2" xfId="20027"/>
    <cellStyle name="표준 8 2 4 3 6" xfId="20028"/>
    <cellStyle name="표준 8 2 4 3 6 2" xfId="20029"/>
    <cellStyle name="표준 8 2 4 3 7" xfId="20030"/>
    <cellStyle name="표준 8 2 4 3 8" xfId="20031"/>
    <cellStyle name="표준 8 2 4 4 2 2 2" xfId="20032"/>
    <cellStyle name="표준 8 2 4 4 2 3" xfId="20033"/>
    <cellStyle name="표준 8 2 4 4 2 3 2" xfId="20034"/>
    <cellStyle name="표준 8 2 4 4 2 4" xfId="20035"/>
    <cellStyle name="표준 8 2 4 4 2 5" xfId="20036"/>
    <cellStyle name="표준 8 2 4 4 3 2 2" xfId="20037"/>
    <cellStyle name="표준 8 2 4 4 3 3" xfId="20038"/>
    <cellStyle name="표준 8 2 4 4 3 3 2" xfId="20039"/>
    <cellStyle name="표준 8 2 4 4 3 4" xfId="20040"/>
    <cellStyle name="표준 8 2 4 4 3 5" xfId="20041"/>
    <cellStyle name="표준 8 2 4 4 4 2" xfId="20042"/>
    <cellStyle name="표준 8 2 4 4 5" xfId="20043"/>
    <cellStyle name="표준 8 2 4 4 5 2" xfId="20044"/>
    <cellStyle name="표준 8 2 4 4 6" xfId="20045"/>
    <cellStyle name="표준 8 2 4 4 7" xfId="20046"/>
    <cellStyle name="표준 8 2 4 5 2 2" xfId="20047"/>
    <cellStyle name="표준 8 2 4 5 3" xfId="20048"/>
    <cellStyle name="표준 8 2 4 5 3 2" xfId="20049"/>
    <cellStyle name="표준 8 2 4 5 4" xfId="20050"/>
    <cellStyle name="표준 8 2 4 5 5" xfId="20051"/>
    <cellStyle name="표준 8 2 4 6 2 2" xfId="20052"/>
    <cellStyle name="표준 8 2 4 6 3" xfId="20053"/>
    <cellStyle name="표준 8 2 4 6 3 2" xfId="20054"/>
    <cellStyle name="표준 8 2 4 6 4" xfId="20055"/>
    <cellStyle name="표준 8 2 4 6 5" xfId="20056"/>
    <cellStyle name="표준 8 2 4 7 2" xfId="20057"/>
    <cellStyle name="표준 8 2 4 8" xfId="20058"/>
    <cellStyle name="표준 8 2 4 8 2" xfId="20059"/>
    <cellStyle name="표준 8 2 4 9" xfId="20060"/>
    <cellStyle name="표준 8 2 5 2 2 2 2 2" xfId="20061"/>
    <cellStyle name="표준 8 2 5 2 2 2 3" xfId="20062"/>
    <cellStyle name="표준 8 2 5 2 2 2 3 2" xfId="20063"/>
    <cellStyle name="표준 8 2 5 2 2 2 4" xfId="20064"/>
    <cellStyle name="표준 8 2 5 2 2 2 5" xfId="20065"/>
    <cellStyle name="표준 8 2 5 2 2 3 2 2" xfId="20066"/>
    <cellStyle name="표준 8 2 5 2 2 3 3" xfId="20067"/>
    <cellStyle name="표준 8 2 5 2 2 3 3 2" xfId="20068"/>
    <cellStyle name="표준 8 2 5 2 2 3 4" xfId="20069"/>
    <cellStyle name="표준 8 2 5 2 2 3 5" xfId="20070"/>
    <cellStyle name="표준 8 2 5 2 2 4 2" xfId="20071"/>
    <cellStyle name="표준 8 2 5 2 2 5" xfId="20072"/>
    <cellStyle name="표준 8 2 5 2 2 5 2" xfId="20073"/>
    <cellStyle name="표준 8 2 5 2 2 6" xfId="20074"/>
    <cellStyle name="표준 8 2 5 2 2 7" xfId="20075"/>
    <cellStyle name="표준 8 2 5 2 3 2 2" xfId="20076"/>
    <cellStyle name="표준 8 2 5 2 3 3" xfId="20077"/>
    <cellStyle name="표준 8 2 5 2 3 3 2" xfId="20078"/>
    <cellStyle name="표준 8 2 5 2 3 4" xfId="20079"/>
    <cellStyle name="표준 8 2 5 2 3 5" xfId="20080"/>
    <cellStyle name="표준 8 2 5 2 4 2 2" xfId="20081"/>
    <cellStyle name="표준 8 2 5 2 4 3" xfId="20082"/>
    <cellStyle name="표준 8 2 5 2 4 3 2" xfId="20083"/>
    <cellStyle name="표준 8 2 5 2 4 4" xfId="20084"/>
    <cellStyle name="표준 8 2 5 2 4 5" xfId="20085"/>
    <cellStyle name="표준 8 2 5 2 5 2" xfId="20086"/>
    <cellStyle name="표준 8 2 5 2 6" xfId="20087"/>
    <cellStyle name="표준 8 2 5 2 6 2" xfId="20088"/>
    <cellStyle name="표준 8 2 5 2 7" xfId="20089"/>
    <cellStyle name="표준 8 2 5 2 8" xfId="20090"/>
    <cellStyle name="표준 8 2 5 3 2 2 2" xfId="20091"/>
    <cellStyle name="표준 8 2 5 3 2 3" xfId="20092"/>
    <cellStyle name="표준 8 2 5 3 2 3 2" xfId="20093"/>
    <cellStyle name="표준 8 2 5 3 2 4" xfId="20094"/>
    <cellStyle name="표준 8 2 5 3 2 5" xfId="20095"/>
    <cellStyle name="표준 8 2 5 3 3 2 2" xfId="20096"/>
    <cellStyle name="표준 8 2 5 3 3 3" xfId="20097"/>
    <cellStyle name="표준 8 2 5 3 3 3 2" xfId="20098"/>
    <cellStyle name="표준 8 2 5 3 3 4" xfId="20099"/>
    <cellStyle name="표준 8 2 5 3 3 5" xfId="20100"/>
    <cellStyle name="표준 8 2 5 3 4 2" xfId="20101"/>
    <cellStyle name="표준 8 2 5 3 5" xfId="20102"/>
    <cellStyle name="표준 8 2 5 3 5 2" xfId="20103"/>
    <cellStyle name="표준 8 2 5 3 6" xfId="20104"/>
    <cellStyle name="표준 8 2 5 3 7" xfId="20105"/>
    <cellStyle name="표준 8 2 5 4 2 2" xfId="20106"/>
    <cellStyle name="표준 8 2 5 4 3" xfId="20107"/>
    <cellStyle name="표준 8 2 5 4 3 2" xfId="20108"/>
    <cellStyle name="표준 8 2 5 4 4" xfId="20109"/>
    <cellStyle name="표준 8 2 5 4 5" xfId="20110"/>
    <cellStyle name="표준 8 2 5 5 2 2" xfId="20111"/>
    <cellStyle name="표준 8 2 5 5 3" xfId="20112"/>
    <cellStyle name="표준 8 2 5 5 3 2" xfId="20113"/>
    <cellStyle name="표준 8 2 5 5 4" xfId="20114"/>
    <cellStyle name="표준 8 2 5 5 5" xfId="20115"/>
    <cellStyle name="표준 8 2 5 6 2" xfId="20116"/>
    <cellStyle name="표준 8 2 5 7" xfId="20117"/>
    <cellStyle name="표준 8 2 5 7 2" xfId="20118"/>
    <cellStyle name="표준 8 2 5 8" xfId="20119"/>
    <cellStyle name="표준 8 2 5 9" xfId="20120"/>
    <cellStyle name="표준 8 2 6 2 2 2 2" xfId="20121"/>
    <cellStyle name="표준 8 2 6 2 2 3" xfId="20122"/>
    <cellStyle name="표준 8 2 6 2 2 3 2" xfId="20123"/>
    <cellStyle name="표준 8 2 6 2 2 4" xfId="20124"/>
    <cellStyle name="표준 8 2 6 2 2 5" xfId="20125"/>
    <cellStyle name="표준 8 2 6 2 3 2 2" xfId="20126"/>
    <cellStyle name="표준 8 2 6 2 3 3" xfId="20127"/>
    <cellStyle name="표준 8 2 6 2 3 3 2" xfId="20128"/>
    <cellStyle name="표준 8 2 6 2 3 4" xfId="20129"/>
    <cellStyle name="표준 8 2 6 2 3 5" xfId="20130"/>
    <cellStyle name="표준 8 2 6 2 4 2" xfId="20131"/>
    <cellStyle name="표준 8 2 6 2 5" xfId="20132"/>
    <cellStyle name="표준 8 2 6 2 5 2" xfId="20133"/>
    <cellStyle name="표준 8 2 6 2 6" xfId="20134"/>
    <cellStyle name="표준 8 2 6 2 7" xfId="20135"/>
    <cellStyle name="표준 8 2 6 3 2 2" xfId="20136"/>
    <cellStyle name="표준 8 2 6 3 3" xfId="20137"/>
    <cellStyle name="표준 8 2 6 3 3 2" xfId="20138"/>
    <cellStyle name="표준 8 2 6 3 4" xfId="20139"/>
    <cellStyle name="표준 8 2 6 3 5" xfId="20140"/>
    <cellStyle name="표준 8 2 6 4 2 2" xfId="20141"/>
    <cellStyle name="표준 8 2 6 4 3" xfId="20142"/>
    <cellStyle name="표준 8 2 6 4 3 2" xfId="20143"/>
    <cellStyle name="표준 8 2 6 4 4" xfId="20144"/>
    <cellStyle name="표준 8 2 6 4 5" xfId="20145"/>
    <cellStyle name="표준 8 2 6 5 2" xfId="20146"/>
    <cellStyle name="표준 8 2 6 6" xfId="20147"/>
    <cellStyle name="표준 8 2 6 6 2" xfId="20148"/>
    <cellStyle name="표준 8 2 6 7" xfId="20149"/>
    <cellStyle name="표준 8 2 6 8" xfId="20150"/>
    <cellStyle name="표준 8 2 7 2 2 2" xfId="20151"/>
    <cellStyle name="표준 8 2 7 2 3" xfId="20152"/>
    <cellStyle name="표준 8 2 7 2 3 2" xfId="20153"/>
    <cellStyle name="표준 8 2 7 2 4" xfId="20154"/>
    <cellStyle name="표준 8 2 7 2 5" xfId="20155"/>
    <cellStyle name="표준 8 2 7 3 2 2" xfId="20156"/>
    <cellStyle name="표준 8 2 7 3 3" xfId="20157"/>
    <cellStyle name="표준 8 2 7 3 3 2" xfId="20158"/>
    <cellStyle name="표준 8 2 7 3 4" xfId="20159"/>
    <cellStyle name="표준 8 2 7 3 5" xfId="20160"/>
    <cellStyle name="표준 8 2 7 4 2" xfId="20161"/>
    <cellStyle name="표준 8 2 7 5" xfId="20162"/>
    <cellStyle name="표준 8 2 7 5 2" xfId="20163"/>
    <cellStyle name="표준 8 2 7 6" xfId="20164"/>
    <cellStyle name="표준 8 2 7 7" xfId="20165"/>
    <cellStyle name="표준 8 2 8 2 2" xfId="20166"/>
    <cellStyle name="표준 8 2 8 3" xfId="20167"/>
    <cellStyle name="표준 8 2 8 3 2" xfId="20168"/>
    <cellStyle name="표준 8 2 8 4" xfId="20169"/>
    <cellStyle name="표준 8 2 8 5" xfId="20170"/>
    <cellStyle name="표준 8 2 9 2 2" xfId="20171"/>
    <cellStyle name="표준 8 2 9 3" xfId="20172"/>
    <cellStyle name="표준 8 2 9 3 2" xfId="20173"/>
    <cellStyle name="표준 8 2 9 4" xfId="20174"/>
    <cellStyle name="표준 8 2 9 5" xfId="20175"/>
    <cellStyle name="표준 8 20" xfId="20176"/>
    <cellStyle name="표준 8 20 2" xfId="20177"/>
    <cellStyle name="표준 8 21" xfId="20178"/>
    <cellStyle name="표준 8 22" xfId="20179"/>
    <cellStyle name="표준 8 4 10 2" xfId="20180"/>
    <cellStyle name="표준 8 4 11" xfId="20181"/>
    <cellStyle name="표준 8 4 11 2" xfId="20182"/>
    <cellStyle name="표준 8 4 12" xfId="20183"/>
    <cellStyle name="표준 8 4 13" xfId="20184"/>
    <cellStyle name="표준 8 4 2 10" xfId="20185"/>
    <cellStyle name="표준 8 4 2 2 2 2 2 2 2" xfId="20186"/>
    <cellStyle name="표준 8 4 2 2 2 2 2 3" xfId="20187"/>
    <cellStyle name="표준 8 4 2 2 2 2 2 3 2" xfId="20188"/>
    <cellStyle name="표준 8 4 2 2 2 2 2 4" xfId="20189"/>
    <cellStyle name="표준 8 4 2 2 2 2 2 5" xfId="20190"/>
    <cellStyle name="표준 8 4 2 2 2 2 3 2 2" xfId="20191"/>
    <cellStyle name="표준 8 4 2 2 2 2 3 3" xfId="20192"/>
    <cellStyle name="표준 8 4 2 2 2 2 3 3 2" xfId="20193"/>
    <cellStyle name="표준 8 4 2 2 2 2 3 4" xfId="20194"/>
    <cellStyle name="표준 8 4 2 2 2 2 3 5" xfId="20195"/>
    <cellStyle name="표준 8 4 2 2 2 2 4 2" xfId="20196"/>
    <cellStyle name="표준 8 4 2 2 2 2 5" xfId="20197"/>
    <cellStyle name="표준 8 4 2 2 2 2 5 2" xfId="20198"/>
    <cellStyle name="표준 8 4 2 2 2 2 6" xfId="20199"/>
    <cellStyle name="표준 8 4 2 2 2 2 7" xfId="20200"/>
    <cellStyle name="표준 8 4 2 2 2 3 2 2" xfId="20201"/>
    <cellStyle name="표준 8 4 2 2 2 3 3" xfId="20202"/>
    <cellStyle name="표준 8 4 2 2 2 3 3 2" xfId="20203"/>
    <cellStyle name="표준 8 4 2 2 2 3 4" xfId="20204"/>
    <cellStyle name="표준 8 4 2 2 2 3 5" xfId="20205"/>
    <cellStyle name="표준 8 4 2 2 2 4 2 2" xfId="20206"/>
    <cellStyle name="표준 8 4 2 2 2 4 3" xfId="20207"/>
    <cellStyle name="표준 8 4 2 2 2 4 3 2" xfId="20208"/>
    <cellStyle name="표준 8 4 2 2 2 4 4" xfId="20209"/>
    <cellStyle name="표준 8 4 2 2 2 4 5" xfId="20210"/>
    <cellStyle name="표준 8 4 2 2 2 5 2" xfId="20211"/>
    <cellStyle name="표준 8 4 2 2 2 6" xfId="20212"/>
    <cellStyle name="표준 8 4 2 2 2 6 2" xfId="20213"/>
    <cellStyle name="표준 8 4 2 2 2 7" xfId="20214"/>
    <cellStyle name="표준 8 4 2 2 2 8" xfId="20215"/>
    <cellStyle name="표준 8 4 2 2 3 2 2 2" xfId="20216"/>
    <cellStyle name="표준 8 4 2 2 3 2 3" xfId="20217"/>
    <cellStyle name="표준 8 4 2 2 3 2 3 2" xfId="20218"/>
    <cellStyle name="표준 8 4 2 2 3 2 4" xfId="20219"/>
    <cellStyle name="표준 8 4 2 2 3 2 5" xfId="20220"/>
    <cellStyle name="표준 8 4 2 2 3 3 2 2" xfId="20221"/>
    <cellStyle name="표준 8 4 2 2 3 3 3" xfId="20222"/>
    <cellStyle name="표준 8 4 2 2 3 3 3 2" xfId="20223"/>
    <cellStyle name="표준 8 4 2 2 3 3 4" xfId="20224"/>
    <cellStyle name="표준 8 4 2 2 3 3 5" xfId="20225"/>
    <cellStyle name="표준 8 4 2 2 3 4 2" xfId="20226"/>
    <cellStyle name="표준 8 4 2 2 3 5" xfId="20227"/>
    <cellStyle name="표준 8 4 2 2 3 5 2" xfId="20228"/>
    <cellStyle name="표준 8 4 2 2 3 6" xfId="20229"/>
    <cellStyle name="표준 8 4 2 2 3 7" xfId="20230"/>
    <cellStyle name="표준 8 4 2 2 4 2 2" xfId="20231"/>
    <cellStyle name="표준 8 4 2 2 4 3" xfId="20232"/>
    <cellStyle name="표준 8 4 2 2 4 3 2" xfId="20233"/>
    <cellStyle name="표준 8 4 2 2 4 4" xfId="20234"/>
    <cellStyle name="표준 8 4 2 2 4 5" xfId="20235"/>
    <cellStyle name="표준 8 4 2 2 5 2 2" xfId="20236"/>
    <cellStyle name="표준 8 4 2 2 5 3" xfId="20237"/>
    <cellStyle name="표준 8 4 2 2 5 3 2" xfId="20238"/>
    <cellStyle name="표준 8 4 2 2 5 4" xfId="20239"/>
    <cellStyle name="표준 8 4 2 2 5 5" xfId="20240"/>
    <cellStyle name="표준 8 4 2 2 6 2" xfId="20241"/>
    <cellStyle name="표준 8 4 2 2 7" xfId="20242"/>
    <cellStyle name="표준 8 4 2 2 7 2" xfId="20243"/>
    <cellStyle name="표준 8 4 2 2 8" xfId="20244"/>
    <cellStyle name="표준 8 4 2 2 9" xfId="20245"/>
    <cellStyle name="표준 8 4 2 3 2 2 2 2" xfId="20246"/>
    <cellStyle name="표준 8 4 2 3 2 2 3" xfId="20247"/>
    <cellStyle name="표준 8 4 2 3 2 2 3 2" xfId="20248"/>
    <cellStyle name="표준 8 4 2 3 2 2 4" xfId="20249"/>
    <cellStyle name="표준 8 4 2 3 2 2 5" xfId="20250"/>
    <cellStyle name="표준 8 4 2 3 2 3 2 2" xfId="20251"/>
    <cellStyle name="표준 8 4 2 3 2 3 3" xfId="20252"/>
    <cellStyle name="표준 8 4 2 3 2 3 3 2" xfId="20253"/>
    <cellStyle name="표준 8 4 2 3 2 3 4" xfId="20254"/>
    <cellStyle name="표준 8 4 2 3 2 3 5" xfId="20255"/>
    <cellStyle name="표준 8 4 2 3 2 4 2" xfId="20256"/>
    <cellStyle name="표준 8 4 2 3 2 5" xfId="20257"/>
    <cellStyle name="표준 8 4 2 3 2 5 2" xfId="20258"/>
    <cellStyle name="표준 8 4 2 3 2 6" xfId="20259"/>
    <cellStyle name="표준 8 4 2 3 2 7" xfId="20260"/>
    <cellStyle name="표준 8 4 2 3 3 2 2" xfId="20261"/>
    <cellStyle name="표준 8 4 2 3 3 3" xfId="20262"/>
    <cellStyle name="표준 8 4 2 3 3 3 2" xfId="20263"/>
    <cellStyle name="표준 8 4 2 3 3 4" xfId="20264"/>
    <cellStyle name="표준 8 4 2 3 3 5" xfId="20265"/>
    <cellStyle name="표준 8 4 2 3 4 2 2" xfId="20266"/>
    <cellStyle name="표준 8 4 2 3 4 3" xfId="20267"/>
    <cellStyle name="표준 8 4 2 3 4 3 2" xfId="20268"/>
    <cellStyle name="표준 8 4 2 3 4 4" xfId="20269"/>
    <cellStyle name="표준 8 4 2 3 4 5" xfId="20270"/>
    <cellStyle name="표준 8 4 2 3 5 2" xfId="20271"/>
    <cellStyle name="표준 8 4 2 3 6" xfId="20272"/>
    <cellStyle name="표준 8 4 2 3 6 2" xfId="20273"/>
    <cellStyle name="표준 8 4 2 3 7" xfId="20274"/>
    <cellStyle name="표준 8 4 2 3 8" xfId="20275"/>
    <cellStyle name="표준 8 4 2 4 2 2 2" xfId="20276"/>
    <cellStyle name="표준 8 4 2 4 2 3" xfId="20277"/>
    <cellStyle name="표준 8 4 2 4 2 3 2" xfId="20278"/>
    <cellStyle name="표준 8 4 2 4 2 4" xfId="20279"/>
    <cellStyle name="표준 8 4 2 4 2 5" xfId="20280"/>
    <cellStyle name="표준 8 4 2 4 3 2 2" xfId="20281"/>
    <cellStyle name="표준 8 4 2 4 3 3" xfId="20282"/>
    <cellStyle name="표준 8 4 2 4 3 3 2" xfId="20283"/>
    <cellStyle name="표준 8 4 2 4 3 4" xfId="20284"/>
    <cellStyle name="표준 8 4 2 4 3 5" xfId="20285"/>
    <cellStyle name="표준 8 4 2 4 4 2" xfId="20286"/>
    <cellStyle name="표준 8 4 2 4 5" xfId="20287"/>
    <cellStyle name="표준 8 4 2 4 5 2" xfId="20288"/>
    <cellStyle name="표준 8 4 2 4 6" xfId="20289"/>
    <cellStyle name="표준 8 4 2 4 7" xfId="20290"/>
    <cellStyle name="표준 8 4 2 5 2 2" xfId="20291"/>
    <cellStyle name="표준 8 4 2 5 3" xfId="20292"/>
    <cellStyle name="표준 8 4 2 5 3 2" xfId="20293"/>
    <cellStyle name="표준 8 4 2 5 4" xfId="20294"/>
    <cellStyle name="표준 8 4 2 5 5" xfId="20295"/>
    <cellStyle name="표준 8 4 2 6 2 2" xfId="20296"/>
    <cellStyle name="표준 8 4 2 6 3" xfId="20297"/>
    <cellStyle name="표준 8 4 2 6 3 2" xfId="20298"/>
    <cellStyle name="표준 8 4 2 6 4" xfId="20299"/>
    <cellStyle name="표준 8 4 2 6 5" xfId="20300"/>
    <cellStyle name="표준 8 4 2 7 2" xfId="20301"/>
    <cellStyle name="표준 8 4 2 8" xfId="20302"/>
    <cellStyle name="표준 8 4 2 8 2" xfId="20303"/>
    <cellStyle name="표준 8 4 2 9" xfId="20304"/>
    <cellStyle name="표준 8 4 3 10" xfId="20305"/>
    <cellStyle name="표준 8 4 3 2 2 2 2 2 2" xfId="20306"/>
    <cellStyle name="표준 8 4 3 2 2 2 2 3" xfId="20307"/>
    <cellStyle name="표준 8 4 3 2 2 2 2 3 2" xfId="20308"/>
    <cellStyle name="표준 8 4 3 2 2 2 2 4" xfId="20309"/>
    <cellStyle name="표준 8 4 3 2 2 2 2 5" xfId="20310"/>
    <cellStyle name="표준 8 4 3 2 2 2 3 2 2" xfId="20311"/>
    <cellStyle name="표준 8 4 3 2 2 2 3 3" xfId="20312"/>
    <cellStyle name="표준 8 4 3 2 2 2 3 3 2" xfId="20313"/>
    <cellStyle name="표준 8 4 3 2 2 2 3 4" xfId="20314"/>
    <cellStyle name="표준 8 4 3 2 2 2 3 5" xfId="20315"/>
    <cellStyle name="표준 8 4 3 2 2 2 4 2" xfId="20316"/>
    <cellStyle name="표준 8 4 3 2 2 2 5" xfId="20317"/>
    <cellStyle name="표준 8 4 3 2 2 2 5 2" xfId="20318"/>
    <cellStyle name="표준 8 4 3 2 2 2 6" xfId="20319"/>
    <cellStyle name="표준 8 4 3 2 2 2 7" xfId="20320"/>
    <cellStyle name="표준 8 4 3 2 2 3 2 2" xfId="20321"/>
    <cellStyle name="표준 8 4 3 2 2 3 3" xfId="20322"/>
    <cellStyle name="표준 8 4 3 2 2 3 3 2" xfId="20323"/>
    <cellStyle name="표준 8 4 3 2 2 3 4" xfId="20324"/>
    <cellStyle name="표준 8 4 3 2 2 3 5" xfId="20325"/>
    <cellStyle name="표준 8 4 3 2 2 4 2 2" xfId="20326"/>
    <cellStyle name="표준 8 4 3 2 2 4 3" xfId="20327"/>
    <cellStyle name="표준 8 4 3 2 2 4 3 2" xfId="20328"/>
    <cellStyle name="표준 8 4 3 2 2 4 4" xfId="20329"/>
    <cellStyle name="표준 8 4 3 2 2 4 5" xfId="20330"/>
    <cellStyle name="표준 8 4 3 2 2 5 2" xfId="20331"/>
    <cellStyle name="표준 8 4 3 2 2 6" xfId="20332"/>
    <cellStyle name="표준 8 4 3 2 2 6 2" xfId="20333"/>
    <cellStyle name="표준 8 4 3 2 2 7" xfId="20334"/>
    <cellStyle name="표준 8 4 3 2 2 8" xfId="20335"/>
    <cellStyle name="표준 8 4 3 2 3 2 2 2" xfId="20336"/>
    <cellStyle name="표준 8 4 3 2 3 2 3" xfId="20337"/>
    <cellStyle name="표준 8 4 3 2 3 2 3 2" xfId="20338"/>
    <cellStyle name="표준 8 4 3 2 3 2 4" xfId="20339"/>
    <cellStyle name="표준 8 4 3 2 3 2 5" xfId="20340"/>
    <cellStyle name="표준 8 4 3 2 3 3 2 2" xfId="20341"/>
    <cellStyle name="표준 8 4 3 2 3 3 3" xfId="20342"/>
    <cellStyle name="표준 8 4 3 2 3 3 3 2" xfId="20343"/>
    <cellStyle name="표준 8 4 3 2 3 3 4" xfId="20344"/>
    <cellStyle name="표준 8 4 3 2 3 3 5" xfId="20345"/>
    <cellStyle name="표준 8 4 3 2 3 4 2" xfId="20346"/>
    <cellStyle name="표준 8 4 3 2 3 5" xfId="20347"/>
    <cellStyle name="표준 8 4 3 2 3 5 2" xfId="20348"/>
    <cellStyle name="표준 8 4 3 2 3 6" xfId="20349"/>
    <cellStyle name="표준 8 4 3 2 3 7" xfId="20350"/>
    <cellStyle name="표준 8 4 3 2 4 2 2" xfId="20351"/>
    <cellStyle name="표준 8 4 3 2 4 3" xfId="20352"/>
    <cellStyle name="표준 8 4 3 2 4 3 2" xfId="20353"/>
    <cellStyle name="표준 8 4 3 2 4 4" xfId="20354"/>
    <cellStyle name="표준 8 4 3 2 4 5" xfId="20355"/>
    <cellStyle name="표준 8 4 3 2 5 2 2" xfId="20356"/>
    <cellStyle name="표준 8 4 3 2 5 3" xfId="20357"/>
    <cellStyle name="표준 8 4 3 2 5 3 2" xfId="20358"/>
    <cellStyle name="표준 8 4 3 2 5 4" xfId="20359"/>
    <cellStyle name="표준 8 4 3 2 5 5" xfId="20360"/>
    <cellStyle name="표준 8 4 3 2 6 2" xfId="20361"/>
    <cellStyle name="표준 8 4 3 2 7" xfId="20362"/>
    <cellStyle name="표준 8 4 3 2 7 2" xfId="20363"/>
    <cellStyle name="표준 8 4 3 2 8" xfId="20364"/>
    <cellStyle name="표준 8 4 3 2 9" xfId="20365"/>
    <cellStyle name="표준 8 4 3 3 2 2 2 2" xfId="20366"/>
    <cellStyle name="표준 8 4 3 3 2 2 3" xfId="20367"/>
    <cellStyle name="표준 8 4 3 3 2 2 3 2" xfId="20368"/>
    <cellStyle name="표준 8 4 3 3 2 2 4" xfId="20369"/>
    <cellStyle name="표준 8 4 3 3 2 2 5" xfId="20370"/>
    <cellStyle name="표준 8 4 3 3 2 3 2 2" xfId="20371"/>
    <cellStyle name="표준 8 4 3 3 2 3 3" xfId="20372"/>
    <cellStyle name="표준 8 4 3 3 2 3 3 2" xfId="20373"/>
    <cellStyle name="표준 8 4 3 3 2 3 4" xfId="20374"/>
    <cellStyle name="표준 8 4 3 3 2 3 5" xfId="20375"/>
    <cellStyle name="표준 8 4 3 3 2 4 2" xfId="20376"/>
    <cellStyle name="표준 8 4 3 3 2 5" xfId="20377"/>
    <cellStyle name="표준 8 4 3 3 2 5 2" xfId="20378"/>
    <cellStyle name="표준 8 4 3 3 2 6" xfId="20379"/>
    <cellStyle name="표준 8 4 3 3 2 7" xfId="20380"/>
    <cellStyle name="표준 8 4 3 3 3 2 2" xfId="20381"/>
    <cellStyle name="표준 8 4 3 3 3 3" xfId="20382"/>
    <cellStyle name="표준 8 4 3 3 3 3 2" xfId="20383"/>
    <cellStyle name="표준 8 4 3 3 3 4" xfId="20384"/>
    <cellStyle name="표준 8 4 3 3 3 5" xfId="20385"/>
    <cellStyle name="표준 8 4 3 3 4 2 2" xfId="20386"/>
    <cellStyle name="표준 8 4 3 3 4 3" xfId="20387"/>
    <cellStyle name="표준 8 4 3 3 4 3 2" xfId="20388"/>
    <cellStyle name="표준 8 4 3 3 4 4" xfId="20389"/>
    <cellStyle name="표준 8 4 3 3 4 5" xfId="20390"/>
    <cellStyle name="표준 8 4 3 3 5 2" xfId="20391"/>
    <cellStyle name="표준 8 4 3 3 6" xfId="20392"/>
    <cellStyle name="표준 8 4 3 3 6 2" xfId="20393"/>
    <cellStyle name="표준 8 4 3 3 7" xfId="20394"/>
    <cellStyle name="표준 8 4 3 3 8" xfId="20395"/>
    <cellStyle name="표준 8 4 3 4 2 2 2" xfId="20396"/>
    <cellStyle name="표준 8 4 3 4 2 3" xfId="20397"/>
    <cellStyle name="표준 8 4 3 4 2 3 2" xfId="20398"/>
    <cellStyle name="표준 8 4 3 4 2 4" xfId="20399"/>
    <cellStyle name="표준 8 4 3 4 2 5" xfId="20400"/>
    <cellStyle name="표준 8 4 3 4 3 2 2" xfId="20401"/>
    <cellStyle name="표준 8 4 3 4 3 3" xfId="20402"/>
    <cellStyle name="표준 8 4 3 4 3 3 2" xfId="20403"/>
    <cellStyle name="표준 8 4 3 4 3 4" xfId="20404"/>
    <cellStyle name="표준 8 4 3 4 3 5" xfId="20405"/>
    <cellStyle name="표준 8 4 3 4 4 2" xfId="20406"/>
    <cellStyle name="표준 8 4 3 4 5" xfId="20407"/>
    <cellStyle name="표준 8 4 3 4 5 2" xfId="20408"/>
    <cellStyle name="표준 8 4 3 4 6" xfId="20409"/>
    <cellStyle name="표준 8 4 3 4 7" xfId="20410"/>
    <cellStyle name="표준 8 4 3 5 2 2" xfId="20411"/>
    <cellStyle name="표준 8 4 3 5 3" xfId="20412"/>
    <cellStyle name="표준 8 4 3 5 3 2" xfId="20413"/>
    <cellStyle name="표준 8 4 3 5 4" xfId="20414"/>
    <cellStyle name="표준 8 4 3 5 5" xfId="20415"/>
    <cellStyle name="표준 8 4 3 6 2 2" xfId="20416"/>
    <cellStyle name="표준 8 4 3 6 3" xfId="20417"/>
    <cellStyle name="표준 8 4 3 6 3 2" xfId="20418"/>
    <cellStyle name="표준 8 4 3 6 4" xfId="20419"/>
    <cellStyle name="표준 8 4 3 6 5" xfId="20420"/>
    <cellStyle name="표준 8 4 3 7 2" xfId="20421"/>
    <cellStyle name="표준 8 4 3 8" xfId="20422"/>
    <cellStyle name="표준 8 4 3 8 2" xfId="20423"/>
    <cellStyle name="표준 8 4 3 9" xfId="20424"/>
    <cellStyle name="표준 8 4 4 10" xfId="20425"/>
    <cellStyle name="표준 8 4 4 2 2 2 2 2 2" xfId="20426"/>
    <cellStyle name="표준 8 4 4 2 2 2 2 3" xfId="20427"/>
    <cellStyle name="표준 8 4 4 2 2 2 2 3 2" xfId="20428"/>
    <cellStyle name="표준 8 4 4 2 2 2 2 4" xfId="20429"/>
    <cellStyle name="표준 8 4 4 2 2 2 2 5" xfId="20430"/>
    <cellStyle name="표준 8 4 4 2 2 2 3 2 2" xfId="20431"/>
    <cellStyle name="표준 8 4 4 2 2 2 3 3" xfId="20432"/>
    <cellStyle name="표준 8 4 4 2 2 2 3 3 2" xfId="20433"/>
    <cellStyle name="표준 8 4 4 2 2 2 3 4" xfId="20434"/>
    <cellStyle name="표준 8 4 4 2 2 2 3 5" xfId="20435"/>
    <cellStyle name="표준 8 4 4 2 2 2 4 2" xfId="20436"/>
    <cellStyle name="표준 8 4 4 2 2 2 5" xfId="20437"/>
    <cellStyle name="표준 8 4 4 2 2 2 5 2" xfId="20438"/>
    <cellStyle name="표준 8 4 4 2 2 2 6" xfId="20439"/>
    <cellStyle name="표준 8 4 4 2 2 2 7" xfId="20440"/>
    <cellStyle name="표준 8 4 4 2 2 3 2 2" xfId="20441"/>
    <cellStyle name="표준 8 4 4 2 2 3 3" xfId="20442"/>
    <cellStyle name="표준 8 4 4 2 2 3 3 2" xfId="20443"/>
    <cellStyle name="표준 8 4 4 2 2 3 4" xfId="20444"/>
    <cellStyle name="표준 8 4 4 2 2 3 5" xfId="20445"/>
    <cellStyle name="표준 8 4 4 2 2 4 2 2" xfId="20446"/>
    <cellStyle name="표준 8 4 4 2 2 4 3" xfId="20447"/>
    <cellStyle name="표준 8 4 4 2 2 4 3 2" xfId="20448"/>
    <cellStyle name="표준 8 4 4 2 2 4 4" xfId="20449"/>
    <cellStyle name="표준 8 4 4 2 2 4 5" xfId="20450"/>
    <cellStyle name="표준 8 4 4 2 2 5 2" xfId="20451"/>
    <cellStyle name="표준 8 4 4 2 2 6" xfId="20452"/>
    <cellStyle name="표준 8 4 4 2 2 6 2" xfId="20453"/>
    <cellStyle name="표준 8 4 4 2 2 7" xfId="20454"/>
    <cellStyle name="표준 8 4 4 2 2 8" xfId="20455"/>
    <cellStyle name="표준 8 4 4 2 3 2 2 2" xfId="20456"/>
    <cellStyle name="표준 8 4 4 2 3 2 3" xfId="20457"/>
    <cellStyle name="표준 8 4 4 2 3 2 3 2" xfId="20458"/>
    <cellStyle name="표준 8 4 4 2 3 2 4" xfId="20459"/>
    <cellStyle name="표준 8 4 4 2 3 2 5" xfId="20460"/>
    <cellStyle name="표준 8 4 4 2 3 3 2 2" xfId="20461"/>
    <cellStyle name="표준 8 4 4 2 3 3 3" xfId="20462"/>
    <cellStyle name="표준 8 4 4 2 3 3 3 2" xfId="20463"/>
    <cellStyle name="표준 8 4 4 2 3 3 4" xfId="20464"/>
    <cellStyle name="표준 8 4 4 2 3 3 5" xfId="20465"/>
    <cellStyle name="표준 8 4 4 2 3 4 2" xfId="20466"/>
    <cellStyle name="표준 8 4 4 2 3 5" xfId="20467"/>
    <cellStyle name="표준 8 4 4 2 3 5 2" xfId="20468"/>
    <cellStyle name="표준 8 4 4 2 3 6" xfId="20469"/>
    <cellStyle name="표준 8 4 4 2 3 7" xfId="20470"/>
    <cellStyle name="표준 8 4 4 2 4 2 2" xfId="20471"/>
    <cellStyle name="표준 8 4 4 2 4 3" xfId="20472"/>
    <cellStyle name="표준 8 4 4 2 4 3 2" xfId="20473"/>
    <cellStyle name="표준 8 4 4 2 4 4" xfId="20474"/>
    <cellStyle name="표준 8 4 4 2 4 5" xfId="20475"/>
    <cellStyle name="표준 8 4 4 2 5 2 2" xfId="20476"/>
    <cellStyle name="표준 8 4 4 2 5 3" xfId="20477"/>
    <cellStyle name="표준 8 4 4 2 5 3 2" xfId="20478"/>
    <cellStyle name="표준 8 4 4 2 5 4" xfId="20479"/>
    <cellStyle name="표준 8 4 4 2 5 5" xfId="20480"/>
    <cellStyle name="표준 8 4 4 2 6 2" xfId="20481"/>
    <cellStyle name="표준 8 4 4 2 7" xfId="20482"/>
    <cellStyle name="표준 8 4 4 2 7 2" xfId="20483"/>
    <cellStyle name="표준 8 4 4 2 8" xfId="20484"/>
    <cellStyle name="표준 8 4 4 2 9" xfId="20485"/>
    <cellStyle name="표준 8 4 4 3 2 2 2 2" xfId="20486"/>
    <cellStyle name="표준 8 4 4 3 2 2 3" xfId="20487"/>
    <cellStyle name="표준 8 4 4 3 2 2 3 2" xfId="20488"/>
    <cellStyle name="표준 8 4 4 3 2 2 4" xfId="20489"/>
    <cellStyle name="표준 8 4 4 3 2 2 5" xfId="20490"/>
    <cellStyle name="표준 8 4 4 3 2 3 2 2" xfId="20491"/>
    <cellStyle name="표준 8 4 4 3 2 3 3" xfId="20492"/>
    <cellStyle name="표준 8 4 4 3 2 3 3 2" xfId="20493"/>
    <cellStyle name="표준 8 4 4 3 2 3 4" xfId="20494"/>
    <cellStyle name="표준 8 4 4 3 2 3 5" xfId="20495"/>
    <cellStyle name="표준 8 4 4 3 2 4 2" xfId="20496"/>
    <cellStyle name="표준 8 4 4 3 2 5" xfId="20497"/>
    <cellStyle name="표준 8 4 4 3 2 5 2" xfId="20498"/>
    <cellStyle name="표준 8 4 4 3 2 6" xfId="20499"/>
    <cellStyle name="표준 8 4 4 3 2 7" xfId="20500"/>
    <cellStyle name="표준 8 4 4 3 3 2 2" xfId="20501"/>
    <cellStyle name="표준 8 4 4 3 3 3" xfId="20502"/>
    <cellStyle name="표준 8 4 4 3 3 3 2" xfId="20503"/>
    <cellStyle name="표준 8 4 4 3 3 4" xfId="20504"/>
    <cellStyle name="표준 8 4 4 3 3 5" xfId="20505"/>
    <cellStyle name="표준 8 4 4 3 4 2 2" xfId="20506"/>
    <cellStyle name="표준 8 4 4 3 4 3" xfId="20507"/>
    <cellStyle name="표준 8 4 4 3 4 3 2" xfId="20508"/>
    <cellStyle name="표준 8 4 4 3 4 4" xfId="20509"/>
    <cellStyle name="표준 8 4 4 3 4 5" xfId="20510"/>
    <cellStyle name="표준 8 4 4 3 5 2" xfId="20511"/>
    <cellStyle name="표준 8 4 4 3 6" xfId="20512"/>
    <cellStyle name="표준 8 4 4 3 6 2" xfId="20513"/>
    <cellStyle name="표준 8 4 4 3 7" xfId="20514"/>
    <cellStyle name="표준 8 4 4 3 8" xfId="20515"/>
    <cellStyle name="표준 8 4 4 4 2 2 2" xfId="20516"/>
    <cellStyle name="표준 8 4 4 4 2 3" xfId="20517"/>
    <cellStyle name="표준 8 4 4 4 2 3 2" xfId="20518"/>
    <cellStyle name="표준 8 4 4 4 2 4" xfId="20519"/>
    <cellStyle name="표준 8 4 4 4 2 5" xfId="20520"/>
    <cellStyle name="표준 8 4 4 4 3 2 2" xfId="20521"/>
    <cellStyle name="표준 8 4 4 4 3 3" xfId="20522"/>
    <cellStyle name="표준 8 4 4 4 3 3 2" xfId="20523"/>
    <cellStyle name="표준 8 4 4 4 3 4" xfId="20524"/>
    <cellStyle name="표준 8 4 4 4 3 5" xfId="20525"/>
    <cellStyle name="표준 8 4 4 4 4 2" xfId="20526"/>
    <cellStyle name="표준 8 4 4 4 5" xfId="20527"/>
    <cellStyle name="표준 8 4 4 4 5 2" xfId="20528"/>
    <cellStyle name="표준 8 4 4 4 6" xfId="20529"/>
    <cellStyle name="표준 8 4 4 4 7" xfId="20530"/>
    <cellStyle name="표준 8 4 4 5 2 2" xfId="20531"/>
    <cellStyle name="표준 8 4 4 5 3" xfId="20532"/>
    <cellStyle name="표준 8 4 4 5 3 2" xfId="20533"/>
    <cellStyle name="표준 8 4 4 5 4" xfId="20534"/>
    <cellStyle name="표준 8 4 4 5 5" xfId="20535"/>
    <cellStyle name="표준 8 4 4 6 2 2" xfId="20536"/>
    <cellStyle name="표준 8 4 4 6 3" xfId="20537"/>
    <cellStyle name="표준 8 4 4 6 3 2" xfId="20538"/>
    <cellStyle name="표준 8 4 4 6 4" xfId="20539"/>
    <cellStyle name="표준 8 4 4 6 5" xfId="20540"/>
    <cellStyle name="표준 8 4 4 7 2" xfId="20541"/>
    <cellStyle name="표준 8 4 4 8" xfId="20542"/>
    <cellStyle name="표준 8 4 4 8 2" xfId="20543"/>
    <cellStyle name="표준 8 4 4 9" xfId="20544"/>
    <cellStyle name="표준 8 4 5 2 2 2 2 2" xfId="20545"/>
    <cellStyle name="표준 8 4 5 2 2 2 3" xfId="20546"/>
    <cellStyle name="표준 8 4 5 2 2 2 3 2" xfId="20547"/>
    <cellStyle name="표준 8 4 5 2 2 2 4" xfId="20548"/>
    <cellStyle name="표준 8 4 5 2 2 2 5" xfId="20549"/>
    <cellStyle name="표준 8 4 5 2 2 3 2 2" xfId="20550"/>
    <cellStyle name="표준 8 4 5 2 2 3 3" xfId="20551"/>
    <cellStyle name="표준 8 4 5 2 2 3 3 2" xfId="20552"/>
    <cellStyle name="표준 8 4 5 2 2 3 4" xfId="20553"/>
    <cellStyle name="표준 8 4 5 2 2 3 5" xfId="20554"/>
    <cellStyle name="표준 8 4 5 2 2 4 2" xfId="20555"/>
    <cellStyle name="표준 8 4 5 2 2 5" xfId="20556"/>
    <cellStyle name="표준 8 4 5 2 2 5 2" xfId="20557"/>
    <cellStyle name="표준 8 4 5 2 2 6" xfId="20558"/>
    <cellStyle name="표준 8 4 5 2 2 7" xfId="20559"/>
    <cellStyle name="표준 8 4 5 2 3 2 2" xfId="20560"/>
    <cellStyle name="표준 8 4 5 2 3 3" xfId="20561"/>
    <cellStyle name="표준 8 4 5 2 3 3 2" xfId="20562"/>
    <cellStyle name="표준 8 4 5 2 3 4" xfId="20563"/>
    <cellStyle name="표준 8 4 5 2 3 5" xfId="20564"/>
    <cellStyle name="표준 8 4 5 2 4 2 2" xfId="20565"/>
    <cellStyle name="표준 8 4 5 2 4 3" xfId="20566"/>
    <cellStyle name="표준 8 4 5 2 4 3 2" xfId="20567"/>
    <cellStyle name="표준 8 4 5 2 4 4" xfId="20568"/>
    <cellStyle name="표준 8 4 5 2 4 5" xfId="20569"/>
    <cellStyle name="표준 8 4 5 2 5 2" xfId="20570"/>
    <cellStyle name="표준 8 4 5 2 6" xfId="20571"/>
    <cellStyle name="표준 8 4 5 2 6 2" xfId="20572"/>
    <cellStyle name="표준 8 4 5 2 7" xfId="20573"/>
    <cellStyle name="표준 8 4 5 2 8" xfId="20574"/>
    <cellStyle name="표준 8 4 5 3 2 2 2" xfId="20575"/>
    <cellStyle name="표준 8 4 5 3 2 3" xfId="20576"/>
    <cellStyle name="표준 8 4 5 3 2 3 2" xfId="20577"/>
    <cellStyle name="표준 8 4 5 3 2 4" xfId="20578"/>
    <cellStyle name="표준 8 4 5 3 2 5" xfId="20579"/>
    <cellStyle name="표준 8 4 5 3 3 2 2" xfId="20580"/>
    <cellStyle name="표준 8 4 5 3 3 3" xfId="20581"/>
    <cellStyle name="표준 8 4 5 3 3 3 2" xfId="20582"/>
    <cellStyle name="표준 8 4 5 3 3 4" xfId="20583"/>
    <cellStyle name="표준 8 4 5 3 3 5" xfId="20584"/>
    <cellStyle name="표준 8 4 5 3 4 2" xfId="20585"/>
    <cellStyle name="표준 8 4 5 3 5" xfId="20586"/>
    <cellStyle name="표준 8 4 5 3 5 2" xfId="20587"/>
    <cellStyle name="표준 8 4 5 3 6" xfId="20588"/>
    <cellStyle name="표준 8 4 5 3 7" xfId="20589"/>
    <cellStyle name="표준 8 4 5 4 2 2" xfId="20590"/>
    <cellStyle name="표준 8 4 5 4 3" xfId="20591"/>
    <cellStyle name="표준 8 4 5 4 3 2" xfId="20592"/>
    <cellStyle name="표준 8 4 5 4 4" xfId="20593"/>
    <cellStyle name="표준 8 4 5 4 5" xfId="20594"/>
    <cellStyle name="표준 8 4 5 5 2 2" xfId="20595"/>
    <cellStyle name="표준 8 4 5 5 3" xfId="20596"/>
    <cellStyle name="표준 8 4 5 5 3 2" xfId="20597"/>
    <cellStyle name="표준 8 4 5 5 4" xfId="20598"/>
    <cellStyle name="표준 8 4 5 5 5" xfId="20599"/>
    <cellStyle name="표준 8 4 5 6 2" xfId="20600"/>
    <cellStyle name="표준 8 4 5 7" xfId="20601"/>
    <cellStyle name="표준 8 4 5 7 2" xfId="20602"/>
    <cellStyle name="표준 8 4 5 8" xfId="20603"/>
    <cellStyle name="표준 8 4 5 9" xfId="20604"/>
    <cellStyle name="표준 8 4 6 2 2 2 2" xfId="20605"/>
    <cellStyle name="표준 8 4 6 2 2 3" xfId="20606"/>
    <cellStyle name="표준 8 4 6 2 2 3 2" xfId="20607"/>
    <cellStyle name="표준 8 4 6 2 2 4" xfId="20608"/>
    <cellStyle name="표준 8 4 6 2 2 5" xfId="20609"/>
    <cellStyle name="표준 8 4 6 2 3 2 2" xfId="20610"/>
    <cellStyle name="표준 8 4 6 2 3 3" xfId="20611"/>
    <cellStyle name="표준 8 4 6 2 3 3 2" xfId="20612"/>
    <cellStyle name="표준 8 4 6 2 3 4" xfId="20613"/>
    <cellStyle name="표준 8 4 6 2 3 5" xfId="20614"/>
    <cellStyle name="표준 8 4 6 2 4 2" xfId="20615"/>
    <cellStyle name="표준 8 4 6 2 5" xfId="20616"/>
    <cellStyle name="표준 8 4 6 2 5 2" xfId="20617"/>
    <cellStyle name="표준 8 4 6 2 6" xfId="20618"/>
    <cellStyle name="표준 8 4 6 2 7" xfId="20619"/>
    <cellStyle name="표준 8 4 6 3 2 2" xfId="20620"/>
    <cellStyle name="표준 8 4 6 3 3" xfId="20621"/>
    <cellStyle name="표준 8 4 6 3 3 2" xfId="20622"/>
    <cellStyle name="표준 8 4 6 3 4" xfId="20623"/>
    <cellStyle name="표준 8 4 6 3 5" xfId="20624"/>
    <cellStyle name="표준 8 4 6 4 2 2" xfId="20625"/>
    <cellStyle name="표준 8 4 6 4 3" xfId="20626"/>
    <cellStyle name="표준 8 4 6 4 3 2" xfId="20627"/>
    <cellStyle name="표준 8 4 6 4 4" xfId="20628"/>
    <cellStyle name="표준 8 4 6 4 5" xfId="20629"/>
    <cellStyle name="표준 8 4 6 5 2" xfId="20630"/>
    <cellStyle name="표준 8 4 6 6" xfId="20631"/>
    <cellStyle name="표준 8 4 6 6 2" xfId="20632"/>
    <cellStyle name="표준 8 4 6 7" xfId="20633"/>
    <cellStyle name="표준 8 4 6 8" xfId="20634"/>
    <cellStyle name="표준 8 4 7 2 2 2" xfId="20635"/>
    <cellStyle name="표준 8 4 7 2 3" xfId="20636"/>
    <cellStyle name="표준 8 4 7 2 3 2" xfId="20637"/>
    <cellStyle name="표준 8 4 7 2 4" xfId="20638"/>
    <cellStyle name="표준 8 4 7 2 5" xfId="20639"/>
    <cellStyle name="표준 8 4 7 3 2 2" xfId="20640"/>
    <cellStyle name="표준 8 4 7 3 3" xfId="20641"/>
    <cellStyle name="표준 8 4 7 3 3 2" xfId="20642"/>
    <cellStyle name="표준 8 4 7 3 4" xfId="20643"/>
    <cellStyle name="표준 8 4 7 3 5" xfId="20644"/>
    <cellStyle name="표준 8 4 7 4 2" xfId="20645"/>
    <cellStyle name="표준 8 4 7 5" xfId="20646"/>
    <cellStyle name="표준 8 4 7 5 2" xfId="20647"/>
    <cellStyle name="표준 8 4 7 6" xfId="20648"/>
    <cellStyle name="표준 8 4 7 7" xfId="20649"/>
    <cellStyle name="표준 8 4 8 2 2" xfId="20650"/>
    <cellStyle name="표준 8 4 8 3" xfId="20651"/>
    <cellStyle name="표준 8 4 8 3 2" xfId="20652"/>
    <cellStyle name="표준 8 4 8 4" xfId="20653"/>
    <cellStyle name="표준 8 4 8 5" xfId="20654"/>
    <cellStyle name="표준 8 4 9 2 2" xfId="20655"/>
    <cellStyle name="표준 8 4 9 3" xfId="20656"/>
    <cellStyle name="표준 8 4 9 3 2" xfId="20657"/>
    <cellStyle name="표준 8 4 9 4" xfId="20658"/>
    <cellStyle name="표준 8 4 9 5" xfId="20659"/>
    <cellStyle name="표준 8 5 10 2" xfId="20660"/>
    <cellStyle name="표준 8 5 11" xfId="20661"/>
    <cellStyle name="표준 8 5 11 2" xfId="20662"/>
    <cellStyle name="표준 8 5 12" xfId="20663"/>
    <cellStyle name="표준 8 5 13" xfId="20664"/>
    <cellStyle name="표준 8 5 2 10" xfId="20665"/>
    <cellStyle name="표준 8 5 2 2 2 2 2 2 2" xfId="20666"/>
    <cellStyle name="표준 8 5 2 2 2 2 2 3" xfId="20667"/>
    <cellStyle name="표준 8 5 2 2 2 2 2 3 2" xfId="20668"/>
    <cellStyle name="표준 8 5 2 2 2 2 2 4" xfId="20669"/>
    <cellStyle name="표준 8 5 2 2 2 2 2 5" xfId="20670"/>
    <cellStyle name="표준 8 5 2 2 2 2 3 2 2" xfId="20671"/>
    <cellStyle name="표준 8 5 2 2 2 2 3 3" xfId="20672"/>
    <cellStyle name="표준 8 5 2 2 2 2 3 3 2" xfId="20673"/>
    <cellStyle name="표준 8 5 2 2 2 2 3 4" xfId="20674"/>
    <cellStyle name="표준 8 5 2 2 2 2 3 5" xfId="20675"/>
    <cellStyle name="표준 8 5 2 2 2 2 4 2" xfId="20676"/>
    <cellStyle name="표준 8 5 2 2 2 2 5" xfId="20677"/>
    <cellStyle name="표준 8 5 2 2 2 2 5 2" xfId="20678"/>
    <cellStyle name="표준 8 5 2 2 2 2 6" xfId="20679"/>
    <cellStyle name="표준 8 5 2 2 2 2 7" xfId="20680"/>
    <cellStyle name="표준 8 5 2 2 2 3 2 2" xfId="20681"/>
    <cellStyle name="표준 8 5 2 2 2 3 3" xfId="20682"/>
    <cellStyle name="표준 8 5 2 2 2 3 3 2" xfId="20683"/>
    <cellStyle name="표준 8 5 2 2 2 3 4" xfId="20684"/>
    <cellStyle name="표준 8 5 2 2 2 3 5" xfId="20685"/>
    <cellStyle name="표준 8 5 2 2 2 4 2 2" xfId="20686"/>
    <cellStyle name="표준 8 5 2 2 2 4 3" xfId="20687"/>
    <cellStyle name="표준 8 5 2 2 2 4 3 2" xfId="20688"/>
    <cellStyle name="표준 8 5 2 2 2 4 4" xfId="20689"/>
    <cellStyle name="표준 8 5 2 2 2 4 5" xfId="20690"/>
    <cellStyle name="표준 8 5 2 2 2 5 2" xfId="20691"/>
    <cellStyle name="표준 8 5 2 2 2 6" xfId="20692"/>
    <cellStyle name="표준 8 5 2 2 2 6 2" xfId="20693"/>
    <cellStyle name="표준 8 5 2 2 2 7" xfId="20694"/>
    <cellStyle name="표준 8 5 2 2 2 8" xfId="20695"/>
    <cellStyle name="표준 8 5 2 2 3 2 2 2" xfId="20696"/>
    <cellStyle name="표준 8 5 2 2 3 2 3" xfId="20697"/>
    <cellStyle name="표준 8 5 2 2 3 2 3 2" xfId="20698"/>
    <cellStyle name="표준 8 5 2 2 3 2 4" xfId="20699"/>
    <cellStyle name="표준 8 5 2 2 3 2 5" xfId="20700"/>
    <cellStyle name="표준 8 5 2 2 3 3 2 2" xfId="20701"/>
    <cellStyle name="표준 8 5 2 2 3 3 3" xfId="20702"/>
    <cellStyle name="표준 8 5 2 2 3 3 3 2" xfId="20703"/>
    <cellStyle name="표준 8 5 2 2 3 3 4" xfId="20704"/>
    <cellStyle name="표준 8 5 2 2 3 3 5" xfId="20705"/>
    <cellStyle name="표준 8 5 2 2 3 4 2" xfId="20706"/>
    <cellStyle name="표준 8 5 2 2 3 5" xfId="20707"/>
    <cellStyle name="표준 8 5 2 2 3 5 2" xfId="20708"/>
    <cellStyle name="표준 8 5 2 2 3 6" xfId="20709"/>
    <cellStyle name="표준 8 5 2 2 3 7" xfId="20710"/>
    <cellStyle name="표준 8 5 2 2 4 2 2" xfId="20711"/>
    <cellStyle name="표준 8 5 2 2 4 3" xfId="20712"/>
    <cellStyle name="표준 8 5 2 2 4 3 2" xfId="20713"/>
    <cellStyle name="표준 8 5 2 2 4 4" xfId="20714"/>
    <cellStyle name="표준 8 5 2 2 4 5" xfId="20715"/>
    <cellStyle name="표준 8 5 2 2 5 2 2" xfId="20716"/>
    <cellStyle name="표준 8 5 2 2 5 3" xfId="20717"/>
    <cellStyle name="표준 8 5 2 2 5 3 2" xfId="20718"/>
    <cellStyle name="표준 8 5 2 2 5 4" xfId="20719"/>
    <cellStyle name="표준 8 5 2 2 5 5" xfId="20720"/>
    <cellStyle name="표준 8 5 2 2 6 2" xfId="20721"/>
    <cellStyle name="표준 8 5 2 2 7" xfId="20722"/>
    <cellStyle name="표준 8 5 2 2 7 2" xfId="20723"/>
    <cellStyle name="표준 8 5 2 2 8" xfId="20724"/>
    <cellStyle name="표준 8 5 2 2 9" xfId="20725"/>
    <cellStyle name="표준 8 5 2 3 2 2 2 2" xfId="20726"/>
    <cellStyle name="표준 8 5 2 3 2 2 3" xfId="20727"/>
    <cellStyle name="표준 8 5 2 3 2 2 3 2" xfId="20728"/>
    <cellStyle name="표준 8 5 2 3 2 2 4" xfId="20729"/>
    <cellStyle name="표준 8 5 2 3 2 2 5" xfId="20730"/>
    <cellStyle name="표준 8 5 2 3 2 3 2 2" xfId="20731"/>
    <cellStyle name="표준 8 5 2 3 2 3 3" xfId="20732"/>
    <cellStyle name="표준 8 5 2 3 2 3 3 2" xfId="20733"/>
    <cellStyle name="표준 8 5 2 3 2 3 4" xfId="20734"/>
    <cellStyle name="표준 8 5 2 3 2 3 5" xfId="20735"/>
    <cellStyle name="표준 8 5 2 3 2 4 2" xfId="20736"/>
    <cellStyle name="표준 8 5 2 3 2 5" xfId="20737"/>
    <cellStyle name="표준 8 5 2 3 2 5 2" xfId="20738"/>
    <cellStyle name="표준 8 5 2 3 2 6" xfId="20739"/>
    <cellStyle name="표준 8 5 2 3 2 7" xfId="20740"/>
    <cellStyle name="표준 8 5 2 3 3 2 2" xfId="20741"/>
    <cellStyle name="표준 8 5 2 3 3 3" xfId="20742"/>
    <cellStyle name="표준 8 5 2 3 3 3 2" xfId="20743"/>
    <cellStyle name="표준 8 5 2 3 3 4" xfId="20744"/>
    <cellStyle name="표준 8 5 2 3 3 5" xfId="20745"/>
    <cellStyle name="표준 8 5 2 3 4 2 2" xfId="20746"/>
    <cellStyle name="표준 8 5 2 3 4 3" xfId="20747"/>
    <cellStyle name="표준 8 5 2 3 4 3 2" xfId="20748"/>
    <cellStyle name="표준 8 5 2 3 4 4" xfId="20749"/>
    <cellStyle name="표준 8 5 2 3 4 5" xfId="20750"/>
    <cellStyle name="표준 8 5 2 3 5 2" xfId="20751"/>
    <cellStyle name="표준 8 5 2 3 6" xfId="20752"/>
    <cellStyle name="표준 8 5 2 3 6 2" xfId="20753"/>
    <cellStyle name="표준 8 5 2 3 7" xfId="20754"/>
    <cellStyle name="표준 8 5 2 3 8" xfId="20755"/>
    <cellStyle name="표준 8 5 2 4 2 2 2" xfId="20756"/>
    <cellStyle name="표준 8 5 2 4 2 3" xfId="20757"/>
    <cellStyle name="표준 8 5 2 4 2 3 2" xfId="20758"/>
    <cellStyle name="표준 8 5 2 4 2 4" xfId="20759"/>
    <cellStyle name="표준 8 5 2 4 2 5" xfId="20760"/>
    <cellStyle name="표준 8 5 2 4 3 2 2" xfId="20761"/>
    <cellStyle name="표준 8 5 2 4 3 3" xfId="20762"/>
    <cellStyle name="표준 8 5 2 4 3 3 2" xfId="20763"/>
    <cellStyle name="표준 8 5 2 4 3 4" xfId="20764"/>
    <cellStyle name="표준 8 5 2 4 3 5" xfId="20765"/>
    <cellStyle name="표준 8 5 2 4 4 2" xfId="20766"/>
    <cellStyle name="표준 8 5 2 4 5" xfId="20767"/>
    <cellStyle name="표준 8 5 2 4 5 2" xfId="20768"/>
    <cellStyle name="표준 8 5 2 4 6" xfId="20769"/>
    <cellStyle name="표준 8 5 2 4 7" xfId="20770"/>
    <cellStyle name="표준 8 5 2 5 2 2" xfId="20771"/>
    <cellStyle name="표준 8 5 2 5 3" xfId="20772"/>
    <cellStyle name="표준 8 5 2 5 3 2" xfId="20773"/>
    <cellStyle name="표준 8 5 2 5 4" xfId="20774"/>
    <cellStyle name="표준 8 5 2 5 5" xfId="20775"/>
    <cellStyle name="표준 8 5 2 6 2 2" xfId="20776"/>
    <cellStyle name="표준 8 5 2 6 3" xfId="20777"/>
    <cellStyle name="표준 8 5 2 6 3 2" xfId="20778"/>
    <cellStyle name="표준 8 5 2 6 4" xfId="20779"/>
    <cellStyle name="표준 8 5 2 6 5" xfId="20780"/>
    <cellStyle name="표준 8 5 2 7 2" xfId="20781"/>
    <cellStyle name="표준 8 5 2 8" xfId="20782"/>
    <cellStyle name="표준 8 5 2 8 2" xfId="20783"/>
    <cellStyle name="표준 8 5 2 9" xfId="20784"/>
    <cellStyle name="표준 8 5 3 10" xfId="20785"/>
    <cellStyle name="표준 8 5 3 2 2 2 2 2 2" xfId="20786"/>
    <cellStyle name="표준 8 5 3 2 2 2 2 3" xfId="20787"/>
    <cellStyle name="표준 8 5 3 2 2 2 2 3 2" xfId="20788"/>
    <cellStyle name="표준 8 5 3 2 2 2 2 4" xfId="20789"/>
    <cellStyle name="표준 8 5 3 2 2 2 2 5" xfId="20790"/>
    <cellStyle name="표준 8 5 3 2 2 2 3 2 2" xfId="20791"/>
    <cellStyle name="표준 8 5 3 2 2 2 3 3" xfId="20792"/>
    <cellStyle name="표준 8 5 3 2 2 2 3 3 2" xfId="20793"/>
    <cellStyle name="표준 8 5 3 2 2 2 3 4" xfId="20794"/>
    <cellStyle name="표준 8 5 3 2 2 2 3 5" xfId="20795"/>
    <cellStyle name="표준 8 5 3 2 2 2 4 2" xfId="20796"/>
    <cellStyle name="표준 8 5 3 2 2 2 5" xfId="20797"/>
    <cellStyle name="표준 8 5 3 2 2 2 5 2" xfId="20798"/>
    <cellStyle name="표준 8 5 3 2 2 2 6" xfId="20799"/>
    <cellStyle name="표준 8 5 3 2 2 2 7" xfId="20800"/>
    <cellStyle name="표준 8 5 3 2 2 3 2 2" xfId="20801"/>
    <cellStyle name="표준 8 5 3 2 2 3 3" xfId="20802"/>
    <cellStyle name="표준 8 5 3 2 2 3 3 2" xfId="20803"/>
    <cellStyle name="표준 8 5 3 2 2 3 4" xfId="20804"/>
    <cellStyle name="표준 8 5 3 2 2 3 5" xfId="20805"/>
    <cellStyle name="표준 8 5 3 2 2 4 2 2" xfId="20806"/>
    <cellStyle name="표준 8 5 3 2 2 4 3" xfId="20807"/>
    <cellStyle name="표준 8 5 3 2 2 4 3 2" xfId="20808"/>
    <cellStyle name="표준 8 5 3 2 2 4 4" xfId="20809"/>
    <cellStyle name="표준 8 5 3 2 2 4 5" xfId="20810"/>
    <cellStyle name="표준 8 5 3 2 2 5 2" xfId="20811"/>
    <cellStyle name="표준 8 5 3 2 2 6" xfId="20812"/>
    <cellStyle name="표준 8 5 3 2 2 6 2" xfId="20813"/>
    <cellStyle name="표준 8 5 3 2 2 7" xfId="20814"/>
    <cellStyle name="표준 8 5 3 2 2 8" xfId="20815"/>
    <cellStyle name="표준 8 5 3 2 3 2 2 2" xfId="20816"/>
    <cellStyle name="표준 8 5 3 2 3 2 3" xfId="20817"/>
    <cellStyle name="표준 8 5 3 2 3 2 3 2" xfId="20818"/>
    <cellStyle name="표준 8 5 3 2 3 2 4" xfId="20819"/>
    <cellStyle name="표준 8 5 3 2 3 2 5" xfId="20820"/>
    <cellStyle name="표준 8 5 3 2 3 3 2 2" xfId="20821"/>
    <cellStyle name="표준 8 5 3 2 3 3 3" xfId="20822"/>
    <cellStyle name="표준 8 5 3 2 3 3 3 2" xfId="20823"/>
    <cellStyle name="표준 8 5 3 2 3 3 4" xfId="20824"/>
    <cellStyle name="표준 8 5 3 2 3 3 5" xfId="20825"/>
    <cellStyle name="표준 8 5 3 2 3 4 2" xfId="20826"/>
    <cellStyle name="표준 8 5 3 2 3 5" xfId="20827"/>
    <cellStyle name="표준 8 5 3 2 3 5 2" xfId="20828"/>
    <cellStyle name="표준 8 5 3 2 3 6" xfId="20829"/>
    <cellStyle name="표준 8 5 3 2 3 7" xfId="20830"/>
    <cellStyle name="표준 8 5 3 2 4 2 2" xfId="20831"/>
    <cellStyle name="표준 8 5 3 2 4 3" xfId="20832"/>
    <cellStyle name="표준 8 5 3 2 4 3 2" xfId="20833"/>
    <cellStyle name="표준 8 5 3 2 4 4" xfId="20834"/>
    <cellStyle name="표준 8 5 3 2 4 5" xfId="20835"/>
    <cellStyle name="표준 8 5 3 2 5 2 2" xfId="20836"/>
    <cellStyle name="표준 8 5 3 2 5 3" xfId="20837"/>
    <cellStyle name="표준 8 5 3 2 5 3 2" xfId="20838"/>
    <cellStyle name="표준 8 5 3 2 5 4" xfId="20839"/>
    <cellStyle name="표준 8 5 3 2 5 5" xfId="20840"/>
    <cellStyle name="표준 8 5 3 2 6 2" xfId="20841"/>
    <cellStyle name="표준 8 5 3 2 7" xfId="20842"/>
    <cellStyle name="표준 8 5 3 2 7 2" xfId="20843"/>
    <cellStyle name="표준 8 5 3 2 8" xfId="20844"/>
    <cellStyle name="표준 8 5 3 2 9" xfId="20845"/>
    <cellStyle name="표준 8 5 3 3 2 2 2 2" xfId="20846"/>
    <cellStyle name="표준 8 5 3 3 2 2 3" xfId="20847"/>
    <cellStyle name="표준 8 5 3 3 2 2 3 2" xfId="20848"/>
    <cellStyle name="표준 8 5 3 3 2 2 4" xfId="20849"/>
    <cellStyle name="표준 8 5 3 3 2 2 5" xfId="20850"/>
    <cellStyle name="표준 8 5 3 3 2 3 2 2" xfId="20851"/>
    <cellStyle name="표준 8 5 3 3 2 3 3" xfId="20852"/>
    <cellStyle name="표준 8 5 3 3 2 3 3 2" xfId="20853"/>
    <cellStyle name="표준 8 5 3 3 2 3 4" xfId="20854"/>
    <cellStyle name="표준 8 5 3 3 2 3 5" xfId="20855"/>
    <cellStyle name="표준 8 5 3 3 2 4 2" xfId="20856"/>
    <cellStyle name="표준 8 5 3 3 2 5" xfId="20857"/>
    <cellStyle name="표준 8 5 3 3 2 5 2" xfId="20858"/>
    <cellStyle name="표준 8 5 3 3 2 6" xfId="20859"/>
    <cellStyle name="표준 8 5 3 3 2 7" xfId="20860"/>
    <cellStyle name="표준 8 5 3 3 3 2 2" xfId="20861"/>
    <cellStyle name="표준 8 5 3 3 3 3" xfId="20862"/>
    <cellStyle name="표준 8 5 3 3 3 3 2" xfId="20863"/>
    <cellStyle name="표준 8 5 3 3 3 4" xfId="20864"/>
    <cellStyle name="표준 8 5 3 3 3 5" xfId="20865"/>
    <cellStyle name="표준 8 5 3 3 4 2 2" xfId="20866"/>
    <cellStyle name="표준 8 5 3 3 4 3" xfId="20867"/>
    <cellStyle name="표준 8 5 3 3 4 3 2" xfId="20868"/>
    <cellStyle name="표준 8 5 3 3 4 4" xfId="20869"/>
    <cellStyle name="표준 8 5 3 3 4 5" xfId="20870"/>
    <cellStyle name="표준 8 5 3 3 5 2" xfId="20871"/>
    <cellStyle name="표준 8 5 3 3 6" xfId="20872"/>
    <cellStyle name="표준 8 5 3 3 6 2" xfId="20873"/>
    <cellStyle name="표준 8 5 3 3 7" xfId="20874"/>
    <cellStyle name="표준 8 5 3 3 8" xfId="20875"/>
    <cellStyle name="표준 8 5 3 4 2 2 2" xfId="20876"/>
    <cellStyle name="표준 8 5 3 4 2 3" xfId="20877"/>
    <cellStyle name="표준 8 5 3 4 2 3 2" xfId="20878"/>
    <cellStyle name="표준 8 5 3 4 2 4" xfId="20879"/>
    <cellStyle name="표준 8 5 3 4 2 5" xfId="20880"/>
    <cellStyle name="표준 8 5 3 4 3 2 2" xfId="20881"/>
    <cellStyle name="표준 8 5 3 4 3 3" xfId="20882"/>
    <cellStyle name="표준 8 5 3 4 3 3 2" xfId="20883"/>
    <cellStyle name="표준 8 5 3 4 3 4" xfId="20884"/>
    <cellStyle name="표준 8 5 3 4 3 5" xfId="20885"/>
    <cellStyle name="표준 8 5 3 4 4 2" xfId="20886"/>
    <cellStyle name="표준 8 5 3 4 5" xfId="20887"/>
    <cellStyle name="표준 8 5 3 4 5 2" xfId="20888"/>
    <cellStyle name="표준 8 5 3 4 6" xfId="20889"/>
    <cellStyle name="표준 8 5 3 4 7" xfId="20890"/>
    <cellStyle name="표준 8 5 3 5 2 2" xfId="20891"/>
    <cellStyle name="표준 8 5 3 5 3" xfId="20892"/>
    <cellStyle name="표준 8 5 3 5 3 2" xfId="20893"/>
    <cellStyle name="표준 8 5 3 5 4" xfId="20894"/>
    <cellStyle name="표준 8 5 3 5 5" xfId="20895"/>
    <cellStyle name="표준 8 5 3 6 2 2" xfId="20896"/>
    <cellStyle name="표준 8 5 3 6 3" xfId="20897"/>
    <cellStyle name="표준 8 5 3 6 3 2" xfId="20898"/>
    <cellStyle name="표준 8 5 3 6 4" xfId="20899"/>
    <cellStyle name="표준 8 5 3 6 5" xfId="20900"/>
    <cellStyle name="표준 8 5 3 7 2" xfId="20901"/>
    <cellStyle name="표준 8 5 3 8" xfId="20902"/>
    <cellStyle name="표준 8 5 3 8 2" xfId="20903"/>
    <cellStyle name="표준 8 5 3 9" xfId="20904"/>
    <cellStyle name="표준 8 5 4 10" xfId="20905"/>
    <cellStyle name="표준 8 5 4 2 2 2 2 2 2" xfId="20906"/>
    <cellStyle name="표준 8 5 4 2 2 2 2 3" xfId="20907"/>
    <cellStyle name="표준 8 5 4 2 2 2 2 3 2" xfId="20908"/>
    <cellStyle name="표준 8 5 4 2 2 2 2 4" xfId="20909"/>
    <cellStyle name="표준 8 5 4 2 2 2 2 5" xfId="20910"/>
    <cellStyle name="표준 8 5 4 2 2 2 3 2 2" xfId="20911"/>
    <cellStyle name="표준 8 5 4 2 2 2 3 3" xfId="20912"/>
    <cellStyle name="표준 8 5 4 2 2 2 3 3 2" xfId="20913"/>
    <cellStyle name="표준 8 5 4 2 2 2 3 4" xfId="20914"/>
    <cellStyle name="표준 8 5 4 2 2 2 3 5" xfId="20915"/>
    <cellStyle name="표준 8 5 4 2 2 2 4 2" xfId="20916"/>
    <cellStyle name="표준 8 5 4 2 2 2 5" xfId="20917"/>
    <cellStyle name="표준 8 5 4 2 2 2 5 2" xfId="20918"/>
    <cellStyle name="표준 8 5 4 2 2 2 6" xfId="20919"/>
    <cellStyle name="표준 8 5 4 2 2 2 7" xfId="20920"/>
    <cellStyle name="표준 8 5 4 2 2 3 2 2" xfId="20921"/>
    <cellStyle name="표준 8 5 4 2 2 3 3" xfId="20922"/>
    <cellStyle name="표준 8 5 4 2 2 3 3 2" xfId="20923"/>
    <cellStyle name="표준 8 5 4 2 2 3 4" xfId="20924"/>
    <cellStyle name="표준 8 5 4 2 2 3 5" xfId="20925"/>
    <cellStyle name="표준 8 5 4 2 2 4 2 2" xfId="20926"/>
    <cellStyle name="표준 8 5 4 2 2 4 3" xfId="20927"/>
    <cellStyle name="표준 8 5 4 2 2 4 3 2" xfId="20928"/>
    <cellStyle name="표준 8 5 4 2 2 4 4" xfId="20929"/>
    <cellStyle name="표준 8 5 4 2 2 4 5" xfId="20930"/>
    <cellStyle name="표준 8 5 4 2 2 5 2" xfId="20931"/>
    <cellStyle name="표준 8 5 4 2 2 6" xfId="20932"/>
    <cellStyle name="표준 8 5 4 2 2 6 2" xfId="20933"/>
    <cellStyle name="표준 8 5 4 2 2 7" xfId="20934"/>
    <cellStyle name="표준 8 5 4 2 2 8" xfId="20935"/>
    <cellStyle name="표준 8 5 4 2 3 2 2 2" xfId="20936"/>
    <cellStyle name="표준 8 5 4 2 3 2 3" xfId="20937"/>
    <cellStyle name="표준 8 5 4 2 3 2 3 2" xfId="20938"/>
    <cellStyle name="표준 8 5 4 2 3 2 4" xfId="20939"/>
    <cellStyle name="표준 8 5 4 2 3 2 5" xfId="20940"/>
    <cellStyle name="표준 8 5 4 2 3 3 2 2" xfId="20941"/>
    <cellStyle name="표준 8 5 4 2 3 3 3" xfId="20942"/>
    <cellStyle name="표준 8 5 4 2 3 3 3 2" xfId="20943"/>
    <cellStyle name="표준 8 5 4 2 3 3 4" xfId="20944"/>
    <cellStyle name="표준 8 5 4 2 3 3 5" xfId="20945"/>
    <cellStyle name="표준 8 5 4 2 3 4 2" xfId="20946"/>
    <cellStyle name="표준 8 5 4 2 3 5" xfId="20947"/>
    <cellStyle name="표준 8 5 4 2 3 5 2" xfId="20948"/>
    <cellStyle name="표준 8 5 4 2 3 6" xfId="20949"/>
    <cellStyle name="표준 8 5 4 2 3 7" xfId="20950"/>
    <cellStyle name="표준 8 5 4 2 4 2 2" xfId="20951"/>
    <cellStyle name="표준 8 5 4 2 4 3" xfId="20952"/>
    <cellStyle name="표준 8 5 4 2 4 3 2" xfId="20953"/>
    <cellStyle name="표준 8 5 4 2 4 4" xfId="20954"/>
    <cellStyle name="표준 8 5 4 2 4 5" xfId="20955"/>
    <cellStyle name="표준 8 5 4 2 5 2 2" xfId="20956"/>
    <cellStyle name="표준 8 5 4 2 5 3" xfId="20957"/>
    <cellStyle name="표준 8 5 4 2 5 3 2" xfId="20958"/>
    <cellStyle name="표준 8 5 4 2 5 4" xfId="20959"/>
    <cellStyle name="표준 8 5 4 2 5 5" xfId="20960"/>
    <cellStyle name="표준 8 5 4 2 6 2" xfId="20961"/>
    <cellStyle name="표준 8 5 4 2 7" xfId="20962"/>
    <cellStyle name="표준 8 5 4 2 7 2" xfId="20963"/>
    <cellStyle name="표준 8 5 4 2 8" xfId="20964"/>
    <cellStyle name="표준 8 5 4 2 9" xfId="20965"/>
    <cellStyle name="표준 8 5 4 3 2 2 2 2" xfId="20966"/>
    <cellStyle name="표준 8 5 4 3 2 2 3" xfId="20967"/>
    <cellStyle name="표준 8 5 4 3 2 2 3 2" xfId="20968"/>
    <cellStyle name="표준 8 5 4 3 2 2 4" xfId="20969"/>
    <cellStyle name="표준 8 5 4 3 2 2 5" xfId="20970"/>
    <cellStyle name="표준 8 5 4 3 2 3 2 2" xfId="20971"/>
    <cellStyle name="표준 8 5 4 3 2 3 3" xfId="20972"/>
    <cellStyle name="표준 8 5 4 3 2 3 3 2" xfId="20973"/>
    <cellStyle name="표준 8 5 4 3 2 3 4" xfId="20974"/>
    <cellStyle name="표준 8 5 4 3 2 3 5" xfId="20975"/>
    <cellStyle name="표준 8 5 4 3 2 4 2" xfId="20976"/>
    <cellStyle name="표준 8 5 4 3 2 5" xfId="20977"/>
    <cellStyle name="표준 8 5 4 3 2 5 2" xfId="20978"/>
    <cellStyle name="표준 8 5 4 3 2 6" xfId="20979"/>
    <cellStyle name="표준 8 5 4 3 2 7" xfId="20980"/>
    <cellStyle name="표준 8 5 4 3 3 2 2" xfId="20981"/>
    <cellStyle name="표준 8 5 4 3 3 3" xfId="20982"/>
    <cellStyle name="표준 8 5 4 3 3 3 2" xfId="20983"/>
    <cellStyle name="표준 8 5 4 3 3 4" xfId="20984"/>
    <cellStyle name="표준 8 5 4 3 3 5" xfId="20985"/>
    <cellStyle name="표준 8 5 4 3 4 2 2" xfId="20986"/>
    <cellStyle name="표준 8 5 4 3 4 3" xfId="20987"/>
    <cellStyle name="표준 8 5 4 3 4 3 2" xfId="20988"/>
    <cellStyle name="표준 8 5 4 3 4 4" xfId="20989"/>
    <cellStyle name="표준 8 5 4 3 4 5" xfId="20990"/>
    <cellStyle name="표준 8 5 4 3 5 2" xfId="20991"/>
    <cellStyle name="표준 8 5 4 3 6" xfId="20992"/>
    <cellStyle name="표준 8 5 4 3 6 2" xfId="20993"/>
    <cellStyle name="표준 8 5 4 3 7" xfId="20994"/>
    <cellStyle name="표준 8 5 4 3 8" xfId="20995"/>
    <cellStyle name="표준 8 5 4 4 2 2 2" xfId="20996"/>
    <cellStyle name="표준 8 5 4 4 2 3" xfId="20997"/>
    <cellStyle name="표준 8 5 4 4 2 3 2" xfId="20998"/>
    <cellStyle name="표준 8 5 4 4 2 4" xfId="20999"/>
    <cellStyle name="표준 8 5 4 4 2 5" xfId="21000"/>
    <cellStyle name="표준 8 5 4 4 3 2 2" xfId="21001"/>
    <cellStyle name="표준 8 5 4 4 3 3" xfId="21002"/>
    <cellStyle name="표준 8 5 4 4 3 3 2" xfId="21003"/>
    <cellStyle name="표준 8 5 4 4 3 4" xfId="21004"/>
    <cellStyle name="표준 8 5 4 4 3 5" xfId="21005"/>
    <cellStyle name="표준 8 5 4 4 4 2" xfId="21006"/>
    <cellStyle name="표준 8 5 4 4 5" xfId="21007"/>
    <cellStyle name="표준 8 5 4 4 5 2" xfId="21008"/>
    <cellStyle name="표준 8 5 4 4 6" xfId="21009"/>
    <cellStyle name="표준 8 5 4 4 7" xfId="21010"/>
    <cellStyle name="표준 8 5 4 5 2 2" xfId="21011"/>
    <cellStyle name="표준 8 5 4 5 3" xfId="21012"/>
    <cellStyle name="표준 8 5 4 5 3 2" xfId="21013"/>
    <cellStyle name="표준 8 5 4 5 4" xfId="21014"/>
    <cellStyle name="표준 8 5 4 5 5" xfId="21015"/>
    <cellStyle name="표준 8 5 4 6 2 2" xfId="21016"/>
    <cellStyle name="표준 8 5 4 6 3" xfId="21017"/>
    <cellStyle name="표준 8 5 4 6 3 2" xfId="21018"/>
    <cellStyle name="표준 8 5 4 6 4" xfId="21019"/>
    <cellStyle name="표준 8 5 4 6 5" xfId="21020"/>
    <cellStyle name="표준 8 5 4 7 2" xfId="21021"/>
    <cellStyle name="표준 8 5 4 8" xfId="21022"/>
    <cellStyle name="표준 8 5 4 8 2" xfId="21023"/>
    <cellStyle name="표준 8 5 4 9" xfId="21024"/>
    <cellStyle name="표준 8 5 5 2 2 2 2 2" xfId="21025"/>
    <cellStyle name="표준 8 5 5 2 2 2 3" xfId="21026"/>
    <cellStyle name="표준 8 5 5 2 2 2 3 2" xfId="21027"/>
    <cellStyle name="표준 8 5 5 2 2 2 4" xfId="21028"/>
    <cellStyle name="표준 8 5 5 2 2 2 5" xfId="21029"/>
    <cellStyle name="표준 8 5 5 2 2 3 2 2" xfId="21030"/>
    <cellStyle name="표준 8 5 5 2 2 3 3" xfId="21031"/>
    <cellStyle name="표준 8 5 5 2 2 3 3 2" xfId="21032"/>
    <cellStyle name="표준 8 5 5 2 2 3 4" xfId="21033"/>
    <cellStyle name="표준 8 5 5 2 2 3 5" xfId="21034"/>
    <cellStyle name="표준 8 5 5 2 2 4 2" xfId="21035"/>
    <cellStyle name="표준 8 5 5 2 2 5" xfId="21036"/>
    <cellStyle name="표준 8 5 5 2 2 5 2" xfId="21037"/>
    <cellStyle name="표준 8 5 5 2 2 6" xfId="21038"/>
    <cellStyle name="표준 8 5 5 2 2 7" xfId="21039"/>
    <cellStyle name="표준 8 5 5 2 3 2 2" xfId="21040"/>
    <cellStyle name="표준 8 5 5 2 3 3" xfId="21041"/>
    <cellStyle name="표준 8 5 5 2 3 3 2" xfId="21042"/>
    <cellStyle name="표준 8 5 5 2 3 4" xfId="21043"/>
    <cellStyle name="표준 8 5 5 2 3 5" xfId="21044"/>
    <cellStyle name="표준 8 5 5 2 4 2 2" xfId="21045"/>
    <cellStyle name="표준 8 5 5 2 4 3" xfId="21046"/>
    <cellStyle name="표준 8 5 5 2 4 3 2" xfId="21047"/>
    <cellStyle name="표준 8 5 5 2 4 4" xfId="21048"/>
    <cellStyle name="표준 8 5 5 2 4 5" xfId="21049"/>
    <cellStyle name="표준 8 5 5 2 5 2" xfId="21050"/>
    <cellStyle name="표준 8 5 5 2 6" xfId="21051"/>
    <cellStyle name="표준 8 5 5 2 6 2" xfId="21052"/>
    <cellStyle name="표준 8 5 5 2 7" xfId="21053"/>
    <cellStyle name="표준 8 5 5 2 8" xfId="21054"/>
    <cellStyle name="표준 8 5 5 3 2 2 2" xfId="21055"/>
    <cellStyle name="표준 8 5 5 3 2 3" xfId="21056"/>
    <cellStyle name="표준 8 5 5 3 2 3 2" xfId="21057"/>
    <cellStyle name="표준 8 5 5 3 2 4" xfId="21058"/>
    <cellStyle name="표준 8 5 5 3 2 5" xfId="21059"/>
    <cellStyle name="표준 8 5 5 3 3 2 2" xfId="21060"/>
    <cellStyle name="표준 8 5 5 3 3 3" xfId="21061"/>
    <cellStyle name="표준 8 5 5 3 3 3 2" xfId="21062"/>
    <cellStyle name="표준 8 5 5 3 3 4" xfId="21063"/>
    <cellStyle name="표준 8 5 5 3 3 5" xfId="21064"/>
    <cellStyle name="표준 8 5 5 3 4 2" xfId="21065"/>
    <cellStyle name="표준 8 5 5 3 5" xfId="21066"/>
    <cellStyle name="표준 8 5 5 3 5 2" xfId="21067"/>
    <cellStyle name="표준 8 5 5 3 6" xfId="21068"/>
    <cellStyle name="표준 8 5 5 3 7" xfId="21069"/>
    <cellStyle name="표준 8 5 5 4 2 2" xfId="21070"/>
    <cellStyle name="표준 8 5 5 4 3" xfId="21071"/>
    <cellStyle name="표준 8 5 5 4 3 2" xfId="21072"/>
    <cellStyle name="표준 8 5 5 4 4" xfId="21073"/>
    <cellStyle name="표준 8 5 5 4 5" xfId="21074"/>
    <cellStyle name="표준 8 5 5 5 2 2" xfId="21075"/>
    <cellStyle name="표준 8 5 5 5 3" xfId="21076"/>
    <cellStyle name="표준 8 5 5 5 3 2" xfId="21077"/>
    <cellStyle name="표준 8 5 5 5 4" xfId="21078"/>
    <cellStyle name="표준 8 5 5 5 5" xfId="21079"/>
    <cellStyle name="표준 8 5 5 6 2" xfId="21080"/>
    <cellStyle name="표준 8 5 5 7" xfId="21081"/>
    <cellStyle name="표준 8 5 5 7 2" xfId="21082"/>
    <cellStyle name="표준 8 5 5 8" xfId="21083"/>
    <cellStyle name="표준 8 5 5 9" xfId="21084"/>
    <cellStyle name="표준 8 5 6 2 2 2 2" xfId="21085"/>
    <cellStyle name="표준 8 5 6 2 2 3" xfId="21086"/>
    <cellStyle name="표준 8 5 6 2 2 3 2" xfId="21087"/>
    <cellStyle name="표준 8 5 6 2 2 4" xfId="21088"/>
    <cellStyle name="표준 8 5 6 2 2 5" xfId="21089"/>
    <cellStyle name="표준 8 5 6 2 3 2 2" xfId="21090"/>
    <cellStyle name="표준 8 5 6 2 3 3" xfId="21091"/>
    <cellStyle name="표준 8 5 6 2 3 3 2" xfId="21092"/>
    <cellStyle name="표준 8 5 6 2 3 4" xfId="21093"/>
    <cellStyle name="표준 8 5 6 2 3 5" xfId="21094"/>
    <cellStyle name="표준 8 5 6 2 4 2" xfId="21095"/>
    <cellStyle name="표준 8 5 6 2 5" xfId="21096"/>
    <cellStyle name="표준 8 5 6 2 5 2" xfId="21097"/>
    <cellStyle name="표준 8 5 6 2 6" xfId="21098"/>
    <cellStyle name="표준 8 5 6 2 7" xfId="21099"/>
    <cellStyle name="표준 8 5 6 3 2 2" xfId="21100"/>
    <cellStyle name="표준 8 5 6 3 3" xfId="21101"/>
    <cellStyle name="표준 8 5 6 3 3 2" xfId="21102"/>
    <cellStyle name="표준 8 5 6 3 4" xfId="21103"/>
    <cellStyle name="표준 8 5 6 3 5" xfId="21104"/>
    <cellStyle name="표준 8 5 6 4 2 2" xfId="21105"/>
    <cellStyle name="표준 8 5 6 4 3" xfId="21106"/>
    <cellStyle name="표준 8 5 6 4 3 2" xfId="21107"/>
    <cellStyle name="표준 8 5 6 4 4" xfId="21108"/>
    <cellStyle name="표준 8 5 6 4 5" xfId="21109"/>
    <cellStyle name="표준 8 5 6 5 2" xfId="21110"/>
    <cellStyle name="표준 8 5 6 6" xfId="21111"/>
    <cellStyle name="표준 8 5 6 6 2" xfId="21112"/>
    <cellStyle name="표준 8 5 6 7" xfId="21113"/>
    <cellStyle name="표준 8 5 6 8" xfId="21114"/>
    <cellStyle name="표준 8 5 7 2 2 2" xfId="21115"/>
    <cellStyle name="표준 8 5 7 2 3" xfId="21116"/>
    <cellStyle name="표준 8 5 7 2 3 2" xfId="21117"/>
    <cellStyle name="표준 8 5 7 2 4" xfId="21118"/>
    <cellStyle name="표준 8 5 7 2 5" xfId="21119"/>
    <cellStyle name="표준 8 5 7 3 2 2" xfId="21120"/>
    <cellStyle name="표준 8 5 7 3 3" xfId="21121"/>
    <cellStyle name="표준 8 5 7 3 3 2" xfId="21122"/>
    <cellStyle name="표준 8 5 7 3 4" xfId="21123"/>
    <cellStyle name="표준 8 5 7 3 5" xfId="21124"/>
    <cellStyle name="표준 8 5 7 4 2" xfId="21125"/>
    <cellStyle name="표준 8 5 7 5" xfId="21126"/>
    <cellStyle name="표준 8 5 7 5 2" xfId="21127"/>
    <cellStyle name="표준 8 5 7 6" xfId="21128"/>
    <cellStyle name="표준 8 5 7 7" xfId="21129"/>
    <cellStyle name="표준 8 5 8 2 2" xfId="21130"/>
    <cellStyle name="표준 8 5 8 3" xfId="21131"/>
    <cellStyle name="표준 8 5 8 3 2" xfId="21132"/>
    <cellStyle name="표준 8 5 8 4" xfId="21133"/>
    <cellStyle name="표준 8 5 8 5" xfId="21134"/>
    <cellStyle name="표준 8 5 9 2 2" xfId="21135"/>
    <cellStyle name="표준 8 5 9 3" xfId="21136"/>
    <cellStyle name="표준 8 5 9 3 2" xfId="21137"/>
    <cellStyle name="표준 8 5 9 4" xfId="21138"/>
    <cellStyle name="표준 8 5 9 5" xfId="21139"/>
    <cellStyle name="표준 8 6 10 2" xfId="21140"/>
    <cellStyle name="표준 8 6 11" xfId="21141"/>
    <cellStyle name="표준 8 6 11 2" xfId="21142"/>
    <cellStyle name="표준 8 6 12" xfId="21143"/>
    <cellStyle name="표준 8 6 13" xfId="21144"/>
    <cellStyle name="표준 8 6 2 10" xfId="21145"/>
    <cellStyle name="표준 8 6 2 2 2 2 2 2 2" xfId="21146"/>
    <cellStyle name="표준 8 6 2 2 2 2 2 3" xfId="21147"/>
    <cellStyle name="표준 8 6 2 2 2 2 2 3 2" xfId="21148"/>
    <cellStyle name="표준 8 6 2 2 2 2 2 4" xfId="21149"/>
    <cellStyle name="표준 8 6 2 2 2 2 2 5" xfId="21150"/>
    <cellStyle name="표준 8 6 2 2 2 2 3 2 2" xfId="21151"/>
    <cellStyle name="표준 8 6 2 2 2 2 3 3" xfId="21152"/>
    <cellStyle name="표준 8 6 2 2 2 2 3 3 2" xfId="21153"/>
    <cellStyle name="표준 8 6 2 2 2 2 3 4" xfId="21154"/>
    <cellStyle name="표준 8 6 2 2 2 2 3 5" xfId="21155"/>
    <cellStyle name="표준 8 6 2 2 2 2 4 2" xfId="21156"/>
    <cellStyle name="표준 8 6 2 2 2 2 5" xfId="21157"/>
    <cellStyle name="표준 8 6 2 2 2 2 5 2" xfId="21158"/>
    <cellStyle name="표준 8 6 2 2 2 2 6" xfId="21159"/>
    <cellStyle name="표준 8 6 2 2 2 2 7" xfId="21160"/>
    <cellStyle name="표준 8 6 2 2 2 3 2 2" xfId="21161"/>
    <cellStyle name="표준 8 6 2 2 2 3 3" xfId="21162"/>
    <cellStyle name="표준 8 6 2 2 2 3 3 2" xfId="21163"/>
    <cellStyle name="표준 8 6 2 2 2 3 4" xfId="21164"/>
    <cellStyle name="표준 8 6 2 2 2 3 5" xfId="21165"/>
    <cellStyle name="표준 8 6 2 2 2 4 2 2" xfId="21166"/>
    <cellStyle name="표준 8 6 2 2 2 4 3" xfId="21167"/>
    <cellStyle name="표준 8 6 2 2 2 4 3 2" xfId="21168"/>
    <cellStyle name="표준 8 6 2 2 2 4 4" xfId="21169"/>
    <cellStyle name="표준 8 6 2 2 2 4 5" xfId="21170"/>
    <cellStyle name="표준 8 6 2 2 2 5 2" xfId="21171"/>
    <cellStyle name="표준 8 6 2 2 2 6" xfId="21172"/>
    <cellStyle name="표준 8 6 2 2 2 6 2" xfId="21173"/>
    <cellStyle name="표준 8 6 2 2 2 7" xfId="21174"/>
    <cellStyle name="표준 8 6 2 2 2 8" xfId="21175"/>
    <cellStyle name="표준 8 6 2 2 3 2 2 2" xfId="21176"/>
    <cellStyle name="표준 8 6 2 2 3 2 3" xfId="21177"/>
    <cellStyle name="표준 8 6 2 2 3 2 3 2" xfId="21178"/>
    <cellStyle name="표준 8 6 2 2 3 2 4" xfId="21179"/>
    <cellStyle name="표준 8 6 2 2 3 2 5" xfId="21180"/>
    <cellStyle name="표준 8 6 2 2 3 3 2 2" xfId="21181"/>
    <cellStyle name="표준 8 6 2 2 3 3 3" xfId="21182"/>
    <cellStyle name="표준 8 6 2 2 3 3 3 2" xfId="21183"/>
    <cellStyle name="표준 8 6 2 2 3 3 4" xfId="21184"/>
    <cellStyle name="표준 8 6 2 2 3 3 5" xfId="21185"/>
    <cellStyle name="표준 8 6 2 2 3 4 2" xfId="21186"/>
    <cellStyle name="표준 8 6 2 2 3 5" xfId="21187"/>
    <cellStyle name="표준 8 6 2 2 3 5 2" xfId="21188"/>
    <cellStyle name="표준 8 6 2 2 3 6" xfId="21189"/>
    <cellStyle name="표준 8 6 2 2 3 7" xfId="21190"/>
    <cellStyle name="표준 8 6 2 2 4 2 2" xfId="21191"/>
    <cellStyle name="표준 8 6 2 2 4 3" xfId="21192"/>
    <cellStyle name="표준 8 6 2 2 4 3 2" xfId="21193"/>
    <cellStyle name="표준 8 6 2 2 4 4" xfId="21194"/>
    <cellStyle name="표준 8 6 2 2 4 5" xfId="21195"/>
    <cellStyle name="표준 8 6 2 2 5 2 2" xfId="21196"/>
    <cellStyle name="표준 8 6 2 2 5 3" xfId="21197"/>
    <cellStyle name="표준 8 6 2 2 5 3 2" xfId="21198"/>
    <cellStyle name="표준 8 6 2 2 5 4" xfId="21199"/>
    <cellStyle name="표준 8 6 2 2 5 5" xfId="21200"/>
    <cellStyle name="표준 8 6 2 2 6 2" xfId="21201"/>
    <cellStyle name="표준 8 6 2 2 7" xfId="21202"/>
    <cellStyle name="표준 8 6 2 2 7 2" xfId="21203"/>
    <cellStyle name="표준 8 6 2 2 8" xfId="21204"/>
    <cellStyle name="표준 8 6 2 2 9" xfId="21205"/>
    <cellStyle name="표준 8 6 2 3 2 2 2 2" xfId="21206"/>
    <cellStyle name="표준 8 6 2 3 2 2 3" xfId="21207"/>
    <cellStyle name="표준 8 6 2 3 2 2 3 2" xfId="21208"/>
    <cellStyle name="표준 8 6 2 3 2 2 4" xfId="21209"/>
    <cellStyle name="표준 8 6 2 3 2 2 5" xfId="21210"/>
    <cellStyle name="표준 8 6 2 3 2 3 2 2" xfId="21211"/>
    <cellStyle name="표준 8 6 2 3 2 3 3" xfId="21212"/>
    <cellStyle name="표준 8 6 2 3 2 3 3 2" xfId="21213"/>
    <cellStyle name="표준 8 6 2 3 2 3 4" xfId="21214"/>
    <cellStyle name="표준 8 6 2 3 2 3 5" xfId="21215"/>
    <cellStyle name="표준 8 6 2 3 2 4 2" xfId="21216"/>
    <cellStyle name="표준 8 6 2 3 2 5" xfId="21217"/>
    <cellStyle name="표준 8 6 2 3 2 5 2" xfId="21218"/>
    <cellStyle name="표준 8 6 2 3 2 6" xfId="21219"/>
    <cellStyle name="표준 8 6 2 3 2 7" xfId="21220"/>
    <cellStyle name="표준 8 6 2 3 3 2 2" xfId="21221"/>
    <cellStyle name="표준 8 6 2 3 3 3" xfId="21222"/>
    <cellStyle name="표준 8 6 2 3 3 3 2" xfId="21223"/>
    <cellStyle name="표준 8 6 2 3 3 4" xfId="21224"/>
    <cellStyle name="표준 8 6 2 3 3 5" xfId="21225"/>
    <cellStyle name="표준 8 6 2 3 4 2 2" xfId="21226"/>
    <cellStyle name="표준 8 6 2 3 4 3" xfId="21227"/>
    <cellStyle name="표준 8 6 2 3 4 3 2" xfId="21228"/>
    <cellStyle name="표준 8 6 2 3 4 4" xfId="21229"/>
    <cellStyle name="표준 8 6 2 3 4 5" xfId="21230"/>
    <cellStyle name="표준 8 6 2 3 5 2" xfId="21231"/>
    <cellStyle name="표준 8 6 2 3 6" xfId="21232"/>
    <cellStyle name="표준 8 6 2 3 6 2" xfId="21233"/>
    <cellStyle name="표준 8 6 2 3 7" xfId="21234"/>
    <cellStyle name="표준 8 6 2 3 8" xfId="21235"/>
    <cellStyle name="표준 8 6 2 4 2 2 2" xfId="21236"/>
    <cellStyle name="표준 8 6 2 4 2 3" xfId="21237"/>
    <cellStyle name="표준 8 6 2 4 2 3 2" xfId="21238"/>
    <cellStyle name="표준 8 6 2 4 2 4" xfId="21239"/>
    <cellStyle name="표준 8 6 2 4 2 5" xfId="21240"/>
    <cellStyle name="표준 8 6 2 4 3 2 2" xfId="21241"/>
    <cellStyle name="표준 8 6 2 4 3 3" xfId="21242"/>
    <cellStyle name="표준 8 6 2 4 3 3 2" xfId="21243"/>
    <cellStyle name="표준 8 6 2 4 3 4" xfId="21244"/>
    <cellStyle name="표준 8 6 2 4 3 5" xfId="21245"/>
    <cellStyle name="표준 8 6 2 4 4 2" xfId="21246"/>
    <cellStyle name="표준 8 6 2 4 5" xfId="21247"/>
    <cellStyle name="표준 8 6 2 4 5 2" xfId="21248"/>
    <cellStyle name="표준 8 6 2 4 6" xfId="21249"/>
    <cellStyle name="표준 8 6 2 4 7" xfId="21250"/>
    <cellStyle name="표준 8 6 2 5 2 2" xfId="21251"/>
    <cellStyle name="표준 8 6 2 5 3" xfId="21252"/>
    <cellStyle name="표준 8 6 2 5 3 2" xfId="21253"/>
    <cellStyle name="표준 8 6 2 5 4" xfId="21254"/>
    <cellStyle name="표준 8 6 2 5 5" xfId="21255"/>
    <cellStyle name="표준 8 6 2 6 2 2" xfId="21256"/>
    <cellStyle name="표준 8 6 2 6 3" xfId="21257"/>
    <cellStyle name="표준 8 6 2 6 3 2" xfId="21258"/>
    <cellStyle name="표준 8 6 2 6 4" xfId="21259"/>
    <cellStyle name="표준 8 6 2 6 5" xfId="21260"/>
    <cellStyle name="표준 8 6 2 7 2" xfId="21261"/>
    <cellStyle name="표준 8 6 2 8" xfId="21262"/>
    <cellStyle name="표준 8 6 2 8 2" xfId="21263"/>
    <cellStyle name="표준 8 6 2 9" xfId="21264"/>
    <cellStyle name="표준 8 6 3 10" xfId="21265"/>
    <cellStyle name="표준 8 6 3 2 2 2 2 2 2" xfId="21266"/>
    <cellStyle name="표준 8 6 3 2 2 2 2 3" xfId="21267"/>
    <cellStyle name="표준 8 6 3 2 2 2 2 3 2" xfId="21268"/>
    <cellStyle name="표준 8 6 3 2 2 2 2 4" xfId="21269"/>
    <cellStyle name="표준 8 6 3 2 2 2 2 5" xfId="21270"/>
    <cellStyle name="표준 8 6 3 2 2 2 3 2 2" xfId="21271"/>
    <cellStyle name="표준 8 6 3 2 2 2 3 3" xfId="21272"/>
    <cellStyle name="표준 8 6 3 2 2 2 3 3 2" xfId="21273"/>
    <cellStyle name="표준 8 6 3 2 2 2 3 4" xfId="21274"/>
    <cellStyle name="표준 8 6 3 2 2 2 3 5" xfId="21275"/>
    <cellStyle name="표준 8 6 3 2 2 2 4 2" xfId="21276"/>
    <cellStyle name="표준 8 6 3 2 2 2 5" xfId="21277"/>
    <cellStyle name="표준 8 6 3 2 2 2 5 2" xfId="21278"/>
    <cellStyle name="표준 8 6 3 2 2 2 6" xfId="21279"/>
    <cellStyle name="표준 8 6 3 2 2 2 7" xfId="21280"/>
    <cellStyle name="표준 8 6 3 2 2 3 2 2" xfId="21281"/>
    <cellStyle name="표준 8 6 3 2 2 3 3" xfId="21282"/>
    <cellStyle name="표준 8 6 3 2 2 3 3 2" xfId="21283"/>
    <cellStyle name="표준 8 6 3 2 2 3 4" xfId="21284"/>
    <cellStyle name="표준 8 6 3 2 2 3 5" xfId="21285"/>
    <cellStyle name="표준 8 6 3 2 2 4 2 2" xfId="21286"/>
    <cellStyle name="표준 8 6 3 2 2 4 3" xfId="21287"/>
    <cellStyle name="표준 8 6 3 2 2 4 3 2" xfId="21288"/>
    <cellStyle name="표준 8 6 3 2 2 4 4" xfId="21289"/>
    <cellStyle name="표준 8 6 3 2 2 4 5" xfId="21290"/>
    <cellStyle name="표준 8 6 3 2 2 5 2" xfId="21291"/>
    <cellStyle name="표준 8 6 3 2 2 6" xfId="21292"/>
    <cellStyle name="표준 8 6 3 2 2 6 2" xfId="21293"/>
    <cellStyle name="표준 8 6 3 2 2 7" xfId="21294"/>
    <cellStyle name="표준 8 6 3 2 2 8" xfId="21295"/>
    <cellStyle name="표준 8 6 3 2 3 2 2 2" xfId="21296"/>
    <cellStyle name="표준 8 6 3 2 3 2 3" xfId="21297"/>
    <cellStyle name="표준 8 6 3 2 3 2 3 2" xfId="21298"/>
    <cellStyle name="표준 8 6 3 2 3 2 4" xfId="21299"/>
    <cellStyle name="표준 8 6 3 2 3 2 5" xfId="21300"/>
    <cellStyle name="표준 8 6 3 2 3 3 2 2" xfId="21301"/>
    <cellStyle name="표준 8 6 3 2 3 3 3" xfId="21302"/>
    <cellStyle name="표준 8 6 3 2 3 3 3 2" xfId="21303"/>
    <cellStyle name="표준 8 6 3 2 3 3 4" xfId="21304"/>
    <cellStyle name="표준 8 6 3 2 3 3 5" xfId="21305"/>
    <cellStyle name="표준 8 6 3 2 3 4 2" xfId="21306"/>
    <cellStyle name="표준 8 6 3 2 3 5" xfId="21307"/>
    <cellStyle name="표준 8 6 3 2 3 5 2" xfId="21308"/>
    <cellStyle name="표준 8 6 3 2 3 6" xfId="21309"/>
    <cellStyle name="표준 8 6 3 2 3 7" xfId="21310"/>
    <cellStyle name="표준 8 6 3 2 4 2 2" xfId="21311"/>
    <cellStyle name="표준 8 6 3 2 4 3" xfId="21312"/>
    <cellStyle name="표준 8 6 3 2 4 3 2" xfId="21313"/>
    <cellStyle name="표준 8 6 3 2 4 4" xfId="21314"/>
    <cellStyle name="표준 8 6 3 2 4 5" xfId="21315"/>
    <cellStyle name="표준 8 6 3 2 5 2 2" xfId="21316"/>
    <cellStyle name="표준 8 6 3 2 5 3" xfId="21317"/>
    <cellStyle name="표준 8 6 3 2 5 3 2" xfId="21318"/>
    <cellStyle name="표준 8 6 3 2 5 4" xfId="21319"/>
    <cellStyle name="표준 8 6 3 2 5 5" xfId="21320"/>
    <cellStyle name="표준 8 6 3 2 6 2" xfId="21321"/>
    <cellStyle name="표준 8 6 3 2 7" xfId="21322"/>
    <cellStyle name="표준 8 6 3 2 7 2" xfId="21323"/>
    <cellStyle name="표준 8 6 3 2 8" xfId="21324"/>
    <cellStyle name="표준 8 6 3 2 9" xfId="21325"/>
    <cellStyle name="표준 8 6 3 3 2 2 2 2" xfId="21326"/>
    <cellStyle name="표준 8 6 3 3 2 2 3" xfId="21327"/>
    <cellStyle name="표준 8 6 3 3 2 2 3 2" xfId="21328"/>
    <cellStyle name="표준 8 6 3 3 2 2 4" xfId="21329"/>
    <cellStyle name="표준 8 6 3 3 2 2 5" xfId="21330"/>
    <cellStyle name="표준 8 6 3 3 2 3 2 2" xfId="21331"/>
    <cellStyle name="표준 8 6 3 3 2 3 3" xfId="21332"/>
    <cellStyle name="표준 8 6 3 3 2 3 3 2" xfId="21333"/>
    <cellStyle name="표준 8 6 3 3 2 3 4" xfId="21334"/>
    <cellStyle name="표준 8 6 3 3 2 3 5" xfId="21335"/>
    <cellStyle name="표준 8 6 3 3 2 4 2" xfId="21336"/>
    <cellStyle name="표준 8 6 3 3 2 5" xfId="21337"/>
    <cellStyle name="표준 8 6 3 3 2 5 2" xfId="21338"/>
    <cellStyle name="표준 8 6 3 3 2 6" xfId="21339"/>
    <cellStyle name="표준 8 6 3 3 2 7" xfId="21340"/>
    <cellStyle name="표준 8 6 3 3 3 2 2" xfId="21341"/>
    <cellStyle name="표준 8 6 3 3 3 3" xfId="21342"/>
    <cellStyle name="표준 8 6 3 3 3 3 2" xfId="21343"/>
    <cellStyle name="표준 8 6 3 3 3 4" xfId="21344"/>
    <cellStyle name="표준 8 6 3 3 3 5" xfId="21345"/>
    <cellStyle name="표준 8 6 3 3 4 2 2" xfId="21346"/>
    <cellStyle name="표준 8 6 3 3 4 3" xfId="21347"/>
    <cellStyle name="표준 8 6 3 3 4 3 2" xfId="21348"/>
    <cellStyle name="표준 8 6 3 3 4 4" xfId="21349"/>
    <cellStyle name="표준 8 6 3 3 4 5" xfId="21350"/>
    <cellStyle name="표준 8 6 3 3 5 2" xfId="21351"/>
    <cellStyle name="표준 8 6 3 3 6" xfId="21352"/>
    <cellStyle name="표준 8 6 3 3 6 2" xfId="21353"/>
    <cellStyle name="표준 8 6 3 3 7" xfId="21354"/>
    <cellStyle name="표준 8 6 3 3 8" xfId="21355"/>
    <cellStyle name="표준 8 6 3 4 2 2 2" xfId="21356"/>
    <cellStyle name="표준 8 6 3 4 2 3" xfId="21357"/>
    <cellStyle name="표준 8 6 3 4 2 3 2" xfId="21358"/>
    <cellStyle name="표준 8 6 3 4 2 4" xfId="21359"/>
    <cellStyle name="표준 8 6 3 4 2 5" xfId="21360"/>
    <cellStyle name="표준 8 6 3 4 3 2 2" xfId="21361"/>
    <cellStyle name="표준 8 6 3 4 3 3" xfId="21362"/>
    <cellStyle name="표준 8 6 3 4 3 3 2" xfId="21363"/>
    <cellStyle name="표준 8 6 3 4 3 4" xfId="21364"/>
    <cellStyle name="표준 8 6 3 4 3 5" xfId="21365"/>
    <cellStyle name="표준 8 6 3 4 4 2" xfId="21366"/>
    <cellStyle name="표준 8 6 3 4 5" xfId="21367"/>
    <cellStyle name="표준 8 6 3 4 5 2" xfId="21368"/>
    <cellStyle name="표준 8 6 3 4 6" xfId="21369"/>
    <cellStyle name="표준 8 6 3 4 7" xfId="21370"/>
    <cellStyle name="표준 8 6 3 5 2 2" xfId="21371"/>
    <cellStyle name="표준 8 6 3 5 3" xfId="21372"/>
    <cellStyle name="표준 8 6 3 5 3 2" xfId="21373"/>
    <cellStyle name="표준 8 6 3 5 4" xfId="21374"/>
    <cellStyle name="표준 8 6 3 5 5" xfId="21375"/>
    <cellStyle name="표준 8 6 3 6 2 2" xfId="21376"/>
    <cellStyle name="표준 8 6 3 6 3" xfId="21377"/>
    <cellStyle name="표준 8 6 3 6 3 2" xfId="21378"/>
    <cellStyle name="표준 8 6 3 6 4" xfId="21379"/>
    <cellStyle name="표준 8 6 3 6 5" xfId="21380"/>
    <cellStyle name="표준 8 6 3 7 2" xfId="21381"/>
    <cellStyle name="표준 8 6 3 8" xfId="21382"/>
    <cellStyle name="표준 8 6 3 8 2" xfId="21383"/>
    <cellStyle name="표준 8 6 3 9" xfId="21384"/>
    <cellStyle name="표준 8 6 4 10" xfId="21385"/>
    <cellStyle name="표준 8 6 4 2 2 2 2 2 2" xfId="21386"/>
    <cellStyle name="표준 8 6 4 2 2 2 2 3" xfId="21387"/>
    <cellStyle name="표준 8 6 4 2 2 2 2 3 2" xfId="21388"/>
    <cellStyle name="표준 8 6 4 2 2 2 2 4" xfId="21389"/>
    <cellStyle name="표준 8 6 4 2 2 2 2 5" xfId="21390"/>
    <cellStyle name="표준 8 6 4 2 2 2 3 2 2" xfId="21391"/>
    <cellStyle name="표준 8 6 4 2 2 2 3 3" xfId="21392"/>
    <cellStyle name="표준 8 6 4 2 2 2 3 3 2" xfId="21393"/>
    <cellStyle name="표준 8 6 4 2 2 2 3 4" xfId="21394"/>
    <cellStyle name="표준 8 6 4 2 2 2 3 5" xfId="21395"/>
    <cellStyle name="표준 8 6 4 2 2 2 4 2" xfId="21396"/>
    <cellStyle name="표준 8 6 4 2 2 2 5" xfId="21397"/>
    <cellStyle name="표준 8 6 4 2 2 2 5 2" xfId="21398"/>
    <cellStyle name="표준 8 6 4 2 2 2 6" xfId="21399"/>
    <cellStyle name="표준 8 6 4 2 2 2 7" xfId="21400"/>
    <cellStyle name="표준 8 6 4 2 2 3 2 2" xfId="21401"/>
    <cellStyle name="표준 8 6 4 2 2 3 3" xfId="21402"/>
    <cellStyle name="표준 8 6 4 2 2 3 3 2" xfId="21403"/>
    <cellStyle name="표준 8 6 4 2 2 3 4" xfId="21404"/>
    <cellStyle name="표준 8 6 4 2 2 3 5" xfId="21405"/>
    <cellStyle name="표준 8 6 4 2 2 4 2 2" xfId="21406"/>
    <cellStyle name="표준 8 6 4 2 2 4 3" xfId="21407"/>
    <cellStyle name="표준 8 6 4 2 2 4 3 2" xfId="21408"/>
    <cellStyle name="표준 8 6 4 2 2 4 4" xfId="21409"/>
    <cellStyle name="표준 8 6 4 2 2 4 5" xfId="21410"/>
    <cellStyle name="표준 8 6 4 2 2 5 2" xfId="21411"/>
    <cellStyle name="표준 8 6 4 2 2 6" xfId="21412"/>
    <cellStyle name="표준 8 6 4 2 2 6 2" xfId="21413"/>
    <cellStyle name="표준 8 6 4 2 2 7" xfId="21414"/>
    <cellStyle name="표준 8 6 4 2 2 8" xfId="21415"/>
    <cellStyle name="표준 8 6 4 2 3 2 2 2" xfId="21416"/>
    <cellStyle name="표준 8 6 4 2 3 2 3" xfId="21417"/>
    <cellStyle name="표준 8 6 4 2 3 2 3 2" xfId="21418"/>
    <cellStyle name="표준 8 6 4 2 3 2 4" xfId="21419"/>
    <cellStyle name="표준 8 6 4 2 3 2 5" xfId="21420"/>
    <cellStyle name="표준 8 6 4 2 3 3 2 2" xfId="21421"/>
    <cellStyle name="표준 8 6 4 2 3 3 3" xfId="21422"/>
    <cellStyle name="표준 8 6 4 2 3 3 3 2" xfId="21423"/>
    <cellStyle name="표준 8 6 4 2 3 3 4" xfId="21424"/>
    <cellStyle name="표준 8 6 4 2 3 3 5" xfId="21425"/>
    <cellStyle name="표준 8 6 4 2 3 4 2" xfId="21426"/>
    <cellStyle name="표준 8 6 4 2 3 5" xfId="21427"/>
    <cellStyle name="표준 8 6 4 2 3 5 2" xfId="21428"/>
    <cellStyle name="표준 8 6 4 2 3 6" xfId="21429"/>
    <cellStyle name="표준 8 6 4 2 3 7" xfId="21430"/>
    <cellStyle name="표준 8 6 4 2 4 2 2" xfId="21431"/>
    <cellStyle name="표준 8 6 4 2 4 3" xfId="21432"/>
    <cellStyle name="표준 8 6 4 2 4 3 2" xfId="21433"/>
    <cellStyle name="표준 8 6 4 2 4 4" xfId="21434"/>
    <cellStyle name="표준 8 6 4 2 4 5" xfId="21435"/>
    <cellStyle name="표준 8 6 4 2 5 2 2" xfId="21436"/>
    <cellStyle name="표준 8 6 4 2 5 3" xfId="21437"/>
    <cellStyle name="표준 8 6 4 2 5 3 2" xfId="21438"/>
    <cellStyle name="표준 8 6 4 2 5 4" xfId="21439"/>
    <cellStyle name="표준 8 6 4 2 5 5" xfId="21440"/>
    <cellStyle name="표준 8 6 4 2 6 2" xfId="21441"/>
    <cellStyle name="표준 8 6 4 2 7" xfId="21442"/>
    <cellStyle name="표준 8 6 4 2 7 2" xfId="21443"/>
    <cellStyle name="표준 8 6 4 2 8" xfId="21444"/>
    <cellStyle name="표준 8 6 4 2 9" xfId="21445"/>
    <cellStyle name="표준 8 6 4 3 2 2 2 2" xfId="21446"/>
    <cellStyle name="표준 8 6 4 3 2 2 3" xfId="21447"/>
    <cellStyle name="표준 8 6 4 3 2 2 3 2" xfId="21448"/>
    <cellStyle name="표준 8 6 4 3 2 2 4" xfId="21449"/>
    <cellStyle name="표준 8 6 4 3 2 2 5" xfId="21450"/>
    <cellStyle name="표준 8 6 4 3 2 3 2 2" xfId="21451"/>
    <cellStyle name="표준 8 6 4 3 2 3 3" xfId="21452"/>
    <cellStyle name="표준 8 6 4 3 2 3 3 2" xfId="21453"/>
    <cellStyle name="표준 8 6 4 3 2 3 4" xfId="21454"/>
    <cellStyle name="표준 8 6 4 3 2 3 5" xfId="21455"/>
    <cellStyle name="표준 8 6 4 3 2 4 2" xfId="21456"/>
    <cellStyle name="표준 8 6 4 3 2 5" xfId="21457"/>
    <cellStyle name="표준 8 6 4 3 2 5 2" xfId="21458"/>
    <cellStyle name="표준 8 6 4 3 2 6" xfId="21459"/>
    <cellStyle name="표준 8 6 4 3 2 7" xfId="21460"/>
    <cellStyle name="표준 8 6 4 3 3 2 2" xfId="21461"/>
    <cellStyle name="표준 8 6 4 3 3 3" xfId="21462"/>
    <cellStyle name="표준 8 6 4 3 3 3 2" xfId="21463"/>
    <cellStyle name="표준 8 6 4 3 3 4" xfId="21464"/>
    <cellStyle name="표준 8 6 4 3 3 5" xfId="21465"/>
    <cellStyle name="표준 8 6 4 3 4 2 2" xfId="21466"/>
    <cellStyle name="표준 8 6 4 3 4 3" xfId="21467"/>
    <cellStyle name="표준 8 6 4 3 4 3 2" xfId="21468"/>
    <cellStyle name="표준 8 6 4 3 4 4" xfId="21469"/>
    <cellStyle name="표준 8 6 4 3 4 5" xfId="21470"/>
    <cellStyle name="표준 8 6 4 3 5 2" xfId="21471"/>
    <cellStyle name="표준 8 6 4 3 6" xfId="21472"/>
    <cellStyle name="표준 8 6 4 3 6 2" xfId="21473"/>
    <cellStyle name="표준 8 6 4 3 7" xfId="21474"/>
    <cellStyle name="표준 8 6 4 3 8" xfId="21475"/>
    <cellStyle name="표준 8 6 4 4 2 2 2" xfId="21476"/>
    <cellStyle name="표준 8 6 4 4 2 3" xfId="21477"/>
    <cellStyle name="표준 8 6 4 4 2 3 2" xfId="21478"/>
    <cellStyle name="표준 8 6 4 4 2 4" xfId="21479"/>
    <cellStyle name="표준 8 6 4 4 2 5" xfId="21480"/>
    <cellStyle name="표준 8 6 4 4 3 2 2" xfId="21481"/>
    <cellStyle name="표준 8 6 4 4 3 3" xfId="21482"/>
    <cellStyle name="표준 8 6 4 4 3 3 2" xfId="21483"/>
    <cellStyle name="표준 8 6 4 4 3 4" xfId="21484"/>
    <cellStyle name="표준 8 6 4 4 3 5" xfId="21485"/>
    <cellStyle name="표준 8 6 4 4 4 2" xfId="21486"/>
    <cellStyle name="표준 8 6 4 4 5" xfId="21487"/>
    <cellStyle name="표준 8 6 4 4 5 2" xfId="21488"/>
    <cellStyle name="표준 8 6 4 4 6" xfId="21489"/>
    <cellStyle name="표준 8 6 4 4 7" xfId="21490"/>
    <cellStyle name="표준 8 6 4 5 2 2" xfId="21491"/>
    <cellStyle name="표준 8 6 4 5 3" xfId="21492"/>
    <cellStyle name="표준 8 6 4 5 3 2" xfId="21493"/>
    <cellStyle name="표준 8 6 4 5 4" xfId="21494"/>
    <cellStyle name="표준 8 6 4 5 5" xfId="21495"/>
    <cellStyle name="표준 8 6 4 6 2 2" xfId="21496"/>
    <cellStyle name="표준 8 6 4 6 3" xfId="21497"/>
    <cellStyle name="표준 8 6 4 6 3 2" xfId="21498"/>
    <cellStyle name="표준 8 6 4 6 4" xfId="21499"/>
    <cellStyle name="표준 8 6 4 6 5" xfId="21500"/>
    <cellStyle name="표준 8 6 4 7 2" xfId="21501"/>
    <cellStyle name="표준 8 6 4 8" xfId="21502"/>
    <cellStyle name="표준 8 6 4 8 2" xfId="21503"/>
    <cellStyle name="표준 8 6 4 9" xfId="21504"/>
    <cellStyle name="표준 8 6 5 2 2 2 2 2" xfId="21505"/>
    <cellStyle name="표준 8 6 5 2 2 2 3" xfId="21506"/>
    <cellStyle name="표준 8 6 5 2 2 2 3 2" xfId="21507"/>
    <cellStyle name="표준 8 6 5 2 2 2 4" xfId="21508"/>
    <cellStyle name="표준 8 6 5 2 2 2 5" xfId="21509"/>
    <cellStyle name="표준 8 6 5 2 2 3 2 2" xfId="21510"/>
    <cellStyle name="표준 8 6 5 2 2 3 3" xfId="21511"/>
    <cellStyle name="표준 8 6 5 2 2 3 3 2" xfId="21512"/>
    <cellStyle name="표준 8 6 5 2 2 3 4" xfId="21513"/>
    <cellStyle name="표준 8 6 5 2 2 3 5" xfId="21514"/>
    <cellStyle name="표준 8 6 5 2 2 4 2" xfId="21515"/>
    <cellStyle name="표준 8 6 5 2 2 5" xfId="21516"/>
    <cellStyle name="표준 8 6 5 2 2 5 2" xfId="21517"/>
    <cellStyle name="표준 8 6 5 2 2 6" xfId="21518"/>
    <cellStyle name="표준 8 6 5 2 2 7" xfId="21519"/>
    <cellStyle name="표준 8 6 5 2 3 2 2" xfId="21520"/>
    <cellStyle name="표준 8 6 5 2 3 3" xfId="21521"/>
    <cellStyle name="표준 8 6 5 2 3 3 2" xfId="21522"/>
    <cellStyle name="표준 8 6 5 2 3 4" xfId="21523"/>
    <cellStyle name="표준 8 6 5 2 3 5" xfId="21524"/>
    <cellStyle name="표준 8 6 5 2 4 2 2" xfId="21525"/>
    <cellStyle name="표준 8 6 5 2 4 3" xfId="21526"/>
    <cellStyle name="표준 8 6 5 2 4 3 2" xfId="21527"/>
    <cellStyle name="표준 8 6 5 2 4 4" xfId="21528"/>
    <cellStyle name="표준 8 6 5 2 4 5" xfId="21529"/>
    <cellStyle name="표준 8 6 5 2 5 2" xfId="21530"/>
    <cellStyle name="표준 8 6 5 2 6" xfId="21531"/>
    <cellStyle name="표준 8 6 5 2 6 2" xfId="21532"/>
    <cellStyle name="표준 8 6 5 2 7" xfId="21533"/>
    <cellStyle name="표준 8 6 5 2 8" xfId="21534"/>
    <cellStyle name="표준 8 6 5 3 2 2 2" xfId="21535"/>
    <cellStyle name="표준 8 6 5 3 2 3" xfId="21536"/>
    <cellStyle name="표준 8 6 5 3 2 3 2" xfId="21537"/>
    <cellStyle name="표준 8 6 5 3 2 4" xfId="21538"/>
    <cellStyle name="표준 8 6 5 3 2 5" xfId="21539"/>
    <cellStyle name="표준 8 6 5 3 3 2 2" xfId="21540"/>
    <cellStyle name="표준 8 6 5 3 3 3" xfId="21541"/>
    <cellStyle name="표준 8 6 5 3 3 3 2" xfId="21542"/>
    <cellStyle name="표준 8 6 5 3 3 4" xfId="21543"/>
    <cellStyle name="표준 8 6 5 3 3 5" xfId="21544"/>
    <cellStyle name="표준 8 6 5 3 4 2" xfId="21545"/>
    <cellStyle name="표준 8 6 5 3 5" xfId="21546"/>
    <cellStyle name="표준 8 6 5 3 5 2" xfId="21547"/>
    <cellStyle name="표준 8 6 5 3 6" xfId="21548"/>
    <cellStyle name="표준 8 6 5 3 7" xfId="21549"/>
    <cellStyle name="표준 8 6 5 4 2 2" xfId="21550"/>
    <cellStyle name="표준 8 6 5 4 3" xfId="21551"/>
    <cellStyle name="표준 8 6 5 4 3 2" xfId="21552"/>
    <cellStyle name="표준 8 6 5 4 4" xfId="21553"/>
    <cellStyle name="표준 8 6 5 4 5" xfId="21554"/>
    <cellStyle name="표준 8 6 5 5 2 2" xfId="21555"/>
    <cellStyle name="표준 8 6 5 5 3" xfId="21556"/>
    <cellStyle name="표준 8 6 5 5 3 2" xfId="21557"/>
    <cellStyle name="표준 8 6 5 5 4" xfId="21558"/>
    <cellStyle name="표준 8 6 5 5 5" xfId="21559"/>
    <cellStyle name="표준 8 6 5 6 2" xfId="21560"/>
    <cellStyle name="표준 8 6 5 7" xfId="21561"/>
    <cellStyle name="표준 8 6 5 7 2" xfId="21562"/>
    <cellStyle name="표준 8 6 5 8" xfId="21563"/>
    <cellStyle name="표준 8 6 5 9" xfId="21564"/>
    <cellStyle name="표준 8 6 6 2 2 2 2" xfId="21565"/>
    <cellStyle name="표준 8 6 6 2 2 3" xfId="21566"/>
    <cellStyle name="표준 8 6 6 2 2 3 2" xfId="21567"/>
    <cellStyle name="표준 8 6 6 2 2 4" xfId="21568"/>
    <cellStyle name="표준 8 6 6 2 2 5" xfId="21569"/>
    <cellStyle name="표준 8 6 6 2 3 2 2" xfId="21570"/>
    <cellStyle name="표준 8 6 6 2 3 3" xfId="21571"/>
    <cellStyle name="표준 8 6 6 2 3 3 2" xfId="21572"/>
    <cellStyle name="표준 8 6 6 2 3 4" xfId="21573"/>
    <cellStyle name="표준 8 6 6 2 3 5" xfId="21574"/>
    <cellStyle name="표준 8 6 6 2 4 2" xfId="21575"/>
    <cellStyle name="표준 8 6 6 2 5" xfId="21576"/>
    <cellStyle name="표준 8 6 6 2 5 2" xfId="21577"/>
    <cellStyle name="표준 8 6 6 2 6" xfId="21578"/>
    <cellStyle name="표준 8 6 6 2 7" xfId="21579"/>
    <cellStyle name="표준 8 6 6 3 2 2" xfId="21580"/>
    <cellStyle name="표준 8 6 6 3 3" xfId="21581"/>
    <cellStyle name="표준 8 6 6 3 3 2" xfId="21582"/>
    <cellStyle name="표준 8 6 6 3 4" xfId="21583"/>
    <cellStyle name="표준 8 6 6 3 5" xfId="21584"/>
    <cellStyle name="표준 8 6 6 4 2 2" xfId="21585"/>
    <cellStyle name="표준 8 6 6 4 3" xfId="21586"/>
    <cellStyle name="표준 8 6 6 4 3 2" xfId="21587"/>
    <cellStyle name="표준 8 6 6 4 4" xfId="21588"/>
    <cellStyle name="표준 8 6 6 4 5" xfId="21589"/>
    <cellStyle name="표준 8 6 6 5 2" xfId="21590"/>
    <cellStyle name="표준 8 6 6 6" xfId="21591"/>
    <cellStyle name="표준 8 6 6 6 2" xfId="21592"/>
    <cellStyle name="표준 8 6 6 7" xfId="21593"/>
    <cellStyle name="표준 8 6 6 8" xfId="21594"/>
    <cellStyle name="표준 8 6 7 2 2 2" xfId="21595"/>
    <cellStyle name="표준 8 6 7 2 3" xfId="21596"/>
    <cellStyle name="표준 8 6 7 2 3 2" xfId="21597"/>
    <cellStyle name="표준 8 6 7 2 4" xfId="21598"/>
    <cellStyle name="표준 8 6 7 2 5" xfId="21599"/>
    <cellStyle name="표준 8 6 7 3 2 2" xfId="21600"/>
    <cellStyle name="표준 8 6 7 3 3" xfId="21601"/>
    <cellStyle name="표준 8 6 7 3 3 2" xfId="21602"/>
    <cellStyle name="표준 8 6 7 3 4" xfId="21603"/>
    <cellStyle name="표준 8 6 7 3 5" xfId="21604"/>
    <cellStyle name="표준 8 6 7 4 2" xfId="21605"/>
    <cellStyle name="표준 8 6 7 5" xfId="21606"/>
    <cellStyle name="표준 8 6 7 5 2" xfId="21607"/>
    <cellStyle name="표준 8 6 7 6" xfId="21608"/>
    <cellStyle name="표준 8 6 7 7" xfId="21609"/>
    <cellStyle name="표준 8 6 8 2 2" xfId="21610"/>
    <cellStyle name="표준 8 6 8 3" xfId="21611"/>
    <cellStyle name="표준 8 6 8 3 2" xfId="21612"/>
    <cellStyle name="표준 8 6 8 4" xfId="21613"/>
    <cellStyle name="표준 8 6 8 5" xfId="21614"/>
    <cellStyle name="표준 8 6 9 2 2" xfId="21615"/>
    <cellStyle name="표준 8 6 9 3" xfId="21616"/>
    <cellStyle name="표준 8 6 9 3 2" xfId="21617"/>
    <cellStyle name="표준 8 6 9 4" xfId="21618"/>
    <cellStyle name="표준 8 6 9 5" xfId="21619"/>
    <cellStyle name="표준 8 7 10 2" xfId="21620"/>
    <cellStyle name="표준 8 7 11" xfId="21621"/>
    <cellStyle name="표준 8 7 11 2" xfId="21622"/>
    <cellStyle name="표준 8 7 12" xfId="21623"/>
    <cellStyle name="표준 8 7 13" xfId="21624"/>
    <cellStyle name="표준 8 7 2 10" xfId="21625"/>
    <cellStyle name="표준 8 7 2 2 2 2 2 2 2" xfId="21626"/>
    <cellStyle name="표준 8 7 2 2 2 2 2 3" xfId="21627"/>
    <cellStyle name="표준 8 7 2 2 2 2 2 3 2" xfId="21628"/>
    <cellStyle name="표준 8 7 2 2 2 2 2 4" xfId="21629"/>
    <cellStyle name="표준 8 7 2 2 2 2 2 5" xfId="21630"/>
    <cellStyle name="표준 8 7 2 2 2 2 3 2 2" xfId="21631"/>
    <cellStyle name="표준 8 7 2 2 2 2 3 3" xfId="21632"/>
    <cellStyle name="표준 8 7 2 2 2 2 3 3 2" xfId="21633"/>
    <cellStyle name="표준 8 7 2 2 2 2 3 4" xfId="21634"/>
    <cellStyle name="표준 8 7 2 2 2 2 3 5" xfId="21635"/>
    <cellStyle name="표준 8 7 2 2 2 2 4 2" xfId="21636"/>
    <cellStyle name="표준 8 7 2 2 2 2 5" xfId="21637"/>
    <cellStyle name="표준 8 7 2 2 2 2 5 2" xfId="21638"/>
    <cellStyle name="표준 8 7 2 2 2 2 6" xfId="21639"/>
    <cellStyle name="표준 8 7 2 2 2 2 7" xfId="21640"/>
    <cellStyle name="표준 8 7 2 2 2 3 2 2" xfId="21641"/>
    <cellStyle name="표준 8 7 2 2 2 3 3" xfId="21642"/>
    <cellStyle name="표준 8 7 2 2 2 3 3 2" xfId="21643"/>
    <cellStyle name="표준 8 7 2 2 2 3 4" xfId="21644"/>
    <cellStyle name="표준 8 7 2 2 2 3 5" xfId="21645"/>
    <cellStyle name="표준 8 7 2 2 2 4 2 2" xfId="21646"/>
    <cellStyle name="표준 8 7 2 2 2 4 3" xfId="21647"/>
    <cellStyle name="표준 8 7 2 2 2 4 3 2" xfId="21648"/>
    <cellStyle name="표준 8 7 2 2 2 4 4" xfId="21649"/>
    <cellStyle name="표준 8 7 2 2 2 4 5" xfId="21650"/>
    <cellStyle name="표준 8 7 2 2 2 5 2" xfId="21651"/>
    <cellStyle name="표준 8 7 2 2 2 6" xfId="21652"/>
    <cellStyle name="표준 8 7 2 2 2 6 2" xfId="21653"/>
    <cellStyle name="표준 8 7 2 2 2 7" xfId="21654"/>
    <cellStyle name="표준 8 7 2 2 2 8" xfId="21655"/>
    <cellStyle name="표준 8 7 2 2 3 2 2 2" xfId="21656"/>
    <cellStyle name="표준 8 7 2 2 3 2 3" xfId="21657"/>
    <cellStyle name="표준 8 7 2 2 3 2 3 2" xfId="21658"/>
    <cellStyle name="표준 8 7 2 2 3 2 4" xfId="21659"/>
    <cellStyle name="표준 8 7 2 2 3 2 5" xfId="21660"/>
    <cellStyle name="표준 8 7 2 2 3 3 2 2" xfId="21661"/>
    <cellStyle name="표준 8 7 2 2 3 3 3" xfId="21662"/>
    <cellStyle name="표준 8 7 2 2 3 3 3 2" xfId="21663"/>
    <cellStyle name="표준 8 7 2 2 3 3 4" xfId="21664"/>
    <cellStyle name="표준 8 7 2 2 3 3 5" xfId="21665"/>
    <cellStyle name="표준 8 7 2 2 3 4 2" xfId="21666"/>
    <cellStyle name="표준 8 7 2 2 3 5" xfId="21667"/>
    <cellStyle name="표준 8 7 2 2 3 5 2" xfId="21668"/>
    <cellStyle name="표준 8 7 2 2 3 6" xfId="21669"/>
    <cellStyle name="표준 8 7 2 2 3 7" xfId="21670"/>
    <cellStyle name="표준 8 7 2 2 4 2 2" xfId="21671"/>
    <cellStyle name="표준 8 7 2 2 4 3" xfId="21672"/>
    <cellStyle name="표준 8 7 2 2 4 3 2" xfId="21673"/>
    <cellStyle name="표준 8 7 2 2 4 4" xfId="21674"/>
    <cellStyle name="표준 8 7 2 2 4 5" xfId="21675"/>
    <cellStyle name="표준 8 7 2 2 5 2 2" xfId="21676"/>
    <cellStyle name="표준 8 7 2 2 5 3" xfId="21677"/>
    <cellStyle name="표준 8 7 2 2 5 3 2" xfId="21678"/>
    <cellStyle name="표준 8 7 2 2 5 4" xfId="21679"/>
    <cellStyle name="표준 8 7 2 2 5 5" xfId="21680"/>
    <cellStyle name="표준 8 7 2 2 6 2" xfId="21681"/>
    <cellStyle name="표준 8 7 2 2 7" xfId="21682"/>
    <cellStyle name="표준 8 7 2 2 7 2" xfId="21683"/>
    <cellStyle name="표준 8 7 2 2 8" xfId="21684"/>
    <cellStyle name="표준 8 7 2 2 9" xfId="21685"/>
    <cellStyle name="표준 8 7 2 3 2 2 2 2" xfId="21686"/>
    <cellStyle name="표준 8 7 2 3 2 2 3" xfId="21687"/>
    <cellStyle name="표준 8 7 2 3 2 2 3 2" xfId="21688"/>
    <cellStyle name="표준 8 7 2 3 2 2 4" xfId="21689"/>
    <cellStyle name="표준 8 7 2 3 2 2 5" xfId="21690"/>
    <cellStyle name="표준 8 7 2 3 2 3 2 2" xfId="21691"/>
    <cellStyle name="표준 8 7 2 3 2 3 3" xfId="21692"/>
    <cellStyle name="표준 8 7 2 3 2 3 3 2" xfId="21693"/>
    <cellStyle name="표준 8 7 2 3 2 3 4" xfId="21694"/>
    <cellStyle name="표준 8 7 2 3 2 3 5" xfId="21695"/>
    <cellStyle name="표준 8 7 2 3 2 4 2" xfId="21696"/>
    <cellStyle name="표준 8 7 2 3 2 5" xfId="21697"/>
    <cellStyle name="표준 8 7 2 3 2 5 2" xfId="21698"/>
    <cellStyle name="표준 8 7 2 3 2 6" xfId="21699"/>
    <cellStyle name="표준 8 7 2 3 2 7" xfId="21700"/>
    <cellStyle name="표준 8 7 2 3 3 2 2" xfId="21701"/>
    <cellStyle name="표준 8 7 2 3 3 3" xfId="21702"/>
    <cellStyle name="표준 8 7 2 3 3 3 2" xfId="21703"/>
    <cellStyle name="표준 8 7 2 3 3 4" xfId="21704"/>
    <cellStyle name="표준 8 7 2 3 3 5" xfId="21705"/>
    <cellStyle name="표준 8 7 2 3 4 2 2" xfId="21706"/>
    <cellStyle name="표준 8 7 2 3 4 3" xfId="21707"/>
    <cellStyle name="표준 8 7 2 3 4 3 2" xfId="21708"/>
    <cellStyle name="표준 8 7 2 3 4 4" xfId="21709"/>
    <cellStyle name="표준 8 7 2 3 4 5" xfId="21710"/>
    <cellStyle name="표준 8 7 2 3 5 2" xfId="21711"/>
    <cellStyle name="표준 8 7 2 3 6" xfId="21712"/>
    <cellStyle name="표준 8 7 2 3 6 2" xfId="21713"/>
    <cellStyle name="표준 8 7 2 3 7" xfId="21714"/>
    <cellStyle name="표준 8 7 2 3 8" xfId="21715"/>
    <cellStyle name="표준 8 7 2 4 2 2 2" xfId="21716"/>
    <cellStyle name="표준 8 7 2 4 2 3" xfId="21717"/>
    <cellStyle name="표준 8 7 2 4 2 3 2" xfId="21718"/>
    <cellStyle name="표준 8 7 2 4 2 4" xfId="21719"/>
    <cellStyle name="표준 8 7 2 4 2 5" xfId="21720"/>
    <cellStyle name="표준 8 7 2 4 3 2 2" xfId="21721"/>
    <cellStyle name="표준 8 7 2 4 3 3" xfId="21722"/>
    <cellStyle name="표준 8 7 2 4 3 3 2" xfId="21723"/>
    <cellStyle name="표준 8 7 2 4 3 4" xfId="21724"/>
    <cellStyle name="표준 8 7 2 4 3 5" xfId="21725"/>
    <cellStyle name="표준 8 7 2 4 4 2" xfId="21726"/>
    <cellStyle name="표준 8 7 2 4 5" xfId="21727"/>
    <cellStyle name="표준 8 7 2 4 5 2" xfId="21728"/>
    <cellStyle name="표준 8 7 2 4 6" xfId="21729"/>
    <cellStyle name="표준 8 7 2 4 7" xfId="21730"/>
    <cellStyle name="표준 8 7 2 5 2 2" xfId="21731"/>
    <cellStyle name="표준 8 7 2 5 3" xfId="21732"/>
    <cellStyle name="표준 8 7 2 5 3 2" xfId="21733"/>
    <cellStyle name="표준 8 7 2 5 4" xfId="21734"/>
    <cellStyle name="표준 8 7 2 5 5" xfId="21735"/>
    <cellStyle name="표준 8 7 2 6 2 2" xfId="21736"/>
    <cellStyle name="표준 8 7 2 6 3" xfId="21737"/>
    <cellStyle name="표준 8 7 2 6 3 2" xfId="21738"/>
    <cellStyle name="표준 8 7 2 6 4" xfId="21739"/>
    <cellStyle name="표준 8 7 2 6 5" xfId="21740"/>
    <cellStyle name="표준 8 7 2 7 2" xfId="21741"/>
    <cellStyle name="표준 8 7 2 8" xfId="21742"/>
    <cellStyle name="표준 8 7 2 8 2" xfId="21743"/>
    <cellStyle name="표준 8 7 2 9" xfId="21744"/>
    <cellStyle name="표준 8 7 3 10" xfId="21745"/>
    <cellStyle name="표준 8 7 3 2 2 2 2 2 2" xfId="21746"/>
    <cellStyle name="표준 8 7 3 2 2 2 2 3" xfId="21747"/>
    <cellStyle name="표준 8 7 3 2 2 2 2 3 2" xfId="21748"/>
    <cellStyle name="표준 8 7 3 2 2 2 2 4" xfId="21749"/>
    <cellStyle name="표준 8 7 3 2 2 2 2 5" xfId="21750"/>
    <cellStyle name="표준 8 7 3 2 2 2 3 2 2" xfId="21751"/>
    <cellStyle name="표준 8 7 3 2 2 2 3 3" xfId="21752"/>
    <cellStyle name="표준 8 7 3 2 2 2 3 3 2" xfId="21753"/>
    <cellStyle name="표준 8 7 3 2 2 2 3 4" xfId="21754"/>
    <cellStyle name="표준 8 7 3 2 2 2 3 5" xfId="21755"/>
    <cellStyle name="표준 8 7 3 2 2 2 4 2" xfId="21756"/>
    <cellStyle name="표준 8 7 3 2 2 2 5" xfId="21757"/>
    <cellStyle name="표준 8 7 3 2 2 2 5 2" xfId="21758"/>
    <cellStyle name="표준 8 7 3 2 2 2 6" xfId="21759"/>
    <cellStyle name="표준 8 7 3 2 2 2 7" xfId="21760"/>
    <cellStyle name="표준 8 7 3 2 2 3 2 2" xfId="21761"/>
    <cellStyle name="표준 8 7 3 2 2 3 3" xfId="21762"/>
    <cellStyle name="표준 8 7 3 2 2 3 3 2" xfId="21763"/>
    <cellStyle name="표준 8 7 3 2 2 3 4" xfId="21764"/>
    <cellStyle name="표준 8 7 3 2 2 3 5" xfId="21765"/>
    <cellStyle name="표준 8 7 3 2 2 4 2 2" xfId="21766"/>
    <cellStyle name="표준 8 7 3 2 2 4 3" xfId="21767"/>
    <cellStyle name="표준 8 7 3 2 2 4 3 2" xfId="21768"/>
    <cellStyle name="표준 8 7 3 2 2 4 4" xfId="21769"/>
    <cellStyle name="표준 8 7 3 2 2 4 5" xfId="21770"/>
    <cellStyle name="표준 8 7 3 2 2 5 2" xfId="21771"/>
    <cellStyle name="표준 8 7 3 2 2 6" xfId="21772"/>
    <cellStyle name="표준 8 7 3 2 2 6 2" xfId="21773"/>
    <cellStyle name="표준 8 7 3 2 2 7" xfId="21774"/>
    <cellStyle name="표준 8 7 3 2 2 8" xfId="21775"/>
    <cellStyle name="표준 8 7 3 2 3 2 2 2" xfId="21776"/>
    <cellStyle name="표준 8 7 3 2 3 2 3" xfId="21777"/>
    <cellStyle name="표준 8 7 3 2 3 2 3 2" xfId="21778"/>
    <cellStyle name="표준 8 7 3 2 3 2 4" xfId="21779"/>
    <cellStyle name="표준 8 7 3 2 3 2 5" xfId="21780"/>
    <cellStyle name="표준 8 7 3 2 3 3 2 2" xfId="21781"/>
    <cellStyle name="표준 8 7 3 2 3 3 3" xfId="21782"/>
    <cellStyle name="표준 8 7 3 2 3 3 3 2" xfId="21783"/>
    <cellStyle name="표준 8 7 3 2 3 3 4" xfId="21784"/>
    <cellStyle name="표준 8 7 3 2 3 3 5" xfId="21785"/>
    <cellStyle name="표준 8 7 3 2 3 4 2" xfId="21786"/>
    <cellStyle name="표준 8 7 3 2 3 5" xfId="21787"/>
    <cellStyle name="표준 8 7 3 2 3 5 2" xfId="21788"/>
    <cellStyle name="표준 8 7 3 2 3 6" xfId="21789"/>
    <cellStyle name="표준 8 7 3 2 3 7" xfId="21790"/>
    <cellStyle name="표준 8 7 3 2 4 2 2" xfId="21791"/>
    <cellStyle name="표준 8 7 3 2 4 3" xfId="21792"/>
    <cellStyle name="표준 8 7 3 2 4 3 2" xfId="21793"/>
    <cellStyle name="표준 8 7 3 2 4 4" xfId="21794"/>
    <cellStyle name="표준 8 7 3 2 4 5" xfId="21795"/>
    <cellStyle name="표준 8 7 3 2 5 2 2" xfId="21796"/>
    <cellStyle name="표준 8 7 3 2 5 3" xfId="21797"/>
    <cellStyle name="표준 8 7 3 2 5 3 2" xfId="21798"/>
    <cellStyle name="표준 8 7 3 2 5 4" xfId="21799"/>
    <cellStyle name="표준 8 7 3 2 5 5" xfId="21800"/>
    <cellStyle name="표준 8 7 3 2 6 2" xfId="21801"/>
    <cellStyle name="표준 8 7 3 2 7" xfId="21802"/>
    <cellStyle name="표준 8 7 3 2 7 2" xfId="21803"/>
    <cellStyle name="표준 8 7 3 2 8" xfId="21804"/>
    <cellStyle name="표준 8 7 3 2 9" xfId="21805"/>
    <cellStyle name="표준 8 7 3 3 2 2 2 2" xfId="21806"/>
    <cellStyle name="표준 8 7 3 3 2 2 3" xfId="21807"/>
    <cellStyle name="표준 8 7 3 3 2 2 3 2" xfId="21808"/>
    <cellStyle name="표준 8 7 3 3 2 2 4" xfId="21809"/>
    <cellStyle name="표준 8 7 3 3 2 2 5" xfId="21810"/>
    <cellStyle name="표준 8 7 3 3 2 3 2 2" xfId="21811"/>
    <cellStyle name="표준 8 7 3 3 2 3 3" xfId="21812"/>
    <cellStyle name="표준 8 7 3 3 2 3 3 2" xfId="21813"/>
    <cellStyle name="표준 8 7 3 3 2 3 4" xfId="21814"/>
    <cellStyle name="표준 8 7 3 3 2 3 5" xfId="21815"/>
    <cellStyle name="표준 8 7 3 3 2 4 2" xfId="21816"/>
    <cellStyle name="표준 8 7 3 3 2 5" xfId="21817"/>
    <cellStyle name="표준 8 7 3 3 2 5 2" xfId="21818"/>
    <cellStyle name="표준 8 7 3 3 2 6" xfId="21819"/>
    <cellStyle name="표준 8 7 3 3 2 7" xfId="21820"/>
    <cellStyle name="표준 8 7 3 3 3 2 2" xfId="21821"/>
    <cellStyle name="표준 8 7 3 3 3 3" xfId="21822"/>
    <cellStyle name="표준 8 7 3 3 3 3 2" xfId="21823"/>
    <cellStyle name="표준 8 7 3 3 3 4" xfId="21824"/>
    <cellStyle name="표준 8 7 3 3 3 5" xfId="21825"/>
    <cellStyle name="표준 8 7 3 3 4 2 2" xfId="21826"/>
    <cellStyle name="표준 8 7 3 3 4 3" xfId="21827"/>
    <cellStyle name="표준 8 7 3 3 4 3 2" xfId="21828"/>
    <cellStyle name="표준 8 7 3 3 4 4" xfId="21829"/>
    <cellStyle name="표준 8 7 3 3 4 5" xfId="21830"/>
    <cellStyle name="표준 8 7 3 3 5 2" xfId="21831"/>
    <cellStyle name="표준 8 7 3 3 6" xfId="21832"/>
    <cellStyle name="표준 8 7 3 3 6 2" xfId="21833"/>
    <cellStyle name="표준 8 7 3 3 7" xfId="21834"/>
    <cellStyle name="표준 8 7 3 3 8" xfId="21835"/>
    <cellStyle name="표준 8 7 3 4 2 2 2" xfId="21836"/>
    <cellStyle name="표준 8 7 3 4 2 3" xfId="21837"/>
    <cellStyle name="표준 8 7 3 4 2 3 2" xfId="21838"/>
    <cellStyle name="표준 8 7 3 4 2 4" xfId="21839"/>
    <cellStyle name="표준 8 7 3 4 2 5" xfId="21840"/>
    <cellStyle name="표준 8 7 3 4 3 2 2" xfId="21841"/>
    <cellStyle name="표준 8 7 3 4 3 3" xfId="21842"/>
    <cellStyle name="표준 8 7 3 4 3 3 2" xfId="21843"/>
    <cellStyle name="표준 8 7 3 4 3 4" xfId="21844"/>
    <cellStyle name="표준 8 7 3 4 3 5" xfId="21845"/>
    <cellStyle name="표준 8 7 3 4 4 2" xfId="21846"/>
    <cellStyle name="표준 8 7 3 4 5" xfId="21847"/>
    <cellStyle name="표준 8 7 3 4 5 2" xfId="21848"/>
    <cellStyle name="표준 8 7 3 4 6" xfId="21849"/>
    <cellStyle name="표준 8 7 3 4 7" xfId="21850"/>
    <cellStyle name="표준 8 7 3 5 2 2" xfId="21851"/>
    <cellStyle name="표준 8 7 3 5 3" xfId="21852"/>
    <cellStyle name="표준 8 7 3 5 3 2" xfId="21853"/>
    <cellStyle name="표준 8 7 3 5 4" xfId="21854"/>
    <cellStyle name="표준 8 7 3 5 5" xfId="21855"/>
    <cellStyle name="표준 8 7 3 6 2 2" xfId="21856"/>
    <cellStyle name="표준 8 7 3 6 3" xfId="21857"/>
    <cellStyle name="표준 8 7 3 6 3 2" xfId="21858"/>
    <cellStyle name="표준 8 7 3 6 4" xfId="21859"/>
    <cellStyle name="표준 8 7 3 6 5" xfId="21860"/>
    <cellStyle name="표준 8 7 3 7 2" xfId="21861"/>
    <cellStyle name="표준 8 7 3 8" xfId="21862"/>
    <cellStyle name="표준 8 7 3 8 2" xfId="21863"/>
    <cellStyle name="표준 8 7 3 9" xfId="21864"/>
    <cellStyle name="표준 8 7 4 10" xfId="21865"/>
    <cellStyle name="표준 8 7 4 2 2 2 2 2 2" xfId="21866"/>
    <cellStyle name="표준 8 7 4 2 2 2 2 3" xfId="21867"/>
    <cellStyle name="표준 8 7 4 2 2 2 2 3 2" xfId="21868"/>
    <cellStyle name="표준 8 7 4 2 2 2 2 4" xfId="21869"/>
    <cellStyle name="표준 8 7 4 2 2 2 2 5" xfId="21870"/>
    <cellStyle name="표준 8 7 4 2 2 2 3 2 2" xfId="21871"/>
    <cellStyle name="표준 8 7 4 2 2 2 3 3" xfId="21872"/>
    <cellStyle name="표준 8 7 4 2 2 2 3 3 2" xfId="21873"/>
    <cellStyle name="표준 8 7 4 2 2 2 3 4" xfId="21874"/>
    <cellStyle name="표준 8 7 4 2 2 2 3 5" xfId="21875"/>
    <cellStyle name="표준 8 7 4 2 2 2 4 2" xfId="21876"/>
    <cellStyle name="표준 8 7 4 2 2 2 5" xfId="21877"/>
    <cellStyle name="표준 8 7 4 2 2 2 5 2" xfId="21878"/>
    <cellStyle name="표준 8 7 4 2 2 2 6" xfId="21879"/>
    <cellStyle name="표준 8 7 4 2 2 2 7" xfId="21880"/>
    <cellStyle name="표준 8 7 4 2 2 3 2 2" xfId="21881"/>
    <cellStyle name="표준 8 7 4 2 2 3 3" xfId="21882"/>
    <cellStyle name="표준 8 7 4 2 2 3 3 2" xfId="21883"/>
    <cellStyle name="표준 8 7 4 2 2 3 4" xfId="21884"/>
    <cellStyle name="표준 8 7 4 2 2 3 5" xfId="21885"/>
    <cellStyle name="표준 8 7 4 2 2 4 2 2" xfId="21886"/>
    <cellStyle name="표준 8 7 4 2 2 4 3" xfId="21887"/>
    <cellStyle name="표준 8 7 4 2 2 4 3 2" xfId="21888"/>
    <cellStyle name="표준 8 7 4 2 2 4 4" xfId="21889"/>
    <cellStyle name="표준 8 7 4 2 2 4 5" xfId="21890"/>
    <cellStyle name="표준 8 7 4 2 2 5 2" xfId="21891"/>
    <cellStyle name="표준 8 7 4 2 2 6" xfId="21892"/>
    <cellStyle name="표준 8 7 4 2 2 6 2" xfId="21893"/>
    <cellStyle name="표준 8 7 4 2 2 7" xfId="21894"/>
    <cellStyle name="표준 8 7 4 2 2 8" xfId="21895"/>
    <cellStyle name="표준 8 7 4 2 3 2 2 2" xfId="21896"/>
    <cellStyle name="표준 8 7 4 2 3 2 3" xfId="21897"/>
    <cellStyle name="표준 8 7 4 2 3 2 3 2" xfId="21898"/>
    <cellStyle name="표준 8 7 4 2 3 2 4" xfId="21899"/>
    <cellStyle name="표준 8 7 4 2 3 2 5" xfId="21900"/>
    <cellStyle name="표준 8 7 4 2 3 3 2 2" xfId="21901"/>
    <cellStyle name="표준 8 7 4 2 3 3 3" xfId="21902"/>
    <cellStyle name="표준 8 7 4 2 3 3 3 2" xfId="21903"/>
    <cellStyle name="표준 8 7 4 2 3 3 4" xfId="21904"/>
    <cellStyle name="표준 8 7 4 2 3 3 5" xfId="21905"/>
    <cellStyle name="표준 8 7 4 2 3 4 2" xfId="21906"/>
    <cellStyle name="표준 8 7 4 2 3 5" xfId="21907"/>
    <cellStyle name="표준 8 7 4 2 3 5 2" xfId="21908"/>
    <cellStyle name="표준 8 7 4 2 3 6" xfId="21909"/>
    <cellStyle name="표준 8 7 4 2 3 7" xfId="21910"/>
    <cellStyle name="표준 8 7 4 2 4 2 2" xfId="21911"/>
    <cellStyle name="표준 8 7 4 2 4 3" xfId="21912"/>
    <cellStyle name="표준 8 7 4 2 4 3 2" xfId="21913"/>
    <cellStyle name="표준 8 7 4 2 4 4" xfId="21914"/>
    <cellStyle name="표준 8 7 4 2 4 5" xfId="21915"/>
    <cellStyle name="표준 8 7 4 2 5 2 2" xfId="21916"/>
    <cellStyle name="표준 8 7 4 2 5 3" xfId="21917"/>
    <cellStyle name="표준 8 7 4 2 5 3 2" xfId="21918"/>
    <cellStyle name="표준 8 7 4 2 5 4" xfId="21919"/>
    <cellStyle name="표준 8 7 4 2 5 5" xfId="21920"/>
    <cellStyle name="표준 8 7 4 2 6 2" xfId="21921"/>
    <cellStyle name="표준 8 7 4 2 7" xfId="21922"/>
    <cellStyle name="표준 8 7 4 2 7 2" xfId="21923"/>
    <cellStyle name="표준 8 7 4 2 8" xfId="21924"/>
    <cellStyle name="표준 8 7 4 2 9" xfId="21925"/>
    <cellStyle name="표준 8 7 4 3 2 2 2 2" xfId="21926"/>
    <cellStyle name="표준 8 7 4 3 2 2 3" xfId="21927"/>
    <cellStyle name="표준 8 7 4 3 2 2 3 2" xfId="21928"/>
    <cellStyle name="표준 8 7 4 3 2 2 4" xfId="21929"/>
    <cellStyle name="표준 8 7 4 3 2 2 5" xfId="21930"/>
    <cellStyle name="표준 8 7 4 3 2 3 2 2" xfId="21931"/>
    <cellStyle name="표준 8 7 4 3 2 3 3" xfId="21932"/>
    <cellStyle name="표준 8 7 4 3 2 3 3 2" xfId="21933"/>
    <cellStyle name="표준 8 7 4 3 2 3 4" xfId="21934"/>
    <cellStyle name="표준 8 7 4 3 2 3 5" xfId="21935"/>
    <cellStyle name="표준 8 7 4 3 2 4 2" xfId="21936"/>
    <cellStyle name="표준 8 7 4 3 2 5" xfId="21937"/>
    <cellStyle name="표준 8 7 4 3 2 5 2" xfId="21938"/>
    <cellStyle name="표준 8 7 4 3 2 6" xfId="21939"/>
    <cellStyle name="표준 8 7 4 3 2 7" xfId="21940"/>
    <cellStyle name="표준 8 7 4 3 3 2 2" xfId="21941"/>
    <cellStyle name="표준 8 7 4 3 3 3" xfId="21942"/>
    <cellStyle name="표준 8 7 4 3 3 3 2" xfId="21943"/>
    <cellStyle name="표준 8 7 4 3 3 4" xfId="21944"/>
    <cellStyle name="표준 8 7 4 3 3 5" xfId="21945"/>
    <cellStyle name="표준 8 7 4 3 4 2 2" xfId="21946"/>
    <cellStyle name="표준 8 7 4 3 4 3" xfId="21947"/>
    <cellStyle name="표준 8 7 4 3 4 3 2" xfId="21948"/>
    <cellStyle name="표준 8 7 4 3 4 4" xfId="21949"/>
    <cellStyle name="표준 8 7 4 3 4 5" xfId="21950"/>
    <cellStyle name="표준 8 7 4 3 5 2" xfId="21951"/>
    <cellStyle name="표준 8 7 4 3 6" xfId="21952"/>
    <cellStyle name="표준 8 7 4 3 6 2" xfId="21953"/>
    <cellStyle name="표준 8 7 4 3 7" xfId="21954"/>
    <cellStyle name="표준 8 7 4 3 8" xfId="21955"/>
    <cellStyle name="표준 8 7 4 4 2 2 2" xfId="21956"/>
    <cellStyle name="표준 8 7 4 4 2 3" xfId="21957"/>
    <cellStyle name="표준 8 7 4 4 2 3 2" xfId="21958"/>
    <cellStyle name="표준 8 7 4 4 2 4" xfId="21959"/>
    <cellStyle name="표준 8 7 4 4 2 5" xfId="21960"/>
    <cellStyle name="표준 8 7 4 4 3 2 2" xfId="21961"/>
    <cellStyle name="표준 8 7 4 4 3 3" xfId="21962"/>
    <cellStyle name="표준 8 7 4 4 3 3 2" xfId="21963"/>
    <cellStyle name="표준 8 7 4 4 3 4" xfId="21964"/>
    <cellStyle name="표준 8 7 4 4 3 5" xfId="21965"/>
    <cellStyle name="표준 8 7 4 4 4 2" xfId="21966"/>
    <cellStyle name="표준 8 7 4 4 5" xfId="21967"/>
    <cellStyle name="표준 8 7 4 4 5 2" xfId="21968"/>
    <cellStyle name="표준 8 7 4 4 6" xfId="21969"/>
    <cellStyle name="표준 8 7 4 4 7" xfId="21970"/>
    <cellStyle name="표준 8 7 4 5 2 2" xfId="21971"/>
    <cellStyle name="표준 8 7 4 5 3" xfId="21972"/>
    <cellStyle name="표준 8 7 4 5 3 2" xfId="21973"/>
    <cellStyle name="표준 8 7 4 5 4" xfId="21974"/>
    <cellStyle name="표준 8 7 4 5 5" xfId="21975"/>
    <cellStyle name="표준 8 7 4 6 2 2" xfId="21976"/>
    <cellStyle name="표준 8 7 4 6 3" xfId="21977"/>
    <cellStyle name="표준 8 7 4 6 3 2" xfId="21978"/>
    <cellStyle name="표준 8 7 4 6 4" xfId="21979"/>
    <cellStyle name="표준 8 7 4 6 5" xfId="21980"/>
    <cellStyle name="표준 8 7 4 7 2" xfId="21981"/>
    <cellStyle name="표준 8 7 4 8" xfId="21982"/>
    <cellStyle name="표준 8 7 4 8 2" xfId="21983"/>
    <cellStyle name="표준 8 7 4 9" xfId="21984"/>
    <cellStyle name="표준 8 7 5 2 2 2 2 2" xfId="21985"/>
    <cellStyle name="표준 8 7 5 2 2 2 3" xfId="21986"/>
    <cellStyle name="표준 8 7 5 2 2 2 3 2" xfId="21987"/>
    <cellStyle name="표준 8 7 5 2 2 2 4" xfId="21988"/>
    <cellStyle name="표준 8 7 5 2 2 2 5" xfId="21989"/>
    <cellStyle name="표준 8 7 5 2 2 3 2 2" xfId="21990"/>
    <cellStyle name="표준 8 7 5 2 2 3 3" xfId="21991"/>
    <cellStyle name="표준 8 7 5 2 2 3 3 2" xfId="21992"/>
    <cellStyle name="표준 8 7 5 2 2 3 4" xfId="21993"/>
    <cellStyle name="표준 8 7 5 2 2 3 5" xfId="21994"/>
    <cellStyle name="표준 8 7 5 2 2 4 2" xfId="21995"/>
    <cellStyle name="표준 8 7 5 2 2 5" xfId="21996"/>
    <cellStyle name="표준 8 7 5 2 2 5 2" xfId="21997"/>
    <cellStyle name="표준 8 7 5 2 2 6" xfId="21998"/>
    <cellStyle name="표준 8 7 5 2 2 7" xfId="21999"/>
    <cellStyle name="표준 8 7 5 2 3 2 2" xfId="22000"/>
    <cellStyle name="표준 8 7 5 2 3 3" xfId="22001"/>
    <cellStyle name="표준 8 7 5 2 3 3 2" xfId="22002"/>
    <cellStyle name="표준 8 7 5 2 3 4" xfId="22003"/>
    <cellStyle name="표준 8 7 5 2 3 5" xfId="22004"/>
    <cellStyle name="표준 8 7 5 2 4 2 2" xfId="22005"/>
    <cellStyle name="표준 8 7 5 2 4 3" xfId="22006"/>
    <cellStyle name="표준 8 7 5 2 4 3 2" xfId="22007"/>
    <cellStyle name="표준 8 7 5 2 4 4" xfId="22008"/>
    <cellStyle name="표준 8 7 5 2 4 5" xfId="22009"/>
    <cellStyle name="표준 8 7 5 2 5 2" xfId="22010"/>
    <cellStyle name="표준 8 7 5 2 6" xfId="22011"/>
    <cellStyle name="표준 8 7 5 2 6 2" xfId="22012"/>
    <cellStyle name="표준 8 7 5 2 7" xfId="22013"/>
    <cellStyle name="표준 8 7 5 2 8" xfId="22014"/>
    <cellStyle name="표준 8 7 5 3 2 2 2" xfId="22015"/>
    <cellStyle name="표준 8 7 5 3 2 3" xfId="22016"/>
    <cellStyle name="표준 8 7 5 3 2 3 2" xfId="22017"/>
    <cellStyle name="표준 8 7 5 3 2 4" xfId="22018"/>
    <cellStyle name="표준 8 7 5 3 2 5" xfId="22019"/>
    <cellStyle name="표준 8 7 5 3 3 2 2" xfId="22020"/>
    <cellStyle name="표준 8 7 5 3 3 3" xfId="22021"/>
    <cellStyle name="표준 8 7 5 3 3 3 2" xfId="22022"/>
    <cellStyle name="표준 8 7 5 3 3 4" xfId="22023"/>
    <cellStyle name="표준 8 7 5 3 3 5" xfId="22024"/>
    <cellStyle name="표준 8 7 5 3 4 2" xfId="22025"/>
    <cellStyle name="표준 8 7 5 3 5" xfId="22026"/>
    <cellStyle name="표준 8 7 5 3 5 2" xfId="22027"/>
    <cellStyle name="표준 8 7 5 3 6" xfId="22028"/>
    <cellStyle name="표준 8 7 5 3 7" xfId="22029"/>
    <cellStyle name="표준 8 7 5 4 2 2" xfId="22030"/>
    <cellStyle name="표준 8 7 5 4 3" xfId="22031"/>
    <cellStyle name="표준 8 7 5 4 3 2" xfId="22032"/>
    <cellStyle name="표준 8 7 5 4 4" xfId="22033"/>
    <cellStyle name="표준 8 7 5 4 5" xfId="22034"/>
    <cellStyle name="표준 8 7 5 5 2 2" xfId="22035"/>
    <cellStyle name="표준 8 7 5 5 3" xfId="22036"/>
    <cellStyle name="표준 8 7 5 5 3 2" xfId="22037"/>
    <cellStyle name="표준 8 7 5 5 4" xfId="22038"/>
    <cellStyle name="표준 8 7 5 5 5" xfId="22039"/>
    <cellStyle name="표준 8 7 5 6 2" xfId="22040"/>
    <cellStyle name="표준 8 7 5 7" xfId="22041"/>
    <cellStyle name="표준 8 7 5 7 2" xfId="22042"/>
    <cellStyle name="표준 8 7 5 8" xfId="22043"/>
    <cellStyle name="표준 8 7 5 9" xfId="22044"/>
    <cellStyle name="표준 8 7 6 2 2 2 2" xfId="22045"/>
    <cellStyle name="표준 8 7 6 2 2 3" xfId="22046"/>
    <cellStyle name="표준 8 7 6 2 2 3 2" xfId="22047"/>
    <cellStyle name="표준 8 7 6 2 2 4" xfId="22048"/>
    <cellStyle name="표준 8 7 6 2 2 5" xfId="22049"/>
    <cellStyle name="표준 8 7 6 2 3 2 2" xfId="22050"/>
    <cellStyle name="표준 8 7 6 2 3 3" xfId="22051"/>
    <cellStyle name="표준 8 7 6 2 3 3 2" xfId="22052"/>
    <cellStyle name="표준 8 7 6 2 3 4" xfId="22053"/>
    <cellStyle name="표준 8 7 6 2 3 5" xfId="22054"/>
    <cellStyle name="표준 8 7 6 2 4 2" xfId="22055"/>
    <cellStyle name="표준 8 7 6 2 5" xfId="22056"/>
    <cellStyle name="표준 8 7 6 2 5 2" xfId="22057"/>
    <cellStyle name="표준 8 7 6 2 6" xfId="22058"/>
    <cellStyle name="표준 8 7 6 2 7" xfId="22059"/>
    <cellStyle name="표준 8 7 6 3 2 2" xfId="22060"/>
    <cellStyle name="표준 8 7 6 3 3" xfId="22061"/>
    <cellStyle name="표준 8 7 6 3 3 2" xfId="22062"/>
    <cellStyle name="표준 8 7 6 3 4" xfId="22063"/>
    <cellStyle name="표준 8 7 6 3 5" xfId="22064"/>
    <cellStyle name="표준 8 7 6 4 2 2" xfId="22065"/>
    <cellStyle name="표준 8 7 6 4 3" xfId="22066"/>
    <cellStyle name="표준 8 7 6 4 3 2" xfId="22067"/>
    <cellStyle name="표준 8 7 6 4 4" xfId="22068"/>
    <cellStyle name="표준 8 7 6 4 5" xfId="22069"/>
    <cellStyle name="표준 8 7 6 5 2" xfId="22070"/>
    <cellStyle name="표준 8 7 6 6" xfId="22071"/>
    <cellStyle name="표준 8 7 6 6 2" xfId="22072"/>
    <cellStyle name="표준 8 7 6 7" xfId="22073"/>
    <cellStyle name="표준 8 7 6 8" xfId="22074"/>
    <cellStyle name="표준 8 7 7 2 2 2" xfId="22075"/>
    <cellStyle name="표준 8 7 7 2 3" xfId="22076"/>
    <cellStyle name="표준 8 7 7 2 3 2" xfId="22077"/>
    <cellStyle name="표준 8 7 7 2 4" xfId="22078"/>
    <cellStyle name="표준 8 7 7 2 5" xfId="22079"/>
    <cellStyle name="표준 8 7 7 3 2 2" xfId="22080"/>
    <cellStyle name="표준 8 7 7 3 3" xfId="22081"/>
    <cellStyle name="표준 8 7 7 3 3 2" xfId="22082"/>
    <cellStyle name="표준 8 7 7 3 4" xfId="22083"/>
    <cellStyle name="표준 8 7 7 3 5" xfId="22084"/>
    <cellStyle name="표준 8 7 7 4 2" xfId="22085"/>
    <cellStyle name="표준 8 7 7 5" xfId="22086"/>
    <cellStyle name="표준 8 7 7 5 2" xfId="22087"/>
    <cellStyle name="표준 8 7 7 6" xfId="22088"/>
    <cellStyle name="표준 8 7 7 7" xfId="22089"/>
    <cellStyle name="표준 8 7 8 2 2" xfId="22090"/>
    <cellStyle name="표준 8 7 8 3" xfId="22091"/>
    <cellStyle name="표준 8 7 8 3 2" xfId="22092"/>
    <cellStyle name="표준 8 7 8 4" xfId="22093"/>
    <cellStyle name="표준 8 7 8 5" xfId="22094"/>
    <cellStyle name="표준 8 7 9 2 2" xfId="22095"/>
    <cellStyle name="표준 8 7 9 3" xfId="22096"/>
    <cellStyle name="표준 8 7 9 3 2" xfId="22097"/>
    <cellStyle name="표준 8 7 9 4" xfId="22098"/>
    <cellStyle name="표준 8 7 9 5" xfId="22099"/>
    <cellStyle name="표준 8 8 10 2" xfId="22100"/>
    <cellStyle name="표준 8 8 11" xfId="22101"/>
    <cellStyle name="표준 8 8 11 2" xfId="22102"/>
    <cellStyle name="표준 8 8 12" xfId="22103"/>
    <cellStyle name="표준 8 8 13" xfId="22104"/>
    <cellStyle name="표준 8 8 2 10" xfId="22105"/>
    <cellStyle name="표준 8 8 2 2 2 2 2 2 2" xfId="22106"/>
    <cellStyle name="표준 8 8 2 2 2 2 2 3" xfId="22107"/>
    <cellStyle name="표준 8 8 2 2 2 2 2 3 2" xfId="22108"/>
    <cellStyle name="표준 8 8 2 2 2 2 2 4" xfId="22109"/>
    <cellStyle name="표준 8 8 2 2 2 2 2 5" xfId="22110"/>
    <cellStyle name="표준 8 8 2 2 2 2 3 2 2" xfId="22111"/>
    <cellStyle name="표준 8 8 2 2 2 2 3 3" xfId="22112"/>
    <cellStyle name="표준 8 8 2 2 2 2 3 3 2" xfId="22113"/>
    <cellStyle name="표준 8 8 2 2 2 2 3 4" xfId="22114"/>
    <cellStyle name="표준 8 8 2 2 2 2 3 5" xfId="22115"/>
    <cellStyle name="표준 8 8 2 2 2 2 4 2" xfId="22116"/>
    <cellStyle name="표준 8 8 2 2 2 2 5" xfId="22117"/>
    <cellStyle name="표준 8 8 2 2 2 2 5 2" xfId="22118"/>
    <cellStyle name="표준 8 8 2 2 2 2 6" xfId="22119"/>
    <cellStyle name="표준 8 8 2 2 2 2 7" xfId="22120"/>
    <cellStyle name="표준 8 8 2 2 2 3 2 2" xfId="22121"/>
    <cellStyle name="표준 8 8 2 2 2 3 3" xfId="22122"/>
    <cellStyle name="표준 8 8 2 2 2 3 3 2" xfId="22123"/>
    <cellStyle name="표준 8 8 2 2 2 3 4" xfId="22124"/>
    <cellStyle name="표준 8 8 2 2 2 3 5" xfId="22125"/>
    <cellStyle name="표준 8 8 2 2 2 4 2 2" xfId="22126"/>
    <cellStyle name="표준 8 8 2 2 2 4 3" xfId="22127"/>
    <cellStyle name="표준 8 8 2 2 2 4 3 2" xfId="22128"/>
    <cellStyle name="표준 8 8 2 2 2 4 4" xfId="22129"/>
    <cellStyle name="표준 8 8 2 2 2 4 5" xfId="22130"/>
    <cellStyle name="표준 8 8 2 2 2 5 2" xfId="22131"/>
    <cellStyle name="표준 8 8 2 2 2 6" xfId="22132"/>
    <cellStyle name="표준 8 8 2 2 2 6 2" xfId="22133"/>
    <cellStyle name="표준 8 8 2 2 2 7" xfId="22134"/>
    <cellStyle name="표준 8 8 2 2 2 8" xfId="22135"/>
    <cellStyle name="표준 8 8 2 2 3 2 2 2" xfId="22136"/>
    <cellStyle name="표준 8 8 2 2 3 2 3" xfId="22137"/>
    <cellStyle name="표준 8 8 2 2 3 2 3 2" xfId="22138"/>
    <cellStyle name="표준 8 8 2 2 3 2 4" xfId="22139"/>
    <cellStyle name="표준 8 8 2 2 3 2 5" xfId="22140"/>
    <cellStyle name="표준 8 8 2 2 3 3 2 2" xfId="22141"/>
    <cellStyle name="표준 8 8 2 2 3 3 3" xfId="22142"/>
    <cellStyle name="표준 8 8 2 2 3 3 3 2" xfId="22143"/>
    <cellStyle name="표준 8 8 2 2 3 3 4" xfId="22144"/>
    <cellStyle name="표준 8 8 2 2 3 3 5" xfId="22145"/>
    <cellStyle name="표준 8 8 2 2 3 4 2" xfId="22146"/>
    <cellStyle name="표준 8 8 2 2 3 5" xfId="22147"/>
    <cellStyle name="표준 8 8 2 2 3 5 2" xfId="22148"/>
    <cellStyle name="표준 8 8 2 2 3 6" xfId="22149"/>
    <cellStyle name="표준 8 8 2 2 3 7" xfId="22150"/>
    <cellStyle name="표준 8 8 2 2 4 2 2" xfId="22151"/>
    <cellStyle name="표준 8 8 2 2 4 3" xfId="22152"/>
    <cellStyle name="표준 8 8 2 2 4 3 2" xfId="22153"/>
    <cellStyle name="표준 8 8 2 2 4 4" xfId="22154"/>
    <cellStyle name="표준 8 8 2 2 4 5" xfId="22155"/>
    <cellStyle name="표준 8 8 2 2 5 2 2" xfId="22156"/>
    <cellStyle name="표준 8 8 2 2 5 3" xfId="22157"/>
    <cellStyle name="표준 8 8 2 2 5 3 2" xfId="22158"/>
    <cellStyle name="표준 8 8 2 2 5 4" xfId="22159"/>
    <cellStyle name="표준 8 8 2 2 5 5" xfId="22160"/>
    <cellStyle name="표준 8 8 2 2 6 2" xfId="22161"/>
    <cellStyle name="표준 8 8 2 2 7" xfId="22162"/>
    <cellStyle name="표준 8 8 2 2 7 2" xfId="22163"/>
    <cellStyle name="표준 8 8 2 2 8" xfId="22164"/>
    <cellStyle name="표준 8 8 2 2 9" xfId="22165"/>
    <cellStyle name="표준 8 8 2 3 2 2 2 2" xfId="22166"/>
    <cellStyle name="표준 8 8 2 3 2 2 3" xfId="22167"/>
    <cellStyle name="표준 8 8 2 3 2 2 3 2" xfId="22168"/>
    <cellStyle name="표준 8 8 2 3 2 2 4" xfId="22169"/>
    <cellStyle name="표준 8 8 2 3 2 2 5" xfId="22170"/>
    <cellStyle name="표준 8 8 2 3 2 3 2 2" xfId="22171"/>
    <cellStyle name="표준 8 8 2 3 2 3 3" xfId="22172"/>
    <cellStyle name="표준 8 8 2 3 2 3 3 2" xfId="22173"/>
    <cellStyle name="표준 8 8 2 3 2 3 4" xfId="22174"/>
    <cellStyle name="표준 8 8 2 3 2 3 5" xfId="22175"/>
    <cellStyle name="표준 8 8 2 3 2 4 2" xfId="22176"/>
    <cellStyle name="표준 8 8 2 3 2 5" xfId="22177"/>
    <cellStyle name="표준 8 8 2 3 2 5 2" xfId="22178"/>
    <cellStyle name="표준 8 8 2 3 2 6" xfId="22179"/>
    <cellStyle name="표준 8 8 2 3 2 7" xfId="22180"/>
    <cellStyle name="표준 8 8 2 3 3 2 2" xfId="22181"/>
    <cellStyle name="표준 8 8 2 3 3 3" xfId="22182"/>
    <cellStyle name="표준 8 8 2 3 3 3 2" xfId="22183"/>
    <cellStyle name="표준 8 8 2 3 3 4" xfId="22184"/>
    <cellStyle name="표준 8 8 2 3 3 5" xfId="22185"/>
    <cellStyle name="표준 8 8 2 3 4 2 2" xfId="22186"/>
    <cellStyle name="표준 8 8 2 3 4 3" xfId="22187"/>
    <cellStyle name="표준 8 8 2 3 4 3 2" xfId="22188"/>
    <cellStyle name="표준 8 8 2 3 4 4" xfId="22189"/>
    <cellStyle name="표준 8 8 2 3 4 5" xfId="22190"/>
    <cellStyle name="표준 8 8 2 3 5 2" xfId="22191"/>
    <cellStyle name="표준 8 8 2 3 6" xfId="22192"/>
    <cellStyle name="표준 8 8 2 3 6 2" xfId="22193"/>
    <cellStyle name="표준 8 8 2 3 7" xfId="22194"/>
    <cellStyle name="표준 8 8 2 3 8" xfId="22195"/>
    <cellStyle name="표준 8 8 2 4 2 2 2" xfId="22196"/>
    <cellStyle name="표준 8 8 2 4 2 3" xfId="22197"/>
    <cellStyle name="표준 8 8 2 4 2 3 2" xfId="22198"/>
    <cellStyle name="표준 8 8 2 4 2 4" xfId="22199"/>
    <cellStyle name="표준 8 8 2 4 2 5" xfId="22200"/>
    <cellStyle name="표준 8 8 2 4 3 2 2" xfId="22201"/>
    <cellStyle name="표준 8 8 2 4 3 3" xfId="22202"/>
    <cellStyle name="표준 8 8 2 4 3 3 2" xfId="22203"/>
    <cellStyle name="표준 8 8 2 4 3 4" xfId="22204"/>
    <cellStyle name="표준 8 8 2 4 3 5" xfId="22205"/>
    <cellStyle name="표준 8 8 2 4 4 2" xfId="22206"/>
    <cellStyle name="표준 8 8 2 4 5" xfId="22207"/>
    <cellStyle name="표준 8 8 2 4 5 2" xfId="22208"/>
    <cellStyle name="표준 8 8 2 4 6" xfId="22209"/>
    <cellStyle name="표준 8 8 2 4 7" xfId="22210"/>
    <cellStyle name="표준 8 8 2 5 2 2" xfId="22211"/>
    <cellStyle name="표준 8 8 2 5 3" xfId="22212"/>
    <cellStyle name="표준 8 8 2 5 3 2" xfId="22213"/>
    <cellStyle name="표준 8 8 2 5 4" xfId="22214"/>
    <cellStyle name="표준 8 8 2 5 5" xfId="22215"/>
    <cellStyle name="표준 8 8 2 6 2 2" xfId="22216"/>
    <cellStyle name="표준 8 8 2 6 3" xfId="22217"/>
    <cellStyle name="표준 8 8 2 6 3 2" xfId="22218"/>
    <cellStyle name="표준 8 8 2 6 4" xfId="22219"/>
    <cellStyle name="표준 8 8 2 6 5" xfId="22220"/>
    <cellStyle name="표준 8 8 2 7 2" xfId="22221"/>
    <cellStyle name="표준 8 8 2 8" xfId="22222"/>
    <cellStyle name="표준 8 8 2 8 2" xfId="22223"/>
    <cellStyle name="표준 8 8 2 9" xfId="22224"/>
    <cellStyle name="표준 8 8 3 10" xfId="22225"/>
    <cellStyle name="표준 8 8 3 2 2 2 2 2 2" xfId="22226"/>
    <cellStyle name="표준 8 8 3 2 2 2 2 3" xfId="22227"/>
    <cellStyle name="표준 8 8 3 2 2 2 2 3 2" xfId="22228"/>
    <cellStyle name="표준 8 8 3 2 2 2 2 4" xfId="22229"/>
    <cellStyle name="표준 8 8 3 2 2 2 2 5" xfId="22230"/>
    <cellStyle name="표준 8 8 3 2 2 2 3 2 2" xfId="22231"/>
    <cellStyle name="표준 8 8 3 2 2 2 3 3" xfId="22232"/>
    <cellStyle name="표준 8 8 3 2 2 2 3 3 2" xfId="22233"/>
    <cellStyle name="표준 8 8 3 2 2 2 3 4" xfId="22234"/>
    <cellStyle name="표준 8 8 3 2 2 2 3 5" xfId="22235"/>
    <cellStyle name="표준 8 8 3 2 2 2 4 2" xfId="22236"/>
    <cellStyle name="표준 8 8 3 2 2 2 5" xfId="22237"/>
    <cellStyle name="표준 8 8 3 2 2 2 5 2" xfId="22238"/>
    <cellStyle name="표준 8 8 3 2 2 2 6" xfId="22239"/>
    <cellStyle name="표준 8 8 3 2 2 2 7" xfId="22240"/>
    <cellStyle name="표준 8 8 3 2 2 3 2 2" xfId="22241"/>
    <cellStyle name="표준 8 8 3 2 2 3 3" xfId="22242"/>
    <cellStyle name="표준 8 8 3 2 2 3 3 2" xfId="22243"/>
    <cellStyle name="표준 8 8 3 2 2 3 4" xfId="22244"/>
    <cellStyle name="표준 8 8 3 2 2 3 5" xfId="22245"/>
    <cellStyle name="표준 8 8 3 2 2 4 2 2" xfId="22246"/>
    <cellStyle name="표준 8 8 3 2 2 4 3" xfId="22247"/>
    <cellStyle name="표준 8 8 3 2 2 4 3 2" xfId="22248"/>
    <cellStyle name="표준 8 8 3 2 2 4 4" xfId="22249"/>
    <cellStyle name="표준 8 8 3 2 2 4 5" xfId="22250"/>
    <cellStyle name="표준 8 8 3 2 2 5 2" xfId="22251"/>
    <cellStyle name="표준 8 8 3 2 2 6" xfId="22252"/>
    <cellStyle name="표준 8 8 3 2 2 6 2" xfId="22253"/>
    <cellStyle name="표준 8 8 3 2 2 7" xfId="22254"/>
    <cellStyle name="표준 8 8 3 2 2 8" xfId="22255"/>
    <cellStyle name="표준 8 8 3 2 3 2 2 2" xfId="22256"/>
    <cellStyle name="표준 8 8 3 2 3 2 3" xfId="22257"/>
    <cellStyle name="표준 8 8 3 2 3 2 3 2" xfId="22258"/>
    <cellStyle name="표준 8 8 3 2 3 2 4" xfId="22259"/>
    <cellStyle name="표준 8 8 3 2 3 2 5" xfId="22260"/>
    <cellStyle name="표준 8 8 3 2 3 3 2 2" xfId="22261"/>
    <cellStyle name="표준 8 8 3 2 3 3 3" xfId="22262"/>
    <cellStyle name="표준 8 8 3 2 3 3 3 2" xfId="22263"/>
    <cellStyle name="표준 8 8 3 2 3 3 4" xfId="22264"/>
    <cellStyle name="표준 8 8 3 2 3 3 5" xfId="22265"/>
    <cellStyle name="표준 8 8 3 2 3 4 2" xfId="22266"/>
    <cellStyle name="표준 8 8 3 2 3 5" xfId="22267"/>
    <cellStyle name="표준 8 8 3 2 3 5 2" xfId="22268"/>
    <cellStyle name="표준 8 8 3 2 3 6" xfId="22269"/>
    <cellStyle name="표준 8 8 3 2 3 7" xfId="22270"/>
    <cellStyle name="표준 8 8 3 2 4 2 2" xfId="22271"/>
    <cellStyle name="표준 8 8 3 2 4 3" xfId="22272"/>
    <cellStyle name="표준 8 8 3 2 4 3 2" xfId="22273"/>
    <cellStyle name="표준 8 8 3 2 4 4" xfId="22274"/>
    <cellStyle name="표준 8 8 3 2 4 5" xfId="22275"/>
    <cellStyle name="표준 8 8 3 2 5 2 2" xfId="22276"/>
    <cellStyle name="표준 8 8 3 2 5 3" xfId="22277"/>
    <cellStyle name="표준 8 8 3 2 5 3 2" xfId="22278"/>
    <cellStyle name="표준 8 8 3 2 5 4" xfId="22279"/>
    <cellStyle name="표준 8 8 3 2 5 5" xfId="22280"/>
    <cellStyle name="표준 8 8 3 2 6 2" xfId="22281"/>
    <cellStyle name="표준 8 8 3 2 7" xfId="22282"/>
    <cellStyle name="표준 8 8 3 2 7 2" xfId="22283"/>
    <cellStyle name="표준 8 8 3 2 8" xfId="22284"/>
    <cellStyle name="표준 8 8 3 2 9" xfId="22285"/>
    <cellStyle name="표준 8 8 3 3 2 2 2 2" xfId="22286"/>
    <cellStyle name="표준 8 8 3 3 2 2 3" xfId="22287"/>
    <cellStyle name="표준 8 8 3 3 2 2 3 2" xfId="22288"/>
    <cellStyle name="표준 8 8 3 3 2 2 4" xfId="22289"/>
    <cellStyle name="표준 8 8 3 3 2 2 5" xfId="22290"/>
    <cellStyle name="표준 8 8 3 3 2 3 2 2" xfId="22291"/>
    <cellStyle name="표준 8 8 3 3 2 3 3" xfId="22292"/>
    <cellStyle name="표준 8 8 3 3 2 3 3 2" xfId="22293"/>
    <cellStyle name="표준 8 8 3 3 2 3 4" xfId="22294"/>
    <cellStyle name="표준 8 8 3 3 2 3 5" xfId="22295"/>
    <cellStyle name="표준 8 8 3 3 2 4 2" xfId="22296"/>
    <cellStyle name="표준 8 8 3 3 2 5" xfId="22297"/>
    <cellStyle name="표준 8 8 3 3 2 5 2" xfId="22298"/>
    <cellStyle name="표준 8 8 3 3 2 6" xfId="22299"/>
    <cellStyle name="표준 8 8 3 3 2 7" xfId="22300"/>
    <cellStyle name="표준 8 8 3 3 3 2 2" xfId="22301"/>
    <cellStyle name="표준 8 8 3 3 3 3" xfId="22302"/>
    <cellStyle name="표준 8 8 3 3 3 3 2" xfId="22303"/>
    <cellStyle name="표준 8 8 3 3 3 4" xfId="22304"/>
    <cellStyle name="표준 8 8 3 3 3 5" xfId="22305"/>
    <cellStyle name="표준 8 8 3 3 4 2 2" xfId="22306"/>
    <cellStyle name="표준 8 8 3 3 4 3" xfId="22307"/>
    <cellStyle name="표준 8 8 3 3 4 3 2" xfId="22308"/>
    <cellStyle name="표준 8 8 3 3 4 4" xfId="22309"/>
    <cellStyle name="표준 8 8 3 3 4 5" xfId="22310"/>
    <cellStyle name="표준 8 8 3 3 5 2" xfId="22311"/>
    <cellStyle name="표준 8 8 3 3 6" xfId="22312"/>
    <cellStyle name="표준 8 8 3 3 6 2" xfId="22313"/>
    <cellStyle name="표준 8 8 3 3 7" xfId="22314"/>
    <cellStyle name="표준 8 8 3 3 8" xfId="22315"/>
    <cellStyle name="표준 8 8 3 4 2 2 2" xfId="22316"/>
    <cellStyle name="표준 8 8 3 4 2 3" xfId="22317"/>
    <cellStyle name="표준 8 8 3 4 2 3 2" xfId="22318"/>
    <cellStyle name="표준 8 8 3 4 2 4" xfId="22319"/>
    <cellStyle name="표준 8 8 3 4 2 5" xfId="22320"/>
    <cellStyle name="표준 8 8 3 4 3 2 2" xfId="22321"/>
    <cellStyle name="표준 8 8 3 4 3 3" xfId="22322"/>
    <cellStyle name="표준 8 8 3 4 3 3 2" xfId="22323"/>
    <cellStyle name="표준 8 8 3 4 3 4" xfId="22324"/>
    <cellStyle name="표준 8 8 3 4 3 5" xfId="22325"/>
    <cellStyle name="표준 8 8 3 4 4 2" xfId="22326"/>
    <cellStyle name="표준 8 8 3 4 5" xfId="22327"/>
    <cellStyle name="표준 8 8 3 4 5 2" xfId="22328"/>
    <cellStyle name="표준 8 8 3 4 6" xfId="22329"/>
    <cellStyle name="표준 8 8 3 4 7" xfId="22330"/>
    <cellStyle name="표준 8 8 3 5 2 2" xfId="22331"/>
    <cellStyle name="표준 8 8 3 5 3" xfId="22332"/>
    <cellStyle name="표준 8 8 3 5 3 2" xfId="22333"/>
    <cellStyle name="표준 8 8 3 5 4" xfId="22334"/>
    <cellStyle name="표준 8 8 3 5 5" xfId="22335"/>
    <cellStyle name="표준 8 8 3 6 2 2" xfId="22336"/>
    <cellStyle name="표준 8 8 3 6 3" xfId="22337"/>
    <cellStyle name="표준 8 8 3 6 3 2" xfId="22338"/>
    <cellStyle name="표준 8 8 3 6 4" xfId="22339"/>
    <cellStyle name="표준 8 8 3 6 5" xfId="22340"/>
    <cellStyle name="표준 8 8 3 7 2" xfId="22341"/>
    <cellStyle name="표준 8 8 3 8" xfId="22342"/>
    <cellStyle name="표준 8 8 3 8 2" xfId="22343"/>
    <cellStyle name="표준 8 8 3 9" xfId="22344"/>
    <cellStyle name="표준 8 8 4 10" xfId="22345"/>
    <cellStyle name="표준 8 8 4 2 2 2 2 2 2" xfId="22346"/>
    <cellStyle name="표준 8 8 4 2 2 2 2 3" xfId="22347"/>
    <cellStyle name="표준 8 8 4 2 2 2 2 3 2" xfId="22348"/>
    <cellStyle name="표준 8 8 4 2 2 2 2 4" xfId="22349"/>
    <cellStyle name="표준 8 8 4 2 2 2 2 5" xfId="22350"/>
    <cellStyle name="표준 8 8 4 2 2 2 3 2 2" xfId="22351"/>
    <cellStyle name="표준 8 8 4 2 2 2 3 3" xfId="22352"/>
    <cellStyle name="표준 8 8 4 2 2 2 3 3 2" xfId="22353"/>
    <cellStyle name="표준 8 8 4 2 2 2 3 4" xfId="22354"/>
    <cellStyle name="표준 8 8 4 2 2 2 3 5" xfId="22355"/>
    <cellStyle name="표준 8 8 4 2 2 2 4 2" xfId="22356"/>
    <cellStyle name="표준 8 8 4 2 2 2 5" xfId="22357"/>
    <cellStyle name="표준 8 8 4 2 2 2 5 2" xfId="22358"/>
    <cellStyle name="표준 8 8 4 2 2 2 6" xfId="22359"/>
    <cellStyle name="표준 8 8 4 2 2 2 7" xfId="22360"/>
    <cellStyle name="표준 8 8 4 2 2 3 2 2" xfId="22361"/>
    <cellStyle name="표준 8 8 4 2 2 3 3" xfId="22362"/>
    <cellStyle name="표준 8 8 4 2 2 3 3 2" xfId="22363"/>
    <cellStyle name="표준 8 8 4 2 2 3 4" xfId="22364"/>
    <cellStyle name="표준 8 8 4 2 2 3 5" xfId="22365"/>
    <cellStyle name="표준 8 8 4 2 2 4 2 2" xfId="22366"/>
    <cellStyle name="표준 8 8 4 2 2 4 3" xfId="22367"/>
    <cellStyle name="표준 8 8 4 2 2 4 3 2" xfId="22368"/>
    <cellStyle name="표준 8 8 4 2 2 4 4" xfId="22369"/>
    <cellStyle name="표준 8 8 4 2 2 4 5" xfId="22370"/>
    <cellStyle name="표준 8 8 4 2 2 5 2" xfId="22371"/>
    <cellStyle name="표준 8 8 4 2 2 6" xfId="22372"/>
    <cellStyle name="표준 8 8 4 2 2 6 2" xfId="22373"/>
    <cellStyle name="표준 8 8 4 2 2 7" xfId="22374"/>
    <cellStyle name="표준 8 8 4 2 2 8" xfId="22375"/>
    <cellStyle name="표준 8 8 4 2 3 2 2 2" xfId="22376"/>
    <cellStyle name="표준 8 8 4 2 3 2 3" xfId="22377"/>
    <cellStyle name="표준 8 8 4 2 3 2 3 2" xfId="22378"/>
    <cellStyle name="표준 8 8 4 2 3 2 4" xfId="22379"/>
    <cellStyle name="표준 8 8 4 2 3 2 5" xfId="22380"/>
    <cellStyle name="표준 8 8 4 2 3 3 2 2" xfId="22381"/>
    <cellStyle name="표준 8 8 4 2 3 3 3" xfId="22382"/>
    <cellStyle name="표준 8 8 4 2 3 3 3 2" xfId="22383"/>
    <cellStyle name="표준 8 8 4 2 3 3 4" xfId="22384"/>
    <cellStyle name="표준 8 8 4 2 3 3 5" xfId="22385"/>
    <cellStyle name="표준 8 8 4 2 3 4 2" xfId="22386"/>
    <cellStyle name="표준 8 8 4 2 3 5" xfId="22387"/>
    <cellStyle name="표준 8 8 4 2 3 5 2" xfId="22388"/>
    <cellStyle name="표준 8 8 4 2 3 6" xfId="22389"/>
    <cellStyle name="표준 8 8 4 2 3 7" xfId="22390"/>
    <cellStyle name="표준 8 8 4 2 4 2 2" xfId="22391"/>
    <cellStyle name="표준 8 8 4 2 4 3" xfId="22392"/>
    <cellStyle name="표준 8 8 4 2 4 3 2" xfId="22393"/>
    <cellStyle name="표준 8 8 4 2 4 4" xfId="22394"/>
    <cellStyle name="표준 8 8 4 2 4 5" xfId="22395"/>
    <cellStyle name="표준 8 8 4 2 5 2 2" xfId="22396"/>
    <cellStyle name="표준 8 8 4 2 5 3" xfId="22397"/>
    <cellStyle name="표준 8 8 4 2 5 3 2" xfId="22398"/>
    <cellStyle name="표준 8 8 4 2 5 4" xfId="22399"/>
    <cellStyle name="표준 8 8 4 2 5 5" xfId="22400"/>
    <cellStyle name="표준 8 8 4 2 6 2" xfId="22401"/>
    <cellStyle name="표준 8 8 4 2 7" xfId="22402"/>
    <cellStyle name="표준 8 8 4 2 7 2" xfId="22403"/>
    <cellStyle name="표준 8 8 4 2 8" xfId="22404"/>
    <cellStyle name="표준 8 8 4 2 9" xfId="22405"/>
    <cellStyle name="표준 8 8 4 3 2 2 2 2" xfId="22406"/>
    <cellStyle name="표준 8 8 4 3 2 2 3" xfId="22407"/>
    <cellStyle name="표준 8 8 4 3 2 2 3 2" xfId="22408"/>
    <cellStyle name="표준 8 8 4 3 2 2 4" xfId="22409"/>
    <cellStyle name="표준 8 8 4 3 2 2 5" xfId="22410"/>
    <cellStyle name="표준 8 8 4 3 2 3 2 2" xfId="22411"/>
    <cellStyle name="표준 8 8 4 3 2 3 3" xfId="22412"/>
    <cellStyle name="표준 8 8 4 3 2 3 3 2" xfId="22413"/>
    <cellStyle name="표준 8 8 4 3 2 3 4" xfId="22414"/>
    <cellStyle name="표준 8 8 4 3 2 3 5" xfId="22415"/>
    <cellStyle name="표준 8 8 4 3 2 4 2" xfId="22416"/>
    <cellStyle name="표준 8 8 4 3 2 5" xfId="22417"/>
    <cellStyle name="표준 8 8 4 3 2 5 2" xfId="22418"/>
    <cellStyle name="표준 8 8 4 3 2 6" xfId="22419"/>
    <cellStyle name="표준 8 8 4 3 2 7" xfId="22420"/>
    <cellStyle name="표준 8 8 4 3 3 2 2" xfId="22421"/>
    <cellStyle name="표준 8 8 4 3 3 3" xfId="22422"/>
    <cellStyle name="표준 8 8 4 3 3 3 2" xfId="22423"/>
    <cellStyle name="표준 8 8 4 3 3 4" xfId="22424"/>
    <cellStyle name="표준 8 8 4 3 3 5" xfId="22425"/>
    <cellStyle name="표준 8 8 4 3 4 2 2" xfId="22426"/>
    <cellStyle name="표준 8 8 4 3 4 3" xfId="22427"/>
    <cellStyle name="표준 8 8 4 3 4 3 2" xfId="22428"/>
    <cellStyle name="표준 8 8 4 3 4 4" xfId="22429"/>
    <cellStyle name="표준 8 8 4 3 4 5" xfId="22430"/>
    <cellStyle name="표준 8 8 4 3 5 2" xfId="22431"/>
    <cellStyle name="표준 8 8 4 3 6" xfId="22432"/>
    <cellStyle name="표준 8 8 4 3 6 2" xfId="22433"/>
    <cellStyle name="표준 8 8 4 3 7" xfId="22434"/>
    <cellStyle name="표준 8 8 4 3 8" xfId="22435"/>
    <cellStyle name="표준 8 8 4 4 2 2 2" xfId="22436"/>
    <cellStyle name="표준 8 8 4 4 2 3" xfId="22437"/>
    <cellStyle name="표준 8 8 4 4 2 3 2" xfId="22438"/>
    <cellStyle name="표준 8 8 4 4 2 4" xfId="22439"/>
    <cellStyle name="표준 8 8 4 4 2 5" xfId="22440"/>
    <cellStyle name="표준 8 8 4 4 3 2 2" xfId="22441"/>
    <cellStyle name="표준 8 8 4 4 3 3" xfId="22442"/>
    <cellStyle name="표준 8 8 4 4 3 3 2" xfId="22443"/>
    <cellStyle name="표준 8 8 4 4 3 4" xfId="22444"/>
    <cellStyle name="표준 8 8 4 4 3 5" xfId="22445"/>
    <cellStyle name="표준 8 8 4 4 4 2" xfId="22446"/>
    <cellStyle name="표준 8 8 4 4 5" xfId="22447"/>
    <cellStyle name="표준 8 8 4 4 5 2" xfId="22448"/>
    <cellStyle name="표준 8 8 4 4 6" xfId="22449"/>
    <cellStyle name="표준 8 8 4 4 7" xfId="22450"/>
    <cellStyle name="표준 8 8 4 5 2 2" xfId="22451"/>
    <cellStyle name="표준 8 8 4 5 3" xfId="22452"/>
    <cellStyle name="표준 8 8 4 5 3 2" xfId="22453"/>
    <cellStyle name="표준 8 8 4 5 4" xfId="22454"/>
    <cellStyle name="표준 8 8 4 5 5" xfId="22455"/>
    <cellStyle name="표준 8 8 4 6 2 2" xfId="22456"/>
    <cellStyle name="표준 8 8 4 6 3" xfId="22457"/>
    <cellStyle name="표준 8 8 4 6 3 2" xfId="22458"/>
    <cellStyle name="표준 8 8 4 6 4" xfId="22459"/>
    <cellStyle name="표준 8 8 4 6 5" xfId="22460"/>
    <cellStyle name="표준 8 8 4 7 2" xfId="22461"/>
    <cellStyle name="표준 8 8 4 8" xfId="22462"/>
    <cellStyle name="표준 8 8 4 8 2" xfId="22463"/>
    <cellStyle name="표준 8 8 4 9" xfId="22464"/>
    <cellStyle name="표준 8 8 5 2 2 2 2 2" xfId="22465"/>
    <cellStyle name="표준 8 8 5 2 2 2 3" xfId="22466"/>
    <cellStyle name="표준 8 8 5 2 2 2 3 2" xfId="22467"/>
    <cellStyle name="표준 8 8 5 2 2 2 4" xfId="22468"/>
    <cellStyle name="표준 8 8 5 2 2 2 5" xfId="22469"/>
    <cellStyle name="표준 8 8 5 2 2 3 2 2" xfId="22470"/>
    <cellStyle name="표준 8 8 5 2 2 3 3" xfId="22471"/>
    <cellStyle name="표준 8 8 5 2 2 3 3 2" xfId="22472"/>
    <cellStyle name="표준 8 8 5 2 2 3 4" xfId="22473"/>
    <cellStyle name="표준 8 8 5 2 2 3 5" xfId="22474"/>
    <cellStyle name="표준 8 8 5 2 2 4 2" xfId="22475"/>
    <cellStyle name="표준 8 8 5 2 2 5" xfId="22476"/>
    <cellStyle name="표준 8 8 5 2 2 5 2" xfId="22477"/>
    <cellStyle name="표준 8 8 5 2 2 6" xfId="22478"/>
    <cellStyle name="표준 8 8 5 2 2 7" xfId="22479"/>
    <cellStyle name="표준 8 8 5 2 3 2 2" xfId="22480"/>
    <cellStyle name="표준 8 8 5 2 3 3" xfId="22481"/>
    <cellStyle name="표준 8 8 5 2 3 3 2" xfId="22482"/>
    <cellStyle name="표준 8 8 5 2 3 4" xfId="22483"/>
    <cellStyle name="표준 8 8 5 2 3 5" xfId="22484"/>
    <cellStyle name="표준 8 8 5 2 4 2 2" xfId="22485"/>
    <cellStyle name="표준 8 8 5 2 4 3" xfId="22486"/>
    <cellStyle name="표준 8 8 5 2 4 3 2" xfId="22487"/>
    <cellStyle name="표준 8 8 5 2 4 4" xfId="22488"/>
    <cellStyle name="표준 8 8 5 2 4 5" xfId="22489"/>
    <cellStyle name="표준 8 8 5 2 5 2" xfId="22490"/>
    <cellStyle name="표준 8 8 5 2 6" xfId="22491"/>
    <cellStyle name="표준 8 8 5 2 6 2" xfId="22492"/>
    <cellStyle name="표준 8 8 5 2 7" xfId="22493"/>
    <cellStyle name="표준 8 8 5 2 8" xfId="22494"/>
    <cellStyle name="표준 8 8 5 3 2 2 2" xfId="22495"/>
    <cellStyle name="표준 8 8 5 3 2 3" xfId="22496"/>
    <cellStyle name="표준 8 8 5 3 2 3 2" xfId="22497"/>
    <cellStyle name="표준 8 8 5 3 2 4" xfId="22498"/>
    <cellStyle name="표준 8 8 5 3 2 5" xfId="22499"/>
    <cellStyle name="표준 8 8 5 3 3 2 2" xfId="22500"/>
    <cellStyle name="표준 8 8 5 3 3 3" xfId="22501"/>
    <cellStyle name="표준 8 8 5 3 3 3 2" xfId="22502"/>
    <cellStyle name="표준 8 8 5 3 3 4" xfId="22503"/>
    <cellStyle name="표준 8 8 5 3 3 5" xfId="22504"/>
    <cellStyle name="표준 8 8 5 3 4 2" xfId="22505"/>
    <cellStyle name="표준 8 8 5 3 5" xfId="22506"/>
    <cellStyle name="표준 8 8 5 3 5 2" xfId="22507"/>
    <cellStyle name="표준 8 8 5 3 6" xfId="22508"/>
    <cellStyle name="표준 8 8 5 3 7" xfId="22509"/>
    <cellStyle name="표준 8 8 5 4 2 2" xfId="22510"/>
    <cellStyle name="표준 8 8 5 4 3" xfId="22511"/>
    <cellStyle name="표준 8 8 5 4 3 2" xfId="22512"/>
    <cellStyle name="표준 8 8 5 4 4" xfId="22513"/>
    <cellStyle name="표준 8 8 5 4 5" xfId="22514"/>
    <cellStyle name="표준 8 8 5 5 2 2" xfId="22515"/>
    <cellStyle name="표준 8 8 5 5 3" xfId="22516"/>
    <cellStyle name="표준 8 8 5 5 3 2" xfId="22517"/>
    <cellStyle name="표준 8 8 5 5 4" xfId="22518"/>
    <cellStyle name="표준 8 8 5 5 5" xfId="22519"/>
    <cellStyle name="표준 8 8 5 6 2" xfId="22520"/>
    <cellStyle name="표준 8 8 5 7" xfId="22521"/>
    <cellStyle name="표준 8 8 5 7 2" xfId="22522"/>
    <cellStyle name="표준 8 8 5 8" xfId="22523"/>
    <cellStyle name="표준 8 8 5 9" xfId="22524"/>
    <cellStyle name="표준 8 8 6 2 2 2 2" xfId="22525"/>
    <cellStyle name="표준 8 8 6 2 2 3" xfId="22526"/>
    <cellStyle name="표준 8 8 6 2 2 3 2" xfId="22527"/>
    <cellStyle name="표준 8 8 6 2 2 4" xfId="22528"/>
    <cellStyle name="표준 8 8 6 2 2 5" xfId="22529"/>
    <cellStyle name="표준 8 8 6 2 3 2 2" xfId="22530"/>
    <cellStyle name="표준 8 8 6 2 3 3" xfId="22531"/>
    <cellStyle name="표준 8 8 6 2 3 3 2" xfId="22532"/>
    <cellStyle name="표준 8 8 6 2 3 4" xfId="22533"/>
    <cellStyle name="표준 8 8 6 2 3 5" xfId="22534"/>
    <cellStyle name="표준 8 8 6 2 4 2" xfId="22535"/>
    <cellStyle name="표준 8 8 6 2 5" xfId="22536"/>
    <cellStyle name="표준 8 8 6 2 5 2" xfId="22537"/>
    <cellStyle name="표준 8 8 6 2 6" xfId="22538"/>
    <cellStyle name="표준 8 8 6 2 7" xfId="22539"/>
    <cellStyle name="표준 8 8 6 3 2 2" xfId="22540"/>
    <cellStyle name="표준 8 8 6 3 3" xfId="22541"/>
    <cellStyle name="표준 8 8 6 3 3 2" xfId="22542"/>
    <cellStyle name="표준 8 8 6 3 4" xfId="22543"/>
    <cellStyle name="표준 8 8 6 3 5" xfId="22544"/>
    <cellStyle name="표준 8 8 6 4 2 2" xfId="22545"/>
    <cellStyle name="표준 8 8 6 4 3" xfId="22546"/>
    <cellStyle name="표준 8 8 6 4 3 2" xfId="22547"/>
    <cellStyle name="표준 8 8 6 4 4" xfId="22548"/>
    <cellStyle name="표준 8 8 6 4 5" xfId="22549"/>
    <cellStyle name="표준 8 8 6 5 2" xfId="22550"/>
    <cellStyle name="표준 8 8 6 6" xfId="22551"/>
    <cellStyle name="표준 8 8 6 6 2" xfId="22552"/>
    <cellStyle name="표준 8 8 6 7" xfId="22553"/>
    <cellStyle name="표준 8 8 6 8" xfId="22554"/>
    <cellStyle name="표준 8 8 7 2 2 2" xfId="22555"/>
    <cellStyle name="표준 8 8 7 2 3" xfId="22556"/>
    <cellStyle name="표준 8 8 7 2 3 2" xfId="22557"/>
    <cellStyle name="표준 8 8 7 2 4" xfId="22558"/>
    <cellStyle name="표준 8 8 7 2 5" xfId="22559"/>
    <cellStyle name="표준 8 8 7 3 2 2" xfId="22560"/>
    <cellStyle name="표준 8 8 7 3 3" xfId="22561"/>
    <cellStyle name="표준 8 8 7 3 3 2" xfId="22562"/>
    <cellStyle name="표준 8 8 7 3 4" xfId="22563"/>
    <cellStyle name="표준 8 8 7 3 5" xfId="22564"/>
    <cellStyle name="표준 8 8 7 4 2" xfId="22565"/>
    <cellStyle name="표준 8 8 7 5" xfId="22566"/>
    <cellStyle name="표준 8 8 7 5 2" xfId="22567"/>
    <cellStyle name="표준 8 8 7 6" xfId="22568"/>
    <cellStyle name="표준 8 8 7 7" xfId="22569"/>
    <cellStyle name="표준 8 8 8 2 2" xfId="22570"/>
    <cellStyle name="표준 8 8 8 3" xfId="22571"/>
    <cellStyle name="표준 8 8 8 3 2" xfId="22572"/>
    <cellStyle name="표준 8 8 8 4" xfId="22573"/>
    <cellStyle name="표준 8 8 8 5" xfId="22574"/>
    <cellStyle name="표준 8 8 9 2 2" xfId="22575"/>
    <cellStyle name="표준 8 8 9 3" xfId="22576"/>
    <cellStyle name="표준 8 8 9 3 2" xfId="22577"/>
    <cellStyle name="표준 8 8 9 4" xfId="22578"/>
    <cellStyle name="표준 8 8 9 5" xfId="22579"/>
    <cellStyle name="표준 8 9 10" xfId="22580"/>
    <cellStyle name="표준 8 9 10 2" xfId="22581"/>
    <cellStyle name="표준 8 9 11" xfId="22582"/>
    <cellStyle name="표준 8 9 12" xfId="22583"/>
    <cellStyle name="표준 8 9 2 10" xfId="22584"/>
    <cellStyle name="표준 8 9 2 2 2 2 2 2 2" xfId="22585"/>
    <cellStyle name="표준 8 9 2 2 2 2 2 3" xfId="22586"/>
    <cellStyle name="표준 8 9 2 2 2 2 2 3 2" xfId="22587"/>
    <cellStyle name="표준 8 9 2 2 2 2 2 4" xfId="22588"/>
    <cellStyle name="표준 8 9 2 2 2 2 2 5" xfId="22589"/>
    <cellStyle name="표준 8 9 2 2 2 2 3 2 2" xfId="22590"/>
    <cellStyle name="표준 8 9 2 2 2 2 3 3" xfId="22591"/>
    <cellStyle name="표준 8 9 2 2 2 2 3 3 2" xfId="22592"/>
    <cellStyle name="표준 8 9 2 2 2 2 3 4" xfId="22593"/>
    <cellStyle name="표준 8 9 2 2 2 2 3 5" xfId="22594"/>
    <cellStyle name="표준 8 9 2 2 2 2 4 2" xfId="22595"/>
    <cellStyle name="표준 8 9 2 2 2 2 5" xfId="22596"/>
    <cellStyle name="표준 8 9 2 2 2 2 5 2" xfId="22597"/>
    <cellStyle name="표준 8 9 2 2 2 2 6" xfId="22598"/>
    <cellStyle name="표준 8 9 2 2 2 2 7" xfId="22599"/>
    <cellStyle name="표준 8 9 2 2 2 3 2 2" xfId="22600"/>
    <cellStyle name="표준 8 9 2 2 2 3 3" xfId="22601"/>
    <cellStyle name="표준 8 9 2 2 2 3 3 2" xfId="22602"/>
    <cellStyle name="표준 8 9 2 2 2 3 4" xfId="22603"/>
    <cellStyle name="표준 8 9 2 2 2 3 5" xfId="22604"/>
    <cellStyle name="표준 8 9 2 2 2 4 2 2" xfId="22605"/>
    <cellStyle name="표준 8 9 2 2 2 4 3" xfId="22606"/>
    <cellStyle name="표준 8 9 2 2 2 4 3 2" xfId="22607"/>
    <cellStyle name="표준 8 9 2 2 2 4 4" xfId="22608"/>
    <cellStyle name="표준 8 9 2 2 2 4 5" xfId="22609"/>
    <cellStyle name="표준 8 9 2 2 2 5 2" xfId="22610"/>
    <cellStyle name="표준 8 9 2 2 2 6" xfId="22611"/>
    <cellStyle name="표준 8 9 2 2 2 6 2" xfId="22612"/>
    <cellStyle name="표준 8 9 2 2 2 7" xfId="22613"/>
    <cellStyle name="표준 8 9 2 2 2 8" xfId="22614"/>
    <cellStyle name="표준 8 9 2 2 3 2 2 2" xfId="22615"/>
    <cellStyle name="표준 8 9 2 2 3 2 3" xfId="22616"/>
    <cellStyle name="표준 8 9 2 2 3 2 3 2" xfId="22617"/>
    <cellStyle name="표준 8 9 2 2 3 2 4" xfId="22618"/>
    <cellStyle name="표준 8 9 2 2 3 2 5" xfId="22619"/>
    <cellStyle name="표준 8 9 2 2 3 3 2 2" xfId="22620"/>
    <cellStyle name="표준 8 9 2 2 3 3 3" xfId="22621"/>
    <cellStyle name="표준 8 9 2 2 3 3 3 2" xfId="22622"/>
    <cellStyle name="표준 8 9 2 2 3 3 4" xfId="22623"/>
    <cellStyle name="표준 8 9 2 2 3 3 5" xfId="22624"/>
    <cellStyle name="표준 8 9 2 2 3 4 2" xfId="22625"/>
    <cellStyle name="표준 8 9 2 2 3 5" xfId="22626"/>
    <cellStyle name="표준 8 9 2 2 3 5 2" xfId="22627"/>
    <cellStyle name="표준 8 9 2 2 3 6" xfId="22628"/>
    <cellStyle name="표준 8 9 2 2 3 7" xfId="22629"/>
    <cellStyle name="표준 8 9 2 2 4 2 2" xfId="22630"/>
    <cellStyle name="표준 8 9 2 2 4 3" xfId="22631"/>
    <cellStyle name="표준 8 9 2 2 4 3 2" xfId="22632"/>
    <cellStyle name="표준 8 9 2 2 4 4" xfId="22633"/>
    <cellStyle name="표준 8 9 2 2 4 5" xfId="22634"/>
    <cellStyle name="표준 8 9 2 2 5 2 2" xfId="22635"/>
    <cellStyle name="표준 8 9 2 2 5 3" xfId="22636"/>
    <cellStyle name="표준 8 9 2 2 5 3 2" xfId="22637"/>
    <cellStyle name="표준 8 9 2 2 5 4" xfId="22638"/>
    <cellStyle name="표준 8 9 2 2 5 5" xfId="22639"/>
    <cellStyle name="표준 8 9 2 2 6 2" xfId="22640"/>
    <cellStyle name="표준 8 9 2 2 7" xfId="22641"/>
    <cellStyle name="표준 8 9 2 2 7 2" xfId="22642"/>
    <cellStyle name="표준 8 9 2 2 8" xfId="22643"/>
    <cellStyle name="표준 8 9 2 2 9" xfId="22644"/>
    <cellStyle name="표준 8 9 2 3 2 2 2 2" xfId="22645"/>
    <cellStyle name="표준 8 9 2 3 2 2 3" xfId="22646"/>
    <cellStyle name="표준 8 9 2 3 2 2 3 2" xfId="22647"/>
    <cellStyle name="표준 8 9 2 3 2 2 4" xfId="22648"/>
    <cellStyle name="표준 8 9 2 3 2 2 5" xfId="22649"/>
    <cellStyle name="표준 8 9 2 3 2 3 2 2" xfId="22650"/>
    <cellStyle name="표준 8 9 2 3 2 3 3" xfId="22651"/>
    <cellStyle name="표준 8 9 2 3 2 3 3 2" xfId="22652"/>
    <cellStyle name="표준 8 9 2 3 2 3 4" xfId="22653"/>
    <cellStyle name="표준 8 9 2 3 2 3 5" xfId="22654"/>
    <cellStyle name="표준 8 9 2 3 2 4 2" xfId="22655"/>
    <cellStyle name="표준 8 9 2 3 2 5" xfId="22656"/>
    <cellStyle name="표준 8 9 2 3 2 5 2" xfId="22657"/>
    <cellStyle name="표준 8 9 2 3 2 6" xfId="22658"/>
    <cellStyle name="표준 8 9 2 3 2 7" xfId="22659"/>
    <cellStyle name="표준 8 9 2 3 3 2 2" xfId="22660"/>
    <cellStyle name="표준 8 9 2 3 3 3" xfId="22661"/>
    <cellStyle name="표준 8 9 2 3 3 3 2" xfId="22662"/>
    <cellStyle name="표준 8 9 2 3 3 4" xfId="22663"/>
    <cellStyle name="표준 8 9 2 3 3 5" xfId="22664"/>
    <cellStyle name="표준 8 9 2 3 4 2 2" xfId="22665"/>
    <cellStyle name="표준 8 9 2 3 4 3" xfId="22666"/>
    <cellStyle name="표준 8 9 2 3 4 3 2" xfId="22667"/>
    <cellStyle name="표준 8 9 2 3 4 4" xfId="22668"/>
    <cellStyle name="표준 8 9 2 3 4 5" xfId="22669"/>
    <cellStyle name="표준 8 9 2 3 5 2" xfId="22670"/>
    <cellStyle name="표준 8 9 2 3 6" xfId="22671"/>
    <cellStyle name="표준 8 9 2 3 6 2" xfId="22672"/>
    <cellStyle name="표준 8 9 2 3 7" xfId="22673"/>
    <cellStyle name="표준 8 9 2 3 8" xfId="22674"/>
    <cellStyle name="표준 8 9 2 4 2 2 2" xfId="22675"/>
    <cellStyle name="표준 8 9 2 4 2 3" xfId="22676"/>
    <cellStyle name="표준 8 9 2 4 2 3 2" xfId="22677"/>
    <cellStyle name="표준 8 9 2 4 2 4" xfId="22678"/>
    <cellStyle name="표준 8 9 2 4 2 5" xfId="22679"/>
    <cellStyle name="표준 8 9 2 4 3 2 2" xfId="22680"/>
    <cellStyle name="표준 8 9 2 4 3 3" xfId="22681"/>
    <cellStyle name="표준 8 9 2 4 3 3 2" xfId="22682"/>
    <cellStyle name="표준 8 9 2 4 3 4" xfId="22683"/>
    <cellStyle name="표준 8 9 2 4 3 5" xfId="22684"/>
    <cellStyle name="표준 8 9 2 4 4 2" xfId="22685"/>
    <cellStyle name="표준 8 9 2 4 5" xfId="22686"/>
    <cellStyle name="표준 8 9 2 4 5 2" xfId="22687"/>
    <cellStyle name="표준 8 9 2 4 6" xfId="22688"/>
    <cellStyle name="표준 8 9 2 4 7" xfId="22689"/>
    <cellStyle name="표준 8 9 2 5 2 2" xfId="22690"/>
    <cellStyle name="표준 8 9 2 5 3" xfId="22691"/>
    <cellStyle name="표준 8 9 2 5 3 2" xfId="22692"/>
    <cellStyle name="표준 8 9 2 5 4" xfId="22693"/>
    <cellStyle name="표준 8 9 2 5 5" xfId="22694"/>
    <cellStyle name="표준 8 9 2 6 2 2" xfId="22695"/>
    <cellStyle name="표준 8 9 2 6 3" xfId="22696"/>
    <cellStyle name="표준 8 9 2 6 3 2" xfId="22697"/>
    <cellStyle name="표준 8 9 2 6 4" xfId="22698"/>
    <cellStyle name="표준 8 9 2 6 5" xfId="22699"/>
    <cellStyle name="표준 8 9 2 7 2" xfId="22700"/>
    <cellStyle name="표준 8 9 2 8" xfId="22701"/>
    <cellStyle name="표준 8 9 2 8 2" xfId="22702"/>
    <cellStyle name="표준 8 9 2 9" xfId="22703"/>
    <cellStyle name="표준 8 9 3 10" xfId="22704"/>
    <cellStyle name="표준 8 9 3 2 2 2 2 2 2" xfId="22705"/>
    <cellStyle name="표준 8 9 3 2 2 2 2 3" xfId="22706"/>
    <cellStyle name="표준 8 9 3 2 2 2 2 3 2" xfId="22707"/>
    <cellStyle name="표준 8 9 3 2 2 2 2 4" xfId="22708"/>
    <cellStyle name="표준 8 9 3 2 2 2 2 5" xfId="22709"/>
    <cellStyle name="표준 8 9 3 2 2 2 3 2 2" xfId="22710"/>
    <cellStyle name="표준 8 9 3 2 2 2 3 3" xfId="22711"/>
    <cellStyle name="표준 8 9 3 2 2 2 3 3 2" xfId="22712"/>
    <cellStyle name="표준 8 9 3 2 2 2 3 4" xfId="22713"/>
    <cellStyle name="표준 8 9 3 2 2 2 3 5" xfId="22714"/>
    <cellStyle name="표준 8 9 3 2 2 2 4 2" xfId="22715"/>
    <cellStyle name="표준 8 9 3 2 2 2 5" xfId="22716"/>
    <cellStyle name="표준 8 9 3 2 2 2 5 2" xfId="22717"/>
    <cellStyle name="표준 8 9 3 2 2 2 6" xfId="22718"/>
    <cellStyle name="표준 8 9 3 2 2 2 7" xfId="22719"/>
    <cellStyle name="표준 8 9 3 2 2 3 2 2" xfId="22720"/>
    <cellStyle name="표준 8 9 3 2 2 3 3" xfId="22721"/>
    <cellStyle name="표준 8 9 3 2 2 3 3 2" xfId="22722"/>
    <cellStyle name="표준 8 9 3 2 2 3 4" xfId="22723"/>
    <cellStyle name="표준 8 9 3 2 2 3 5" xfId="22724"/>
    <cellStyle name="표준 8 9 3 2 2 4 2 2" xfId="22725"/>
    <cellStyle name="표준 8 9 3 2 2 4 3" xfId="22726"/>
    <cellStyle name="표준 8 9 3 2 2 4 3 2" xfId="22727"/>
    <cellStyle name="표준 8 9 3 2 2 4 4" xfId="22728"/>
    <cellStyle name="표준 8 9 3 2 2 4 5" xfId="22729"/>
    <cellStyle name="표준 8 9 3 2 2 5 2" xfId="22730"/>
    <cellStyle name="표준 8 9 3 2 2 6" xfId="22731"/>
    <cellStyle name="표준 8 9 3 2 2 6 2" xfId="22732"/>
    <cellStyle name="표준 8 9 3 2 2 7" xfId="22733"/>
    <cellStyle name="표준 8 9 3 2 2 8" xfId="22734"/>
    <cellStyle name="표준 8 9 3 2 3 2 2 2" xfId="22735"/>
    <cellStyle name="표준 8 9 3 2 3 2 3" xfId="22736"/>
    <cellStyle name="표준 8 9 3 2 3 2 3 2" xfId="22737"/>
    <cellStyle name="표준 8 9 3 2 3 2 4" xfId="22738"/>
    <cellStyle name="표준 8 9 3 2 3 2 5" xfId="22739"/>
    <cellStyle name="표준 8 9 3 2 3 3 2 2" xfId="22740"/>
    <cellStyle name="표준 8 9 3 2 3 3 3" xfId="22741"/>
    <cellStyle name="표준 8 9 3 2 3 3 3 2" xfId="22742"/>
    <cellStyle name="표준 8 9 3 2 3 3 4" xfId="22743"/>
    <cellStyle name="표준 8 9 3 2 3 3 5" xfId="22744"/>
    <cellStyle name="표준 8 9 3 2 3 4 2" xfId="22745"/>
    <cellStyle name="표준 8 9 3 2 3 5" xfId="22746"/>
    <cellStyle name="표준 8 9 3 2 3 5 2" xfId="22747"/>
    <cellStyle name="표준 8 9 3 2 3 6" xfId="22748"/>
    <cellStyle name="표준 8 9 3 2 3 7" xfId="22749"/>
    <cellStyle name="표준 8 9 3 2 4 2 2" xfId="22750"/>
    <cellStyle name="표준 8 9 3 2 4 3" xfId="22751"/>
    <cellStyle name="표준 8 9 3 2 4 3 2" xfId="22752"/>
    <cellStyle name="표준 8 9 3 2 4 4" xfId="22753"/>
    <cellStyle name="표준 8 9 3 2 4 5" xfId="22754"/>
    <cellStyle name="표준 8 9 3 2 5 2 2" xfId="22755"/>
    <cellStyle name="표준 8 9 3 2 5 3" xfId="22756"/>
    <cellStyle name="표준 8 9 3 2 5 3 2" xfId="22757"/>
    <cellStyle name="표준 8 9 3 2 5 4" xfId="22758"/>
    <cellStyle name="표준 8 9 3 2 5 5" xfId="22759"/>
    <cellStyle name="표준 8 9 3 2 6 2" xfId="22760"/>
    <cellStyle name="표준 8 9 3 2 7" xfId="22761"/>
    <cellStyle name="표준 8 9 3 2 7 2" xfId="22762"/>
    <cellStyle name="표준 8 9 3 2 8" xfId="22763"/>
    <cellStyle name="표준 8 9 3 2 9" xfId="22764"/>
    <cellStyle name="표준 8 9 3 3 2 2 2 2" xfId="22765"/>
    <cellStyle name="표준 8 9 3 3 2 2 3" xfId="22766"/>
    <cellStyle name="표준 8 9 3 3 2 2 3 2" xfId="22767"/>
    <cellStyle name="표준 8 9 3 3 2 2 4" xfId="22768"/>
    <cellStyle name="표준 8 9 3 3 2 2 5" xfId="22769"/>
    <cellStyle name="표준 8 9 3 3 2 3 2 2" xfId="22770"/>
    <cellStyle name="표준 8 9 3 3 2 3 3" xfId="22771"/>
    <cellStyle name="표준 8 9 3 3 2 3 3 2" xfId="22772"/>
    <cellStyle name="표준 8 9 3 3 2 3 4" xfId="22773"/>
    <cellStyle name="표준 8 9 3 3 2 3 5" xfId="22774"/>
    <cellStyle name="표준 8 9 3 3 2 4 2" xfId="22775"/>
    <cellStyle name="표준 8 9 3 3 2 5" xfId="22776"/>
    <cellStyle name="표준 8 9 3 3 2 5 2" xfId="22777"/>
    <cellStyle name="표준 8 9 3 3 2 6" xfId="22778"/>
    <cellStyle name="표준 8 9 3 3 2 7" xfId="22779"/>
    <cellStyle name="표준 8 9 3 3 3 2 2" xfId="22780"/>
    <cellStyle name="표준 8 9 3 3 3 3" xfId="22781"/>
    <cellStyle name="표준 8 9 3 3 3 3 2" xfId="22782"/>
    <cellStyle name="표준 8 9 3 3 3 4" xfId="22783"/>
    <cellStyle name="표준 8 9 3 3 3 5" xfId="22784"/>
    <cellStyle name="표준 8 9 3 3 4 2 2" xfId="22785"/>
    <cellStyle name="표준 8 9 3 3 4 3" xfId="22786"/>
    <cellStyle name="표준 8 9 3 3 4 3 2" xfId="22787"/>
    <cellStyle name="표준 8 9 3 3 4 4" xfId="22788"/>
    <cellStyle name="표준 8 9 3 3 4 5" xfId="22789"/>
    <cellStyle name="표준 8 9 3 3 5 2" xfId="22790"/>
    <cellStyle name="표준 8 9 3 3 6" xfId="22791"/>
    <cellStyle name="표준 8 9 3 3 6 2" xfId="22792"/>
    <cellStyle name="표준 8 9 3 3 7" xfId="22793"/>
    <cellStyle name="표준 8 9 3 3 8" xfId="22794"/>
    <cellStyle name="표준 8 9 3 4 2 2 2" xfId="22795"/>
    <cellStyle name="표준 8 9 3 4 2 3" xfId="22796"/>
    <cellStyle name="표준 8 9 3 4 2 3 2" xfId="22797"/>
    <cellStyle name="표준 8 9 3 4 2 4" xfId="22798"/>
    <cellStyle name="표준 8 9 3 4 2 5" xfId="22799"/>
    <cellStyle name="표준 8 9 3 4 3 2 2" xfId="22800"/>
    <cellStyle name="표준 8 9 3 4 3 3" xfId="22801"/>
    <cellStyle name="표준 8 9 3 4 3 3 2" xfId="22802"/>
    <cellStyle name="표준 8 9 3 4 3 4" xfId="22803"/>
    <cellStyle name="표준 8 9 3 4 3 5" xfId="22804"/>
    <cellStyle name="표준 8 9 3 4 4 2" xfId="22805"/>
    <cellStyle name="표준 8 9 3 4 5" xfId="22806"/>
    <cellStyle name="표준 8 9 3 4 5 2" xfId="22807"/>
    <cellStyle name="표준 8 9 3 4 6" xfId="22808"/>
    <cellStyle name="표준 8 9 3 4 7" xfId="22809"/>
    <cellStyle name="표준 8 9 3 5 2 2" xfId="22810"/>
    <cellStyle name="표준 8 9 3 5 3" xfId="22811"/>
    <cellStyle name="표준 8 9 3 5 3 2" xfId="22812"/>
    <cellStyle name="표준 8 9 3 5 4" xfId="22813"/>
    <cellStyle name="표준 8 9 3 5 5" xfId="22814"/>
    <cellStyle name="표준 8 9 3 6 2 2" xfId="22815"/>
    <cellStyle name="표준 8 9 3 6 3" xfId="22816"/>
    <cellStyle name="표준 8 9 3 6 3 2" xfId="22817"/>
    <cellStyle name="표준 8 9 3 6 4" xfId="22818"/>
    <cellStyle name="표준 8 9 3 6 5" xfId="22819"/>
    <cellStyle name="표준 8 9 3 7 2" xfId="22820"/>
    <cellStyle name="표준 8 9 3 8" xfId="22821"/>
    <cellStyle name="표준 8 9 3 8 2" xfId="22822"/>
    <cellStyle name="표준 8 9 3 9" xfId="22823"/>
    <cellStyle name="표준 8 9 4 2 2 2 2 2" xfId="22824"/>
    <cellStyle name="표준 8 9 4 2 2 2 3" xfId="22825"/>
    <cellStyle name="표준 8 9 4 2 2 2 3 2" xfId="22826"/>
    <cellStyle name="표준 8 9 4 2 2 2 4" xfId="22827"/>
    <cellStyle name="표준 8 9 4 2 2 2 5" xfId="22828"/>
    <cellStyle name="표준 8 9 4 2 2 3 2 2" xfId="22829"/>
    <cellStyle name="표준 8 9 4 2 2 3 3" xfId="22830"/>
    <cellStyle name="표준 8 9 4 2 2 3 3 2" xfId="22831"/>
    <cellStyle name="표준 8 9 4 2 2 3 4" xfId="22832"/>
    <cellStyle name="표준 8 9 4 2 2 3 5" xfId="22833"/>
    <cellStyle name="표준 8 9 4 2 2 4 2" xfId="22834"/>
    <cellStyle name="표준 8 9 4 2 2 5" xfId="22835"/>
    <cellStyle name="표준 8 9 4 2 2 5 2" xfId="22836"/>
    <cellStyle name="표준 8 9 4 2 2 6" xfId="22837"/>
    <cellStyle name="표준 8 9 4 2 2 7" xfId="22838"/>
    <cellStyle name="표준 8 9 4 2 3 2 2" xfId="22839"/>
    <cellStyle name="표준 8 9 4 2 3 3" xfId="22840"/>
    <cellStyle name="표준 8 9 4 2 3 3 2" xfId="22841"/>
    <cellStyle name="표준 8 9 4 2 3 4" xfId="22842"/>
    <cellStyle name="표준 8 9 4 2 3 5" xfId="22843"/>
    <cellStyle name="표준 8 9 4 2 4 2 2" xfId="22844"/>
    <cellStyle name="표준 8 9 4 2 4 3" xfId="22845"/>
    <cellStyle name="표준 8 9 4 2 4 3 2" xfId="22846"/>
    <cellStyle name="표준 8 9 4 2 4 4" xfId="22847"/>
    <cellStyle name="표준 8 9 4 2 4 5" xfId="22848"/>
    <cellStyle name="표준 8 9 4 2 5 2" xfId="22849"/>
    <cellStyle name="표준 8 9 4 2 6" xfId="22850"/>
    <cellStyle name="표준 8 9 4 2 6 2" xfId="22851"/>
    <cellStyle name="표준 8 9 4 2 7" xfId="22852"/>
    <cellStyle name="표준 8 9 4 2 8" xfId="22853"/>
    <cellStyle name="표준 8 9 4 3 2 2 2" xfId="22854"/>
    <cellStyle name="표준 8 9 4 3 2 3" xfId="22855"/>
    <cellStyle name="표준 8 9 4 3 2 3 2" xfId="22856"/>
    <cellStyle name="표준 8 9 4 3 2 4" xfId="22857"/>
    <cellStyle name="표준 8 9 4 3 2 5" xfId="22858"/>
    <cellStyle name="표준 8 9 4 3 3 2 2" xfId="22859"/>
    <cellStyle name="표준 8 9 4 3 3 3" xfId="22860"/>
    <cellStyle name="표준 8 9 4 3 3 3 2" xfId="22861"/>
    <cellStyle name="표준 8 9 4 3 3 4" xfId="22862"/>
    <cellStyle name="표준 8 9 4 3 3 5" xfId="22863"/>
    <cellStyle name="표준 8 9 4 3 4 2" xfId="22864"/>
    <cellStyle name="표준 8 9 4 3 5" xfId="22865"/>
    <cellStyle name="표준 8 9 4 3 5 2" xfId="22866"/>
    <cellStyle name="표준 8 9 4 3 6" xfId="22867"/>
    <cellStyle name="표준 8 9 4 3 7" xfId="22868"/>
    <cellStyle name="표준 8 9 4 4 2 2" xfId="22869"/>
    <cellStyle name="표준 8 9 4 4 3" xfId="22870"/>
    <cellStyle name="표준 8 9 4 4 3 2" xfId="22871"/>
    <cellStyle name="표준 8 9 4 4 4" xfId="22872"/>
    <cellStyle name="표준 8 9 4 4 5" xfId="22873"/>
    <cellStyle name="표준 8 9 4 5 2 2" xfId="22874"/>
    <cellStyle name="표준 8 9 4 5 3" xfId="22875"/>
    <cellStyle name="표준 8 9 4 5 3 2" xfId="22876"/>
    <cellStyle name="표준 8 9 4 5 4" xfId="22877"/>
    <cellStyle name="표준 8 9 4 5 5" xfId="22878"/>
    <cellStyle name="표준 8 9 4 6 2" xfId="22879"/>
    <cellStyle name="표준 8 9 4 7" xfId="22880"/>
    <cellStyle name="표준 8 9 4 7 2" xfId="22881"/>
    <cellStyle name="표준 8 9 4 8" xfId="22882"/>
    <cellStyle name="표준 8 9 4 9" xfId="22883"/>
    <cellStyle name="표준 8 9 5 2 2 2 2" xfId="22884"/>
    <cellStyle name="표준 8 9 5 2 2 3" xfId="22885"/>
    <cellStyle name="표준 8 9 5 2 2 3 2" xfId="22886"/>
    <cellStyle name="표준 8 9 5 2 2 4" xfId="22887"/>
    <cellStyle name="표준 8 9 5 2 2 5" xfId="22888"/>
    <cellStyle name="표준 8 9 5 2 3 2 2" xfId="22889"/>
    <cellStyle name="표준 8 9 5 2 3 3" xfId="22890"/>
    <cellStyle name="표준 8 9 5 2 3 3 2" xfId="22891"/>
    <cellStyle name="표준 8 9 5 2 3 4" xfId="22892"/>
    <cellStyle name="표준 8 9 5 2 3 5" xfId="22893"/>
    <cellStyle name="표준 8 9 5 2 4 2" xfId="22894"/>
    <cellStyle name="표준 8 9 5 2 5" xfId="22895"/>
    <cellStyle name="표준 8 9 5 2 5 2" xfId="22896"/>
    <cellStyle name="표준 8 9 5 2 6" xfId="22897"/>
    <cellStyle name="표준 8 9 5 2 7" xfId="22898"/>
    <cellStyle name="표준 8 9 5 3 2 2" xfId="22899"/>
    <cellStyle name="표준 8 9 5 3 3" xfId="22900"/>
    <cellStyle name="표준 8 9 5 3 3 2" xfId="22901"/>
    <cellStyle name="표준 8 9 5 3 4" xfId="22902"/>
    <cellStyle name="표준 8 9 5 3 5" xfId="22903"/>
    <cellStyle name="표준 8 9 5 4 2 2" xfId="22904"/>
    <cellStyle name="표준 8 9 5 4 3" xfId="22905"/>
    <cellStyle name="표준 8 9 5 4 3 2" xfId="22906"/>
    <cellStyle name="표준 8 9 5 4 4" xfId="22907"/>
    <cellStyle name="표준 8 9 5 4 5" xfId="22908"/>
    <cellStyle name="표준 8 9 5 5 2" xfId="22909"/>
    <cellStyle name="표준 8 9 5 6" xfId="22910"/>
    <cellStyle name="표준 8 9 5 6 2" xfId="22911"/>
    <cellStyle name="표준 8 9 5 7" xfId="22912"/>
    <cellStyle name="표준 8 9 5 8" xfId="22913"/>
    <cellStyle name="표준 8 9 6 2 2 2" xfId="22914"/>
    <cellStyle name="표준 8 9 6 2 3" xfId="22915"/>
    <cellStyle name="표준 8 9 6 2 3 2" xfId="22916"/>
    <cellStyle name="표준 8 9 6 2 4" xfId="22917"/>
    <cellStyle name="표준 8 9 6 2 5" xfId="22918"/>
    <cellStyle name="표준 8 9 6 3 2 2" xfId="22919"/>
    <cellStyle name="표준 8 9 6 3 3" xfId="22920"/>
    <cellStyle name="표준 8 9 6 3 3 2" xfId="22921"/>
    <cellStyle name="표준 8 9 6 3 4" xfId="22922"/>
    <cellStyle name="표준 8 9 6 3 5" xfId="22923"/>
    <cellStyle name="표준 8 9 6 4 2" xfId="22924"/>
    <cellStyle name="표준 8 9 6 5" xfId="22925"/>
    <cellStyle name="표준 8 9 6 5 2" xfId="22926"/>
    <cellStyle name="표준 8 9 6 6" xfId="22927"/>
    <cellStyle name="표준 8 9 6 7" xfId="22928"/>
    <cellStyle name="표준 8 9 7 2 2" xfId="22929"/>
    <cellStyle name="표준 8 9 7 3" xfId="22930"/>
    <cellStyle name="표준 8 9 7 3 2" xfId="22931"/>
    <cellStyle name="표준 8 9 7 4" xfId="22932"/>
    <cellStyle name="표준 8 9 7 5" xfId="22933"/>
    <cellStyle name="표준 8 9 8 2 2" xfId="22934"/>
    <cellStyle name="표준 8 9 8 3" xfId="22935"/>
    <cellStyle name="표준 8 9 8 3 2" xfId="22936"/>
    <cellStyle name="표준 8 9 8 4" xfId="22937"/>
    <cellStyle name="표준 8 9 8 5" xfId="22938"/>
    <cellStyle name="표준 8 9 9 2" xfId="22939"/>
    <cellStyle name="표준 9 10 10" xfId="22940"/>
    <cellStyle name="표준 9 10 2 2 2 2 2 2" xfId="22941"/>
    <cellStyle name="표준 9 10 2 2 2 2 3" xfId="22942"/>
    <cellStyle name="표준 9 10 2 2 2 2 3 2" xfId="22943"/>
    <cellStyle name="표준 9 10 2 2 2 2 4" xfId="22944"/>
    <cellStyle name="표준 9 10 2 2 2 2 5" xfId="22945"/>
    <cellStyle name="표준 9 10 2 2 2 3 2 2" xfId="22946"/>
    <cellStyle name="표준 9 10 2 2 2 3 3" xfId="22947"/>
    <cellStyle name="표준 9 10 2 2 2 3 3 2" xfId="22948"/>
    <cellStyle name="표준 9 10 2 2 2 3 4" xfId="22949"/>
    <cellStyle name="표준 9 10 2 2 2 3 5" xfId="22950"/>
    <cellStyle name="표준 9 10 2 2 2 4 2" xfId="22951"/>
    <cellStyle name="표준 9 10 2 2 2 5" xfId="22952"/>
    <cellStyle name="표준 9 10 2 2 2 5 2" xfId="22953"/>
    <cellStyle name="표준 9 10 2 2 2 6" xfId="22954"/>
    <cellStyle name="표준 9 10 2 2 2 7" xfId="22955"/>
    <cellStyle name="표준 9 10 2 2 3 2 2" xfId="22956"/>
    <cellStyle name="표준 9 10 2 2 3 3" xfId="22957"/>
    <cellStyle name="표준 9 10 2 2 3 3 2" xfId="22958"/>
    <cellStyle name="표준 9 10 2 2 3 4" xfId="22959"/>
    <cellStyle name="표준 9 10 2 2 3 5" xfId="22960"/>
    <cellStyle name="표준 9 10 2 2 4 2 2" xfId="22961"/>
    <cellStyle name="표준 9 10 2 2 4 3" xfId="22962"/>
    <cellStyle name="표준 9 10 2 2 4 3 2" xfId="22963"/>
    <cellStyle name="표준 9 10 2 2 4 4" xfId="22964"/>
    <cellStyle name="표준 9 10 2 2 4 5" xfId="22965"/>
    <cellStyle name="표준 9 10 2 2 5 2" xfId="22966"/>
    <cellStyle name="표준 9 10 2 2 6" xfId="22967"/>
    <cellStyle name="표준 9 10 2 2 6 2" xfId="22968"/>
    <cellStyle name="표준 9 10 2 2 7" xfId="22969"/>
    <cellStyle name="표준 9 10 2 2 8" xfId="22970"/>
    <cellStyle name="표준 9 10 2 3 2 2 2" xfId="22971"/>
    <cellStyle name="표준 9 10 2 3 2 3" xfId="22972"/>
    <cellStyle name="표준 9 10 2 3 2 3 2" xfId="22973"/>
    <cellStyle name="표준 9 10 2 3 2 4" xfId="22974"/>
    <cellStyle name="표준 9 10 2 3 2 5" xfId="22975"/>
    <cellStyle name="표준 9 10 2 3 3 2 2" xfId="22976"/>
    <cellStyle name="표준 9 10 2 3 3 3" xfId="22977"/>
    <cellStyle name="표준 9 10 2 3 3 3 2" xfId="22978"/>
    <cellStyle name="표준 9 10 2 3 3 4" xfId="22979"/>
    <cellStyle name="표준 9 10 2 3 3 5" xfId="22980"/>
    <cellStyle name="표준 9 10 2 3 4 2" xfId="22981"/>
    <cellStyle name="표준 9 10 2 3 5" xfId="22982"/>
    <cellStyle name="표준 9 10 2 3 5 2" xfId="22983"/>
    <cellStyle name="표준 9 10 2 3 6" xfId="22984"/>
    <cellStyle name="표준 9 10 2 3 7" xfId="22985"/>
    <cellStyle name="표준 9 10 2 4 2 2" xfId="22986"/>
    <cellStyle name="표준 9 10 2 4 3" xfId="22987"/>
    <cellStyle name="표준 9 10 2 4 3 2" xfId="22988"/>
    <cellStyle name="표준 9 10 2 4 4" xfId="22989"/>
    <cellStyle name="표준 9 10 2 4 5" xfId="22990"/>
    <cellStyle name="표준 9 10 2 5 2 2" xfId="22991"/>
    <cellStyle name="표준 9 10 2 5 3" xfId="22992"/>
    <cellStyle name="표준 9 10 2 5 3 2" xfId="22993"/>
    <cellStyle name="표준 9 10 2 5 4" xfId="22994"/>
    <cellStyle name="표준 9 10 2 5 5" xfId="22995"/>
    <cellStyle name="표준 9 10 2 6 2" xfId="22996"/>
    <cellStyle name="표준 9 10 2 7" xfId="22997"/>
    <cellStyle name="표준 9 10 2 7 2" xfId="22998"/>
    <cellStyle name="표준 9 10 2 8" xfId="22999"/>
    <cellStyle name="표준 9 10 2 9" xfId="23000"/>
    <cellStyle name="표준 9 10 3 2 2 2 2" xfId="23001"/>
    <cellStyle name="표준 9 10 3 2 2 3" xfId="23002"/>
    <cellStyle name="표준 9 10 3 2 2 3 2" xfId="23003"/>
    <cellStyle name="표준 9 10 3 2 2 4" xfId="23004"/>
    <cellStyle name="표준 9 10 3 2 2 5" xfId="23005"/>
    <cellStyle name="표준 9 10 3 2 3 2 2" xfId="23006"/>
    <cellStyle name="표준 9 10 3 2 3 3" xfId="23007"/>
    <cellStyle name="표준 9 10 3 2 3 3 2" xfId="23008"/>
    <cellStyle name="표준 9 10 3 2 3 4" xfId="23009"/>
    <cellStyle name="표준 9 10 3 2 3 5" xfId="23010"/>
    <cellStyle name="표준 9 10 3 2 4 2" xfId="23011"/>
    <cellStyle name="표준 9 10 3 2 5" xfId="23012"/>
    <cellStyle name="표준 9 10 3 2 5 2" xfId="23013"/>
    <cellStyle name="표준 9 10 3 2 6" xfId="23014"/>
    <cellStyle name="표준 9 10 3 2 7" xfId="23015"/>
    <cellStyle name="표준 9 10 3 3 2 2" xfId="23016"/>
    <cellStyle name="표준 9 10 3 3 3" xfId="23017"/>
    <cellStyle name="표준 9 10 3 3 3 2" xfId="23018"/>
    <cellStyle name="표준 9 10 3 3 4" xfId="23019"/>
    <cellStyle name="표준 9 10 3 3 5" xfId="23020"/>
    <cellStyle name="표준 9 10 3 4 2 2" xfId="23021"/>
    <cellStyle name="표준 9 10 3 4 3" xfId="23022"/>
    <cellStyle name="표준 9 10 3 4 3 2" xfId="23023"/>
    <cellStyle name="표준 9 10 3 4 4" xfId="23024"/>
    <cellStyle name="표준 9 10 3 4 5" xfId="23025"/>
    <cellStyle name="표준 9 10 3 5 2" xfId="23026"/>
    <cellStyle name="표준 9 10 3 6" xfId="23027"/>
    <cellStyle name="표준 9 10 3 6 2" xfId="23028"/>
    <cellStyle name="표준 9 10 3 7" xfId="23029"/>
    <cellStyle name="표준 9 10 3 8" xfId="23030"/>
    <cellStyle name="표준 9 10 4 2 2 2" xfId="23031"/>
    <cellStyle name="표준 9 10 4 2 3" xfId="23032"/>
    <cellStyle name="표준 9 10 4 2 3 2" xfId="23033"/>
    <cellStyle name="표준 9 10 4 2 4" xfId="23034"/>
    <cellStyle name="표준 9 10 4 2 5" xfId="23035"/>
    <cellStyle name="표준 9 10 4 3 2 2" xfId="23036"/>
    <cellStyle name="표준 9 10 4 3 3" xfId="23037"/>
    <cellStyle name="표준 9 10 4 3 3 2" xfId="23038"/>
    <cellStyle name="표준 9 10 4 3 4" xfId="23039"/>
    <cellStyle name="표준 9 10 4 3 5" xfId="23040"/>
    <cellStyle name="표준 9 10 4 4 2" xfId="23041"/>
    <cellStyle name="표준 9 10 4 5" xfId="23042"/>
    <cellStyle name="표준 9 10 4 5 2" xfId="23043"/>
    <cellStyle name="표준 9 10 4 6" xfId="23044"/>
    <cellStyle name="표준 9 10 4 7" xfId="23045"/>
    <cellStyle name="표준 9 10 5 2 2" xfId="23046"/>
    <cellStyle name="표준 9 10 5 3" xfId="23047"/>
    <cellStyle name="표준 9 10 5 3 2" xfId="23048"/>
    <cellStyle name="표준 9 10 5 4" xfId="23049"/>
    <cellStyle name="표준 9 10 5 5" xfId="23050"/>
    <cellStyle name="표준 9 10 6 2 2" xfId="23051"/>
    <cellStyle name="표준 9 10 6 3" xfId="23052"/>
    <cellStyle name="표준 9 10 6 3 2" xfId="23053"/>
    <cellStyle name="표준 9 10 6 4" xfId="23054"/>
    <cellStyle name="표준 9 10 6 5" xfId="23055"/>
    <cellStyle name="표준 9 10 7 2" xfId="23056"/>
    <cellStyle name="표준 9 10 8" xfId="23057"/>
    <cellStyle name="표준 9 10 8 2" xfId="23058"/>
    <cellStyle name="표준 9 10 9" xfId="23059"/>
    <cellStyle name="표준 9 11 10" xfId="23060"/>
    <cellStyle name="표준 9 11 2 2 2 2 2 2" xfId="23061"/>
    <cellStyle name="표준 9 11 2 2 2 2 3" xfId="23062"/>
    <cellStyle name="표준 9 11 2 2 2 2 3 2" xfId="23063"/>
    <cellStyle name="표준 9 11 2 2 2 2 4" xfId="23064"/>
    <cellStyle name="표준 9 11 2 2 2 2 5" xfId="23065"/>
    <cellStyle name="표준 9 11 2 2 2 3 2 2" xfId="23066"/>
    <cellStyle name="표준 9 11 2 2 2 3 3" xfId="23067"/>
    <cellStyle name="표준 9 11 2 2 2 3 3 2" xfId="23068"/>
    <cellStyle name="표준 9 11 2 2 2 3 4" xfId="23069"/>
    <cellStyle name="표준 9 11 2 2 2 3 5" xfId="23070"/>
    <cellStyle name="표준 9 11 2 2 2 4 2" xfId="23071"/>
    <cellStyle name="표준 9 11 2 2 2 5" xfId="23072"/>
    <cellStyle name="표준 9 11 2 2 2 5 2" xfId="23073"/>
    <cellStyle name="표준 9 11 2 2 2 6" xfId="23074"/>
    <cellStyle name="표준 9 11 2 2 2 7" xfId="23075"/>
    <cellStyle name="표준 9 11 2 2 3 2 2" xfId="23076"/>
    <cellStyle name="표준 9 11 2 2 3 3" xfId="23077"/>
    <cellStyle name="표준 9 11 2 2 3 3 2" xfId="23078"/>
    <cellStyle name="표준 9 11 2 2 3 4" xfId="23079"/>
    <cellStyle name="표준 9 11 2 2 3 5" xfId="23080"/>
    <cellStyle name="표준 9 11 2 2 4 2 2" xfId="23081"/>
    <cellStyle name="표준 9 11 2 2 4 3" xfId="23082"/>
    <cellStyle name="표준 9 11 2 2 4 3 2" xfId="23083"/>
    <cellStyle name="표준 9 11 2 2 4 4" xfId="23084"/>
    <cellStyle name="표준 9 11 2 2 4 5" xfId="23085"/>
    <cellStyle name="표준 9 11 2 2 5 2" xfId="23086"/>
    <cellStyle name="표준 9 11 2 2 6" xfId="23087"/>
    <cellStyle name="표준 9 11 2 2 6 2" xfId="23088"/>
    <cellStyle name="표준 9 11 2 2 7" xfId="23089"/>
    <cellStyle name="표준 9 11 2 2 8" xfId="23090"/>
    <cellStyle name="표준 9 11 2 3 2 2 2" xfId="23091"/>
    <cellStyle name="표준 9 11 2 3 2 3" xfId="23092"/>
    <cellStyle name="표준 9 11 2 3 2 3 2" xfId="23093"/>
    <cellStyle name="표준 9 11 2 3 2 4" xfId="23094"/>
    <cellStyle name="표준 9 11 2 3 2 5" xfId="23095"/>
    <cellStyle name="표준 9 11 2 3 3 2 2" xfId="23096"/>
    <cellStyle name="표준 9 11 2 3 3 3" xfId="23097"/>
    <cellStyle name="표준 9 11 2 3 3 3 2" xfId="23098"/>
    <cellStyle name="표준 9 11 2 3 3 4" xfId="23099"/>
    <cellStyle name="표준 9 11 2 3 3 5" xfId="23100"/>
    <cellStyle name="표준 9 11 2 3 4 2" xfId="23101"/>
    <cellStyle name="표준 9 11 2 3 5" xfId="23102"/>
    <cellStyle name="표준 9 11 2 3 5 2" xfId="23103"/>
    <cellStyle name="표준 9 11 2 3 6" xfId="23104"/>
    <cellStyle name="표준 9 11 2 3 7" xfId="23105"/>
    <cellStyle name="표준 9 11 2 4 2 2" xfId="23106"/>
    <cellStyle name="표준 9 11 2 4 3" xfId="23107"/>
    <cellStyle name="표준 9 11 2 4 3 2" xfId="23108"/>
    <cellStyle name="표준 9 11 2 4 4" xfId="23109"/>
    <cellStyle name="표준 9 11 2 4 5" xfId="23110"/>
    <cellStyle name="표준 9 11 2 5 2 2" xfId="23111"/>
    <cellStyle name="표준 9 11 2 5 3" xfId="23112"/>
    <cellStyle name="표준 9 11 2 5 3 2" xfId="23113"/>
    <cellStyle name="표준 9 11 2 5 4" xfId="23114"/>
    <cellStyle name="표준 9 11 2 5 5" xfId="23115"/>
    <cellStyle name="표준 9 11 2 6 2" xfId="23116"/>
    <cellStyle name="표준 9 11 2 7" xfId="23117"/>
    <cellStyle name="표준 9 11 2 7 2" xfId="23118"/>
    <cellStyle name="표준 9 11 2 8" xfId="23119"/>
    <cellStyle name="표준 9 11 2 9" xfId="23120"/>
    <cellStyle name="표준 9 11 3 2 2 2 2" xfId="23121"/>
    <cellStyle name="표준 9 11 3 2 2 3" xfId="23122"/>
    <cellStyle name="표준 9 11 3 2 2 3 2" xfId="23123"/>
    <cellStyle name="표준 9 11 3 2 2 4" xfId="23124"/>
    <cellStyle name="표준 9 11 3 2 2 5" xfId="23125"/>
    <cellStyle name="표준 9 11 3 2 3 2 2" xfId="23126"/>
    <cellStyle name="표준 9 11 3 2 3 3" xfId="23127"/>
    <cellStyle name="표준 9 11 3 2 3 3 2" xfId="23128"/>
    <cellStyle name="표준 9 11 3 2 3 4" xfId="23129"/>
    <cellStyle name="표준 9 11 3 2 3 5" xfId="23130"/>
    <cellStyle name="표준 9 11 3 2 4 2" xfId="23131"/>
    <cellStyle name="표준 9 11 3 2 5" xfId="23132"/>
    <cellStyle name="표준 9 11 3 2 5 2" xfId="23133"/>
    <cellStyle name="표준 9 11 3 2 6" xfId="23134"/>
    <cellStyle name="표준 9 11 3 2 7" xfId="23135"/>
    <cellStyle name="표준 9 11 3 3 2 2" xfId="23136"/>
    <cellStyle name="표준 9 11 3 3 3" xfId="23137"/>
    <cellStyle name="표준 9 11 3 3 3 2" xfId="23138"/>
    <cellStyle name="표준 9 11 3 3 4" xfId="23139"/>
    <cellStyle name="표준 9 11 3 3 5" xfId="23140"/>
    <cellStyle name="표준 9 11 3 4 2 2" xfId="23141"/>
    <cellStyle name="표준 9 11 3 4 3" xfId="23142"/>
    <cellStyle name="표준 9 11 3 4 3 2" xfId="23143"/>
    <cellStyle name="표준 9 11 3 4 4" xfId="23144"/>
    <cellStyle name="표준 9 11 3 4 5" xfId="23145"/>
    <cellStyle name="표준 9 11 3 5 2" xfId="23146"/>
    <cellStyle name="표준 9 11 3 6" xfId="23147"/>
    <cellStyle name="표준 9 11 3 6 2" xfId="23148"/>
    <cellStyle name="표준 9 11 3 7" xfId="23149"/>
    <cellStyle name="표준 9 11 3 8" xfId="23150"/>
    <cellStyle name="표준 9 11 4 2 2 2" xfId="23151"/>
    <cellStyle name="표준 9 11 4 2 3" xfId="23152"/>
    <cellStyle name="표준 9 11 4 2 3 2" xfId="23153"/>
    <cellStyle name="표준 9 11 4 2 4" xfId="23154"/>
    <cellStyle name="표준 9 11 4 2 5" xfId="23155"/>
    <cellStyle name="표준 9 11 4 3 2 2" xfId="23156"/>
    <cellStyle name="표준 9 11 4 3 3" xfId="23157"/>
    <cellStyle name="표준 9 11 4 3 3 2" xfId="23158"/>
    <cellStyle name="표준 9 11 4 3 4" xfId="23159"/>
    <cellStyle name="표준 9 11 4 3 5" xfId="23160"/>
    <cellStyle name="표준 9 11 4 4 2" xfId="23161"/>
    <cellStyle name="표준 9 11 4 5" xfId="23162"/>
    <cellStyle name="표준 9 11 4 5 2" xfId="23163"/>
    <cellStyle name="표준 9 11 4 6" xfId="23164"/>
    <cellStyle name="표준 9 11 4 7" xfId="23165"/>
    <cellStyle name="표준 9 11 5 2 2" xfId="23166"/>
    <cellStyle name="표준 9 11 5 3" xfId="23167"/>
    <cellStyle name="표준 9 11 5 3 2" xfId="23168"/>
    <cellStyle name="표준 9 11 5 4" xfId="23169"/>
    <cellStyle name="표준 9 11 5 5" xfId="23170"/>
    <cellStyle name="표준 9 11 6 2 2" xfId="23171"/>
    <cellStyle name="표준 9 11 6 3" xfId="23172"/>
    <cellStyle name="표준 9 11 6 3 2" xfId="23173"/>
    <cellStyle name="표준 9 11 6 4" xfId="23174"/>
    <cellStyle name="표준 9 11 6 5" xfId="23175"/>
    <cellStyle name="표준 9 11 7 2" xfId="23176"/>
    <cellStyle name="표준 9 11 8" xfId="23177"/>
    <cellStyle name="표준 9 11 8 2" xfId="23178"/>
    <cellStyle name="표준 9 11 9" xfId="23179"/>
    <cellStyle name="표준 9 12 10" xfId="23180"/>
    <cellStyle name="표준 9 12 2 2 2 2 2 2" xfId="23181"/>
    <cellStyle name="표준 9 12 2 2 2 2 3" xfId="23182"/>
    <cellStyle name="표준 9 12 2 2 2 2 3 2" xfId="23183"/>
    <cellStyle name="표준 9 12 2 2 2 2 4" xfId="23184"/>
    <cellStyle name="표준 9 12 2 2 2 2 5" xfId="23185"/>
    <cellStyle name="표준 9 12 2 2 2 3 2 2" xfId="23186"/>
    <cellStyle name="표준 9 12 2 2 2 3 3" xfId="23187"/>
    <cellStyle name="표준 9 12 2 2 2 3 3 2" xfId="23188"/>
    <cellStyle name="표준 9 12 2 2 2 3 4" xfId="23189"/>
    <cellStyle name="표준 9 12 2 2 2 3 5" xfId="23190"/>
    <cellStyle name="표준 9 12 2 2 2 4 2" xfId="23191"/>
    <cellStyle name="표준 9 12 2 2 2 5" xfId="23192"/>
    <cellStyle name="표준 9 12 2 2 2 5 2" xfId="23193"/>
    <cellStyle name="표준 9 12 2 2 2 6" xfId="23194"/>
    <cellStyle name="표준 9 12 2 2 2 7" xfId="23195"/>
    <cellStyle name="표준 9 12 2 2 3 2 2" xfId="23196"/>
    <cellStyle name="표준 9 12 2 2 3 3" xfId="23197"/>
    <cellStyle name="표준 9 12 2 2 3 3 2" xfId="23198"/>
    <cellStyle name="표준 9 12 2 2 3 4" xfId="23199"/>
    <cellStyle name="표준 9 12 2 2 3 5" xfId="23200"/>
    <cellStyle name="표준 9 12 2 2 4 2 2" xfId="23201"/>
    <cellStyle name="표준 9 12 2 2 4 3" xfId="23202"/>
    <cellStyle name="표준 9 12 2 2 4 3 2" xfId="23203"/>
    <cellStyle name="표준 9 12 2 2 4 4" xfId="23204"/>
    <cellStyle name="표준 9 12 2 2 4 5" xfId="23205"/>
    <cellStyle name="표준 9 12 2 2 5 2" xfId="23206"/>
    <cellStyle name="표준 9 12 2 2 6" xfId="23207"/>
    <cellStyle name="표준 9 12 2 2 6 2" xfId="23208"/>
    <cellStyle name="표준 9 12 2 2 7" xfId="23209"/>
    <cellStyle name="표준 9 12 2 2 8" xfId="23210"/>
    <cellStyle name="표준 9 12 2 3 2 2 2" xfId="23211"/>
    <cellStyle name="표준 9 12 2 3 2 3" xfId="23212"/>
    <cellStyle name="표준 9 12 2 3 2 3 2" xfId="23213"/>
    <cellStyle name="표준 9 12 2 3 2 4" xfId="23214"/>
    <cellStyle name="표준 9 12 2 3 2 5" xfId="23215"/>
    <cellStyle name="표준 9 12 2 3 3 2 2" xfId="23216"/>
    <cellStyle name="표준 9 12 2 3 3 3" xfId="23217"/>
    <cellStyle name="표준 9 12 2 3 3 3 2" xfId="23218"/>
    <cellStyle name="표준 9 12 2 3 3 4" xfId="23219"/>
    <cellStyle name="표준 9 12 2 3 3 5" xfId="23220"/>
    <cellStyle name="표준 9 12 2 3 4 2" xfId="23221"/>
    <cellStyle name="표준 9 12 2 3 5" xfId="23222"/>
    <cellStyle name="표준 9 12 2 3 5 2" xfId="23223"/>
    <cellStyle name="표준 9 12 2 3 6" xfId="23224"/>
    <cellStyle name="표준 9 12 2 3 7" xfId="23225"/>
    <cellStyle name="표준 9 12 2 4 2 2" xfId="23226"/>
    <cellStyle name="표준 9 12 2 4 3" xfId="23227"/>
    <cellStyle name="표준 9 12 2 4 3 2" xfId="23228"/>
    <cellStyle name="표준 9 12 2 4 4" xfId="23229"/>
    <cellStyle name="표준 9 12 2 4 5" xfId="23230"/>
    <cellStyle name="표준 9 12 2 5 2 2" xfId="23231"/>
    <cellStyle name="표준 9 12 2 5 3" xfId="23232"/>
    <cellStyle name="표준 9 12 2 5 3 2" xfId="23233"/>
    <cellStyle name="표준 9 12 2 5 4" xfId="23234"/>
    <cellStyle name="표준 9 12 2 5 5" xfId="23235"/>
    <cellStyle name="표준 9 12 2 6 2" xfId="23236"/>
    <cellStyle name="표준 9 12 2 7" xfId="23237"/>
    <cellStyle name="표준 9 12 2 7 2" xfId="23238"/>
    <cellStyle name="표준 9 12 2 8" xfId="23239"/>
    <cellStyle name="표준 9 12 2 9" xfId="23240"/>
    <cellStyle name="표준 9 12 3 2 2 2 2" xfId="23241"/>
    <cellStyle name="표준 9 12 3 2 2 3" xfId="23242"/>
    <cellStyle name="표준 9 12 3 2 2 3 2" xfId="23243"/>
    <cellStyle name="표준 9 12 3 2 2 4" xfId="23244"/>
    <cellStyle name="표준 9 12 3 2 2 5" xfId="23245"/>
    <cellStyle name="표준 9 12 3 2 3 2 2" xfId="23246"/>
    <cellStyle name="표준 9 12 3 2 3 3" xfId="23247"/>
    <cellStyle name="표준 9 12 3 2 3 3 2" xfId="23248"/>
    <cellStyle name="표준 9 12 3 2 3 4" xfId="23249"/>
    <cellStyle name="표준 9 12 3 2 3 5" xfId="23250"/>
    <cellStyle name="표준 9 12 3 2 4 2" xfId="23251"/>
    <cellStyle name="표준 9 12 3 2 5" xfId="23252"/>
    <cellStyle name="표준 9 12 3 2 5 2" xfId="23253"/>
    <cellStyle name="표준 9 12 3 2 6" xfId="23254"/>
    <cellStyle name="표준 9 12 3 2 7" xfId="23255"/>
    <cellStyle name="표준 9 12 3 3 2 2" xfId="23256"/>
    <cellStyle name="표준 9 12 3 3 3" xfId="23257"/>
    <cellStyle name="표준 9 12 3 3 3 2" xfId="23258"/>
    <cellStyle name="표준 9 12 3 3 4" xfId="23259"/>
    <cellStyle name="표준 9 12 3 3 5" xfId="23260"/>
    <cellStyle name="표준 9 12 3 4 2 2" xfId="23261"/>
    <cellStyle name="표준 9 12 3 4 3" xfId="23262"/>
    <cellStyle name="표준 9 12 3 4 3 2" xfId="23263"/>
    <cellStyle name="표준 9 12 3 4 4" xfId="23264"/>
    <cellStyle name="표준 9 12 3 4 5" xfId="23265"/>
    <cellStyle name="표준 9 12 3 5 2" xfId="23266"/>
    <cellStyle name="표준 9 12 3 6" xfId="23267"/>
    <cellStyle name="표준 9 12 3 6 2" xfId="23268"/>
    <cellStyle name="표준 9 12 3 7" xfId="23269"/>
    <cellStyle name="표준 9 12 3 8" xfId="23270"/>
    <cellStyle name="표준 9 12 4 2 2 2" xfId="23271"/>
    <cellStyle name="표준 9 12 4 2 3" xfId="23272"/>
    <cellStyle name="표준 9 12 4 2 3 2" xfId="23273"/>
    <cellStyle name="표준 9 12 4 2 4" xfId="23274"/>
    <cellStyle name="표준 9 12 4 2 5" xfId="23275"/>
    <cellStyle name="표준 9 12 4 3 2 2" xfId="23276"/>
    <cellStyle name="표준 9 12 4 3 3" xfId="23277"/>
    <cellStyle name="표준 9 12 4 3 3 2" xfId="23278"/>
    <cellStyle name="표준 9 12 4 3 4" xfId="23279"/>
    <cellStyle name="표준 9 12 4 3 5" xfId="23280"/>
    <cellStyle name="표준 9 12 4 4 2" xfId="23281"/>
    <cellStyle name="표준 9 12 4 5" xfId="23282"/>
    <cellStyle name="표준 9 12 4 5 2" xfId="23283"/>
    <cellStyle name="표준 9 12 4 6" xfId="23284"/>
    <cellStyle name="표준 9 12 4 7" xfId="23285"/>
    <cellStyle name="표준 9 12 5 2 2" xfId="23286"/>
    <cellStyle name="표준 9 12 5 3" xfId="23287"/>
    <cellStyle name="표준 9 12 5 3 2" xfId="23288"/>
    <cellStyle name="표준 9 12 5 4" xfId="23289"/>
    <cellStyle name="표준 9 12 5 5" xfId="23290"/>
    <cellStyle name="표준 9 12 6 2 2" xfId="23291"/>
    <cellStyle name="표준 9 12 6 3" xfId="23292"/>
    <cellStyle name="표준 9 12 6 3 2" xfId="23293"/>
    <cellStyle name="표준 9 12 6 4" xfId="23294"/>
    <cellStyle name="표준 9 12 6 5" xfId="23295"/>
    <cellStyle name="표준 9 12 7 2" xfId="23296"/>
    <cellStyle name="표준 9 12 8" xfId="23297"/>
    <cellStyle name="표준 9 12 8 2" xfId="23298"/>
    <cellStyle name="표준 9 12 9" xfId="23299"/>
    <cellStyle name="표준 9 14 2 2 2 2 2" xfId="23300"/>
    <cellStyle name="표준 9 14 2 2 2 3" xfId="23301"/>
    <cellStyle name="표준 9 14 2 2 2 3 2" xfId="23302"/>
    <cellStyle name="표준 9 14 2 2 2 4" xfId="23303"/>
    <cellStyle name="표준 9 14 2 2 2 5" xfId="23304"/>
    <cellStyle name="표준 9 14 2 2 3 2 2" xfId="23305"/>
    <cellStyle name="표준 9 14 2 2 3 3" xfId="23306"/>
    <cellStyle name="표준 9 14 2 2 3 3 2" xfId="23307"/>
    <cellStyle name="표준 9 14 2 2 3 4" xfId="23308"/>
    <cellStyle name="표준 9 14 2 2 3 5" xfId="23309"/>
    <cellStyle name="표준 9 14 2 2 4 2" xfId="23310"/>
    <cellStyle name="표준 9 14 2 2 5" xfId="23311"/>
    <cellStyle name="표준 9 14 2 2 5 2" xfId="23312"/>
    <cellStyle name="표준 9 14 2 2 6" xfId="23313"/>
    <cellStyle name="표준 9 14 2 2 7" xfId="23314"/>
    <cellStyle name="표준 9 14 2 3 2 2" xfId="23315"/>
    <cellStyle name="표준 9 14 2 3 3" xfId="23316"/>
    <cellStyle name="표준 9 14 2 3 3 2" xfId="23317"/>
    <cellStyle name="표준 9 14 2 3 4" xfId="23318"/>
    <cellStyle name="표준 9 14 2 3 5" xfId="23319"/>
    <cellStyle name="표준 9 14 2 4 2 2" xfId="23320"/>
    <cellStyle name="표준 9 14 2 4 3" xfId="23321"/>
    <cellStyle name="표준 9 14 2 4 3 2" xfId="23322"/>
    <cellStyle name="표준 9 14 2 4 4" xfId="23323"/>
    <cellStyle name="표준 9 14 2 4 5" xfId="23324"/>
    <cellStyle name="표준 9 14 2 5 2" xfId="23325"/>
    <cellStyle name="표준 9 14 2 6" xfId="23326"/>
    <cellStyle name="표준 9 14 2 6 2" xfId="23327"/>
    <cellStyle name="표준 9 14 2 7" xfId="23328"/>
    <cellStyle name="표준 9 14 2 8" xfId="23329"/>
    <cellStyle name="표준 9 14 3 2 2 2" xfId="23330"/>
    <cellStyle name="표준 9 14 3 2 3" xfId="23331"/>
    <cellStyle name="표준 9 14 3 2 3 2" xfId="23332"/>
    <cellStyle name="표준 9 14 3 2 4" xfId="23333"/>
    <cellStyle name="표준 9 14 3 2 5" xfId="23334"/>
    <cellStyle name="표준 9 14 3 3 2 2" xfId="23335"/>
    <cellStyle name="표준 9 14 3 3 3" xfId="23336"/>
    <cellStyle name="표준 9 14 3 3 3 2" xfId="23337"/>
    <cellStyle name="표준 9 14 3 3 4" xfId="23338"/>
    <cellStyle name="표준 9 14 3 3 5" xfId="23339"/>
    <cellStyle name="표준 9 14 3 4 2" xfId="23340"/>
    <cellStyle name="표준 9 14 3 5" xfId="23341"/>
    <cellStyle name="표준 9 14 3 5 2" xfId="23342"/>
    <cellStyle name="표준 9 14 3 6" xfId="23343"/>
    <cellStyle name="표준 9 14 3 7" xfId="23344"/>
    <cellStyle name="표준 9 14 4 2 2" xfId="23345"/>
    <cellStyle name="표준 9 14 4 3" xfId="23346"/>
    <cellStyle name="표준 9 14 4 3 2" xfId="23347"/>
    <cellStyle name="표준 9 14 4 4" xfId="23348"/>
    <cellStyle name="표준 9 14 4 5" xfId="23349"/>
    <cellStyle name="표준 9 14 5 2 2" xfId="23350"/>
    <cellStyle name="표준 9 14 5 3" xfId="23351"/>
    <cellStyle name="표준 9 14 5 3 2" xfId="23352"/>
    <cellStyle name="표준 9 14 5 4" xfId="23353"/>
    <cellStyle name="표준 9 14 5 5" xfId="23354"/>
    <cellStyle name="표준 9 14 6 2" xfId="23355"/>
    <cellStyle name="표준 9 14 7" xfId="23356"/>
    <cellStyle name="표준 9 14 7 2" xfId="23357"/>
    <cellStyle name="표준 9 14 8" xfId="23358"/>
    <cellStyle name="표준 9 14 9" xfId="23359"/>
    <cellStyle name="표준 9 15 2 2 2 2" xfId="23360"/>
    <cellStyle name="표준 9 15 2 2 3" xfId="23361"/>
    <cellStyle name="표준 9 15 2 2 3 2" xfId="23362"/>
    <cellStyle name="표준 9 15 2 2 4" xfId="23363"/>
    <cellStyle name="표준 9 15 2 2 5" xfId="23364"/>
    <cellStyle name="표준 9 15 2 3 2 2" xfId="23365"/>
    <cellStyle name="표준 9 15 2 3 3" xfId="23366"/>
    <cellStyle name="표준 9 15 2 3 3 2" xfId="23367"/>
    <cellStyle name="표준 9 15 2 3 4" xfId="23368"/>
    <cellStyle name="표준 9 15 2 3 5" xfId="23369"/>
    <cellStyle name="표준 9 15 2 4 2" xfId="23370"/>
    <cellStyle name="표준 9 15 2 5" xfId="23371"/>
    <cellStyle name="표준 9 15 2 5 2" xfId="23372"/>
    <cellStyle name="표준 9 15 2 6" xfId="23373"/>
    <cellStyle name="표준 9 15 2 7" xfId="23374"/>
    <cellStyle name="표준 9 15 3 2 2" xfId="23375"/>
    <cellStyle name="표준 9 15 3 3" xfId="23376"/>
    <cellStyle name="표준 9 15 3 3 2" xfId="23377"/>
    <cellStyle name="표준 9 15 3 4" xfId="23378"/>
    <cellStyle name="표준 9 15 3 5" xfId="23379"/>
    <cellStyle name="표준 9 15 4 2 2" xfId="23380"/>
    <cellStyle name="표준 9 15 4 3" xfId="23381"/>
    <cellStyle name="표준 9 15 4 3 2" xfId="23382"/>
    <cellStyle name="표준 9 15 4 4" xfId="23383"/>
    <cellStyle name="표준 9 15 4 5" xfId="23384"/>
    <cellStyle name="표준 9 15 5 2" xfId="23385"/>
    <cellStyle name="표준 9 15 6" xfId="23386"/>
    <cellStyle name="표준 9 15 6 2" xfId="23387"/>
    <cellStyle name="표준 9 15 7" xfId="23388"/>
    <cellStyle name="표준 9 15 8" xfId="23389"/>
    <cellStyle name="표준 9 16 2 2 2" xfId="23390"/>
    <cellStyle name="표준 9 16 2 3" xfId="23391"/>
    <cellStyle name="표준 9 16 2 3 2" xfId="23392"/>
    <cellStyle name="표준 9 16 2 4" xfId="23393"/>
    <cellStyle name="표준 9 16 2 5" xfId="23394"/>
    <cellStyle name="표준 9 16 3 2 2" xfId="23395"/>
    <cellStyle name="표준 9 16 3 3" xfId="23396"/>
    <cellStyle name="표준 9 16 3 3 2" xfId="23397"/>
    <cellStyle name="표준 9 16 3 4" xfId="23398"/>
    <cellStyle name="표준 9 16 3 5" xfId="23399"/>
    <cellStyle name="표준 9 16 4 2" xfId="23400"/>
    <cellStyle name="표준 9 16 5" xfId="23401"/>
    <cellStyle name="표준 9 16 5 2" xfId="23402"/>
    <cellStyle name="표준 9 16 6" xfId="23403"/>
    <cellStyle name="표준 9 16 7" xfId="23404"/>
    <cellStyle name="표준 9 17 2 2" xfId="23405"/>
    <cellStyle name="표준 9 17 3" xfId="23406"/>
    <cellStyle name="표준 9 17 3 2" xfId="23407"/>
    <cellStyle name="표준 9 17 4" xfId="23408"/>
    <cellStyle name="표준 9 17 5" xfId="23409"/>
    <cellStyle name="표준 9 18 2 2" xfId="23410"/>
    <cellStyle name="표준 9 18 3" xfId="23411"/>
    <cellStyle name="표준 9 18 3 2" xfId="23412"/>
    <cellStyle name="표준 9 18 4" xfId="23413"/>
    <cellStyle name="표준 9 18 5" xfId="23414"/>
    <cellStyle name="표준 9 19 2" xfId="23415"/>
    <cellStyle name="표준 9 2 10 2" xfId="23416"/>
    <cellStyle name="표준 9 2 11" xfId="23417"/>
    <cellStyle name="표준 9 2 11 2" xfId="23418"/>
    <cellStyle name="표준 9 2 12" xfId="23419"/>
    <cellStyle name="표준 9 2 13" xfId="23420"/>
    <cellStyle name="표준 9 2 2 10" xfId="23421"/>
    <cellStyle name="표준 9 2 2 2 2 2 2 2 2" xfId="23422"/>
    <cellStyle name="표준 9 2 2 2 2 2 2 3" xfId="23423"/>
    <cellStyle name="표준 9 2 2 2 2 2 2 3 2" xfId="23424"/>
    <cellStyle name="표준 9 2 2 2 2 2 2 4" xfId="23425"/>
    <cellStyle name="표준 9 2 2 2 2 2 2 5" xfId="23426"/>
    <cellStyle name="표준 9 2 2 2 2 2 3 2 2" xfId="23427"/>
    <cellStyle name="표준 9 2 2 2 2 2 3 3" xfId="23428"/>
    <cellStyle name="표준 9 2 2 2 2 2 3 3 2" xfId="23429"/>
    <cellStyle name="표준 9 2 2 2 2 2 3 4" xfId="23430"/>
    <cellStyle name="표준 9 2 2 2 2 2 3 5" xfId="23431"/>
    <cellStyle name="표준 9 2 2 2 2 2 4 2" xfId="23432"/>
    <cellStyle name="표준 9 2 2 2 2 2 5" xfId="23433"/>
    <cellStyle name="표준 9 2 2 2 2 2 5 2" xfId="23434"/>
    <cellStyle name="표준 9 2 2 2 2 2 6" xfId="23435"/>
    <cellStyle name="표준 9 2 2 2 2 2 7" xfId="23436"/>
    <cellStyle name="표준 9 2 2 2 2 3 2 2" xfId="23437"/>
    <cellStyle name="표준 9 2 2 2 2 3 3" xfId="23438"/>
    <cellStyle name="표준 9 2 2 2 2 3 3 2" xfId="23439"/>
    <cellStyle name="표준 9 2 2 2 2 3 4" xfId="23440"/>
    <cellStyle name="표준 9 2 2 2 2 3 5" xfId="23441"/>
    <cellStyle name="표준 9 2 2 2 2 4 2 2" xfId="23442"/>
    <cellStyle name="표준 9 2 2 2 2 4 3" xfId="23443"/>
    <cellStyle name="표준 9 2 2 2 2 4 3 2" xfId="23444"/>
    <cellStyle name="표준 9 2 2 2 2 4 4" xfId="23445"/>
    <cellStyle name="표준 9 2 2 2 2 4 5" xfId="23446"/>
    <cellStyle name="표준 9 2 2 2 2 5 2" xfId="23447"/>
    <cellStyle name="표준 9 2 2 2 2 6" xfId="23448"/>
    <cellStyle name="표준 9 2 2 2 2 6 2" xfId="23449"/>
    <cellStyle name="표준 9 2 2 2 2 7" xfId="23450"/>
    <cellStyle name="표준 9 2 2 2 2 8" xfId="23451"/>
    <cellStyle name="표준 9 2 2 2 3 2 2 2" xfId="23452"/>
    <cellStyle name="표준 9 2 2 2 3 2 3" xfId="23453"/>
    <cellStyle name="표준 9 2 2 2 3 2 3 2" xfId="23454"/>
    <cellStyle name="표준 9 2 2 2 3 2 4" xfId="23455"/>
    <cellStyle name="표준 9 2 2 2 3 2 5" xfId="23456"/>
    <cellStyle name="표준 9 2 2 2 3 3 2 2" xfId="23457"/>
    <cellStyle name="표준 9 2 2 2 3 3 3" xfId="23458"/>
    <cellStyle name="표준 9 2 2 2 3 3 3 2" xfId="23459"/>
    <cellStyle name="표준 9 2 2 2 3 3 4" xfId="23460"/>
    <cellStyle name="표준 9 2 2 2 3 3 5" xfId="23461"/>
    <cellStyle name="표준 9 2 2 2 3 4 2" xfId="23462"/>
    <cellStyle name="표준 9 2 2 2 3 5" xfId="23463"/>
    <cellStyle name="표준 9 2 2 2 3 5 2" xfId="23464"/>
    <cellStyle name="표준 9 2 2 2 3 6" xfId="23465"/>
    <cellStyle name="표준 9 2 2 2 3 7" xfId="23466"/>
    <cellStyle name="표준 9 2 2 2 4 2 2" xfId="23467"/>
    <cellStyle name="표준 9 2 2 2 4 3" xfId="23468"/>
    <cellStyle name="표준 9 2 2 2 4 3 2" xfId="23469"/>
    <cellStyle name="표준 9 2 2 2 4 4" xfId="23470"/>
    <cellStyle name="표준 9 2 2 2 4 5" xfId="23471"/>
    <cellStyle name="표준 9 2 2 2 5 2 2" xfId="23472"/>
    <cellStyle name="표준 9 2 2 2 5 3" xfId="23473"/>
    <cellStyle name="표준 9 2 2 2 5 3 2" xfId="23474"/>
    <cellStyle name="표준 9 2 2 2 5 4" xfId="23475"/>
    <cellStyle name="표준 9 2 2 2 5 5" xfId="23476"/>
    <cellStyle name="표준 9 2 2 2 6 2" xfId="23477"/>
    <cellStyle name="표준 9 2 2 2 7" xfId="23478"/>
    <cellStyle name="표준 9 2 2 2 7 2" xfId="23479"/>
    <cellStyle name="표준 9 2 2 2 8" xfId="23480"/>
    <cellStyle name="표준 9 2 2 2 9" xfId="23481"/>
    <cellStyle name="표준 9 2 2 3 2 2 2 2" xfId="23482"/>
    <cellStyle name="표준 9 2 2 3 2 2 3" xfId="23483"/>
    <cellStyle name="표준 9 2 2 3 2 2 3 2" xfId="23484"/>
    <cellStyle name="표준 9 2 2 3 2 2 4" xfId="23485"/>
    <cellStyle name="표준 9 2 2 3 2 2 5" xfId="23486"/>
    <cellStyle name="표준 9 2 2 3 2 3 2 2" xfId="23487"/>
    <cellStyle name="표준 9 2 2 3 2 3 3" xfId="23488"/>
    <cellStyle name="표준 9 2 2 3 2 3 3 2" xfId="23489"/>
    <cellStyle name="표준 9 2 2 3 2 3 4" xfId="23490"/>
    <cellStyle name="표준 9 2 2 3 2 3 5" xfId="23491"/>
    <cellStyle name="표준 9 2 2 3 2 4 2" xfId="23492"/>
    <cellStyle name="표준 9 2 2 3 2 5" xfId="23493"/>
    <cellStyle name="표준 9 2 2 3 2 5 2" xfId="23494"/>
    <cellStyle name="표준 9 2 2 3 2 6" xfId="23495"/>
    <cellStyle name="표준 9 2 2 3 2 7" xfId="23496"/>
    <cellStyle name="표준 9 2 2 3 3 2 2" xfId="23497"/>
    <cellStyle name="표준 9 2 2 3 3 3" xfId="23498"/>
    <cellStyle name="표준 9 2 2 3 3 3 2" xfId="23499"/>
    <cellStyle name="표준 9 2 2 3 3 4" xfId="23500"/>
    <cellStyle name="표준 9 2 2 3 3 5" xfId="23501"/>
    <cellStyle name="표준 9 2 2 3 4 2 2" xfId="23502"/>
    <cellStyle name="표준 9 2 2 3 4 3" xfId="23503"/>
    <cellStyle name="표준 9 2 2 3 4 3 2" xfId="23504"/>
    <cellStyle name="표준 9 2 2 3 4 4" xfId="23505"/>
    <cellStyle name="표준 9 2 2 3 4 5" xfId="23506"/>
    <cellStyle name="표준 9 2 2 3 5 2" xfId="23507"/>
    <cellStyle name="표준 9 2 2 3 6" xfId="23508"/>
    <cellStyle name="표준 9 2 2 3 6 2" xfId="23509"/>
    <cellStyle name="표준 9 2 2 3 7" xfId="23510"/>
    <cellStyle name="표준 9 2 2 3 8" xfId="23511"/>
    <cellStyle name="표준 9 2 2 4 2 2 2" xfId="23512"/>
    <cellStyle name="표준 9 2 2 4 2 3" xfId="23513"/>
    <cellStyle name="표준 9 2 2 4 2 3 2" xfId="23514"/>
    <cellStyle name="표준 9 2 2 4 2 4" xfId="23515"/>
    <cellStyle name="표준 9 2 2 4 2 5" xfId="23516"/>
    <cellStyle name="표준 9 2 2 4 3 2 2" xfId="23517"/>
    <cellStyle name="표준 9 2 2 4 3 3" xfId="23518"/>
    <cellStyle name="표준 9 2 2 4 3 3 2" xfId="23519"/>
    <cellStyle name="표준 9 2 2 4 3 4" xfId="23520"/>
    <cellStyle name="표준 9 2 2 4 3 5" xfId="23521"/>
    <cellStyle name="표준 9 2 2 4 4 2" xfId="23522"/>
    <cellStyle name="표준 9 2 2 4 5" xfId="23523"/>
    <cellStyle name="표준 9 2 2 4 5 2" xfId="23524"/>
    <cellStyle name="표준 9 2 2 4 6" xfId="23525"/>
    <cellStyle name="표준 9 2 2 4 7" xfId="23526"/>
    <cellStyle name="표준 9 2 2 5 2 2" xfId="23527"/>
    <cellStyle name="표준 9 2 2 5 3" xfId="23528"/>
    <cellStyle name="표준 9 2 2 5 3 2" xfId="23529"/>
    <cellStyle name="표준 9 2 2 5 4" xfId="23530"/>
    <cellStyle name="표준 9 2 2 5 5" xfId="23531"/>
    <cellStyle name="표준 9 2 2 6 2 2" xfId="23532"/>
    <cellStyle name="표준 9 2 2 6 3" xfId="23533"/>
    <cellStyle name="표준 9 2 2 6 3 2" xfId="23534"/>
    <cellStyle name="표준 9 2 2 6 4" xfId="23535"/>
    <cellStyle name="표준 9 2 2 6 5" xfId="23536"/>
    <cellStyle name="표준 9 2 2 7 2" xfId="23537"/>
    <cellStyle name="표준 9 2 2 8" xfId="23538"/>
    <cellStyle name="표준 9 2 2 8 2" xfId="23539"/>
    <cellStyle name="표준 9 2 2 9" xfId="23540"/>
    <cellStyle name="표준 9 2 3 10" xfId="23541"/>
    <cellStyle name="표준 9 2 3 2 2 2 2 2 2" xfId="23542"/>
    <cellStyle name="표준 9 2 3 2 2 2 2 3" xfId="23543"/>
    <cellStyle name="표준 9 2 3 2 2 2 2 3 2" xfId="23544"/>
    <cellStyle name="표준 9 2 3 2 2 2 2 4" xfId="23545"/>
    <cellStyle name="표준 9 2 3 2 2 2 2 5" xfId="23546"/>
    <cellStyle name="표준 9 2 3 2 2 2 3 2 2" xfId="23547"/>
    <cellStyle name="표준 9 2 3 2 2 2 3 3" xfId="23548"/>
    <cellStyle name="표준 9 2 3 2 2 2 3 3 2" xfId="23549"/>
    <cellStyle name="표준 9 2 3 2 2 2 3 4" xfId="23550"/>
    <cellStyle name="표준 9 2 3 2 2 2 3 5" xfId="23551"/>
    <cellStyle name="표준 9 2 3 2 2 2 4 2" xfId="23552"/>
    <cellStyle name="표준 9 2 3 2 2 2 5" xfId="23553"/>
    <cellStyle name="표준 9 2 3 2 2 2 5 2" xfId="23554"/>
    <cellStyle name="표준 9 2 3 2 2 2 6" xfId="23555"/>
    <cellStyle name="표준 9 2 3 2 2 2 7" xfId="23556"/>
    <cellStyle name="표준 9 2 3 2 2 3 2 2" xfId="23557"/>
    <cellStyle name="표준 9 2 3 2 2 3 3" xfId="23558"/>
    <cellStyle name="표준 9 2 3 2 2 3 3 2" xfId="23559"/>
    <cellStyle name="표준 9 2 3 2 2 3 4" xfId="23560"/>
    <cellStyle name="표준 9 2 3 2 2 3 5" xfId="23561"/>
    <cellStyle name="표준 9 2 3 2 2 4 2 2" xfId="23562"/>
    <cellStyle name="표준 9 2 3 2 2 4 3" xfId="23563"/>
    <cellStyle name="표준 9 2 3 2 2 4 3 2" xfId="23564"/>
    <cellStyle name="표준 9 2 3 2 2 4 4" xfId="23565"/>
    <cellStyle name="표준 9 2 3 2 2 4 5" xfId="23566"/>
    <cellStyle name="표준 9 2 3 2 2 5 2" xfId="23567"/>
    <cellStyle name="표준 9 2 3 2 2 6" xfId="23568"/>
    <cellStyle name="표준 9 2 3 2 2 6 2" xfId="23569"/>
    <cellStyle name="표준 9 2 3 2 2 7" xfId="23570"/>
    <cellStyle name="표준 9 2 3 2 2 8" xfId="23571"/>
    <cellStyle name="표준 9 2 3 2 3 2 2 2" xfId="23572"/>
    <cellStyle name="표준 9 2 3 2 3 2 3" xfId="23573"/>
    <cellStyle name="표준 9 2 3 2 3 2 3 2" xfId="23574"/>
    <cellStyle name="표준 9 2 3 2 3 2 4" xfId="23575"/>
    <cellStyle name="표준 9 2 3 2 3 2 5" xfId="23576"/>
    <cellStyle name="표준 9 2 3 2 3 3 2 2" xfId="23577"/>
    <cellStyle name="표준 9 2 3 2 3 3 3" xfId="23578"/>
    <cellStyle name="표준 9 2 3 2 3 3 3 2" xfId="23579"/>
    <cellStyle name="표준 9 2 3 2 3 3 4" xfId="23580"/>
    <cellStyle name="표준 9 2 3 2 3 3 5" xfId="23581"/>
    <cellStyle name="표준 9 2 3 2 3 4 2" xfId="23582"/>
    <cellStyle name="표준 9 2 3 2 3 5" xfId="23583"/>
    <cellStyle name="표준 9 2 3 2 3 5 2" xfId="23584"/>
    <cellStyle name="표준 9 2 3 2 3 6" xfId="23585"/>
    <cellStyle name="표준 9 2 3 2 3 7" xfId="23586"/>
    <cellStyle name="표준 9 2 3 2 4 2 2" xfId="23587"/>
    <cellStyle name="표준 9 2 3 2 4 3" xfId="23588"/>
    <cellStyle name="표준 9 2 3 2 4 3 2" xfId="23589"/>
    <cellStyle name="표준 9 2 3 2 4 4" xfId="23590"/>
    <cellStyle name="표준 9 2 3 2 4 5" xfId="23591"/>
    <cellStyle name="표준 9 2 3 2 5 2 2" xfId="23592"/>
    <cellStyle name="표준 9 2 3 2 5 3" xfId="23593"/>
    <cellStyle name="표준 9 2 3 2 5 3 2" xfId="23594"/>
    <cellStyle name="표준 9 2 3 2 5 4" xfId="23595"/>
    <cellStyle name="표준 9 2 3 2 5 5" xfId="23596"/>
    <cellStyle name="표준 9 2 3 2 6 2" xfId="23597"/>
    <cellStyle name="표준 9 2 3 2 7" xfId="23598"/>
    <cellStyle name="표준 9 2 3 2 7 2" xfId="23599"/>
    <cellStyle name="표준 9 2 3 2 8" xfId="23600"/>
    <cellStyle name="표준 9 2 3 2 9" xfId="23601"/>
    <cellStyle name="표준 9 2 3 3 2 2 2 2" xfId="23602"/>
    <cellStyle name="표준 9 2 3 3 2 2 3" xfId="23603"/>
    <cellStyle name="표준 9 2 3 3 2 2 3 2" xfId="23604"/>
    <cellStyle name="표준 9 2 3 3 2 2 4" xfId="23605"/>
    <cellStyle name="표준 9 2 3 3 2 2 5" xfId="23606"/>
    <cellStyle name="표준 9 2 3 3 2 3 2 2" xfId="23607"/>
    <cellStyle name="표준 9 2 3 3 2 3 3" xfId="23608"/>
    <cellStyle name="표준 9 2 3 3 2 3 3 2" xfId="23609"/>
    <cellStyle name="표준 9 2 3 3 2 3 4" xfId="23610"/>
    <cellStyle name="표준 9 2 3 3 2 3 5" xfId="23611"/>
    <cellStyle name="표준 9 2 3 3 2 4 2" xfId="23612"/>
    <cellStyle name="표준 9 2 3 3 2 5" xfId="23613"/>
    <cellStyle name="표준 9 2 3 3 2 5 2" xfId="23614"/>
    <cellStyle name="표준 9 2 3 3 2 6" xfId="23615"/>
    <cellStyle name="표준 9 2 3 3 2 7" xfId="23616"/>
    <cellStyle name="표준 9 2 3 3 3 2 2" xfId="23617"/>
    <cellStyle name="표준 9 2 3 3 3 3" xfId="23618"/>
    <cellStyle name="표준 9 2 3 3 3 3 2" xfId="23619"/>
    <cellStyle name="표준 9 2 3 3 3 4" xfId="23620"/>
    <cellStyle name="표준 9 2 3 3 3 5" xfId="23621"/>
    <cellStyle name="표준 9 2 3 3 4 2 2" xfId="23622"/>
    <cellStyle name="표준 9 2 3 3 4 3" xfId="23623"/>
    <cellStyle name="표준 9 2 3 3 4 3 2" xfId="23624"/>
    <cellStyle name="표준 9 2 3 3 4 4" xfId="23625"/>
    <cellStyle name="표준 9 2 3 3 4 5" xfId="23626"/>
    <cellStyle name="표준 9 2 3 3 5 2" xfId="23627"/>
    <cellStyle name="표준 9 2 3 3 6" xfId="23628"/>
    <cellStyle name="표준 9 2 3 3 6 2" xfId="23629"/>
    <cellStyle name="표준 9 2 3 3 7" xfId="23630"/>
    <cellStyle name="표준 9 2 3 3 8" xfId="23631"/>
    <cellStyle name="표준 9 2 3 4 2 2 2" xfId="23632"/>
    <cellStyle name="표준 9 2 3 4 2 3" xfId="23633"/>
    <cellStyle name="표준 9 2 3 4 2 3 2" xfId="23634"/>
    <cellStyle name="표준 9 2 3 4 2 4" xfId="23635"/>
    <cellStyle name="표준 9 2 3 4 2 5" xfId="23636"/>
    <cellStyle name="표준 9 2 3 4 3 2 2" xfId="23637"/>
    <cellStyle name="표준 9 2 3 4 3 3" xfId="23638"/>
    <cellStyle name="표준 9 2 3 4 3 3 2" xfId="23639"/>
    <cellStyle name="표준 9 2 3 4 3 4" xfId="23640"/>
    <cellStyle name="표준 9 2 3 4 3 5" xfId="23641"/>
    <cellStyle name="표준 9 2 3 4 4 2" xfId="23642"/>
    <cellStyle name="표준 9 2 3 4 5" xfId="23643"/>
    <cellStyle name="표준 9 2 3 4 5 2" xfId="23644"/>
    <cellStyle name="표준 9 2 3 4 6" xfId="23645"/>
    <cellStyle name="표준 9 2 3 4 7" xfId="23646"/>
    <cellStyle name="표준 9 2 3 5 2 2" xfId="23647"/>
    <cellStyle name="표준 9 2 3 5 3" xfId="23648"/>
    <cellStyle name="표준 9 2 3 5 3 2" xfId="23649"/>
    <cellStyle name="표준 9 2 3 5 4" xfId="23650"/>
    <cellStyle name="표준 9 2 3 5 5" xfId="23651"/>
    <cellStyle name="표준 9 2 3 6 2 2" xfId="23652"/>
    <cellStyle name="표준 9 2 3 6 3" xfId="23653"/>
    <cellStyle name="표준 9 2 3 6 3 2" xfId="23654"/>
    <cellStyle name="표준 9 2 3 6 4" xfId="23655"/>
    <cellStyle name="표준 9 2 3 6 5" xfId="23656"/>
    <cellStyle name="표준 9 2 3 7 2" xfId="23657"/>
    <cellStyle name="표준 9 2 3 8" xfId="23658"/>
    <cellStyle name="표준 9 2 3 8 2" xfId="23659"/>
    <cellStyle name="표준 9 2 3 9" xfId="23660"/>
    <cellStyle name="표준 9 2 4 10" xfId="23661"/>
    <cellStyle name="표준 9 2 4 2 2 2 2 2 2" xfId="23662"/>
    <cellStyle name="표준 9 2 4 2 2 2 2 3" xfId="23663"/>
    <cellStyle name="표준 9 2 4 2 2 2 2 3 2" xfId="23664"/>
    <cellStyle name="표준 9 2 4 2 2 2 2 4" xfId="23665"/>
    <cellStyle name="표준 9 2 4 2 2 2 2 5" xfId="23666"/>
    <cellStyle name="표준 9 2 4 2 2 2 3 2 2" xfId="23667"/>
    <cellStyle name="표준 9 2 4 2 2 2 3 3" xfId="23668"/>
    <cellStyle name="표준 9 2 4 2 2 2 3 3 2" xfId="23669"/>
    <cellStyle name="표준 9 2 4 2 2 2 3 4" xfId="23670"/>
    <cellStyle name="표준 9 2 4 2 2 2 3 5" xfId="23671"/>
    <cellStyle name="표준 9 2 4 2 2 2 4 2" xfId="23672"/>
    <cellStyle name="표준 9 2 4 2 2 2 5" xfId="23673"/>
    <cellStyle name="표준 9 2 4 2 2 2 5 2" xfId="23674"/>
    <cellStyle name="표준 9 2 4 2 2 2 6" xfId="23675"/>
    <cellStyle name="표준 9 2 4 2 2 2 7" xfId="23676"/>
    <cellStyle name="표준 9 2 4 2 2 3 2 2" xfId="23677"/>
    <cellStyle name="표준 9 2 4 2 2 3 3" xfId="23678"/>
    <cellStyle name="표준 9 2 4 2 2 3 3 2" xfId="23679"/>
    <cellStyle name="표준 9 2 4 2 2 3 4" xfId="23680"/>
    <cellStyle name="표준 9 2 4 2 2 3 5" xfId="23681"/>
    <cellStyle name="표준 9 2 4 2 2 4 2 2" xfId="23682"/>
    <cellStyle name="표준 9 2 4 2 2 4 3" xfId="23683"/>
    <cellStyle name="표준 9 2 4 2 2 4 3 2" xfId="23684"/>
    <cellStyle name="표준 9 2 4 2 2 4 4" xfId="23685"/>
    <cellStyle name="표준 9 2 4 2 2 4 5" xfId="23686"/>
    <cellStyle name="표준 9 2 4 2 2 5 2" xfId="23687"/>
    <cellStyle name="표준 9 2 4 2 2 6" xfId="23688"/>
    <cellStyle name="표준 9 2 4 2 2 6 2" xfId="23689"/>
    <cellStyle name="표준 9 2 4 2 2 7" xfId="23690"/>
    <cellStyle name="표준 9 2 4 2 2 8" xfId="23691"/>
    <cellStyle name="표준 9 2 4 2 3 2 2 2" xfId="23692"/>
    <cellStyle name="표준 9 2 4 2 3 2 3" xfId="23693"/>
    <cellStyle name="표준 9 2 4 2 3 2 3 2" xfId="23694"/>
    <cellStyle name="표준 9 2 4 2 3 2 4" xfId="23695"/>
    <cellStyle name="표준 9 2 4 2 3 2 5" xfId="23696"/>
    <cellStyle name="표준 9 2 4 2 3 3 2 2" xfId="23697"/>
    <cellStyle name="표준 9 2 4 2 3 3 3" xfId="23698"/>
    <cellStyle name="표준 9 2 4 2 3 3 3 2" xfId="23699"/>
    <cellStyle name="표준 9 2 4 2 3 3 4" xfId="23700"/>
    <cellStyle name="표준 9 2 4 2 3 3 5" xfId="23701"/>
    <cellStyle name="표준 9 2 4 2 3 4 2" xfId="23702"/>
    <cellStyle name="표준 9 2 4 2 3 5" xfId="23703"/>
    <cellStyle name="표준 9 2 4 2 3 5 2" xfId="23704"/>
    <cellStyle name="표준 9 2 4 2 3 6" xfId="23705"/>
    <cellStyle name="표준 9 2 4 2 3 7" xfId="23706"/>
    <cellStyle name="표준 9 2 4 2 4 2 2" xfId="23707"/>
    <cellStyle name="표준 9 2 4 2 4 3" xfId="23708"/>
    <cellStyle name="표준 9 2 4 2 4 3 2" xfId="23709"/>
    <cellStyle name="표준 9 2 4 2 4 4" xfId="23710"/>
    <cellStyle name="표준 9 2 4 2 4 5" xfId="23711"/>
    <cellStyle name="표준 9 2 4 2 5 2 2" xfId="23712"/>
    <cellStyle name="표준 9 2 4 2 5 3" xfId="23713"/>
    <cellStyle name="표준 9 2 4 2 5 3 2" xfId="23714"/>
    <cellStyle name="표준 9 2 4 2 5 4" xfId="23715"/>
    <cellStyle name="표준 9 2 4 2 5 5" xfId="23716"/>
    <cellStyle name="표준 9 2 4 2 6 2" xfId="23717"/>
    <cellStyle name="표준 9 2 4 2 7" xfId="23718"/>
    <cellStyle name="표준 9 2 4 2 7 2" xfId="23719"/>
    <cellStyle name="표준 9 2 4 2 8" xfId="23720"/>
    <cellStyle name="표준 9 2 4 2 9" xfId="23721"/>
    <cellStyle name="표준 9 2 4 3 2 2 2 2" xfId="23722"/>
    <cellStyle name="표준 9 2 4 3 2 2 3" xfId="23723"/>
    <cellStyle name="표준 9 2 4 3 2 2 3 2" xfId="23724"/>
    <cellStyle name="표준 9 2 4 3 2 2 4" xfId="23725"/>
    <cellStyle name="표준 9 2 4 3 2 2 5" xfId="23726"/>
    <cellStyle name="표준 9 2 4 3 2 3 2 2" xfId="23727"/>
    <cellStyle name="표준 9 2 4 3 2 3 3" xfId="23728"/>
    <cellStyle name="표준 9 2 4 3 2 3 3 2" xfId="23729"/>
    <cellStyle name="표준 9 2 4 3 2 3 4" xfId="23730"/>
    <cellStyle name="표준 9 2 4 3 2 3 5" xfId="23731"/>
    <cellStyle name="표준 9 2 4 3 2 4 2" xfId="23732"/>
    <cellStyle name="표준 9 2 4 3 2 5" xfId="23733"/>
    <cellStyle name="표준 9 2 4 3 2 5 2" xfId="23734"/>
    <cellStyle name="표준 9 2 4 3 2 6" xfId="23735"/>
    <cellStyle name="표준 9 2 4 3 2 7" xfId="23736"/>
    <cellStyle name="표준 9 2 4 3 3 2 2" xfId="23737"/>
    <cellStyle name="표준 9 2 4 3 3 3" xfId="23738"/>
    <cellStyle name="표준 9 2 4 3 3 3 2" xfId="23739"/>
    <cellStyle name="표준 9 2 4 3 3 4" xfId="23740"/>
    <cellStyle name="표준 9 2 4 3 3 5" xfId="23741"/>
    <cellStyle name="표준 9 2 4 3 4 2 2" xfId="23742"/>
    <cellStyle name="표준 9 2 4 3 4 3" xfId="23743"/>
    <cellStyle name="표준 9 2 4 3 4 3 2" xfId="23744"/>
    <cellStyle name="표준 9 2 4 3 4 4" xfId="23745"/>
    <cellStyle name="표준 9 2 4 3 4 5" xfId="23746"/>
    <cellStyle name="표준 9 2 4 3 5 2" xfId="23747"/>
    <cellStyle name="표준 9 2 4 3 6" xfId="23748"/>
    <cellStyle name="표준 9 2 4 3 6 2" xfId="23749"/>
    <cellStyle name="표준 9 2 4 3 7" xfId="23750"/>
    <cellStyle name="표준 9 2 4 3 8" xfId="23751"/>
    <cellStyle name="표준 9 2 4 4 2 2 2" xfId="23752"/>
    <cellStyle name="표준 9 2 4 4 2 3" xfId="23753"/>
    <cellStyle name="표준 9 2 4 4 2 3 2" xfId="23754"/>
    <cellStyle name="표준 9 2 4 4 2 4" xfId="23755"/>
    <cellStyle name="표준 9 2 4 4 2 5" xfId="23756"/>
    <cellStyle name="표준 9 2 4 4 3 2 2" xfId="23757"/>
    <cellStyle name="표준 9 2 4 4 3 3" xfId="23758"/>
    <cellStyle name="표준 9 2 4 4 3 3 2" xfId="23759"/>
    <cellStyle name="표준 9 2 4 4 3 4" xfId="23760"/>
    <cellStyle name="표준 9 2 4 4 3 5" xfId="23761"/>
    <cellStyle name="표준 9 2 4 4 4 2" xfId="23762"/>
    <cellStyle name="표준 9 2 4 4 5" xfId="23763"/>
    <cellStyle name="표준 9 2 4 4 5 2" xfId="23764"/>
    <cellStyle name="표준 9 2 4 4 6" xfId="23765"/>
    <cellStyle name="표준 9 2 4 4 7" xfId="23766"/>
    <cellStyle name="표준 9 2 4 5 2 2" xfId="23767"/>
    <cellStyle name="표준 9 2 4 5 3" xfId="23768"/>
    <cellStyle name="표준 9 2 4 5 3 2" xfId="23769"/>
    <cellStyle name="표준 9 2 4 5 4" xfId="23770"/>
    <cellStyle name="표준 9 2 4 5 5" xfId="23771"/>
    <cellStyle name="표준 9 2 4 6 2 2" xfId="23772"/>
    <cellStyle name="표준 9 2 4 6 3" xfId="23773"/>
    <cellStyle name="표준 9 2 4 6 3 2" xfId="23774"/>
    <cellStyle name="표준 9 2 4 6 4" xfId="23775"/>
    <cellStyle name="표준 9 2 4 6 5" xfId="23776"/>
    <cellStyle name="표준 9 2 4 7 2" xfId="23777"/>
    <cellStyle name="표준 9 2 4 8" xfId="23778"/>
    <cellStyle name="표준 9 2 4 8 2" xfId="23779"/>
    <cellStyle name="표준 9 2 4 9" xfId="23780"/>
    <cellStyle name="표준 9 2 5 2 2 2 2 2" xfId="23781"/>
    <cellStyle name="표준 9 2 5 2 2 2 3" xfId="23782"/>
    <cellStyle name="표준 9 2 5 2 2 2 3 2" xfId="23783"/>
    <cellStyle name="표준 9 2 5 2 2 2 4" xfId="23784"/>
    <cellStyle name="표준 9 2 5 2 2 2 5" xfId="23785"/>
    <cellStyle name="표준 9 2 5 2 2 3 2 2" xfId="23786"/>
    <cellStyle name="표준 9 2 5 2 2 3 3" xfId="23787"/>
    <cellStyle name="표준 9 2 5 2 2 3 3 2" xfId="23788"/>
    <cellStyle name="표준 9 2 5 2 2 3 4" xfId="23789"/>
    <cellStyle name="표준 9 2 5 2 2 3 5" xfId="23790"/>
    <cellStyle name="표준 9 2 5 2 2 4 2" xfId="23791"/>
    <cellStyle name="표준 9 2 5 2 2 5" xfId="23792"/>
    <cellStyle name="표준 9 2 5 2 2 5 2" xfId="23793"/>
    <cellStyle name="표준 9 2 5 2 2 6" xfId="23794"/>
    <cellStyle name="표준 9 2 5 2 2 7" xfId="23795"/>
    <cellStyle name="표준 9 2 5 2 3 2 2" xfId="23796"/>
    <cellStyle name="표준 9 2 5 2 3 3" xfId="23797"/>
    <cellStyle name="표준 9 2 5 2 3 3 2" xfId="23798"/>
    <cellStyle name="표준 9 2 5 2 3 4" xfId="23799"/>
    <cellStyle name="표준 9 2 5 2 3 5" xfId="23800"/>
    <cellStyle name="표준 9 2 5 2 4 2 2" xfId="23801"/>
    <cellStyle name="표준 9 2 5 2 4 3" xfId="23802"/>
    <cellStyle name="표준 9 2 5 2 4 3 2" xfId="23803"/>
    <cellStyle name="표준 9 2 5 2 4 4" xfId="23804"/>
    <cellStyle name="표준 9 2 5 2 4 5" xfId="23805"/>
    <cellStyle name="표준 9 2 5 2 5 2" xfId="23806"/>
    <cellStyle name="표준 9 2 5 2 6" xfId="23807"/>
    <cellStyle name="표준 9 2 5 2 6 2" xfId="23808"/>
    <cellStyle name="표준 9 2 5 2 7" xfId="23809"/>
    <cellStyle name="표준 9 2 5 2 8" xfId="23810"/>
    <cellStyle name="표준 9 2 5 3 2 2 2" xfId="23811"/>
    <cellStyle name="표준 9 2 5 3 2 3" xfId="23812"/>
    <cellStyle name="표준 9 2 5 3 2 3 2" xfId="23813"/>
    <cellStyle name="표준 9 2 5 3 2 4" xfId="23814"/>
    <cellStyle name="표준 9 2 5 3 2 5" xfId="23815"/>
    <cellStyle name="표준 9 2 5 3 3 2 2" xfId="23816"/>
    <cellStyle name="표준 9 2 5 3 3 3" xfId="23817"/>
    <cellStyle name="표준 9 2 5 3 3 3 2" xfId="23818"/>
    <cellStyle name="표준 9 2 5 3 3 4" xfId="23819"/>
    <cellStyle name="표준 9 2 5 3 3 5" xfId="23820"/>
    <cellStyle name="표준 9 2 5 3 4 2" xfId="23821"/>
    <cellStyle name="표준 9 2 5 3 5" xfId="23822"/>
    <cellStyle name="표준 9 2 5 3 5 2" xfId="23823"/>
    <cellStyle name="표준 9 2 5 3 6" xfId="23824"/>
    <cellStyle name="표준 9 2 5 3 7" xfId="23825"/>
    <cellStyle name="표준 9 2 5 4 2 2" xfId="23826"/>
    <cellStyle name="표준 9 2 5 4 3" xfId="23827"/>
    <cellStyle name="표준 9 2 5 4 3 2" xfId="23828"/>
    <cellStyle name="표준 9 2 5 4 4" xfId="23829"/>
    <cellStyle name="표준 9 2 5 4 5" xfId="23830"/>
    <cellStyle name="표준 9 2 5 5 2 2" xfId="23831"/>
    <cellStyle name="표준 9 2 5 5 3" xfId="23832"/>
    <cellStyle name="표준 9 2 5 5 3 2" xfId="23833"/>
    <cellStyle name="표준 9 2 5 5 4" xfId="23834"/>
    <cellStyle name="표준 9 2 5 5 5" xfId="23835"/>
    <cellStyle name="표준 9 2 5 6 2" xfId="23836"/>
    <cellStyle name="표준 9 2 5 7" xfId="23837"/>
    <cellStyle name="표준 9 2 5 7 2" xfId="23838"/>
    <cellStyle name="표준 9 2 5 8" xfId="23839"/>
    <cellStyle name="표준 9 2 5 9" xfId="23840"/>
    <cellStyle name="표준 9 2 6 2 2 2 2" xfId="23841"/>
    <cellStyle name="표준 9 2 6 2 2 3" xfId="23842"/>
    <cellStyle name="표준 9 2 6 2 2 3 2" xfId="23843"/>
    <cellStyle name="표준 9 2 6 2 2 4" xfId="23844"/>
    <cellStyle name="표준 9 2 6 2 2 5" xfId="23845"/>
    <cellStyle name="표준 9 2 6 2 3 2 2" xfId="23846"/>
    <cellStyle name="표준 9 2 6 2 3 3" xfId="23847"/>
    <cellStyle name="표준 9 2 6 2 3 3 2" xfId="23848"/>
    <cellStyle name="표준 9 2 6 2 3 4" xfId="23849"/>
    <cellStyle name="표준 9 2 6 2 3 5" xfId="23850"/>
    <cellStyle name="표준 9 2 6 2 4 2" xfId="23851"/>
    <cellStyle name="표준 9 2 6 2 5" xfId="23852"/>
    <cellStyle name="표준 9 2 6 2 5 2" xfId="23853"/>
    <cellStyle name="표준 9 2 6 2 6" xfId="23854"/>
    <cellStyle name="표준 9 2 6 2 7" xfId="23855"/>
    <cellStyle name="표준 9 2 6 3 2 2" xfId="23856"/>
    <cellStyle name="표준 9 2 6 3 3" xfId="23857"/>
    <cellStyle name="표준 9 2 6 3 3 2" xfId="23858"/>
    <cellStyle name="표준 9 2 6 3 4" xfId="23859"/>
    <cellStyle name="표준 9 2 6 3 5" xfId="23860"/>
    <cellStyle name="표준 9 2 6 4 2 2" xfId="23861"/>
    <cellStyle name="표준 9 2 6 4 3" xfId="23862"/>
    <cellStyle name="표준 9 2 6 4 3 2" xfId="23863"/>
    <cellStyle name="표준 9 2 6 4 4" xfId="23864"/>
    <cellStyle name="표준 9 2 6 4 5" xfId="23865"/>
    <cellStyle name="표준 9 2 6 5 2" xfId="23866"/>
    <cellStyle name="표준 9 2 6 6" xfId="23867"/>
    <cellStyle name="표준 9 2 6 6 2" xfId="23868"/>
    <cellStyle name="표준 9 2 6 7" xfId="23869"/>
    <cellStyle name="표준 9 2 6 8" xfId="23870"/>
    <cellStyle name="표준 9 2 7 2 2 2" xfId="23871"/>
    <cellStyle name="표준 9 2 7 2 3" xfId="23872"/>
    <cellStyle name="표준 9 2 7 2 3 2" xfId="23873"/>
    <cellStyle name="표준 9 2 7 2 4" xfId="23874"/>
    <cellStyle name="표준 9 2 7 2 5" xfId="23875"/>
    <cellStyle name="표준 9 2 7 3 2 2" xfId="23876"/>
    <cellStyle name="표준 9 2 7 3 3" xfId="23877"/>
    <cellStyle name="표준 9 2 7 3 3 2" xfId="23878"/>
    <cellStyle name="표준 9 2 7 3 4" xfId="23879"/>
    <cellStyle name="표준 9 2 7 3 5" xfId="23880"/>
    <cellStyle name="표준 9 2 7 4 2" xfId="23881"/>
    <cellStyle name="표준 9 2 7 5" xfId="23882"/>
    <cellStyle name="표준 9 2 7 5 2" xfId="23883"/>
    <cellStyle name="표준 9 2 7 6" xfId="23884"/>
    <cellStyle name="표준 9 2 7 7" xfId="23885"/>
    <cellStyle name="표준 9 2 8 2 2" xfId="23886"/>
    <cellStyle name="표준 9 2 8 3" xfId="23887"/>
    <cellStyle name="표준 9 2 8 3 2" xfId="23888"/>
    <cellStyle name="표준 9 2 8 4" xfId="23889"/>
    <cellStyle name="표준 9 2 8 5" xfId="23890"/>
    <cellStyle name="표준 9 2 9 2 2" xfId="23891"/>
    <cellStyle name="표준 9 2 9 3" xfId="23892"/>
    <cellStyle name="표준 9 2 9 3 2" xfId="23893"/>
    <cellStyle name="표준 9 2 9 4" xfId="23894"/>
    <cellStyle name="표준 9 2 9 5" xfId="23895"/>
    <cellStyle name="표준 9 20" xfId="23896"/>
    <cellStyle name="표준 9 20 2" xfId="23897"/>
    <cellStyle name="표준 9 21" xfId="23898"/>
    <cellStyle name="표준 9 22" xfId="23899"/>
    <cellStyle name="표준 9 4 10 2" xfId="23900"/>
    <cellStyle name="표준 9 4 11" xfId="23901"/>
    <cellStyle name="표준 9 4 11 2" xfId="23902"/>
    <cellStyle name="표준 9 4 12" xfId="23903"/>
    <cellStyle name="표준 9 4 13" xfId="23904"/>
    <cellStyle name="표준 9 4 2 10" xfId="23905"/>
    <cellStyle name="표준 9 4 2 2 2 2 2 2 2" xfId="23906"/>
    <cellStyle name="표준 9 4 2 2 2 2 2 3" xfId="23907"/>
    <cellStyle name="표준 9 4 2 2 2 2 2 3 2" xfId="23908"/>
    <cellStyle name="표준 9 4 2 2 2 2 2 4" xfId="23909"/>
    <cellStyle name="표준 9 4 2 2 2 2 2 5" xfId="23910"/>
    <cellStyle name="표준 9 4 2 2 2 2 3 2 2" xfId="23911"/>
    <cellStyle name="표준 9 4 2 2 2 2 3 3" xfId="23912"/>
    <cellStyle name="표준 9 4 2 2 2 2 3 3 2" xfId="23913"/>
    <cellStyle name="표준 9 4 2 2 2 2 3 4" xfId="23914"/>
    <cellStyle name="표준 9 4 2 2 2 2 3 5" xfId="23915"/>
    <cellStyle name="표준 9 4 2 2 2 2 4 2" xfId="23916"/>
    <cellStyle name="표준 9 4 2 2 2 2 5" xfId="23917"/>
    <cellStyle name="표준 9 4 2 2 2 2 5 2" xfId="23918"/>
    <cellStyle name="표준 9 4 2 2 2 2 6" xfId="23919"/>
    <cellStyle name="표준 9 4 2 2 2 2 7" xfId="23920"/>
    <cellStyle name="표준 9 4 2 2 2 3 2 2" xfId="23921"/>
    <cellStyle name="표준 9 4 2 2 2 3 3" xfId="23922"/>
    <cellStyle name="표준 9 4 2 2 2 3 3 2" xfId="23923"/>
    <cellStyle name="표준 9 4 2 2 2 3 4" xfId="23924"/>
    <cellStyle name="표준 9 4 2 2 2 3 5" xfId="23925"/>
    <cellStyle name="표준 9 4 2 2 2 4 2 2" xfId="23926"/>
    <cellStyle name="표준 9 4 2 2 2 4 3" xfId="23927"/>
    <cellStyle name="표준 9 4 2 2 2 4 3 2" xfId="23928"/>
    <cellStyle name="표준 9 4 2 2 2 4 4" xfId="23929"/>
    <cellStyle name="표준 9 4 2 2 2 4 5" xfId="23930"/>
    <cellStyle name="표준 9 4 2 2 2 5 2" xfId="23931"/>
    <cellStyle name="표준 9 4 2 2 2 6" xfId="23932"/>
    <cellStyle name="표준 9 4 2 2 2 6 2" xfId="23933"/>
    <cellStyle name="표준 9 4 2 2 2 7" xfId="23934"/>
    <cellStyle name="표준 9 4 2 2 2 8" xfId="23935"/>
    <cellStyle name="표준 9 4 2 2 3 2 2 2" xfId="23936"/>
    <cellStyle name="표준 9 4 2 2 3 2 3" xfId="23937"/>
    <cellStyle name="표준 9 4 2 2 3 2 3 2" xfId="23938"/>
    <cellStyle name="표준 9 4 2 2 3 2 4" xfId="23939"/>
    <cellStyle name="표준 9 4 2 2 3 2 5" xfId="23940"/>
    <cellStyle name="표준 9 4 2 2 3 3 2 2" xfId="23941"/>
    <cellStyle name="표준 9 4 2 2 3 3 3" xfId="23942"/>
    <cellStyle name="표준 9 4 2 2 3 3 3 2" xfId="23943"/>
    <cellStyle name="표준 9 4 2 2 3 3 4" xfId="23944"/>
    <cellStyle name="표준 9 4 2 2 3 3 5" xfId="23945"/>
    <cellStyle name="표준 9 4 2 2 3 4 2" xfId="23946"/>
    <cellStyle name="표준 9 4 2 2 3 5" xfId="23947"/>
    <cellStyle name="표준 9 4 2 2 3 5 2" xfId="23948"/>
    <cellStyle name="표준 9 4 2 2 3 6" xfId="23949"/>
    <cellStyle name="표준 9 4 2 2 3 7" xfId="23950"/>
    <cellStyle name="표준 9 4 2 2 4 2 2" xfId="23951"/>
    <cellStyle name="표준 9 4 2 2 4 3" xfId="23952"/>
    <cellStyle name="표준 9 4 2 2 4 3 2" xfId="23953"/>
    <cellStyle name="표준 9 4 2 2 4 4" xfId="23954"/>
    <cellStyle name="표준 9 4 2 2 4 5" xfId="23955"/>
    <cellStyle name="표준 9 4 2 2 5 2 2" xfId="23956"/>
    <cellStyle name="표준 9 4 2 2 5 3" xfId="23957"/>
    <cellStyle name="표준 9 4 2 2 5 3 2" xfId="23958"/>
    <cellStyle name="표준 9 4 2 2 5 4" xfId="23959"/>
    <cellStyle name="표준 9 4 2 2 5 5" xfId="23960"/>
    <cellStyle name="표준 9 4 2 2 6 2" xfId="23961"/>
    <cellStyle name="표준 9 4 2 2 7" xfId="23962"/>
    <cellStyle name="표준 9 4 2 2 7 2" xfId="23963"/>
    <cellStyle name="표준 9 4 2 2 8" xfId="23964"/>
    <cellStyle name="표준 9 4 2 2 9" xfId="23965"/>
    <cellStyle name="표준 9 4 2 3 2 2 2 2" xfId="23966"/>
    <cellStyle name="표준 9 4 2 3 2 2 3" xfId="23967"/>
    <cellStyle name="표준 9 4 2 3 2 2 3 2" xfId="23968"/>
    <cellStyle name="표준 9 4 2 3 2 2 4" xfId="23969"/>
    <cellStyle name="표준 9 4 2 3 2 2 5" xfId="23970"/>
    <cellStyle name="표준 9 4 2 3 2 3 2 2" xfId="23971"/>
    <cellStyle name="표준 9 4 2 3 2 3 3" xfId="23972"/>
    <cellStyle name="표준 9 4 2 3 2 3 3 2" xfId="23973"/>
    <cellStyle name="표준 9 4 2 3 2 3 4" xfId="23974"/>
    <cellStyle name="표준 9 4 2 3 2 3 5" xfId="23975"/>
    <cellStyle name="표준 9 4 2 3 2 4 2" xfId="23976"/>
    <cellStyle name="표준 9 4 2 3 2 5" xfId="23977"/>
    <cellStyle name="표준 9 4 2 3 2 5 2" xfId="23978"/>
    <cellStyle name="표준 9 4 2 3 2 6" xfId="23979"/>
    <cellStyle name="표준 9 4 2 3 2 7" xfId="23980"/>
    <cellStyle name="표준 9 4 2 3 3 2 2" xfId="23981"/>
    <cellStyle name="표준 9 4 2 3 3 3" xfId="23982"/>
    <cellStyle name="표준 9 4 2 3 3 3 2" xfId="23983"/>
    <cellStyle name="표준 9 4 2 3 3 4" xfId="23984"/>
    <cellStyle name="표준 9 4 2 3 3 5" xfId="23985"/>
    <cellStyle name="표준 9 4 2 3 4 2 2" xfId="23986"/>
    <cellStyle name="표준 9 4 2 3 4 3" xfId="23987"/>
    <cellStyle name="표준 9 4 2 3 4 3 2" xfId="23988"/>
    <cellStyle name="표준 9 4 2 3 4 4" xfId="23989"/>
    <cellStyle name="표준 9 4 2 3 4 5" xfId="23990"/>
    <cellStyle name="표준 9 4 2 3 5 2" xfId="23991"/>
    <cellStyle name="표준 9 4 2 3 6" xfId="23992"/>
    <cellStyle name="표준 9 4 2 3 6 2" xfId="23993"/>
    <cellStyle name="표준 9 4 2 3 7" xfId="23994"/>
    <cellStyle name="표준 9 4 2 3 8" xfId="23995"/>
    <cellStyle name="표준 9 4 2 4 2 2 2" xfId="23996"/>
    <cellStyle name="표준 9 4 2 4 2 3" xfId="23997"/>
    <cellStyle name="표준 9 4 2 4 2 3 2" xfId="23998"/>
    <cellStyle name="표준 9 4 2 4 2 4" xfId="23999"/>
    <cellStyle name="표준 9 4 2 4 2 5" xfId="24000"/>
    <cellStyle name="표준 9 4 2 4 3 2 2" xfId="24001"/>
    <cellStyle name="표준 9 4 2 4 3 3" xfId="24002"/>
    <cellStyle name="표준 9 4 2 4 3 3 2" xfId="24003"/>
    <cellStyle name="표준 9 4 2 4 3 4" xfId="24004"/>
    <cellStyle name="표준 9 4 2 4 3 5" xfId="24005"/>
    <cellStyle name="표준 9 4 2 4 4 2" xfId="24006"/>
    <cellStyle name="표준 9 4 2 4 5" xfId="24007"/>
    <cellStyle name="표준 9 4 2 4 5 2" xfId="24008"/>
    <cellStyle name="표준 9 4 2 4 6" xfId="24009"/>
    <cellStyle name="표준 9 4 2 4 7" xfId="24010"/>
    <cellStyle name="표준 9 4 2 5 2 2" xfId="24011"/>
    <cellStyle name="표준 9 4 2 5 3" xfId="24012"/>
    <cellStyle name="표준 9 4 2 5 3 2" xfId="24013"/>
    <cellStyle name="표준 9 4 2 5 4" xfId="24014"/>
    <cellStyle name="표준 9 4 2 5 5" xfId="24015"/>
    <cellStyle name="표준 9 4 2 6 2 2" xfId="24016"/>
    <cellStyle name="표준 9 4 2 6 3" xfId="24017"/>
    <cellStyle name="표준 9 4 2 6 3 2" xfId="24018"/>
    <cellStyle name="표준 9 4 2 6 4" xfId="24019"/>
    <cellStyle name="표준 9 4 2 6 5" xfId="24020"/>
    <cellStyle name="표준 9 4 2 7 2" xfId="24021"/>
    <cellStyle name="표준 9 4 2 8" xfId="24022"/>
    <cellStyle name="표준 9 4 2 8 2" xfId="24023"/>
    <cellStyle name="표준 9 4 2 9" xfId="24024"/>
    <cellStyle name="표준 9 4 3 10" xfId="24025"/>
    <cellStyle name="표준 9 4 3 2 2 2 2 2 2" xfId="24026"/>
    <cellStyle name="표준 9 4 3 2 2 2 2 3" xfId="24027"/>
    <cellStyle name="표준 9 4 3 2 2 2 2 3 2" xfId="24028"/>
    <cellStyle name="표준 9 4 3 2 2 2 2 4" xfId="24029"/>
    <cellStyle name="표준 9 4 3 2 2 2 2 5" xfId="24030"/>
    <cellStyle name="표준 9 4 3 2 2 2 3 2 2" xfId="24031"/>
    <cellStyle name="표준 9 4 3 2 2 2 3 3" xfId="24032"/>
    <cellStyle name="표준 9 4 3 2 2 2 3 3 2" xfId="24033"/>
    <cellStyle name="표준 9 4 3 2 2 2 3 4" xfId="24034"/>
    <cellStyle name="표준 9 4 3 2 2 2 3 5" xfId="24035"/>
    <cellStyle name="표준 9 4 3 2 2 2 4 2" xfId="24036"/>
    <cellStyle name="표준 9 4 3 2 2 2 5" xfId="24037"/>
    <cellStyle name="표준 9 4 3 2 2 2 5 2" xfId="24038"/>
    <cellStyle name="표준 9 4 3 2 2 2 6" xfId="24039"/>
    <cellStyle name="표준 9 4 3 2 2 2 7" xfId="24040"/>
    <cellStyle name="표준 9 4 3 2 2 3 2 2" xfId="24041"/>
    <cellStyle name="표준 9 4 3 2 2 3 3" xfId="24042"/>
    <cellStyle name="표준 9 4 3 2 2 3 3 2" xfId="24043"/>
    <cellStyle name="표준 9 4 3 2 2 3 4" xfId="24044"/>
    <cellStyle name="표준 9 4 3 2 2 3 5" xfId="24045"/>
    <cellStyle name="표준 9 4 3 2 2 4 2 2" xfId="24046"/>
    <cellStyle name="표준 9 4 3 2 2 4 3" xfId="24047"/>
    <cellStyle name="표준 9 4 3 2 2 4 3 2" xfId="24048"/>
    <cellStyle name="표준 9 4 3 2 2 4 4" xfId="24049"/>
    <cellStyle name="표준 9 4 3 2 2 4 5" xfId="24050"/>
    <cellStyle name="표준 9 4 3 2 2 5 2" xfId="24051"/>
    <cellStyle name="표준 9 4 3 2 2 6" xfId="24052"/>
    <cellStyle name="표준 9 4 3 2 2 6 2" xfId="24053"/>
    <cellStyle name="표준 9 4 3 2 2 7" xfId="24054"/>
    <cellStyle name="표준 9 4 3 2 2 8" xfId="24055"/>
    <cellStyle name="표준 9 4 3 2 3 2 2 2" xfId="24056"/>
    <cellStyle name="표준 9 4 3 2 3 2 3" xfId="24057"/>
    <cellStyle name="표준 9 4 3 2 3 2 3 2" xfId="24058"/>
    <cellStyle name="표준 9 4 3 2 3 2 4" xfId="24059"/>
    <cellStyle name="표준 9 4 3 2 3 2 5" xfId="24060"/>
    <cellStyle name="표준 9 4 3 2 3 3 2 2" xfId="24061"/>
    <cellStyle name="표준 9 4 3 2 3 3 3" xfId="24062"/>
    <cellStyle name="표준 9 4 3 2 3 3 3 2" xfId="24063"/>
    <cellStyle name="표준 9 4 3 2 3 3 4" xfId="24064"/>
    <cellStyle name="표준 9 4 3 2 3 3 5" xfId="24065"/>
    <cellStyle name="표준 9 4 3 2 3 4 2" xfId="24066"/>
    <cellStyle name="표준 9 4 3 2 3 5" xfId="24067"/>
    <cellStyle name="표준 9 4 3 2 3 5 2" xfId="24068"/>
    <cellStyle name="표준 9 4 3 2 3 6" xfId="24069"/>
    <cellStyle name="표준 9 4 3 2 3 7" xfId="24070"/>
    <cellStyle name="표준 9 4 3 2 4 2 2" xfId="24071"/>
    <cellStyle name="표준 9 4 3 2 4 3" xfId="24072"/>
    <cellStyle name="표준 9 4 3 2 4 3 2" xfId="24073"/>
    <cellStyle name="표준 9 4 3 2 4 4" xfId="24074"/>
    <cellStyle name="표준 9 4 3 2 4 5" xfId="24075"/>
    <cellStyle name="표준 9 4 3 2 5 2 2" xfId="24076"/>
    <cellStyle name="표준 9 4 3 2 5 3" xfId="24077"/>
    <cellStyle name="표준 9 4 3 2 5 3 2" xfId="24078"/>
    <cellStyle name="표준 9 4 3 2 5 4" xfId="24079"/>
    <cellStyle name="표준 9 4 3 2 5 5" xfId="24080"/>
    <cellStyle name="표준 9 4 3 2 6 2" xfId="24081"/>
    <cellStyle name="표준 9 4 3 2 7" xfId="24082"/>
    <cellStyle name="표준 9 4 3 2 7 2" xfId="24083"/>
    <cellStyle name="표준 9 4 3 2 8" xfId="24084"/>
    <cellStyle name="표준 9 4 3 2 9" xfId="24085"/>
    <cellStyle name="표준 9 4 3 3 2 2 2 2" xfId="24086"/>
    <cellStyle name="표준 9 4 3 3 2 2 3" xfId="24087"/>
    <cellStyle name="표준 9 4 3 3 2 2 3 2" xfId="24088"/>
    <cellStyle name="표준 9 4 3 3 2 2 4" xfId="24089"/>
    <cellStyle name="표준 9 4 3 3 2 2 5" xfId="24090"/>
    <cellStyle name="표준 9 4 3 3 2 3 2 2" xfId="24091"/>
    <cellStyle name="표준 9 4 3 3 2 3 3" xfId="24092"/>
    <cellStyle name="표준 9 4 3 3 2 3 3 2" xfId="24093"/>
    <cellStyle name="표준 9 4 3 3 2 3 4" xfId="24094"/>
    <cellStyle name="표준 9 4 3 3 2 3 5" xfId="24095"/>
    <cellStyle name="표준 9 4 3 3 2 4 2" xfId="24096"/>
    <cellStyle name="표준 9 4 3 3 2 5" xfId="24097"/>
    <cellStyle name="표준 9 4 3 3 2 5 2" xfId="24098"/>
    <cellStyle name="표준 9 4 3 3 2 6" xfId="24099"/>
    <cellStyle name="표준 9 4 3 3 2 7" xfId="24100"/>
    <cellStyle name="표준 9 4 3 3 3 2 2" xfId="24101"/>
    <cellStyle name="표준 9 4 3 3 3 3" xfId="24102"/>
    <cellStyle name="표준 9 4 3 3 3 3 2" xfId="24103"/>
    <cellStyle name="표준 9 4 3 3 3 4" xfId="24104"/>
    <cellStyle name="표준 9 4 3 3 3 5" xfId="24105"/>
    <cellStyle name="표준 9 4 3 3 4 2 2" xfId="24106"/>
    <cellStyle name="표준 9 4 3 3 4 3" xfId="24107"/>
    <cellStyle name="표준 9 4 3 3 4 3 2" xfId="24108"/>
    <cellStyle name="표준 9 4 3 3 4 4" xfId="24109"/>
    <cellStyle name="표준 9 4 3 3 4 5" xfId="24110"/>
    <cellStyle name="표준 9 4 3 3 5 2" xfId="24111"/>
    <cellStyle name="표준 9 4 3 3 6" xfId="24112"/>
    <cellStyle name="표준 9 4 3 3 6 2" xfId="24113"/>
    <cellStyle name="표준 9 4 3 3 7" xfId="24114"/>
    <cellStyle name="표준 9 4 3 3 8" xfId="24115"/>
    <cellStyle name="표준 9 4 3 4 2 2 2" xfId="24116"/>
    <cellStyle name="표준 9 4 3 4 2 3" xfId="24117"/>
    <cellStyle name="표준 9 4 3 4 2 3 2" xfId="24118"/>
    <cellStyle name="표준 9 4 3 4 2 4" xfId="24119"/>
    <cellStyle name="표준 9 4 3 4 2 5" xfId="24120"/>
    <cellStyle name="표준 9 4 3 4 3 2 2" xfId="24121"/>
    <cellStyle name="표준 9 4 3 4 3 3" xfId="24122"/>
    <cellStyle name="표준 9 4 3 4 3 3 2" xfId="24123"/>
    <cellStyle name="표준 9 4 3 4 3 4" xfId="24124"/>
    <cellStyle name="표준 9 4 3 4 3 5" xfId="24125"/>
    <cellStyle name="표준 9 4 3 4 4 2" xfId="24126"/>
    <cellStyle name="표준 9 4 3 4 5" xfId="24127"/>
    <cellStyle name="표준 9 4 3 4 5 2" xfId="24128"/>
    <cellStyle name="표준 9 4 3 4 6" xfId="24129"/>
    <cellStyle name="표준 9 4 3 4 7" xfId="24130"/>
    <cellStyle name="표준 9 4 3 5 2 2" xfId="24131"/>
    <cellStyle name="표준 9 4 3 5 3" xfId="24132"/>
    <cellStyle name="표준 9 4 3 5 3 2" xfId="24133"/>
    <cellStyle name="표준 9 4 3 5 4" xfId="24134"/>
    <cellStyle name="표준 9 4 3 5 5" xfId="24135"/>
    <cellStyle name="표준 9 4 3 6 2 2" xfId="24136"/>
    <cellStyle name="표준 9 4 3 6 3" xfId="24137"/>
    <cellStyle name="표준 9 4 3 6 3 2" xfId="24138"/>
    <cellStyle name="표준 9 4 3 6 4" xfId="24139"/>
    <cellStyle name="표준 9 4 3 6 5" xfId="24140"/>
    <cellStyle name="표준 9 4 3 7 2" xfId="24141"/>
    <cellStyle name="표준 9 4 3 8" xfId="24142"/>
    <cellStyle name="표준 9 4 3 8 2" xfId="24143"/>
    <cellStyle name="표준 9 4 3 9" xfId="24144"/>
    <cellStyle name="표준 9 4 4 10" xfId="24145"/>
    <cellStyle name="표준 9 4 4 2 2 2 2 2 2" xfId="24146"/>
    <cellStyle name="표준 9 4 4 2 2 2 2 3" xfId="24147"/>
    <cellStyle name="표준 9 4 4 2 2 2 2 3 2" xfId="24148"/>
    <cellStyle name="표준 9 4 4 2 2 2 2 4" xfId="24149"/>
    <cellStyle name="표준 9 4 4 2 2 2 2 5" xfId="24150"/>
    <cellStyle name="표준 9 4 4 2 2 2 3 2 2" xfId="24151"/>
    <cellStyle name="표준 9 4 4 2 2 2 3 3" xfId="24152"/>
    <cellStyle name="표준 9 4 4 2 2 2 3 3 2" xfId="24153"/>
    <cellStyle name="표준 9 4 4 2 2 2 3 4" xfId="24154"/>
    <cellStyle name="표준 9 4 4 2 2 2 3 5" xfId="24155"/>
    <cellStyle name="표준 9 4 4 2 2 2 4 2" xfId="24156"/>
    <cellStyle name="표준 9 4 4 2 2 2 5" xfId="24157"/>
    <cellStyle name="표준 9 4 4 2 2 2 5 2" xfId="24158"/>
    <cellStyle name="표준 9 4 4 2 2 2 6" xfId="24159"/>
    <cellStyle name="표준 9 4 4 2 2 2 7" xfId="24160"/>
    <cellStyle name="표준 9 4 4 2 2 3 2 2" xfId="24161"/>
    <cellStyle name="표준 9 4 4 2 2 3 3" xfId="24162"/>
    <cellStyle name="표준 9 4 4 2 2 3 3 2" xfId="24163"/>
    <cellStyle name="표준 9 4 4 2 2 3 4" xfId="24164"/>
    <cellStyle name="표준 9 4 4 2 2 3 5" xfId="24165"/>
    <cellStyle name="표준 9 4 4 2 2 4 2 2" xfId="24166"/>
    <cellStyle name="표준 9 4 4 2 2 4 3" xfId="24167"/>
    <cellStyle name="표준 9 4 4 2 2 4 3 2" xfId="24168"/>
    <cellStyle name="표준 9 4 4 2 2 4 4" xfId="24169"/>
    <cellStyle name="표준 9 4 4 2 2 4 5" xfId="24170"/>
    <cellStyle name="표준 9 4 4 2 2 5 2" xfId="24171"/>
    <cellStyle name="표준 9 4 4 2 2 6" xfId="24172"/>
    <cellStyle name="표준 9 4 4 2 2 6 2" xfId="24173"/>
    <cellStyle name="표준 9 4 4 2 2 7" xfId="24174"/>
    <cellStyle name="표준 9 4 4 2 2 8" xfId="24175"/>
    <cellStyle name="표준 9 4 4 2 3 2 2 2" xfId="24176"/>
    <cellStyle name="표준 9 4 4 2 3 2 3" xfId="24177"/>
    <cellStyle name="표준 9 4 4 2 3 2 3 2" xfId="24178"/>
    <cellStyle name="표준 9 4 4 2 3 2 4" xfId="24179"/>
    <cellStyle name="표준 9 4 4 2 3 2 5" xfId="24180"/>
    <cellStyle name="표준 9 4 4 2 3 3 2 2" xfId="24181"/>
    <cellStyle name="표준 9 4 4 2 3 3 3" xfId="24182"/>
    <cellStyle name="표준 9 4 4 2 3 3 3 2" xfId="24183"/>
    <cellStyle name="표준 9 4 4 2 3 3 4" xfId="24184"/>
    <cellStyle name="표준 9 4 4 2 3 3 5" xfId="24185"/>
    <cellStyle name="표준 9 4 4 2 3 4 2" xfId="24186"/>
    <cellStyle name="표준 9 4 4 2 3 5" xfId="24187"/>
    <cellStyle name="표준 9 4 4 2 3 5 2" xfId="24188"/>
    <cellStyle name="표준 9 4 4 2 3 6" xfId="24189"/>
    <cellStyle name="표준 9 4 4 2 3 7" xfId="24190"/>
    <cellStyle name="표준 9 4 4 2 4 2 2" xfId="24191"/>
    <cellStyle name="표준 9 4 4 2 4 3" xfId="24192"/>
    <cellStyle name="표준 9 4 4 2 4 3 2" xfId="24193"/>
    <cellStyle name="표준 9 4 4 2 4 4" xfId="24194"/>
    <cellStyle name="표준 9 4 4 2 4 5" xfId="24195"/>
    <cellStyle name="표준 9 4 4 2 5 2 2" xfId="24196"/>
    <cellStyle name="표준 9 4 4 2 5 3" xfId="24197"/>
    <cellStyle name="표준 9 4 4 2 5 3 2" xfId="24198"/>
    <cellStyle name="표준 9 4 4 2 5 4" xfId="24199"/>
    <cellStyle name="표준 9 4 4 2 5 5" xfId="24200"/>
    <cellStyle name="표준 9 4 4 2 6 2" xfId="24201"/>
    <cellStyle name="표준 9 4 4 2 7" xfId="24202"/>
    <cellStyle name="표준 9 4 4 2 7 2" xfId="24203"/>
    <cellStyle name="표준 9 4 4 2 8" xfId="24204"/>
    <cellStyle name="표준 9 4 4 2 9" xfId="24205"/>
    <cellStyle name="표준 9 4 4 3 2 2 2 2" xfId="24206"/>
    <cellStyle name="표준 9 4 4 3 2 2 3" xfId="24207"/>
    <cellStyle name="표준 9 4 4 3 2 2 3 2" xfId="24208"/>
    <cellStyle name="표준 9 4 4 3 2 2 4" xfId="24209"/>
    <cellStyle name="표준 9 4 4 3 2 2 5" xfId="24210"/>
    <cellStyle name="표준 9 4 4 3 2 3 2 2" xfId="24211"/>
    <cellStyle name="표준 9 4 4 3 2 3 3" xfId="24212"/>
    <cellStyle name="표준 9 4 4 3 2 3 3 2" xfId="24213"/>
    <cellStyle name="표준 9 4 4 3 2 3 4" xfId="24214"/>
    <cellStyle name="표준 9 4 4 3 2 3 5" xfId="24215"/>
    <cellStyle name="표준 9 4 4 3 2 4 2" xfId="24216"/>
    <cellStyle name="표준 9 4 4 3 2 5" xfId="24217"/>
    <cellStyle name="표준 9 4 4 3 2 5 2" xfId="24218"/>
    <cellStyle name="표준 9 4 4 3 2 6" xfId="24219"/>
    <cellStyle name="표준 9 4 4 3 2 7" xfId="24220"/>
    <cellStyle name="표준 9 4 4 3 3 2 2" xfId="24221"/>
    <cellStyle name="표준 9 4 4 3 3 3" xfId="24222"/>
    <cellStyle name="표준 9 4 4 3 3 3 2" xfId="24223"/>
    <cellStyle name="표준 9 4 4 3 3 4" xfId="24224"/>
    <cellStyle name="표준 9 4 4 3 3 5" xfId="24225"/>
    <cellStyle name="표준 9 4 4 3 4 2 2" xfId="24226"/>
    <cellStyle name="표준 9 4 4 3 4 3" xfId="24227"/>
    <cellStyle name="표준 9 4 4 3 4 3 2" xfId="24228"/>
    <cellStyle name="표준 9 4 4 3 4 4" xfId="24229"/>
    <cellStyle name="표준 9 4 4 3 4 5" xfId="24230"/>
    <cellStyle name="표준 9 4 4 3 5 2" xfId="24231"/>
    <cellStyle name="표준 9 4 4 3 6" xfId="24232"/>
    <cellStyle name="표준 9 4 4 3 6 2" xfId="24233"/>
    <cellStyle name="표준 9 4 4 3 7" xfId="24234"/>
    <cellStyle name="표준 9 4 4 3 8" xfId="24235"/>
    <cellStyle name="표준 9 4 4 4 2 2 2" xfId="24236"/>
    <cellStyle name="표준 9 4 4 4 2 3" xfId="24237"/>
    <cellStyle name="표준 9 4 4 4 2 3 2" xfId="24238"/>
    <cellStyle name="표준 9 4 4 4 2 4" xfId="24239"/>
    <cellStyle name="표준 9 4 4 4 2 5" xfId="24240"/>
    <cellStyle name="표준 9 4 4 4 3 2 2" xfId="24241"/>
    <cellStyle name="표준 9 4 4 4 3 3" xfId="24242"/>
    <cellStyle name="표준 9 4 4 4 3 3 2" xfId="24243"/>
    <cellStyle name="표준 9 4 4 4 3 4" xfId="24244"/>
    <cellStyle name="표준 9 4 4 4 3 5" xfId="24245"/>
    <cellStyle name="표준 9 4 4 4 4 2" xfId="24246"/>
    <cellStyle name="표준 9 4 4 4 5" xfId="24247"/>
    <cellStyle name="표준 9 4 4 4 5 2" xfId="24248"/>
    <cellStyle name="표준 9 4 4 4 6" xfId="24249"/>
    <cellStyle name="표준 9 4 4 4 7" xfId="24250"/>
    <cellStyle name="표준 9 4 4 5 2 2" xfId="24251"/>
    <cellStyle name="표준 9 4 4 5 3" xfId="24252"/>
    <cellStyle name="표준 9 4 4 5 3 2" xfId="24253"/>
    <cellStyle name="표준 9 4 4 5 4" xfId="24254"/>
    <cellStyle name="표준 9 4 4 5 5" xfId="24255"/>
    <cellStyle name="표준 9 4 4 6 2 2" xfId="24256"/>
    <cellStyle name="표준 9 4 4 6 3" xfId="24257"/>
    <cellStyle name="표준 9 4 4 6 3 2" xfId="24258"/>
    <cellStyle name="표준 9 4 4 6 4" xfId="24259"/>
    <cellStyle name="표준 9 4 4 6 5" xfId="24260"/>
    <cellStyle name="표준 9 4 4 7 2" xfId="24261"/>
    <cellStyle name="표준 9 4 4 8" xfId="24262"/>
    <cellStyle name="표준 9 4 4 8 2" xfId="24263"/>
    <cellStyle name="표준 9 4 4 9" xfId="24264"/>
    <cellStyle name="표준 9 4 5 2 2 2 2 2" xfId="24265"/>
    <cellStyle name="표준 9 4 5 2 2 2 3" xfId="24266"/>
    <cellStyle name="표준 9 4 5 2 2 2 3 2" xfId="24267"/>
    <cellStyle name="표준 9 4 5 2 2 2 4" xfId="24268"/>
    <cellStyle name="표준 9 4 5 2 2 2 5" xfId="24269"/>
    <cellStyle name="표준 9 4 5 2 2 3 2 2" xfId="24270"/>
    <cellStyle name="표준 9 4 5 2 2 3 3" xfId="24271"/>
    <cellStyle name="표준 9 4 5 2 2 3 3 2" xfId="24272"/>
    <cellStyle name="표준 9 4 5 2 2 3 4" xfId="24273"/>
    <cellStyle name="표준 9 4 5 2 2 3 5" xfId="24274"/>
    <cellStyle name="표준 9 4 5 2 2 4 2" xfId="24275"/>
    <cellStyle name="표준 9 4 5 2 2 5" xfId="24276"/>
    <cellStyle name="표준 9 4 5 2 2 5 2" xfId="24277"/>
    <cellStyle name="표준 9 4 5 2 2 6" xfId="24278"/>
    <cellStyle name="표준 9 4 5 2 2 7" xfId="24279"/>
    <cellStyle name="표준 9 4 5 2 3 2 2" xfId="24280"/>
    <cellStyle name="표준 9 4 5 2 3 3" xfId="24281"/>
    <cellStyle name="표준 9 4 5 2 3 3 2" xfId="24282"/>
    <cellStyle name="표준 9 4 5 2 3 4" xfId="24283"/>
    <cellStyle name="표준 9 4 5 2 3 5" xfId="24284"/>
    <cellStyle name="표준 9 4 5 2 4 2 2" xfId="24285"/>
    <cellStyle name="표준 9 4 5 2 4 3" xfId="24286"/>
    <cellStyle name="표준 9 4 5 2 4 3 2" xfId="24287"/>
    <cellStyle name="표준 9 4 5 2 4 4" xfId="24288"/>
    <cellStyle name="표준 9 4 5 2 4 5" xfId="24289"/>
    <cellStyle name="표준 9 4 5 2 5 2" xfId="24290"/>
    <cellStyle name="표준 9 4 5 2 6" xfId="24291"/>
    <cellStyle name="표준 9 4 5 2 6 2" xfId="24292"/>
    <cellStyle name="표준 9 4 5 2 7" xfId="24293"/>
    <cellStyle name="표준 9 4 5 2 8" xfId="24294"/>
    <cellStyle name="표준 9 4 5 3 2 2 2" xfId="24295"/>
    <cellStyle name="표준 9 4 5 3 2 3" xfId="24296"/>
    <cellStyle name="표준 9 4 5 3 2 3 2" xfId="24297"/>
    <cellStyle name="표준 9 4 5 3 2 4" xfId="24298"/>
    <cellStyle name="표준 9 4 5 3 2 5" xfId="24299"/>
    <cellStyle name="표준 9 4 5 3 3 2 2" xfId="24300"/>
    <cellStyle name="표준 9 4 5 3 3 3" xfId="24301"/>
    <cellStyle name="표준 9 4 5 3 3 3 2" xfId="24302"/>
    <cellStyle name="표준 9 4 5 3 3 4" xfId="24303"/>
    <cellStyle name="표준 9 4 5 3 3 5" xfId="24304"/>
    <cellStyle name="표준 9 4 5 3 4 2" xfId="24305"/>
    <cellStyle name="표준 9 4 5 3 5" xfId="24306"/>
    <cellStyle name="표준 9 4 5 3 5 2" xfId="24307"/>
    <cellStyle name="표준 9 4 5 3 6" xfId="24308"/>
    <cellStyle name="표준 9 4 5 3 7" xfId="24309"/>
    <cellStyle name="표준 9 4 5 4 2 2" xfId="24310"/>
    <cellStyle name="표준 9 4 5 4 3" xfId="24311"/>
    <cellStyle name="표준 9 4 5 4 3 2" xfId="24312"/>
    <cellStyle name="표준 9 4 5 4 4" xfId="24313"/>
    <cellStyle name="표준 9 4 5 4 5" xfId="24314"/>
    <cellStyle name="표준 9 4 5 5 2 2" xfId="24315"/>
    <cellStyle name="표준 9 4 5 5 3" xfId="24316"/>
    <cellStyle name="표준 9 4 5 5 3 2" xfId="24317"/>
    <cellStyle name="표준 9 4 5 5 4" xfId="24318"/>
    <cellStyle name="표준 9 4 5 5 5" xfId="24319"/>
    <cellStyle name="표준 9 4 5 6 2" xfId="24320"/>
    <cellStyle name="표준 9 4 5 7" xfId="24321"/>
    <cellStyle name="표준 9 4 5 7 2" xfId="24322"/>
    <cellStyle name="표준 9 4 5 8" xfId="24323"/>
    <cellStyle name="표준 9 4 5 9" xfId="24324"/>
    <cellStyle name="표준 9 4 6 2 2 2 2" xfId="24325"/>
    <cellStyle name="표준 9 4 6 2 2 3" xfId="24326"/>
    <cellStyle name="표준 9 4 6 2 2 3 2" xfId="24327"/>
    <cellStyle name="표준 9 4 6 2 2 4" xfId="24328"/>
    <cellStyle name="표준 9 4 6 2 2 5" xfId="24329"/>
    <cellStyle name="표준 9 4 6 2 3 2 2" xfId="24330"/>
    <cellStyle name="표준 9 4 6 2 3 3" xfId="24331"/>
    <cellStyle name="표준 9 4 6 2 3 3 2" xfId="24332"/>
    <cellStyle name="표준 9 4 6 2 3 4" xfId="24333"/>
    <cellStyle name="표준 9 4 6 2 3 5" xfId="24334"/>
    <cellStyle name="표준 9 4 6 2 4 2" xfId="24335"/>
    <cellStyle name="표준 9 4 6 2 5" xfId="24336"/>
    <cellStyle name="표준 9 4 6 2 5 2" xfId="24337"/>
    <cellStyle name="표준 9 4 6 2 6" xfId="24338"/>
    <cellStyle name="표준 9 4 6 2 7" xfId="24339"/>
    <cellStyle name="표준 9 4 6 3 2 2" xfId="24340"/>
    <cellStyle name="표준 9 4 6 3 3" xfId="24341"/>
    <cellStyle name="표준 9 4 6 3 3 2" xfId="24342"/>
    <cellStyle name="표준 9 4 6 3 4" xfId="24343"/>
    <cellStyle name="표준 9 4 6 3 5" xfId="24344"/>
    <cellStyle name="표준 9 4 6 4 2 2" xfId="24345"/>
    <cellStyle name="표준 9 4 6 4 3" xfId="24346"/>
    <cellStyle name="표준 9 4 6 4 3 2" xfId="24347"/>
    <cellStyle name="표준 9 4 6 4 4" xfId="24348"/>
    <cellStyle name="표준 9 4 6 4 5" xfId="24349"/>
    <cellStyle name="표준 9 4 6 5 2" xfId="24350"/>
    <cellStyle name="표준 9 4 6 6" xfId="24351"/>
    <cellStyle name="표준 9 4 6 6 2" xfId="24352"/>
    <cellStyle name="표준 9 4 6 7" xfId="24353"/>
    <cellStyle name="표준 9 4 6 8" xfId="24354"/>
    <cellStyle name="표준 9 4 7 2 2 2" xfId="24355"/>
    <cellStyle name="표준 9 4 7 2 3" xfId="24356"/>
    <cellStyle name="표준 9 4 7 2 3 2" xfId="24357"/>
    <cellStyle name="표준 9 4 7 2 4" xfId="24358"/>
    <cellStyle name="표준 9 4 7 2 5" xfId="24359"/>
    <cellStyle name="표준 9 4 7 3 2 2" xfId="24360"/>
    <cellStyle name="표준 9 4 7 3 3" xfId="24361"/>
    <cellStyle name="표준 9 4 7 3 3 2" xfId="24362"/>
    <cellStyle name="표준 9 4 7 3 4" xfId="24363"/>
    <cellStyle name="표준 9 4 7 3 5" xfId="24364"/>
    <cellStyle name="표준 9 4 7 4 2" xfId="24365"/>
    <cellStyle name="표준 9 4 7 5" xfId="24366"/>
    <cellStyle name="표준 9 4 7 5 2" xfId="24367"/>
    <cellStyle name="표준 9 4 7 6" xfId="24368"/>
    <cellStyle name="표준 9 4 7 7" xfId="24369"/>
    <cellStyle name="표준 9 4 8 2 2" xfId="24370"/>
    <cellStyle name="표준 9 4 8 3" xfId="24371"/>
    <cellStyle name="표준 9 4 8 3 2" xfId="24372"/>
    <cellStyle name="표준 9 4 8 4" xfId="24373"/>
    <cellStyle name="표준 9 4 8 5" xfId="24374"/>
    <cellStyle name="표준 9 4 9 2 2" xfId="24375"/>
    <cellStyle name="표준 9 4 9 3" xfId="24376"/>
    <cellStyle name="표준 9 4 9 3 2" xfId="24377"/>
    <cellStyle name="표준 9 4 9 4" xfId="24378"/>
    <cellStyle name="표준 9 4 9 5" xfId="24379"/>
    <cellStyle name="표준 9 5 10 2" xfId="24380"/>
    <cellStyle name="표준 9 5 11" xfId="24381"/>
    <cellStyle name="표준 9 5 11 2" xfId="24382"/>
    <cellStyle name="표준 9 5 12" xfId="24383"/>
    <cellStyle name="표준 9 5 13" xfId="24384"/>
    <cellStyle name="표준 9 5 2 10" xfId="24385"/>
    <cellStyle name="표준 9 5 2 2 2 2 2 2 2" xfId="24386"/>
    <cellStyle name="표준 9 5 2 2 2 2 2 3" xfId="24387"/>
    <cellStyle name="표준 9 5 2 2 2 2 2 3 2" xfId="24388"/>
    <cellStyle name="표준 9 5 2 2 2 2 2 4" xfId="24389"/>
    <cellStyle name="표준 9 5 2 2 2 2 2 5" xfId="24390"/>
    <cellStyle name="표준 9 5 2 2 2 2 3 2 2" xfId="24391"/>
    <cellStyle name="표준 9 5 2 2 2 2 3 3" xfId="24392"/>
    <cellStyle name="표준 9 5 2 2 2 2 3 3 2" xfId="24393"/>
    <cellStyle name="표준 9 5 2 2 2 2 3 4" xfId="24394"/>
    <cellStyle name="표준 9 5 2 2 2 2 3 5" xfId="24395"/>
    <cellStyle name="표준 9 5 2 2 2 2 4 2" xfId="24396"/>
    <cellStyle name="표준 9 5 2 2 2 2 5" xfId="24397"/>
    <cellStyle name="표준 9 5 2 2 2 2 5 2" xfId="24398"/>
    <cellStyle name="표준 9 5 2 2 2 2 6" xfId="24399"/>
    <cellStyle name="표준 9 5 2 2 2 2 7" xfId="24400"/>
    <cellStyle name="표준 9 5 2 2 2 3 2 2" xfId="24401"/>
    <cellStyle name="표준 9 5 2 2 2 3 3" xfId="24402"/>
    <cellStyle name="표준 9 5 2 2 2 3 3 2" xfId="24403"/>
    <cellStyle name="표준 9 5 2 2 2 3 4" xfId="24404"/>
    <cellStyle name="표준 9 5 2 2 2 3 5" xfId="24405"/>
    <cellStyle name="표준 9 5 2 2 2 4 2 2" xfId="24406"/>
    <cellStyle name="표준 9 5 2 2 2 4 3" xfId="24407"/>
    <cellStyle name="표준 9 5 2 2 2 4 3 2" xfId="24408"/>
    <cellStyle name="표준 9 5 2 2 2 4 4" xfId="24409"/>
    <cellStyle name="표준 9 5 2 2 2 4 5" xfId="24410"/>
    <cellStyle name="표준 9 5 2 2 2 5 2" xfId="24411"/>
    <cellStyle name="표준 9 5 2 2 2 6" xfId="24412"/>
    <cellStyle name="표준 9 5 2 2 2 6 2" xfId="24413"/>
    <cellStyle name="표준 9 5 2 2 2 7" xfId="24414"/>
    <cellStyle name="표준 9 5 2 2 2 8" xfId="24415"/>
    <cellStyle name="표준 9 5 2 2 3 2 2 2" xfId="24416"/>
    <cellStyle name="표준 9 5 2 2 3 2 3" xfId="24417"/>
    <cellStyle name="표준 9 5 2 2 3 2 3 2" xfId="24418"/>
    <cellStyle name="표준 9 5 2 2 3 2 4" xfId="24419"/>
    <cellStyle name="표준 9 5 2 2 3 2 5" xfId="24420"/>
    <cellStyle name="표준 9 5 2 2 3 3 2 2" xfId="24421"/>
    <cellStyle name="표준 9 5 2 2 3 3 3" xfId="24422"/>
    <cellStyle name="표준 9 5 2 2 3 3 3 2" xfId="24423"/>
    <cellStyle name="표준 9 5 2 2 3 3 4" xfId="24424"/>
    <cellStyle name="표준 9 5 2 2 3 3 5" xfId="24425"/>
    <cellStyle name="표준 9 5 2 2 3 4 2" xfId="24426"/>
    <cellStyle name="표준 9 5 2 2 3 5" xfId="24427"/>
    <cellStyle name="표준 9 5 2 2 3 5 2" xfId="24428"/>
    <cellStyle name="표준 9 5 2 2 3 6" xfId="24429"/>
    <cellStyle name="표준 9 5 2 2 3 7" xfId="24430"/>
    <cellStyle name="표준 9 5 2 2 4 2 2" xfId="24431"/>
    <cellStyle name="표준 9 5 2 2 4 3" xfId="24432"/>
    <cellStyle name="표준 9 5 2 2 4 3 2" xfId="24433"/>
    <cellStyle name="표준 9 5 2 2 4 4" xfId="24434"/>
    <cellStyle name="표준 9 5 2 2 4 5" xfId="24435"/>
    <cellStyle name="표준 9 5 2 2 5 2 2" xfId="24436"/>
    <cellStyle name="표준 9 5 2 2 5 3" xfId="24437"/>
    <cellStyle name="표준 9 5 2 2 5 3 2" xfId="24438"/>
    <cellStyle name="표준 9 5 2 2 5 4" xfId="24439"/>
    <cellStyle name="표준 9 5 2 2 5 5" xfId="24440"/>
    <cellStyle name="표준 9 5 2 2 6 2" xfId="24441"/>
    <cellStyle name="표준 9 5 2 2 7" xfId="24442"/>
    <cellStyle name="표준 9 5 2 2 7 2" xfId="24443"/>
    <cellStyle name="표준 9 5 2 2 8" xfId="24444"/>
    <cellStyle name="표준 9 5 2 2 9" xfId="24445"/>
    <cellStyle name="표준 9 5 2 3 2 2 2 2" xfId="24446"/>
    <cellStyle name="표준 9 5 2 3 2 2 3" xfId="24447"/>
    <cellStyle name="표준 9 5 2 3 2 2 3 2" xfId="24448"/>
    <cellStyle name="표준 9 5 2 3 2 2 4" xfId="24449"/>
    <cellStyle name="표준 9 5 2 3 2 2 5" xfId="24450"/>
    <cellStyle name="표준 9 5 2 3 2 3 2 2" xfId="24451"/>
    <cellStyle name="표준 9 5 2 3 2 3 3" xfId="24452"/>
    <cellStyle name="표준 9 5 2 3 2 3 3 2" xfId="24453"/>
    <cellStyle name="표준 9 5 2 3 2 3 4" xfId="24454"/>
    <cellStyle name="표준 9 5 2 3 2 3 5" xfId="24455"/>
    <cellStyle name="표준 9 5 2 3 2 4 2" xfId="24456"/>
    <cellStyle name="표준 9 5 2 3 2 5" xfId="24457"/>
    <cellStyle name="표준 9 5 2 3 2 5 2" xfId="24458"/>
    <cellStyle name="표준 9 5 2 3 2 6" xfId="24459"/>
    <cellStyle name="표준 9 5 2 3 2 7" xfId="24460"/>
    <cellStyle name="표준 9 5 2 3 3 2 2" xfId="24461"/>
    <cellStyle name="표준 9 5 2 3 3 3" xfId="24462"/>
    <cellStyle name="표준 9 5 2 3 3 3 2" xfId="24463"/>
    <cellStyle name="표준 9 5 2 3 3 4" xfId="24464"/>
    <cellStyle name="표준 9 5 2 3 3 5" xfId="24465"/>
    <cellStyle name="표준 9 5 2 3 4 2 2" xfId="24466"/>
    <cellStyle name="표준 9 5 2 3 4 3" xfId="24467"/>
    <cellStyle name="표준 9 5 2 3 4 3 2" xfId="24468"/>
    <cellStyle name="표준 9 5 2 3 4 4" xfId="24469"/>
    <cellStyle name="표준 9 5 2 3 4 5" xfId="24470"/>
    <cellStyle name="표준 9 5 2 3 5 2" xfId="24471"/>
    <cellStyle name="표준 9 5 2 3 6" xfId="24472"/>
    <cellStyle name="표준 9 5 2 3 6 2" xfId="24473"/>
    <cellStyle name="표준 9 5 2 3 7" xfId="24474"/>
    <cellStyle name="표준 9 5 2 3 8" xfId="24475"/>
    <cellStyle name="표준 9 5 2 4 2 2 2" xfId="24476"/>
    <cellStyle name="표준 9 5 2 4 2 3" xfId="24477"/>
    <cellStyle name="표준 9 5 2 4 2 3 2" xfId="24478"/>
    <cellStyle name="표준 9 5 2 4 2 4" xfId="24479"/>
    <cellStyle name="표준 9 5 2 4 2 5" xfId="24480"/>
    <cellStyle name="표준 9 5 2 4 3 2 2" xfId="24481"/>
    <cellStyle name="표준 9 5 2 4 3 3" xfId="24482"/>
    <cellStyle name="표준 9 5 2 4 3 3 2" xfId="24483"/>
    <cellStyle name="표준 9 5 2 4 3 4" xfId="24484"/>
    <cellStyle name="표준 9 5 2 4 3 5" xfId="24485"/>
    <cellStyle name="표준 9 5 2 4 4 2" xfId="24486"/>
    <cellStyle name="표준 9 5 2 4 5" xfId="24487"/>
    <cellStyle name="표준 9 5 2 4 5 2" xfId="24488"/>
    <cellStyle name="표준 9 5 2 4 6" xfId="24489"/>
    <cellStyle name="표준 9 5 2 4 7" xfId="24490"/>
    <cellStyle name="표준 9 5 2 5 2 2" xfId="24491"/>
    <cellStyle name="표준 9 5 2 5 3" xfId="24492"/>
    <cellStyle name="표준 9 5 2 5 3 2" xfId="24493"/>
    <cellStyle name="표준 9 5 2 5 4" xfId="24494"/>
    <cellStyle name="표준 9 5 2 5 5" xfId="24495"/>
    <cellStyle name="표준 9 5 2 6 2 2" xfId="24496"/>
    <cellStyle name="표준 9 5 2 6 3" xfId="24497"/>
    <cellStyle name="표준 9 5 2 6 3 2" xfId="24498"/>
    <cellStyle name="표준 9 5 2 6 4" xfId="24499"/>
    <cellStyle name="표준 9 5 2 6 5" xfId="24500"/>
    <cellStyle name="표준 9 5 2 7 2" xfId="24501"/>
    <cellStyle name="표준 9 5 2 8" xfId="24502"/>
    <cellStyle name="표준 9 5 2 8 2" xfId="24503"/>
    <cellStyle name="표준 9 5 2 9" xfId="24504"/>
    <cellStyle name="표준 9 5 3 10" xfId="24505"/>
    <cellStyle name="표준 9 5 3 2 2 2 2 2 2" xfId="24506"/>
    <cellStyle name="표준 9 5 3 2 2 2 2 3" xfId="24507"/>
    <cellStyle name="표준 9 5 3 2 2 2 2 3 2" xfId="24508"/>
    <cellStyle name="표준 9 5 3 2 2 2 2 4" xfId="24509"/>
    <cellStyle name="표준 9 5 3 2 2 2 2 5" xfId="24510"/>
    <cellStyle name="표준 9 5 3 2 2 2 3 2 2" xfId="24511"/>
    <cellStyle name="표준 9 5 3 2 2 2 3 3" xfId="24512"/>
    <cellStyle name="표준 9 5 3 2 2 2 3 3 2" xfId="24513"/>
    <cellStyle name="표준 9 5 3 2 2 2 3 4" xfId="24514"/>
    <cellStyle name="표준 9 5 3 2 2 2 3 5" xfId="24515"/>
    <cellStyle name="표준 9 5 3 2 2 2 4 2" xfId="24516"/>
    <cellStyle name="표준 9 5 3 2 2 2 5" xfId="24517"/>
    <cellStyle name="표준 9 5 3 2 2 2 5 2" xfId="24518"/>
    <cellStyle name="표준 9 5 3 2 2 2 6" xfId="24519"/>
    <cellStyle name="표준 9 5 3 2 2 2 7" xfId="24520"/>
    <cellStyle name="표준 9 5 3 2 2 3 2 2" xfId="24521"/>
    <cellStyle name="표준 9 5 3 2 2 3 3" xfId="24522"/>
    <cellStyle name="표준 9 5 3 2 2 3 3 2" xfId="24523"/>
    <cellStyle name="표준 9 5 3 2 2 3 4" xfId="24524"/>
    <cellStyle name="표준 9 5 3 2 2 3 5" xfId="24525"/>
    <cellStyle name="표준 9 5 3 2 2 4 2 2" xfId="24526"/>
    <cellStyle name="표준 9 5 3 2 2 4 3" xfId="24527"/>
    <cellStyle name="표준 9 5 3 2 2 4 3 2" xfId="24528"/>
    <cellStyle name="표준 9 5 3 2 2 4 4" xfId="24529"/>
    <cellStyle name="표준 9 5 3 2 2 4 5" xfId="24530"/>
    <cellStyle name="표준 9 5 3 2 2 5 2" xfId="24531"/>
    <cellStyle name="표준 9 5 3 2 2 6" xfId="24532"/>
    <cellStyle name="표준 9 5 3 2 2 6 2" xfId="24533"/>
    <cellStyle name="표준 9 5 3 2 2 7" xfId="24534"/>
    <cellStyle name="표준 9 5 3 2 2 8" xfId="24535"/>
    <cellStyle name="표준 9 5 3 2 3 2 2 2" xfId="24536"/>
    <cellStyle name="표준 9 5 3 2 3 2 3" xfId="24537"/>
    <cellStyle name="표준 9 5 3 2 3 2 3 2" xfId="24538"/>
    <cellStyle name="표준 9 5 3 2 3 2 4" xfId="24539"/>
    <cellStyle name="표준 9 5 3 2 3 2 5" xfId="24540"/>
    <cellStyle name="표준 9 5 3 2 3 3 2 2" xfId="24541"/>
    <cellStyle name="표준 9 5 3 2 3 3 3" xfId="24542"/>
    <cellStyle name="표준 9 5 3 2 3 3 3 2" xfId="24543"/>
    <cellStyle name="표준 9 5 3 2 3 3 4" xfId="24544"/>
    <cellStyle name="표준 9 5 3 2 3 3 5" xfId="24545"/>
    <cellStyle name="표준 9 5 3 2 3 4 2" xfId="24546"/>
    <cellStyle name="표준 9 5 3 2 3 5" xfId="24547"/>
    <cellStyle name="표준 9 5 3 2 3 5 2" xfId="24548"/>
    <cellStyle name="표준 9 5 3 2 3 6" xfId="24549"/>
    <cellStyle name="표준 9 5 3 2 3 7" xfId="24550"/>
    <cellStyle name="표준 9 5 3 2 4 2 2" xfId="24551"/>
    <cellStyle name="표준 9 5 3 2 4 3" xfId="24552"/>
    <cellStyle name="표준 9 5 3 2 4 3 2" xfId="24553"/>
    <cellStyle name="표준 9 5 3 2 4 4" xfId="24554"/>
    <cellStyle name="표준 9 5 3 2 4 5" xfId="24555"/>
    <cellStyle name="표준 9 5 3 2 5 2 2" xfId="24556"/>
    <cellStyle name="표준 9 5 3 2 5 3" xfId="24557"/>
    <cellStyle name="표준 9 5 3 2 5 3 2" xfId="24558"/>
    <cellStyle name="표준 9 5 3 2 5 4" xfId="24559"/>
    <cellStyle name="표준 9 5 3 2 5 5" xfId="24560"/>
    <cellStyle name="표준 9 5 3 2 6 2" xfId="24561"/>
    <cellStyle name="표준 9 5 3 2 7" xfId="24562"/>
    <cellStyle name="표준 9 5 3 2 7 2" xfId="24563"/>
    <cellStyle name="표준 9 5 3 2 8" xfId="24564"/>
    <cellStyle name="표준 9 5 3 2 9" xfId="24565"/>
    <cellStyle name="표준 9 5 3 3 2 2 2 2" xfId="24566"/>
    <cellStyle name="표준 9 5 3 3 2 2 3" xfId="24567"/>
    <cellStyle name="표준 9 5 3 3 2 2 3 2" xfId="24568"/>
    <cellStyle name="표준 9 5 3 3 2 2 4" xfId="24569"/>
    <cellStyle name="표준 9 5 3 3 2 2 5" xfId="24570"/>
    <cellStyle name="표준 9 5 3 3 2 3 2 2" xfId="24571"/>
    <cellStyle name="표준 9 5 3 3 2 3 3" xfId="24572"/>
    <cellStyle name="표준 9 5 3 3 2 3 3 2" xfId="24573"/>
    <cellStyle name="표준 9 5 3 3 2 3 4" xfId="24574"/>
    <cellStyle name="표준 9 5 3 3 2 3 5" xfId="24575"/>
    <cellStyle name="표준 9 5 3 3 2 4 2" xfId="24576"/>
    <cellStyle name="표준 9 5 3 3 2 5" xfId="24577"/>
    <cellStyle name="표준 9 5 3 3 2 5 2" xfId="24578"/>
    <cellStyle name="표준 9 5 3 3 2 6" xfId="24579"/>
    <cellStyle name="표준 9 5 3 3 2 7" xfId="24580"/>
    <cellStyle name="표준 9 5 3 3 3 2 2" xfId="24581"/>
    <cellStyle name="표준 9 5 3 3 3 3" xfId="24582"/>
    <cellStyle name="표준 9 5 3 3 3 3 2" xfId="24583"/>
    <cellStyle name="표준 9 5 3 3 3 4" xfId="24584"/>
    <cellStyle name="표준 9 5 3 3 3 5" xfId="24585"/>
    <cellStyle name="표준 9 5 3 3 4 2 2" xfId="24586"/>
    <cellStyle name="표준 9 5 3 3 4 3" xfId="24587"/>
    <cellStyle name="표준 9 5 3 3 4 3 2" xfId="24588"/>
    <cellStyle name="표준 9 5 3 3 4 4" xfId="24589"/>
    <cellStyle name="표준 9 5 3 3 4 5" xfId="24590"/>
    <cellStyle name="표준 9 5 3 3 5 2" xfId="24591"/>
    <cellStyle name="표준 9 5 3 3 6" xfId="24592"/>
    <cellStyle name="표준 9 5 3 3 6 2" xfId="24593"/>
    <cellStyle name="표준 9 5 3 3 7" xfId="24594"/>
    <cellStyle name="표준 9 5 3 3 8" xfId="24595"/>
    <cellStyle name="표준 9 5 3 4 2 2 2" xfId="24596"/>
    <cellStyle name="표준 9 5 3 4 2 3" xfId="24597"/>
    <cellStyle name="표준 9 5 3 4 2 3 2" xfId="24598"/>
    <cellStyle name="표준 9 5 3 4 2 4" xfId="24599"/>
    <cellStyle name="표준 9 5 3 4 2 5" xfId="24600"/>
    <cellStyle name="표준 9 5 3 4 3 2 2" xfId="24601"/>
    <cellStyle name="표준 9 5 3 4 3 3" xfId="24602"/>
    <cellStyle name="표준 9 5 3 4 3 3 2" xfId="24603"/>
    <cellStyle name="표준 9 5 3 4 3 4" xfId="24604"/>
    <cellStyle name="표준 9 5 3 4 3 5" xfId="24605"/>
    <cellStyle name="표준 9 5 3 4 4 2" xfId="24606"/>
    <cellStyle name="표준 9 5 3 4 5" xfId="24607"/>
    <cellStyle name="표준 9 5 3 4 5 2" xfId="24608"/>
    <cellStyle name="표준 9 5 3 4 6" xfId="24609"/>
    <cellStyle name="표준 9 5 3 4 7" xfId="24610"/>
    <cellStyle name="표준 9 5 3 5 2 2" xfId="24611"/>
    <cellStyle name="표준 9 5 3 5 3" xfId="24612"/>
    <cellStyle name="표준 9 5 3 5 3 2" xfId="24613"/>
    <cellStyle name="표준 9 5 3 5 4" xfId="24614"/>
    <cellStyle name="표준 9 5 3 5 5" xfId="24615"/>
    <cellStyle name="표준 9 5 3 6 2 2" xfId="24616"/>
    <cellStyle name="표준 9 5 3 6 3" xfId="24617"/>
    <cellStyle name="표준 9 5 3 6 3 2" xfId="24618"/>
    <cellStyle name="표준 9 5 3 6 4" xfId="24619"/>
    <cellStyle name="표준 9 5 3 6 5" xfId="24620"/>
    <cellStyle name="표준 9 5 3 7 2" xfId="24621"/>
    <cellStyle name="표준 9 5 3 8" xfId="24622"/>
    <cellStyle name="표준 9 5 3 8 2" xfId="24623"/>
    <cellStyle name="표준 9 5 3 9" xfId="24624"/>
    <cellStyle name="표준 9 5 4 10" xfId="24625"/>
    <cellStyle name="표준 9 5 4 2 2 2 2 2 2" xfId="24626"/>
    <cellStyle name="표준 9 5 4 2 2 2 2 3" xfId="24627"/>
    <cellStyle name="표준 9 5 4 2 2 2 2 3 2" xfId="24628"/>
    <cellStyle name="표준 9 5 4 2 2 2 2 4" xfId="24629"/>
    <cellStyle name="표준 9 5 4 2 2 2 2 5" xfId="24630"/>
    <cellStyle name="표준 9 5 4 2 2 2 3 2 2" xfId="24631"/>
    <cellStyle name="표준 9 5 4 2 2 2 3 3" xfId="24632"/>
    <cellStyle name="표준 9 5 4 2 2 2 3 3 2" xfId="24633"/>
    <cellStyle name="표준 9 5 4 2 2 2 3 4" xfId="24634"/>
    <cellStyle name="표준 9 5 4 2 2 2 3 5" xfId="24635"/>
    <cellStyle name="표준 9 5 4 2 2 2 4 2" xfId="24636"/>
    <cellStyle name="표준 9 5 4 2 2 2 5" xfId="24637"/>
    <cellStyle name="표준 9 5 4 2 2 2 5 2" xfId="24638"/>
    <cellStyle name="표준 9 5 4 2 2 2 6" xfId="24639"/>
    <cellStyle name="표준 9 5 4 2 2 2 7" xfId="24640"/>
    <cellStyle name="표준 9 5 4 2 2 3 2 2" xfId="24641"/>
    <cellStyle name="표준 9 5 4 2 2 3 3" xfId="24642"/>
    <cellStyle name="표준 9 5 4 2 2 3 3 2" xfId="24643"/>
    <cellStyle name="표준 9 5 4 2 2 3 4" xfId="24644"/>
    <cellStyle name="표준 9 5 4 2 2 3 5" xfId="24645"/>
    <cellStyle name="표준 9 5 4 2 2 4 2 2" xfId="24646"/>
    <cellStyle name="표준 9 5 4 2 2 4 3" xfId="24647"/>
    <cellStyle name="표준 9 5 4 2 2 4 3 2" xfId="24648"/>
    <cellStyle name="표준 9 5 4 2 2 4 4" xfId="24649"/>
    <cellStyle name="표준 9 5 4 2 2 4 5" xfId="24650"/>
    <cellStyle name="표준 9 5 4 2 2 5 2" xfId="24651"/>
    <cellStyle name="표준 9 5 4 2 2 6" xfId="24652"/>
    <cellStyle name="표준 9 5 4 2 2 6 2" xfId="24653"/>
    <cellStyle name="표준 9 5 4 2 2 7" xfId="24654"/>
    <cellStyle name="표준 9 5 4 2 2 8" xfId="24655"/>
    <cellStyle name="표준 9 5 4 2 3 2 2 2" xfId="24656"/>
    <cellStyle name="표준 9 5 4 2 3 2 3" xfId="24657"/>
    <cellStyle name="표준 9 5 4 2 3 2 3 2" xfId="24658"/>
    <cellStyle name="표준 9 5 4 2 3 2 4" xfId="24659"/>
    <cellStyle name="표준 9 5 4 2 3 2 5" xfId="24660"/>
    <cellStyle name="표준 9 5 4 2 3 3 2 2" xfId="24661"/>
    <cellStyle name="표준 9 5 4 2 3 3 3" xfId="24662"/>
    <cellStyle name="표준 9 5 4 2 3 3 3 2" xfId="24663"/>
    <cellStyle name="표준 9 5 4 2 3 3 4" xfId="24664"/>
    <cellStyle name="표준 9 5 4 2 3 3 5" xfId="24665"/>
    <cellStyle name="표준 9 5 4 2 3 4 2" xfId="24666"/>
    <cellStyle name="표준 9 5 4 2 3 5" xfId="24667"/>
    <cellStyle name="표준 9 5 4 2 3 5 2" xfId="24668"/>
    <cellStyle name="표준 9 5 4 2 3 6" xfId="24669"/>
    <cellStyle name="표준 9 5 4 2 3 7" xfId="24670"/>
    <cellStyle name="표준 9 5 4 2 4 2 2" xfId="24671"/>
    <cellStyle name="표준 9 5 4 2 4 3" xfId="24672"/>
    <cellStyle name="표준 9 5 4 2 4 3 2" xfId="24673"/>
    <cellStyle name="표준 9 5 4 2 4 4" xfId="24674"/>
    <cellStyle name="표준 9 5 4 2 4 5" xfId="24675"/>
    <cellStyle name="표준 9 5 4 2 5 2 2" xfId="24676"/>
    <cellStyle name="표준 9 5 4 2 5 3" xfId="24677"/>
    <cellStyle name="표준 9 5 4 2 5 3 2" xfId="24678"/>
    <cellStyle name="표준 9 5 4 2 5 4" xfId="24679"/>
    <cellStyle name="표준 9 5 4 2 5 5" xfId="24680"/>
    <cellStyle name="표준 9 5 4 2 6 2" xfId="24681"/>
    <cellStyle name="표준 9 5 4 2 7" xfId="24682"/>
    <cellStyle name="표준 9 5 4 2 7 2" xfId="24683"/>
    <cellStyle name="표준 9 5 4 2 8" xfId="24684"/>
    <cellStyle name="표준 9 5 4 2 9" xfId="24685"/>
    <cellStyle name="표준 9 5 4 3 2 2 2 2" xfId="24686"/>
    <cellStyle name="표준 9 5 4 3 2 2 3" xfId="24687"/>
    <cellStyle name="표준 9 5 4 3 2 2 3 2" xfId="24688"/>
    <cellStyle name="표준 9 5 4 3 2 2 4" xfId="24689"/>
    <cellStyle name="표준 9 5 4 3 2 2 5" xfId="24690"/>
    <cellStyle name="표준 9 5 4 3 2 3 2 2" xfId="24691"/>
    <cellStyle name="표준 9 5 4 3 2 3 3" xfId="24692"/>
    <cellStyle name="표준 9 5 4 3 2 3 3 2" xfId="24693"/>
    <cellStyle name="표준 9 5 4 3 2 3 4" xfId="24694"/>
    <cellStyle name="표준 9 5 4 3 2 3 5" xfId="24695"/>
    <cellStyle name="표준 9 5 4 3 2 4 2" xfId="24696"/>
    <cellStyle name="표준 9 5 4 3 2 5" xfId="24697"/>
    <cellStyle name="표준 9 5 4 3 2 5 2" xfId="24698"/>
    <cellStyle name="표준 9 5 4 3 2 6" xfId="24699"/>
    <cellStyle name="표준 9 5 4 3 2 7" xfId="24700"/>
    <cellStyle name="표준 9 5 4 3 3 2 2" xfId="24701"/>
    <cellStyle name="표준 9 5 4 3 3 3" xfId="24702"/>
    <cellStyle name="표준 9 5 4 3 3 3 2" xfId="24703"/>
    <cellStyle name="표준 9 5 4 3 3 4" xfId="24704"/>
    <cellStyle name="표준 9 5 4 3 3 5" xfId="24705"/>
    <cellStyle name="표준 9 5 4 3 4 2 2" xfId="24706"/>
    <cellStyle name="표준 9 5 4 3 4 3" xfId="24707"/>
    <cellStyle name="표준 9 5 4 3 4 3 2" xfId="24708"/>
    <cellStyle name="표준 9 5 4 3 4 4" xfId="24709"/>
    <cellStyle name="표준 9 5 4 3 4 5" xfId="24710"/>
    <cellStyle name="표준 9 5 4 3 5 2" xfId="24711"/>
    <cellStyle name="표준 9 5 4 3 6" xfId="24712"/>
    <cellStyle name="표준 9 5 4 3 6 2" xfId="24713"/>
    <cellStyle name="표준 9 5 4 3 7" xfId="24714"/>
    <cellStyle name="표준 9 5 4 3 8" xfId="24715"/>
    <cellStyle name="표준 9 5 4 4 2 2 2" xfId="24716"/>
    <cellStyle name="표준 9 5 4 4 2 3" xfId="24717"/>
    <cellStyle name="표준 9 5 4 4 2 3 2" xfId="24718"/>
    <cellStyle name="표준 9 5 4 4 2 4" xfId="24719"/>
    <cellStyle name="표준 9 5 4 4 2 5" xfId="24720"/>
    <cellStyle name="표준 9 5 4 4 3 2 2" xfId="24721"/>
    <cellStyle name="표준 9 5 4 4 3 3" xfId="24722"/>
    <cellStyle name="표준 9 5 4 4 3 3 2" xfId="24723"/>
    <cellStyle name="표준 9 5 4 4 3 4" xfId="24724"/>
    <cellStyle name="표준 9 5 4 4 3 5" xfId="24725"/>
    <cellStyle name="표준 9 5 4 4 4 2" xfId="24726"/>
    <cellStyle name="표준 9 5 4 4 5" xfId="24727"/>
    <cellStyle name="표준 9 5 4 4 5 2" xfId="24728"/>
    <cellStyle name="표준 9 5 4 4 6" xfId="24729"/>
    <cellStyle name="표준 9 5 4 4 7" xfId="24730"/>
    <cellStyle name="표준 9 5 4 5 2 2" xfId="24731"/>
    <cellStyle name="표준 9 5 4 5 3" xfId="24732"/>
    <cellStyle name="표준 9 5 4 5 3 2" xfId="24733"/>
    <cellStyle name="표준 9 5 4 5 4" xfId="24734"/>
    <cellStyle name="표준 9 5 4 5 5" xfId="24735"/>
    <cellStyle name="표준 9 5 4 6 2 2" xfId="24736"/>
    <cellStyle name="표준 9 5 4 6 3" xfId="24737"/>
    <cellStyle name="표준 9 5 4 6 3 2" xfId="24738"/>
    <cellStyle name="표준 9 5 4 6 4" xfId="24739"/>
    <cellStyle name="표준 9 5 4 6 5" xfId="24740"/>
    <cellStyle name="표준 9 5 4 7 2" xfId="24741"/>
    <cellStyle name="표준 9 5 4 8" xfId="24742"/>
    <cellStyle name="표준 9 5 4 8 2" xfId="24743"/>
    <cellStyle name="표준 9 5 4 9" xfId="24744"/>
    <cellStyle name="표준 9 5 5 2 2 2 2 2" xfId="24745"/>
    <cellStyle name="표준 9 5 5 2 2 2 3" xfId="24746"/>
    <cellStyle name="표준 9 5 5 2 2 2 3 2" xfId="24747"/>
    <cellStyle name="표준 9 5 5 2 2 2 4" xfId="24748"/>
    <cellStyle name="표준 9 5 5 2 2 2 5" xfId="24749"/>
    <cellStyle name="표준 9 5 5 2 2 3 2 2" xfId="24750"/>
    <cellStyle name="표준 9 5 5 2 2 3 3" xfId="24751"/>
    <cellStyle name="표준 9 5 5 2 2 3 3 2" xfId="24752"/>
    <cellStyle name="표준 9 5 5 2 2 3 4" xfId="24753"/>
    <cellStyle name="표준 9 5 5 2 2 3 5" xfId="24754"/>
    <cellStyle name="표준 9 5 5 2 2 4 2" xfId="24755"/>
    <cellStyle name="표준 9 5 5 2 2 5" xfId="24756"/>
    <cellStyle name="표준 9 5 5 2 2 5 2" xfId="24757"/>
    <cellStyle name="표준 9 5 5 2 2 6" xfId="24758"/>
    <cellStyle name="표준 9 5 5 2 2 7" xfId="24759"/>
    <cellStyle name="표준 9 5 5 2 3 2 2" xfId="24760"/>
    <cellStyle name="표준 9 5 5 2 3 3" xfId="24761"/>
    <cellStyle name="표준 9 5 5 2 3 3 2" xfId="24762"/>
    <cellStyle name="표준 9 5 5 2 3 4" xfId="24763"/>
    <cellStyle name="표준 9 5 5 2 3 5" xfId="24764"/>
    <cellStyle name="표준 9 5 5 2 4 2 2" xfId="24765"/>
    <cellStyle name="표준 9 5 5 2 4 3" xfId="24766"/>
    <cellStyle name="표준 9 5 5 2 4 3 2" xfId="24767"/>
    <cellStyle name="표준 9 5 5 2 4 4" xfId="24768"/>
    <cellStyle name="표준 9 5 5 2 4 5" xfId="24769"/>
    <cellStyle name="표준 9 5 5 2 5 2" xfId="24770"/>
    <cellStyle name="표준 9 5 5 2 6" xfId="24771"/>
    <cellStyle name="표준 9 5 5 2 6 2" xfId="24772"/>
    <cellStyle name="표준 9 5 5 2 7" xfId="24773"/>
    <cellStyle name="표준 9 5 5 2 8" xfId="24774"/>
    <cellStyle name="표준 9 5 5 3 2 2 2" xfId="24775"/>
    <cellStyle name="표준 9 5 5 3 2 3" xfId="24776"/>
    <cellStyle name="표준 9 5 5 3 2 3 2" xfId="24777"/>
    <cellStyle name="표준 9 5 5 3 2 4" xfId="24778"/>
    <cellStyle name="표준 9 5 5 3 2 5" xfId="24779"/>
    <cellStyle name="표준 9 5 5 3 3 2 2" xfId="24780"/>
    <cellStyle name="표준 9 5 5 3 3 3" xfId="24781"/>
    <cellStyle name="표준 9 5 5 3 3 3 2" xfId="24782"/>
    <cellStyle name="표준 9 5 5 3 3 4" xfId="24783"/>
    <cellStyle name="표준 9 5 5 3 3 5" xfId="24784"/>
    <cellStyle name="표준 9 5 5 3 4 2" xfId="24785"/>
    <cellStyle name="표준 9 5 5 3 5" xfId="24786"/>
    <cellStyle name="표준 9 5 5 3 5 2" xfId="24787"/>
    <cellStyle name="표준 9 5 5 3 6" xfId="24788"/>
    <cellStyle name="표준 9 5 5 3 7" xfId="24789"/>
    <cellStyle name="표준 9 5 5 4 2 2" xfId="24790"/>
    <cellStyle name="표준 9 5 5 4 3" xfId="24791"/>
    <cellStyle name="표준 9 5 5 4 3 2" xfId="24792"/>
    <cellStyle name="표준 9 5 5 4 4" xfId="24793"/>
    <cellStyle name="표준 9 5 5 4 5" xfId="24794"/>
    <cellStyle name="표준 9 5 5 5 2 2" xfId="24795"/>
    <cellStyle name="표준 9 5 5 5 3" xfId="24796"/>
    <cellStyle name="표준 9 5 5 5 3 2" xfId="24797"/>
    <cellStyle name="표준 9 5 5 5 4" xfId="24798"/>
    <cellStyle name="표준 9 5 5 5 5" xfId="24799"/>
    <cellStyle name="표준 9 5 5 6 2" xfId="24800"/>
    <cellStyle name="표준 9 5 5 7" xfId="24801"/>
    <cellStyle name="표준 9 5 5 7 2" xfId="24802"/>
    <cellStyle name="표준 9 5 5 8" xfId="24803"/>
    <cellStyle name="표준 9 5 5 9" xfId="24804"/>
    <cellStyle name="표준 9 5 6 2 2 2 2" xfId="24805"/>
    <cellStyle name="표준 9 5 6 2 2 3" xfId="24806"/>
    <cellStyle name="표준 9 5 6 2 2 3 2" xfId="24807"/>
    <cellStyle name="표준 9 5 6 2 2 4" xfId="24808"/>
    <cellStyle name="표준 9 5 6 2 2 5" xfId="24809"/>
    <cellStyle name="표준 9 5 6 2 3 2 2" xfId="24810"/>
    <cellStyle name="표준 9 5 6 2 3 3" xfId="24811"/>
    <cellStyle name="표준 9 5 6 2 3 3 2" xfId="24812"/>
    <cellStyle name="표준 9 5 6 2 3 4" xfId="24813"/>
    <cellStyle name="표준 9 5 6 2 3 5" xfId="24814"/>
    <cellStyle name="표준 9 5 6 2 4 2" xfId="24815"/>
    <cellStyle name="표준 9 5 6 2 5" xfId="24816"/>
    <cellStyle name="표준 9 5 6 2 5 2" xfId="24817"/>
    <cellStyle name="표준 9 5 6 2 6" xfId="24818"/>
    <cellStyle name="표준 9 5 6 2 7" xfId="24819"/>
    <cellStyle name="표준 9 5 6 3 2 2" xfId="24820"/>
    <cellStyle name="표준 9 5 6 3 3" xfId="24821"/>
    <cellStyle name="표준 9 5 6 3 3 2" xfId="24822"/>
    <cellStyle name="표준 9 5 6 3 4" xfId="24823"/>
    <cellStyle name="표준 9 5 6 3 5" xfId="24824"/>
    <cellStyle name="표준 9 5 6 4 2 2" xfId="24825"/>
    <cellStyle name="표준 9 5 6 4 3" xfId="24826"/>
    <cellStyle name="표준 9 5 6 4 3 2" xfId="24827"/>
    <cellStyle name="표준 9 5 6 4 4" xfId="24828"/>
    <cellStyle name="표준 9 5 6 4 5" xfId="24829"/>
    <cellStyle name="표준 9 5 6 5 2" xfId="24830"/>
    <cellStyle name="표준 9 5 6 6" xfId="24831"/>
    <cellStyle name="표준 9 5 6 6 2" xfId="24832"/>
    <cellStyle name="표준 9 5 6 7" xfId="24833"/>
    <cellStyle name="표준 9 5 6 8" xfId="24834"/>
    <cellStyle name="표준 9 5 7 2 2 2" xfId="24835"/>
    <cellStyle name="표준 9 5 7 2 3" xfId="24836"/>
    <cellStyle name="표준 9 5 7 2 3 2" xfId="24837"/>
    <cellStyle name="표준 9 5 7 2 4" xfId="24838"/>
    <cellStyle name="표준 9 5 7 2 5" xfId="24839"/>
    <cellStyle name="표준 9 5 7 3 2 2" xfId="24840"/>
    <cellStyle name="표준 9 5 7 3 3" xfId="24841"/>
    <cellStyle name="표준 9 5 7 3 3 2" xfId="24842"/>
    <cellStyle name="표준 9 5 7 3 4" xfId="24843"/>
    <cellStyle name="표준 9 5 7 3 5" xfId="24844"/>
    <cellStyle name="표준 9 5 7 4 2" xfId="24845"/>
    <cellStyle name="표준 9 5 7 5" xfId="24846"/>
    <cellStyle name="표준 9 5 7 5 2" xfId="24847"/>
    <cellStyle name="표준 9 5 7 6" xfId="24848"/>
    <cellStyle name="표준 9 5 7 7" xfId="24849"/>
    <cellStyle name="표준 9 5 8 2 2" xfId="24850"/>
    <cellStyle name="표준 9 5 8 3" xfId="24851"/>
    <cellStyle name="표준 9 5 8 3 2" xfId="24852"/>
    <cellStyle name="표준 9 5 8 4" xfId="24853"/>
    <cellStyle name="표준 9 5 8 5" xfId="24854"/>
    <cellStyle name="표준 9 5 9 2 2" xfId="24855"/>
    <cellStyle name="표준 9 5 9 3" xfId="24856"/>
    <cellStyle name="표준 9 5 9 3 2" xfId="24857"/>
    <cellStyle name="표준 9 5 9 4" xfId="24858"/>
    <cellStyle name="표준 9 5 9 5" xfId="24859"/>
    <cellStyle name="표준 9 6 10 2" xfId="24860"/>
    <cellStyle name="표준 9 6 11" xfId="24861"/>
    <cellStyle name="표준 9 6 11 2" xfId="24862"/>
    <cellStyle name="표준 9 6 12" xfId="24863"/>
    <cellStyle name="표준 9 6 13" xfId="24864"/>
    <cellStyle name="표준 9 6 2 10" xfId="24865"/>
    <cellStyle name="표준 9 6 2 2 2 2 2 2 2" xfId="24866"/>
    <cellStyle name="표준 9 6 2 2 2 2 2 3" xfId="24867"/>
    <cellStyle name="표준 9 6 2 2 2 2 2 3 2" xfId="24868"/>
    <cellStyle name="표준 9 6 2 2 2 2 2 4" xfId="24869"/>
    <cellStyle name="표준 9 6 2 2 2 2 2 5" xfId="24870"/>
    <cellStyle name="표준 9 6 2 2 2 2 3 2 2" xfId="24871"/>
    <cellStyle name="표준 9 6 2 2 2 2 3 3" xfId="24872"/>
    <cellStyle name="표준 9 6 2 2 2 2 3 3 2" xfId="24873"/>
    <cellStyle name="표준 9 6 2 2 2 2 3 4" xfId="24874"/>
    <cellStyle name="표준 9 6 2 2 2 2 3 5" xfId="24875"/>
    <cellStyle name="표준 9 6 2 2 2 2 4 2" xfId="24876"/>
    <cellStyle name="표준 9 6 2 2 2 2 5" xfId="24877"/>
    <cellStyle name="표준 9 6 2 2 2 2 5 2" xfId="24878"/>
    <cellStyle name="표준 9 6 2 2 2 2 6" xfId="24879"/>
    <cellStyle name="표준 9 6 2 2 2 2 7" xfId="24880"/>
    <cellStyle name="표준 9 6 2 2 2 3 2 2" xfId="24881"/>
    <cellStyle name="표준 9 6 2 2 2 3 3" xfId="24882"/>
    <cellStyle name="표준 9 6 2 2 2 3 3 2" xfId="24883"/>
    <cellStyle name="표준 9 6 2 2 2 3 4" xfId="24884"/>
    <cellStyle name="표준 9 6 2 2 2 3 5" xfId="24885"/>
    <cellStyle name="표준 9 6 2 2 2 4 2 2" xfId="24886"/>
    <cellStyle name="표준 9 6 2 2 2 4 3" xfId="24887"/>
    <cellStyle name="표준 9 6 2 2 2 4 3 2" xfId="24888"/>
    <cellStyle name="표준 9 6 2 2 2 4 4" xfId="24889"/>
    <cellStyle name="표준 9 6 2 2 2 4 5" xfId="24890"/>
    <cellStyle name="표준 9 6 2 2 2 5 2" xfId="24891"/>
    <cellStyle name="표준 9 6 2 2 2 6" xfId="24892"/>
    <cellStyle name="표준 9 6 2 2 2 6 2" xfId="24893"/>
    <cellStyle name="표준 9 6 2 2 2 7" xfId="24894"/>
    <cellStyle name="표준 9 6 2 2 2 8" xfId="24895"/>
    <cellStyle name="표준 9 6 2 2 3 2 2 2" xfId="24896"/>
    <cellStyle name="표준 9 6 2 2 3 2 3" xfId="24897"/>
    <cellStyle name="표준 9 6 2 2 3 2 3 2" xfId="24898"/>
    <cellStyle name="표준 9 6 2 2 3 2 4" xfId="24899"/>
    <cellStyle name="표준 9 6 2 2 3 2 5" xfId="24900"/>
    <cellStyle name="표준 9 6 2 2 3 3 2 2" xfId="24901"/>
    <cellStyle name="표준 9 6 2 2 3 3 3" xfId="24902"/>
    <cellStyle name="표준 9 6 2 2 3 3 3 2" xfId="24903"/>
    <cellStyle name="표준 9 6 2 2 3 3 4" xfId="24904"/>
    <cellStyle name="표준 9 6 2 2 3 3 5" xfId="24905"/>
    <cellStyle name="표준 9 6 2 2 3 4 2" xfId="24906"/>
    <cellStyle name="표준 9 6 2 2 3 5" xfId="24907"/>
    <cellStyle name="표준 9 6 2 2 3 5 2" xfId="24908"/>
    <cellStyle name="표준 9 6 2 2 3 6" xfId="24909"/>
    <cellStyle name="표준 9 6 2 2 3 7" xfId="24910"/>
    <cellStyle name="표준 9 6 2 2 4 2 2" xfId="24911"/>
    <cellStyle name="표준 9 6 2 2 4 3" xfId="24912"/>
    <cellStyle name="표준 9 6 2 2 4 3 2" xfId="24913"/>
    <cellStyle name="표준 9 6 2 2 4 4" xfId="24914"/>
    <cellStyle name="표준 9 6 2 2 4 5" xfId="24915"/>
    <cellStyle name="표준 9 6 2 2 5 2 2" xfId="24916"/>
    <cellStyle name="표준 9 6 2 2 5 3" xfId="24917"/>
    <cellStyle name="표준 9 6 2 2 5 3 2" xfId="24918"/>
    <cellStyle name="표준 9 6 2 2 5 4" xfId="24919"/>
    <cellStyle name="표준 9 6 2 2 5 5" xfId="24920"/>
    <cellStyle name="표준 9 6 2 2 6 2" xfId="24921"/>
    <cellStyle name="표준 9 6 2 2 7" xfId="24922"/>
    <cellStyle name="표준 9 6 2 2 7 2" xfId="24923"/>
    <cellStyle name="표준 9 6 2 2 8" xfId="24924"/>
    <cellStyle name="표준 9 6 2 2 9" xfId="24925"/>
    <cellStyle name="표준 9 6 2 3 2 2 2 2" xfId="24926"/>
    <cellStyle name="표준 9 6 2 3 2 2 3" xfId="24927"/>
    <cellStyle name="표준 9 6 2 3 2 2 3 2" xfId="24928"/>
    <cellStyle name="표준 9 6 2 3 2 2 4" xfId="24929"/>
    <cellStyle name="표준 9 6 2 3 2 2 5" xfId="24930"/>
    <cellStyle name="표준 9 6 2 3 2 3 2 2" xfId="24931"/>
    <cellStyle name="표준 9 6 2 3 2 3 3" xfId="24932"/>
    <cellStyle name="표준 9 6 2 3 2 3 3 2" xfId="24933"/>
    <cellStyle name="표준 9 6 2 3 2 3 4" xfId="24934"/>
    <cellStyle name="표준 9 6 2 3 2 3 5" xfId="24935"/>
    <cellStyle name="표준 9 6 2 3 2 4 2" xfId="24936"/>
    <cellStyle name="표준 9 6 2 3 2 5" xfId="24937"/>
    <cellStyle name="표준 9 6 2 3 2 5 2" xfId="24938"/>
    <cellStyle name="표준 9 6 2 3 2 6" xfId="24939"/>
    <cellStyle name="표준 9 6 2 3 2 7" xfId="24940"/>
    <cellStyle name="표준 9 6 2 3 3 2 2" xfId="24941"/>
    <cellStyle name="표준 9 6 2 3 3 3" xfId="24942"/>
    <cellStyle name="표준 9 6 2 3 3 3 2" xfId="24943"/>
    <cellStyle name="표준 9 6 2 3 3 4" xfId="24944"/>
    <cellStyle name="표준 9 6 2 3 3 5" xfId="24945"/>
    <cellStyle name="표준 9 6 2 3 4 2 2" xfId="24946"/>
    <cellStyle name="표준 9 6 2 3 4 3" xfId="24947"/>
    <cellStyle name="표준 9 6 2 3 4 3 2" xfId="24948"/>
    <cellStyle name="표준 9 6 2 3 4 4" xfId="24949"/>
    <cellStyle name="표준 9 6 2 3 4 5" xfId="24950"/>
    <cellStyle name="표준 9 6 2 3 5 2" xfId="24951"/>
    <cellStyle name="표준 9 6 2 3 6" xfId="24952"/>
    <cellStyle name="표준 9 6 2 3 6 2" xfId="24953"/>
    <cellStyle name="표준 9 6 2 3 7" xfId="24954"/>
    <cellStyle name="표준 9 6 2 3 8" xfId="24955"/>
    <cellStyle name="표준 9 6 2 4 2 2 2" xfId="24956"/>
    <cellStyle name="표준 9 6 2 4 2 3" xfId="24957"/>
    <cellStyle name="표준 9 6 2 4 2 3 2" xfId="24958"/>
    <cellStyle name="표준 9 6 2 4 2 4" xfId="24959"/>
    <cellStyle name="표준 9 6 2 4 2 5" xfId="24960"/>
    <cellStyle name="표준 9 6 2 4 3 2 2" xfId="24961"/>
    <cellStyle name="표준 9 6 2 4 3 3" xfId="24962"/>
    <cellStyle name="표준 9 6 2 4 3 3 2" xfId="24963"/>
    <cellStyle name="표준 9 6 2 4 3 4" xfId="24964"/>
    <cellStyle name="표준 9 6 2 4 3 5" xfId="24965"/>
    <cellStyle name="표준 9 6 2 4 4 2" xfId="24966"/>
    <cellStyle name="표준 9 6 2 4 5" xfId="24967"/>
    <cellStyle name="표준 9 6 2 4 5 2" xfId="24968"/>
    <cellStyle name="표준 9 6 2 4 6" xfId="24969"/>
    <cellStyle name="표준 9 6 2 4 7" xfId="24970"/>
    <cellStyle name="표준 9 6 2 5 2 2" xfId="24971"/>
    <cellStyle name="표준 9 6 2 5 3" xfId="24972"/>
    <cellStyle name="표준 9 6 2 5 3 2" xfId="24973"/>
    <cellStyle name="표준 9 6 2 5 4" xfId="24974"/>
    <cellStyle name="표준 9 6 2 5 5" xfId="24975"/>
    <cellStyle name="표준 9 6 2 6 2 2" xfId="24976"/>
    <cellStyle name="표준 9 6 2 6 3" xfId="24977"/>
    <cellStyle name="표준 9 6 2 6 3 2" xfId="24978"/>
    <cellStyle name="표준 9 6 2 6 4" xfId="24979"/>
    <cellStyle name="표준 9 6 2 6 5" xfId="24980"/>
    <cellStyle name="표준 9 6 2 7 2" xfId="24981"/>
    <cellStyle name="표준 9 6 2 8" xfId="24982"/>
    <cellStyle name="표준 9 6 2 8 2" xfId="24983"/>
    <cellStyle name="표준 9 6 2 9" xfId="24984"/>
    <cellStyle name="표준 9 6 3 10" xfId="24985"/>
    <cellStyle name="표준 9 6 3 2 2 2 2 2 2" xfId="24986"/>
    <cellStyle name="표준 9 6 3 2 2 2 2 3" xfId="24987"/>
    <cellStyle name="표준 9 6 3 2 2 2 2 3 2" xfId="24988"/>
    <cellStyle name="표준 9 6 3 2 2 2 2 4" xfId="24989"/>
    <cellStyle name="표준 9 6 3 2 2 2 2 5" xfId="24990"/>
    <cellStyle name="표준 9 6 3 2 2 2 3 2 2" xfId="24991"/>
    <cellStyle name="표준 9 6 3 2 2 2 3 3" xfId="24992"/>
    <cellStyle name="표준 9 6 3 2 2 2 3 3 2" xfId="24993"/>
    <cellStyle name="표준 9 6 3 2 2 2 3 4" xfId="24994"/>
    <cellStyle name="표준 9 6 3 2 2 2 3 5" xfId="24995"/>
    <cellStyle name="표준 9 6 3 2 2 2 4 2" xfId="24996"/>
    <cellStyle name="표준 9 6 3 2 2 2 5" xfId="24997"/>
    <cellStyle name="표준 9 6 3 2 2 2 5 2" xfId="24998"/>
    <cellStyle name="표준 9 6 3 2 2 2 6" xfId="24999"/>
    <cellStyle name="표준 9 6 3 2 2 2 7" xfId="25000"/>
    <cellStyle name="표준 9 6 3 2 2 3 2 2" xfId="25001"/>
    <cellStyle name="표준 9 6 3 2 2 3 3" xfId="25002"/>
    <cellStyle name="표준 9 6 3 2 2 3 3 2" xfId="25003"/>
    <cellStyle name="표준 9 6 3 2 2 3 4" xfId="25004"/>
    <cellStyle name="표준 9 6 3 2 2 3 5" xfId="25005"/>
    <cellStyle name="표준 9 6 3 2 2 4 2 2" xfId="25006"/>
    <cellStyle name="표준 9 6 3 2 2 4 3" xfId="25007"/>
    <cellStyle name="표준 9 6 3 2 2 4 3 2" xfId="25008"/>
    <cellStyle name="표준 9 6 3 2 2 4 4" xfId="25009"/>
    <cellStyle name="표준 9 6 3 2 2 4 5" xfId="25010"/>
    <cellStyle name="표준 9 6 3 2 2 5 2" xfId="25011"/>
    <cellStyle name="표준 9 6 3 2 2 6" xfId="25012"/>
    <cellStyle name="표준 9 6 3 2 2 6 2" xfId="25013"/>
    <cellStyle name="표준 9 6 3 2 2 7" xfId="25014"/>
    <cellStyle name="표준 9 6 3 2 2 8" xfId="25015"/>
    <cellStyle name="표준 9 6 3 2 3 2 2 2" xfId="25016"/>
    <cellStyle name="표준 9 6 3 2 3 2 3" xfId="25017"/>
    <cellStyle name="표준 9 6 3 2 3 2 3 2" xfId="25018"/>
    <cellStyle name="표준 9 6 3 2 3 2 4" xfId="25019"/>
    <cellStyle name="표준 9 6 3 2 3 2 5" xfId="25020"/>
    <cellStyle name="표준 9 6 3 2 3 3 2 2" xfId="25021"/>
    <cellStyle name="표준 9 6 3 2 3 3 3" xfId="25022"/>
    <cellStyle name="표준 9 6 3 2 3 3 3 2" xfId="25023"/>
    <cellStyle name="표준 9 6 3 2 3 3 4" xfId="25024"/>
    <cellStyle name="표준 9 6 3 2 3 3 5" xfId="25025"/>
    <cellStyle name="표준 9 6 3 2 3 4 2" xfId="25026"/>
    <cellStyle name="표준 9 6 3 2 3 5" xfId="25027"/>
    <cellStyle name="표준 9 6 3 2 3 5 2" xfId="25028"/>
    <cellStyle name="표준 9 6 3 2 3 6" xfId="25029"/>
    <cellStyle name="표준 9 6 3 2 3 7" xfId="25030"/>
    <cellStyle name="표준 9 6 3 2 4 2 2" xfId="25031"/>
    <cellStyle name="표준 9 6 3 2 4 3" xfId="25032"/>
    <cellStyle name="표준 9 6 3 2 4 3 2" xfId="25033"/>
    <cellStyle name="표준 9 6 3 2 4 4" xfId="25034"/>
    <cellStyle name="표준 9 6 3 2 4 5" xfId="25035"/>
    <cellStyle name="표준 9 6 3 2 5 2 2" xfId="25036"/>
    <cellStyle name="표준 9 6 3 2 5 3" xfId="25037"/>
    <cellStyle name="표준 9 6 3 2 5 3 2" xfId="25038"/>
    <cellStyle name="표준 9 6 3 2 5 4" xfId="25039"/>
    <cellStyle name="표준 9 6 3 2 5 5" xfId="25040"/>
    <cellStyle name="표준 9 6 3 2 6 2" xfId="25041"/>
    <cellStyle name="표준 9 6 3 2 7" xfId="25042"/>
    <cellStyle name="표준 9 6 3 2 7 2" xfId="25043"/>
    <cellStyle name="표준 9 6 3 2 8" xfId="25044"/>
    <cellStyle name="표준 9 6 3 2 9" xfId="25045"/>
    <cellStyle name="표준 9 6 3 3 2 2 2 2" xfId="25046"/>
    <cellStyle name="표준 9 6 3 3 2 2 3" xfId="25047"/>
    <cellStyle name="표준 9 6 3 3 2 2 3 2" xfId="25048"/>
    <cellStyle name="표준 9 6 3 3 2 2 4" xfId="25049"/>
    <cellStyle name="표준 9 6 3 3 2 2 5" xfId="25050"/>
    <cellStyle name="표준 9 6 3 3 2 3 2 2" xfId="25051"/>
    <cellStyle name="표준 9 6 3 3 2 3 3" xfId="25052"/>
    <cellStyle name="표준 9 6 3 3 2 3 3 2" xfId="25053"/>
    <cellStyle name="표준 9 6 3 3 2 3 4" xfId="25054"/>
    <cellStyle name="표준 9 6 3 3 2 3 5" xfId="25055"/>
    <cellStyle name="표준 9 6 3 3 2 4 2" xfId="25056"/>
    <cellStyle name="표준 9 6 3 3 2 5" xfId="25057"/>
    <cellStyle name="표준 9 6 3 3 2 5 2" xfId="25058"/>
    <cellStyle name="표준 9 6 3 3 2 6" xfId="25059"/>
    <cellStyle name="표준 9 6 3 3 2 7" xfId="25060"/>
    <cellStyle name="표준 9 6 3 3 3 2 2" xfId="25061"/>
    <cellStyle name="표준 9 6 3 3 3 3" xfId="25062"/>
    <cellStyle name="표준 9 6 3 3 3 3 2" xfId="25063"/>
    <cellStyle name="표준 9 6 3 3 3 4" xfId="25064"/>
    <cellStyle name="표준 9 6 3 3 3 5" xfId="25065"/>
    <cellStyle name="표준 9 6 3 3 4 2 2" xfId="25066"/>
    <cellStyle name="표준 9 6 3 3 4 3" xfId="25067"/>
    <cellStyle name="표준 9 6 3 3 4 3 2" xfId="25068"/>
    <cellStyle name="표준 9 6 3 3 4 4" xfId="25069"/>
    <cellStyle name="표준 9 6 3 3 4 5" xfId="25070"/>
    <cellStyle name="표준 9 6 3 3 5 2" xfId="25071"/>
    <cellStyle name="표준 9 6 3 3 6" xfId="25072"/>
    <cellStyle name="표준 9 6 3 3 6 2" xfId="25073"/>
    <cellStyle name="표준 9 6 3 3 7" xfId="25074"/>
    <cellStyle name="표준 9 6 3 3 8" xfId="25075"/>
    <cellStyle name="표준 9 6 3 4 2 2 2" xfId="25076"/>
    <cellStyle name="표준 9 6 3 4 2 3" xfId="25077"/>
    <cellStyle name="표준 9 6 3 4 2 3 2" xfId="25078"/>
    <cellStyle name="표준 9 6 3 4 2 4" xfId="25079"/>
    <cellStyle name="표준 9 6 3 4 2 5" xfId="25080"/>
    <cellStyle name="표준 9 6 3 4 3 2 2" xfId="25081"/>
    <cellStyle name="표준 9 6 3 4 3 3" xfId="25082"/>
    <cellStyle name="표준 9 6 3 4 3 3 2" xfId="25083"/>
    <cellStyle name="표준 9 6 3 4 3 4" xfId="25084"/>
    <cellStyle name="표준 9 6 3 4 3 5" xfId="25085"/>
    <cellStyle name="표준 9 6 3 4 4 2" xfId="25086"/>
    <cellStyle name="표준 9 6 3 4 5" xfId="25087"/>
    <cellStyle name="표준 9 6 3 4 5 2" xfId="25088"/>
    <cellStyle name="표준 9 6 3 4 6" xfId="25089"/>
    <cellStyle name="표준 9 6 3 4 7" xfId="25090"/>
    <cellStyle name="표준 9 6 3 5 2 2" xfId="25091"/>
    <cellStyle name="표준 9 6 3 5 3" xfId="25092"/>
    <cellStyle name="표준 9 6 3 5 3 2" xfId="25093"/>
    <cellStyle name="표준 9 6 3 5 4" xfId="25094"/>
    <cellStyle name="표준 9 6 3 5 5" xfId="25095"/>
    <cellStyle name="표준 9 6 3 6 2 2" xfId="25096"/>
    <cellStyle name="표준 9 6 3 6 3" xfId="25097"/>
    <cellStyle name="표준 9 6 3 6 3 2" xfId="25098"/>
    <cellStyle name="표준 9 6 3 6 4" xfId="25099"/>
    <cellStyle name="표준 9 6 3 6 5" xfId="25100"/>
    <cellStyle name="표준 9 6 3 7 2" xfId="25101"/>
    <cellStyle name="표준 9 6 3 8" xfId="25102"/>
    <cellStyle name="표준 9 6 3 8 2" xfId="25103"/>
    <cellStyle name="표준 9 6 3 9" xfId="25104"/>
    <cellStyle name="표준 9 6 4 10" xfId="25105"/>
    <cellStyle name="표준 9 6 4 2 2 2 2 2 2" xfId="25106"/>
    <cellStyle name="표준 9 6 4 2 2 2 2 3" xfId="25107"/>
    <cellStyle name="표준 9 6 4 2 2 2 2 3 2" xfId="25108"/>
    <cellStyle name="표준 9 6 4 2 2 2 2 4" xfId="25109"/>
    <cellStyle name="표준 9 6 4 2 2 2 2 5" xfId="25110"/>
    <cellStyle name="표준 9 6 4 2 2 2 3 2 2" xfId="25111"/>
    <cellStyle name="표준 9 6 4 2 2 2 3 3" xfId="25112"/>
    <cellStyle name="표준 9 6 4 2 2 2 3 3 2" xfId="25113"/>
    <cellStyle name="표준 9 6 4 2 2 2 3 4" xfId="25114"/>
    <cellStyle name="표준 9 6 4 2 2 2 3 5" xfId="25115"/>
    <cellStyle name="표준 9 6 4 2 2 2 4 2" xfId="25116"/>
    <cellStyle name="표준 9 6 4 2 2 2 5" xfId="25117"/>
    <cellStyle name="표준 9 6 4 2 2 2 5 2" xfId="25118"/>
    <cellStyle name="표준 9 6 4 2 2 2 6" xfId="25119"/>
    <cellStyle name="표준 9 6 4 2 2 2 7" xfId="25120"/>
    <cellStyle name="표준 9 6 4 2 2 3 2 2" xfId="25121"/>
    <cellStyle name="표준 9 6 4 2 2 3 3" xfId="25122"/>
    <cellStyle name="표준 9 6 4 2 2 3 3 2" xfId="25123"/>
    <cellStyle name="표준 9 6 4 2 2 3 4" xfId="25124"/>
    <cellStyle name="표준 9 6 4 2 2 3 5" xfId="25125"/>
    <cellStyle name="표준 9 6 4 2 2 4 2 2" xfId="25126"/>
    <cellStyle name="표준 9 6 4 2 2 4 3" xfId="25127"/>
    <cellStyle name="표준 9 6 4 2 2 4 3 2" xfId="25128"/>
    <cellStyle name="표준 9 6 4 2 2 4 4" xfId="25129"/>
    <cellStyle name="표준 9 6 4 2 2 4 5" xfId="25130"/>
    <cellStyle name="표준 9 6 4 2 2 5 2" xfId="25131"/>
    <cellStyle name="표준 9 6 4 2 2 6" xfId="25132"/>
    <cellStyle name="표준 9 6 4 2 2 6 2" xfId="25133"/>
    <cellStyle name="표준 9 6 4 2 2 7" xfId="25134"/>
    <cellStyle name="표준 9 6 4 2 2 8" xfId="25135"/>
    <cellStyle name="표준 9 6 4 2 3 2 2 2" xfId="25136"/>
    <cellStyle name="표준 9 6 4 2 3 2 3" xfId="25137"/>
    <cellStyle name="표준 9 6 4 2 3 2 3 2" xfId="25138"/>
    <cellStyle name="표준 9 6 4 2 3 2 4" xfId="25139"/>
    <cellStyle name="표준 9 6 4 2 3 2 5" xfId="25140"/>
    <cellStyle name="표준 9 6 4 2 3 3 2 2" xfId="25141"/>
    <cellStyle name="표준 9 6 4 2 3 3 3" xfId="25142"/>
    <cellStyle name="표준 9 6 4 2 3 3 3 2" xfId="25143"/>
    <cellStyle name="표준 9 6 4 2 3 3 4" xfId="25144"/>
    <cellStyle name="표준 9 6 4 2 3 3 5" xfId="25145"/>
    <cellStyle name="표준 9 6 4 2 3 4 2" xfId="25146"/>
    <cellStyle name="표준 9 6 4 2 3 5" xfId="25147"/>
    <cellStyle name="표준 9 6 4 2 3 5 2" xfId="25148"/>
    <cellStyle name="표준 9 6 4 2 3 6" xfId="25149"/>
    <cellStyle name="표준 9 6 4 2 3 7" xfId="25150"/>
    <cellStyle name="표준 9 6 4 2 4 2 2" xfId="25151"/>
    <cellStyle name="표준 9 6 4 2 4 3" xfId="25152"/>
    <cellStyle name="표준 9 6 4 2 4 3 2" xfId="25153"/>
    <cellStyle name="표준 9 6 4 2 4 4" xfId="25154"/>
    <cellStyle name="표준 9 6 4 2 4 5" xfId="25155"/>
    <cellStyle name="표준 9 6 4 2 5 2 2" xfId="25156"/>
    <cellStyle name="표준 9 6 4 2 5 3" xfId="25157"/>
    <cellStyle name="표준 9 6 4 2 5 3 2" xfId="25158"/>
    <cellStyle name="표준 9 6 4 2 5 4" xfId="25159"/>
    <cellStyle name="표준 9 6 4 2 5 5" xfId="25160"/>
    <cellStyle name="표준 9 6 4 2 6 2" xfId="25161"/>
    <cellStyle name="표준 9 6 4 2 7" xfId="25162"/>
    <cellStyle name="표준 9 6 4 2 7 2" xfId="25163"/>
    <cellStyle name="표준 9 6 4 2 8" xfId="25164"/>
    <cellStyle name="표준 9 6 4 2 9" xfId="25165"/>
    <cellStyle name="표준 9 6 4 3 2 2 2 2" xfId="25166"/>
    <cellStyle name="표준 9 6 4 3 2 2 3" xfId="25167"/>
    <cellStyle name="표준 9 6 4 3 2 2 3 2" xfId="25168"/>
    <cellStyle name="표준 9 6 4 3 2 2 4" xfId="25169"/>
    <cellStyle name="표준 9 6 4 3 2 2 5" xfId="25170"/>
    <cellStyle name="표준 9 6 4 3 2 3 2 2" xfId="25171"/>
    <cellStyle name="표준 9 6 4 3 2 3 3" xfId="25172"/>
    <cellStyle name="표준 9 6 4 3 2 3 3 2" xfId="25173"/>
    <cellStyle name="표준 9 6 4 3 2 3 4" xfId="25174"/>
    <cellStyle name="표준 9 6 4 3 2 3 5" xfId="25175"/>
    <cellStyle name="표준 9 6 4 3 2 4 2" xfId="25176"/>
    <cellStyle name="표준 9 6 4 3 2 5" xfId="25177"/>
    <cellStyle name="표준 9 6 4 3 2 5 2" xfId="25178"/>
    <cellStyle name="표준 9 6 4 3 2 6" xfId="25179"/>
    <cellStyle name="표준 9 6 4 3 2 7" xfId="25180"/>
    <cellStyle name="표준 9 6 4 3 3 2 2" xfId="25181"/>
    <cellStyle name="표준 9 6 4 3 3 3" xfId="25182"/>
    <cellStyle name="표준 9 6 4 3 3 3 2" xfId="25183"/>
    <cellStyle name="표준 9 6 4 3 3 4" xfId="25184"/>
    <cellStyle name="표준 9 6 4 3 3 5" xfId="25185"/>
    <cellStyle name="표준 9 6 4 3 4 2 2" xfId="25186"/>
    <cellStyle name="표준 9 6 4 3 4 3" xfId="25187"/>
    <cellStyle name="표준 9 6 4 3 4 3 2" xfId="25188"/>
    <cellStyle name="표준 9 6 4 3 4 4" xfId="25189"/>
    <cellStyle name="표준 9 6 4 3 4 5" xfId="25190"/>
    <cellStyle name="표준 9 6 4 3 5 2" xfId="25191"/>
    <cellStyle name="표준 9 6 4 3 6" xfId="25192"/>
    <cellStyle name="표준 9 6 4 3 6 2" xfId="25193"/>
    <cellStyle name="표준 9 6 4 3 7" xfId="25194"/>
    <cellStyle name="표준 9 6 4 3 8" xfId="25195"/>
    <cellStyle name="표준 9 6 4 4 2 2 2" xfId="25196"/>
    <cellStyle name="표준 9 6 4 4 2 3" xfId="25197"/>
    <cellStyle name="표준 9 6 4 4 2 3 2" xfId="25198"/>
    <cellStyle name="표준 9 6 4 4 2 4" xfId="25199"/>
    <cellStyle name="표준 9 6 4 4 2 5" xfId="25200"/>
    <cellStyle name="표준 9 6 4 4 3 2 2" xfId="25201"/>
    <cellStyle name="표준 9 6 4 4 3 3" xfId="25202"/>
    <cellStyle name="표준 9 6 4 4 3 3 2" xfId="25203"/>
    <cellStyle name="표준 9 6 4 4 3 4" xfId="25204"/>
    <cellStyle name="표준 9 6 4 4 3 5" xfId="25205"/>
    <cellStyle name="표준 9 6 4 4 4 2" xfId="25206"/>
    <cellStyle name="표준 9 6 4 4 5" xfId="25207"/>
    <cellStyle name="표준 9 6 4 4 5 2" xfId="25208"/>
    <cellStyle name="표준 9 6 4 4 6" xfId="25209"/>
    <cellStyle name="표준 9 6 4 4 7" xfId="25210"/>
    <cellStyle name="표준 9 6 4 5 2 2" xfId="25211"/>
    <cellStyle name="표준 9 6 4 5 3" xfId="25212"/>
    <cellStyle name="표준 9 6 4 5 3 2" xfId="25213"/>
    <cellStyle name="표준 9 6 4 5 4" xfId="25214"/>
    <cellStyle name="표준 9 6 4 5 5" xfId="25215"/>
    <cellStyle name="표준 9 6 4 6 2 2" xfId="25216"/>
    <cellStyle name="표준 9 6 4 6 3" xfId="25217"/>
    <cellStyle name="표준 9 6 4 6 3 2" xfId="25218"/>
    <cellStyle name="표준 9 6 4 6 4" xfId="25219"/>
    <cellStyle name="표준 9 6 4 6 5" xfId="25220"/>
    <cellStyle name="표준 9 6 4 7 2" xfId="25221"/>
    <cellStyle name="표준 9 6 4 8" xfId="25222"/>
    <cellStyle name="표준 9 6 4 8 2" xfId="25223"/>
    <cellStyle name="표준 9 6 4 9" xfId="25224"/>
    <cellStyle name="표준 9 6 5 2 2 2 2 2" xfId="25225"/>
    <cellStyle name="표준 9 6 5 2 2 2 3" xfId="25226"/>
    <cellStyle name="표준 9 6 5 2 2 2 3 2" xfId="25227"/>
    <cellStyle name="표준 9 6 5 2 2 2 4" xfId="25228"/>
    <cellStyle name="표준 9 6 5 2 2 2 5" xfId="25229"/>
    <cellStyle name="표준 9 6 5 2 2 3 2 2" xfId="25230"/>
    <cellStyle name="표준 9 6 5 2 2 3 3" xfId="25231"/>
    <cellStyle name="표준 9 6 5 2 2 3 3 2" xfId="25232"/>
    <cellStyle name="표준 9 6 5 2 2 3 4" xfId="25233"/>
    <cellStyle name="표준 9 6 5 2 2 3 5" xfId="25234"/>
    <cellStyle name="표준 9 6 5 2 2 4 2" xfId="25235"/>
    <cellStyle name="표준 9 6 5 2 2 5" xfId="25236"/>
    <cellStyle name="표준 9 6 5 2 2 5 2" xfId="25237"/>
    <cellStyle name="표준 9 6 5 2 2 6" xfId="25238"/>
    <cellStyle name="표준 9 6 5 2 2 7" xfId="25239"/>
    <cellStyle name="표준 9 6 5 2 3 2 2" xfId="25240"/>
    <cellStyle name="표준 9 6 5 2 3 3" xfId="25241"/>
    <cellStyle name="표준 9 6 5 2 3 3 2" xfId="25242"/>
    <cellStyle name="표준 9 6 5 2 3 4" xfId="25243"/>
    <cellStyle name="표준 9 6 5 2 3 5" xfId="25244"/>
    <cellStyle name="표준 9 6 5 2 4 2 2" xfId="25245"/>
    <cellStyle name="표준 9 6 5 2 4 3" xfId="25246"/>
    <cellStyle name="표준 9 6 5 2 4 3 2" xfId="25247"/>
    <cellStyle name="표준 9 6 5 2 4 4" xfId="25248"/>
    <cellStyle name="표준 9 6 5 2 4 5" xfId="25249"/>
    <cellStyle name="표준 9 6 5 2 5 2" xfId="25250"/>
    <cellStyle name="표준 9 6 5 2 6" xfId="25251"/>
    <cellStyle name="표준 9 6 5 2 6 2" xfId="25252"/>
    <cellStyle name="표준 9 6 5 2 7" xfId="25253"/>
    <cellStyle name="표준 9 6 5 2 8" xfId="25254"/>
    <cellStyle name="표준 9 6 5 3 2 2 2" xfId="25255"/>
    <cellStyle name="표준 9 6 5 3 2 3" xfId="25256"/>
    <cellStyle name="표준 9 6 5 3 2 3 2" xfId="25257"/>
    <cellStyle name="표준 9 6 5 3 2 4" xfId="25258"/>
    <cellStyle name="표준 9 6 5 3 2 5" xfId="25259"/>
    <cellStyle name="표준 9 6 5 3 3 2 2" xfId="25260"/>
    <cellStyle name="표준 9 6 5 3 3 3" xfId="25261"/>
    <cellStyle name="표준 9 6 5 3 3 3 2" xfId="25262"/>
    <cellStyle name="표준 9 6 5 3 3 4" xfId="25263"/>
    <cellStyle name="표준 9 6 5 3 3 5" xfId="25264"/>
    <cellStyle name="표준 9 6 5 3 4 2" xfId="25265"/>
    <cellStyle name="표준 9 6 5 3 5" xfId="25266"/>
    <cellStyle name="표준 9 6 5 3 5 2" xfId="25267"/>
    <cellStyle name="표준 9 6 5 3 6" xfId="25268"/>
    <cellStyle name="표준 9 6 5 3 7" xfId="25269"/>
    <cellStyle name="표준 9 6 5 4 2 2" xfId="25270"/>
    <cellStyle name="표준 9 6 5 4 3" xfId="25271"/>
    <cellStyle name="표준 9 6 5 4 3 2" xfId="25272"/>
    <cellStyle name="표준 9 6 5 4 4" xfId="25273"/>
    <cellStyle name="표준 9 6 5 4 5" xfId="25274"/>
    <cellStyle name="표준 9 6 5 5 2 2" xfId="25275"/>
    <cellStyle name="표준 9 6 5 5 3" xfId="25276"/>
    <cellStyle name="표준 9 6 5 5 3 2" xfId="25277"/>
    <cellStyle name="표준 9 6 5 5 4" xfId="25278"/>
    <cellStyle name="표준 9 6 5 5 5" xfId="25279"/>
    <cellStyle name="표준 9 6 5 6 2" xfId="25280"/>
    <cellStyle name="표준 9 6 5 7" xfId="25281"/>
    <cellStyle name="표준 9 6 5 7 2" xfId="25282"/>
    <cellStyle name="표준 9 6 5 8" xfId="25283"/>
    <cellStyle name="표준 9 6 5 9" xfId="25284"/>
    <cellStyle name="표준 9 6 6 2 2 2 2" xfId="25285"/>
    <cellStyle name="표준 9 6 6 2 2 3" xfId="25286"/>
    <cellStyle name="표준 9 6 6 2 2 3 2" xfId="25287"/>
    <cellStyle name="표준 9 6 6 2 2 4" xfId="25288"/>
    <cellStyle name="표준 9 6 6 2 2 5" xfId="25289"/>
    <cellStyle name="표준 9 6 6 2 3 2 2" xfId="25290"/>
    <cellStyle name="표준 9 6 6 2 3 3" xfId="25291"/>
    <cellStyle name="표준 9 6 6 2 3 3 2" xfId="25292"/>
    <cellStyle name="표준 9 6 6 2 3 4" xfId="25293"/>
    <cellStyle name="표준 9 6 6 2 3 5" xfId="25294"/>
    <cellStyle name="표준 9 6 6 2 4 2" xfId="25295"/>
    <cellStyle name="표준 9 6 6 2 5" xfId="25296"/>
    <cellStyle name="표준 9 6 6 2 5 2" xfId="25297"/>
    <cellStyle name="표준 9 6 6 2 6" xfId="25298"/>
    <cellStyle name="표준 9 6 6 2 7" xfId="25299"/>
    <cellStyle name="표준 9 6 6 3 2 2" xfId="25300"/>
    <cellStyle name="표준 9 6 6 3 3" xfId="25301"/>
    <cellStyle name="표준 9 6 6 3 3 2" xfId="25302"/>
    <cellStyle name="표준 9 6 6 3 4" xfId="25303"/>
    <cellStyle name="표준 9 6 6 3 5" xfId="25304"/>
    <cellStyle name="표준 9 6 6 4 2 2" xfId="25305"/>
    <cellStyle name="표준 9 6 6 4 3" xfId="25306"/>
    <cellStyle name="표준 9 6 6 4 3 2" xfId="25307"/>
    <cellStyle name="표준 9 6 6 4 4" xfId="25308"/>
    <cellStyle name="표준 9 6 6 4 5" xfId="25309"/>
    <cellStyle name="표준 9 6 6 5 2" xfId="25310"/>
    <cellStyle name="표준 9 6 6 6" xfId="25311"/>
    <cellStyle name="표준 9 6 6 6 2" xfId="25312"/>
    <cellStyle name="표준 9 6 6 7" xfId="25313"/>
    <cellStyle name="표준 9 6 6 8" xfId="25314"/>
    <cellStyle name="표준 9 6 7 2 2 2" xfId="25315"/>
    <cellStyle name="표준 9 6 7 2 3" xfId="25316"/>
    <cellStyle name="표준 9 6 7 2 3 2" xfId="25317"/>
    <cellStyle name="표준 9 6 7 2 4" xfId="25318"/>
    <cellStyle name="표준 9 6 7 2 5" xfId="25319"/>
    <cellStyle name="표준 9 6 7 3 2 2" xfId="25320"/>
    <cellStyle name="표준 9 6 7 3 3" xfId="25321"/>
    <cellStyle name="표준 9 6 7 3 3 2" xfId="25322"/>
    <cellStyle name="표준 9 6 7 3 4" xfId="25323"/>
    <cellStyle name="표준 9 6 7 3 5" xfId="25324"/>
    <cellStyle name="표준 9 6 7 4 2" xfId="25325"/>
    <cellStyle name="표준 9 6 7 5" xfId="25326"/>
    <cellStyle name="표준 9 6 7 5 2" xfId="25327"/>
    <cellStyle name="표준 9 6 7 6" xfId="25328"/>
    <cellStyle name="표준 9 6 7 7" xfId="25329"/>
    <cellStyle name="표준 9 6 8 2 2" xfId="25330"/>
    <cellStyle name="표준 9 6 8 3" xfId="25331"/>
    <cellStyle name="표준 9 6 8 3 2" xfId="25332"/>
    <cellStyle name="표준 9 6 8 4" xfId="25333"/>
    <cellStyle name="표준 9 6 8 5" xfId="25334"/>
    <cellStyle name="표준 9 6 9 2 2" xfId="25335"/>
    <cellStyle name="표준 9 6 9 3" xfId="25336"/>
    <cellStyle name="표준 9 6 9 3 2" xfId="25337"/>
    <cellStyle name="표준 9 6 9 4" xfId="25338"/>
    <cellStyle name="표준 9 6 9 5" xfId="25339"/>
    <cellStyle name="표준 9 7 10 2" xfId="25340"/>
    <cellStyle name="표준 9 7 11" xfId="25341"/>
    <cellStyle name="표준 9 7 11 2" xfId="25342"/>
    <cellStyle name="표준 9 7 12" xfId="25343"/>
    <cellStyle name="표준 9 7 13" xfId="25344"/>
    <cellStyle name="표준 9 7 2 10" xfId="25345"/>
    <cellStyle name="표준 9 7 2 2 2 2 2 2 2" xfId="25346"/>
    <cellStyle name="표준 9 7 2 2 2 2 2 3" xfId="25347"/>
    <cellStyle name="표준 9 7 2 2 2 2 2 3 2" xfId="25348"/>
    <cellStyle name="표준 9 7 2 2 2 2 2 4" xfId="25349"/>
    <cellStyle name="표준 9 7 2 2 2 2 2 5" xfId="25350"/>
    <cellStyle name="표준 9 7 2 2 2 2 3 2 2" xfId="25351"/>
    <cellStyle name="표준 9 7 2 2 2 2 3 3" xfId="25352"/>
    <cellStyle name="표준 9 7 2 2 2 2 3 3 2" xfId="25353"/>
    <cellStyle name="표준 9 7 2 2 2 2 3 4" xfId="25354"/>
    <cellStyle name="표준 9 7 2 2 2 2 3 5" xfId="25355"/>
    <cellStyle name="표준 9 7 2 2 2 2 4 2" xfId="25356"/>
    <cellStyle name="표준 9 7 2 2 2 2 5" xfId="25357"/>
    <cellStyle name="표준 9 7 2 2 2 2 5 2" xfId="25358"/>
    <cellStyle name="표준 9 7 2 2 2 2 6" xfId="25359"/>
    <cellStyle name="표준 9 7 2 2 2 2 7" xfId="25360"/>
    <cellStyle name="표준 9 7 2 2 2 3 2 2" xfId="25361"/>
    <cellStyle name="표준 9 7 2 2 2 3 3" xfId="25362"/>
    <cellStyle name="표준 9 7 2 2 2 3 3 2" xfId="25363"/>
    <cellStyle name="표준 9 7 2 2 2 3 4" xfId="25364"/>
    <cellStyle name="표준 9 7 2 2 2 3 5" xfId="25365"/>
    <cellStyle name="표준 9 7 2 2 2 4 2 2" xfId="25366"/>
    <cellStyle name="표준 9 7 2 2 2 4 3" xfId="25367"/>
    <cellStyle name="표준 9 7 2 2 2 4 3 2" xfId="25368"/>
    <cellStyle name="표준 9 7 2 2 2 4 4" xfId="25369"/>
    <cellStyle name="표준 9 7 2 2 2 4 5" xfId="25370"/>
    <cellStyle name="표준 9 7 2 2 2 5 2" xfId="25371"/>
    <cellStyle name="표준 9 7 2 2 2 6" xfId="25372"/>
    <cellStyle name="표준 9 7 2 2 2 6 2" xfId="25373"/>
    <cellStyle name="표준 9 7 2 2 2 7" xfId="25374"/>
    <cellStyle name="표준 9 7 2 2 2 8" xfId="25375"/>
    <cellStyle name="표준 9 7 2 2 3 2 2 2" xfId="25376"/>
    <cellStyle name="표준 9 7 2 2 3 2 3" xfId="25377"/>
    <cellStyle name="표준 9 7 2 2 3 2 3 2" xfId="25378"/>
    <cellStyle name="표준 9 7 2 2 3 2 4" xfId="25379"/>
    <cellStyle name="표준 9 7 2 2 3 2 5" xfId="25380"/>
    <cellStyle name="표준 9 7 2 2 3 3 2 2" xfId="25381"/>
    <cellStyle name="표준 9 7 2 2 3 3 3" xfId="25382"/>
    <cellStyle name="표준 9 7 2 2 3 3 3 2" xfId="25383"/>
    <cellStyle name="표준 9 7 2 2 3 3 4" xfId="25384"/>
    <cellStyle name="표준 9 7 2 2 3 3 5" xfId="25385"/>
    <cellStyle name="표준 9 7 2 2 3 4 2" xfId="25386"/>
    <cellStyle name="표준 9 7 2 2 3 5" xfId="25387"/>
    <cellStyle name="표준 9 7 2 2 3 5 2" xfId="25388"/>
    <cellStyle name="표준 9 7 2 2 3 6" xfId="25389"/>
    <cellStyle name="표준 9 7 2 2 3 7" xfId="25390"/>
    <cellStyle name="표준 9 7 2 2 4 2 2" xfId="25391"/>
    <cellStyle name="표준 9 7 2 2 4 3" xfId="25392"/>
    <cellStyle name="표준 9 7 2 2 4 3 2" xfId="25393"/>
    <cellStyle name="표준 9 7 2 2 4 4" xfId="25394"/>
    <cellStyle name="표준 9 7 2 2 4 5" xfId="25395"/>
    <cellStyle name="표준 9 7 2 2 5 2 2" xfId="25396"/>
    <cellStyle name="표준 9 7 2 2 5 3" xfId="25397"/>
    <cellStyle name="표준 9 7 2 2 5 3 2" xfId="25398"/>
    <cellStyle name="표준 9 7 2 2 5 4" xfId="25399"/>
    <cellStyle name="표준 9 7 2 2 5 5" xfId="25400"/>
    <cellStyle name="표준 9 7 2 2 6 2" xfId="25401"/>
    <cellStyle name="표준 9 7 2 2 7" xfId="25402"/>
    <cellStyle name="표준 9 7 2 2 7 2" xfId="25403"/>
    <cellStyle name="표준 9 7 2 2 8" xfId="25404"/>
    <cellStyle name="표준 9 7 2 2 9" xfId="25405"/>
    <cellStyle name="표준 9 7 2 3 2 2 2 2" xfId="25406"/>
    <cellStyle name="표준 9 7 2 3 2 2 3" xfId="25407"/>
    <cellStyle name="표준 9 7 2 3 2 2 3 2" xfId="25408"/>
    <cellStyle name="표준 9 7 2 3 2 2 4" xfId="25409"/>
    <cellStyle name="표준 9 7 2 3 2 2 5" xfId="25410"/>
    <cellStyle name="표준 9 7 2 3 2 3 2 2" xfId="25411"/>
    <cellStyle name="표준 9 7 2 3 2 3 3" xfId="25412"/>
    <cellStyle name="표준 9 7 2 3 2 3 3 2" xfId="25413"/>
    <cellStyle name="표준 9 7 2 3 2 3 4" xfId="25414"/>
    <cellStyle name="표준 9 7 2 3 2 3 5" xfId="25415"/>
    <cellStyle name="표준 9 7 2 3 2 4 2" xfId="25416"/>
    <cellStyle name="표준 9 7 2 3 2 5" xfId="25417"/>
    <cellStyle name="표준 9 7 2 3 2 5 2" xfId="25418"/>
    <cellStyle name="표준 9 7 2 3 2 6" xfId="25419"/>
    <cellStyle name="표준 9 7 2 3 2 7" xfId="25420"/>
    <cellStyle name="표준 9 7 2 3 3 2 2" xfId="25421"/>
    <cellStyle name="표준 9 7 2 3 3 3" xfId="25422"/>
    <cellStyle name="표준 9 7 2 3 3 3 2" xfId="25423"/>
    <cellStyle name="표준 9 7 2 3 3 4" xfId="25424"/>
    <cellStyle name="표준 9 7 2 3 3 5" xfId="25425"/>
    <cellStyle name="표준 9 7 2 3 4 2 2" xfId="25426"/>
    <cellStyle name="표준 9 7 2 3 4 3" xfId="25427"/>
    <cellStyle name="표준 9 7 2 3 4 3 2" xfId="25428"/>
    <cellStyle name="표준 9 7 2 3 4 4" xfId="25429"/>
    <cellStyle name="표준 9 7 2 3 4 5" xfId="25430"/>
    <cellStyle name="표준 9 7 2 3 5 2" xfId="25431"/>
    <cellStyle name="표준 9 7 2 3 6" xfId="25432"/>
    <cellStyle name="표준 9 7 2 3 6 2" xfId="25433"/>
    <cellStyle name="표준 9 7 2 3 7" xfId="25434"/>
    <cellStyle name="표준 9 7 2 3 8" xfId="25435"/>
    <cellStyle name="표준 9 7 2 4 2 2 2" xfId="25436"/>
    <cellStyle name="표준 9 7 2 4 2 3" xfId="25437"/>
    <cellStyle name="표준 9 7 2 4 2 3 2" xfId="25438"/>
    <cellStyle name="표준 9 7 2 4 2 4" xfId="25439"/>
    <cellStyle name="표준 9 7 2 4 2 5" xfId="25440"/>
    <cellStyle name="표준 9 7 2 4 3 2 2" xfId="25441"/>
    <cellStyle name="표준 9 7 2 4 3 3" xfId="25442"/>
    <cellStyle name="표준 9 7 2 4 3 3 2" xfId="25443"/>
    <cellStyle name="표준 9 7 2 4 3 4" xfId="25444"/>
    <cellStyle name="표준 9 7 2 4 3 5" xfId="25445"/>
    <cellStyle name="표준 9 7 2 4 4 2" xfId="25446"/>
    <cellStyle name="표준 9 7 2 4 5" xfId="25447"/>
    <cellStyle name="표준 9 7 2 4 5 2" xfId="25448"/>
    <cellStyle name="표준 9 7 2 4 6" xfId="25449"/>
    <cellStyle name="표준 9 7 2 4 7" xfId="25450"/>
    <cellStyle name="표준 9 7 2 5 2 2" xfId="25451"/>
    <cellStyle name="표준 9 7 2 5 3" xfId="25452"/>
    <cellStyle name="표준 9 7 2 5 3 2" xfId="25453"/>
    <cellStyle name="표준 9 7 2 5 4" xfId="25454"/>
    <cellStyle name="표준 9 7 2 5 5" xfId="25455"/>
    <cellStyle name="표준 9 7 2 6 2 2" xfId="25456"/>
    <cellStyle name="표준 9 7 2 6 3" xfId="25457"/>
    <cellStyle name="표준 9 7 2 6 3 2" xfId="25458"/>
    <cellStyle name="표준 9 7 2 6 4" xfId="25459"/>
    <cellStyle name="표준 9 7 2 6 5" xfId="25460"/>
    <cellStyle name="표준 9 7 2 7 2" xfId="25461"/>
    <cellStyle name="표준 9 7 2 8" xfId="25462"/>
    <cellStyle name="표준 9 7 2 8 2" xfId="25463"/>
    <cellStyle name="표준 9 7 2 9" xfId="25464"/>
    <cellStyle name="표준 9 7 3 10" xfId="25465"/>
    <cellStyle name="표준 9 7 3 2 2 2 2 2 2" xfId="25466"/>
    <cellStyle name="표준 9 7 3 2 2 2 2 3" xfId="25467"/>
    <cellStyle name="표준 9 7 3 2 2 2 2 3 2" xfId="25468"/>
    <cellStyle name="표준 9 7 3 2 2 2 2 4" xfId="25469"/>
    <cellStyle name="표준 9 7 3 2 2 2 2 5" xfId="25470"/>
    <cellStyle name="표준 9 7 3 2 2 2 3 2 2" xfId="25471"/>
    <cellStyle name="표준 9 7 3 2 2 2 3 3" xfId="25472"/>
    <cellStyle name="표준 9 7 3 2 2 2 3 3 2" xfId="25473"/>
    <cellStyle name="표준 9 7 3 2 2 2 3 4" xfId="25474"/>
    <cellStyle name="표준 9 7 3 2 2 2 3 5" xfId="25475"/>
    <cellStyle name="표준 9 7 3 2 2 2 4 2" xfId="25476"/>
    <cellStyle name="표준 9 7 3 2 2 2 5" xfId="25477"/>
    <cellStyle name="표준 9 7 3 2 2 2 5 2" xfId="25478"/>
    <cellStyle name="표준 9 7 3 2 2 2 6" xfId="25479"/>
    <cellStyle name="표준 9 7 3 2 2 2 7" xfId="25480"/>
    <cellStyle name="표준 9 7 3 2 2 3 2 2" xfId="25481"/>
    <cellStyle name="표준 9 7 3 2 2 3 3" xfId="25482"/>
    <cellStyle name="표준 9 7 3 2 2 3 3 2" xfId="25483"/>
    <cellStyle name="표준 9 7 3 2 2 3 4" xfId="25484"/>
    <cellStyle name="표준 9 7 3 2 2 3 5" xfId="25485"/>
    <cellStyle name="표준 9 7 3 2 2 4 2 2" xfId="25486"/>
    <cellStyle name="표준 9 7 3 2 2 4 3" xfId="25487"/>
    <cellStyle name="표준 9 7 3 2 2 4 3 2" xfId="25488"/>
    <cellStyle name="표준 9 7 3 2 2 4 4" xfId="25489"/>
    <cellStyle name="표준 9 7 3 2 2 4 5" xfId="25490"/>
    <cellStyle name="표준 9 7 3 2 2 5 2" xfId="25491"/>
    <cellStyle name="표준 9 7 3 2 2 6" xfId="25492"/>
    <cellStyle name="표준 9 7 3 2 2 6 2" xfId="25493"/>
    <cellStyle name="표준 9 7 3 2 2 7" xfId="25494"/>
    <cellStyle name="표준 9 7 3 2 2 8" xfId="25495"/>
    <cellStyle name="표준 9 7 3 2 3 2 2 2" xfId="25496"/>
    <cellStyle name="표준 9 7 3 2 3 2 3" xfId="25497"/>
    <cellStyle name="표준 9 7 3 2 3 2 3 2" xfId="25498"/>
    <cellStyle name="표준 9 7 3 2 3 2 4" xfId="25499"/>
    <cellStyle name="표준 9 7 3 2 3 2 5" xfId="25500"/>
    <cellStyle name="표준 9 7 3 2 3 3 2 2" xfId="25501"/>
    <cellStyle name="표준 9 7 3 2 3 3 3" xfId="25502"/>
    <cellStyle name="표준 9 7 3 2 3 3 3 2" xfId="25503"/>
    <cellStyle name="표준 9 7 3 2 3 3 4" xfId="25504"/>
    <cellStyle name="표준 9 7 3 2 3 3 5" xfId="25505"/>
    <cellStyle name="표준 9 7 3 2 3 4 2" xfId="25506"/>
    <cellStyle name="표준 9 7 3 2 3 5" xfId="25507"/>
    <cellStyle name="표준 9 7 3 2 3 5 2" xfId="25508"/>
    <cellStyle name="표준 9 7 3 2 3 6" xfId="25509"/>
    <cellStyle name="표준 9 7 3 2 3 7" xfId="25510"/>
    <cellStyle name="표준 9 7 3 2 4 2 2" xfId="25511"/>
    <cellStyle name="표준 9 7 3 2 4 3" xfId="25512"/>
    <cellStyle name="표준 9 7 3 2 4 3 2" xfId="25513"/>
    <cellStyle name="표준 9 7 3 2 4 4" xfId="25514"/>
    <cellStyle name="표준 9 7 3 2 4 5" xfId="25515"/>
    <cellStyle name="표준 9 7 3 2 5 2 2" xfId="25516"/>
    <cellStyle name="표준 9 7 3 2 5 3" xfId="25517"/>
    <cellStyle name="표준 9 7 3 2 5 3 2" xfId="25518"/>
    <cellStyle name="표준 9 7 3 2 5 4" xfId="25519"/>
    <cellStyle name="표준 9 7 3 2 5 5" xfId="25520"/>
    <cellStyle name="표준 9 7 3 2 6 2" xfId="25521"/>
    <cellStyle name="표준 9 7 3 2 7" xfId="25522"/>
    <cellStyle name="표준 9 7 3 2 7 2" xfId="25523"/>
    <cellStyle name="표준 9 7 3 2 8" xfId="25524"/>
    <cellStyle name="표준 9 7 3 2 9" xfId="25525"/>
    <cellStyle name="표준 9 7 3 3 2 2 2 2" xfId="25526"/>
    <cellStyle name="표준 9 7 3 3 2 2 3" xfId="25527"/>
    <cellStyle name="표준 9 7 3 3 2 2 3 2" xfId="25528"/>
    <cellStyle name="표준 9 7 3 3 2 2 4" xfId="25529"/>
    <cellStyle name="표준 9 7 3 3 2 2 5" xfId="25530"/>
    <cellStyle name="표준 9 7 3 3 2 3 2 2" xfId="25531"/>
    <cellStyle name="표준 9 7 3 3 2 3 3" xfId="25532"/>
    <cellStyle name="표준 9 7 3 3 2 3 3 2" xfId="25533"/>
    <cellStyle name="표준 9 7 3 3 2 3 4" xfId="25534"/>
    <cellStyle name="표준 9 7 3 3 2 3 5" xfId="25535"/>
    <cellStyle name="표준 9 7 3 3 2 4 2" xfId="25536"/>
    <cellStyle name="표준 9 7 3 3 2 5" xfId="25537"/>
    <cellStyle name="표준 9 7 3 3 2 5 2" xfId="25538"/>
    <cellStyle name="표준 9 7 3 3 2 6" xfId="25539"/>
    <cellStyle name="표준 9 7 3 3 2 7" xfId="25540"/>
    <cellStyle name="표준 9 7 3 3 3 2 2" xfId="25541"/>
    <cellStyle name="표준 9 7 3 3 3 3" xfId="25542"/>
    <cellStyle name="표준 9 7 3 3 3 3 2" xfId="25543"/>
    <cellStyle name="표준 9 7 3 3 3 4" xfId="25544"/>
    <cellStyle name="표준 9 7 3 3 3 5" xfId="25545"/>
    <cellStyle name="표준 9 7 3 3 4 2 2" xfId="25546"/>
    <cellStyle name="표준 9 7 3 3 4 3" xfId="25547"/>
    <cellStyle name="표준 9 7 3 3 4 3 2" xfId="25548"/>
    <cellStyle name="표준 9 7 3 3 4 4" xfId="25549"/>
    <cellStyle name="표준 9 7 3 3 4 5" xfId="25550"/>
    <cellStyle name="표준 9 7 3 3 5 2" xfId="25551"/>
    <cellStyle name="표준 9 7 3 3 6" xfId="25552"/>
    <cellStyle name="표준 9 7 3 3 6 2" xfId="25553"/>
    <cellStyle name="표준 9 7 3 3 7" xfId="25554"/>
    <cellStyle name="표준 9 7 3 3 8" xfId="25555"/>
    <cellStyle name="표준 9 7 3 4 2 2 2" xfId="25556"/>
    <cellStyle name="표준 9 7 3 4 2 3" xfId="25557"/>
    <cellStyle name="표준 9 7 3 4 2 3 2" xfId="25558"/>
    <cellStyle name="표준 9 7 3 4 2 4" xfId="25559"/>
    <cellStyle name="표준 9 7 3 4 2 5" xfId="25560"/>
    <cellStyle name="표준 9 7 3 4 3 2 2" xfId="25561"/>
    <cellStyle name="표준 9 7 3 4 3 3" xfId="25562"/>
    <cellStyle name="표준 9 7 3 4 3 3 2" xfId="25563"/>
    <cellStyle name="표준 9 7 3 4 3 4" xfId="25564"/>
    <cellStyle name="표준 9 7 3 4 3 5" xfId="25565"/>
    <cellStyle name="표준 9 7 3 4 4 2" xfId="25566"/>
    <cellStyle name="표준 9 7 3 4 5" xfId="25567"/>
    <cellStyle name="표준 9 7 3 4 5 2" xfId="25568"/>
    <cellStyle name="표준 9 7 3 4 6" xfId="25569"/>
    <cellStyle name="표준 9 7 3 4 7" xfId="25570"/>
    <cellStyle name="표준 9 7 3 5 2 2" xfId="25571"/>
    <cellStyle name="표준 9 7 3 5 3" xfId="25572"/>
    <cellStyle name="표준 9 7 3 5 3 2" xfId="25573"/>
    <cellStyle name="표준 9 7 3 5 4" xfId="25574"/>
    <cellStyle name="표준 9 7 3 5 5" xfId="25575"/>
    <cellStyle name="표준 9 7 3 6 2 2" xfId="25576"/>
    <cellStyle name="표준 9 7 3 6 3" xfId="25577"/>
    <cellStyle name="표준 9 7 3 6 3 2" xfId="25578"/>
    <cellStyle name="표준 9 7 3 6 4" xfId="25579"/>
    <cellStyle name="표준 9 7 3 6 5" xfId="25580"/>
    <cellStyle name="표준 9 7 3 7 2" xfId="25581"/>
    <cellStyle name="표준 9 7 3 8" xfId="25582"/>
    <cellStyle name="표준 9 7 3 8 2" xfId="25583"/>
    <cellStyle name="표준 9 7 3 9" xfId="25584"/>
    <cellStyle name="표준 9 7 4 10" xfId="25585"/>
    <cellStyle name="표준 9 7 4 2 2 2 2 2 2" xfId="25586"/>
    <cellStyle name="표준 9 7 4 2 2 2 2 3" xfId="25587"/>
    <cellStyle name="표준 9 7 4 2 2 2 2 3 2" xfId="25588"/>
    <cellStyle name="표준 9 7 4 2 2 2 2 4" xfId="25589"/>
    <cellStyle name="표준 9 7 4 2 2 2 2 5" xfId="25590"/>
    <cellStyle name="표준 9 7 4 2 2 2 3 2 2" xfId="25591"/>
    <cellStyle name="표준 9 7 4 2 2 2 3 3" xfId="25592"/>
    <cellStyle name="표준 9 7 4 2 2 2 3 3 2" xfId="25593"/>
    <cellStyle name="표준 9 7 4 2 2 2 3 4" xfId="25594"/>
    <cellStyle name="표준 9 7 4 2 2 2 3 5" xfId="25595"/>
    <cellStyle name="표준 9 7 4 2 2 2 4 2" xfId="25596"/>
    <cellStyle name="표준 9 7 4 2 2 2 5" xfId="25597"/>
    <cellStyle name="표준 9 7 4 2 2 2 5 2" xfId="25598"/>
    <cellStyle name="표준 9 7 4 2 2 2 6" xfId="25599"/>
    <cellStyle name="표준 9 7 4 2 2 2 7" xfId="25600"/>
    <cellStyle name="표준 9 7 4 2 2 3 2 2" xfId="25601"/>
    <cellStyle name="표준 9 7 4 2 2 3 3" xfId="25602"/>
    <cellStyle name="표준 9 7 4 2 2 3 3 2" xfId="25603"/>
    <cellStyle name="표준 9 7 4 2 2 3 4" xfId="25604"/>
    <cellStyle name="표준 9 7 4 2 2 3 5" xfId="25605"/>
    <cellStyle name="표준 9 7 4 2 2 4 2 2" xfId="25606"/>
    <cellStyle name="표준 9 7 4 2 2 4 3" xfId="25607"/>
    <cellStyle name="표준 9 7 4 2 2 4 3 2" xfId="25608"/>
    <cellStyle name="표준 9 7 4 2 2 4 4" xfId="25609"/>
    <cellStyle name="표준 9 7 4 2 2 4 5" xfId="25610"/>
    <cellStyle name="표준 9 7 4 2 2 5 2" xfId="25611"/>
    <cellStyle name="표준 9 7 4 2 2 6" xfId="25612"/>
    <cellStyle name="표준 9 7 4 2 2 6 2" xfId="25613"/>
    <cellStyle name="표준 9 7 4 2 2 7" xfId="25614"/>
    <cellStyle name="표준 9 7 4 2 2 8" xfId="25615"/>
    <cellStyle name="표준 9 7 4 2 3 2 2 2" xfId="25616"/>
    <cellStyle name="표준 9 7 4 2 3 2 3" xfId="25617"/>
    <cellStyle name="표준 9 7 4 2 3 2 3 2" xfId="25618"/>
    <cellStyle name="표준 9 7 4 2 3 2 4" xfId="25619"/>
    <cellStyle name="표준 9 7 4 2 3 2 5" xfId="25620"/>
    <cellStyle name="표준 9 7 4 2 3 3 2 2" xfId="25621"/>
    <cellStyle name="표준 9 7 4 2 3 3 3" xfId="25622"/>
    <cellStyle name="표준 9 7 4 2 3 3 3 2" xfId="25623"/>
    <cellStyle name="표준 9 7 4 2 3 3 4" xfId="25624"/>
    <cellStyle name="표준 9 7 4 2 3 3 5" xfId="25625"/>
    <cellStyle name="표준 9 7 4 2 3 4 2" xfId="25626"/>
    <cellStyle name="표준 9 7 4 2 3 5" xfId="25627"/>
    <cellStyle name="표준 9 7 4 2 3 5 2" xfId="25628"/>
    <cellStyle name="표준 9 7 4 2 3 6" xfId="25629"/>
    <cellStyle name="표준 9 7 4 2 3 7" xfId="25630"/>
    <cellStyle name="표준 9 7 4 2 4 2 2" xfId="25631"/>
    <cellStyle name="표준 9 7 4 2 4 3" xfId="25632"/>
    <cellStyle name="표준 9 7 4 2 4 3 2" xfId="25633"/>
    <cellStyle name="표준 9 7 4 2 4 4" xfId="25634"/>
    <cellStyle name="표준 9 7 4 2 4 5" xfId="25635"/>
    <cellStyle name="표준 9 7 4 2 5 2 2" xfId="25636"/>
    <cellStyle name="표준 9 7 4 2 5 3" xfId="25637"/>
    <cellStyle name="표준 9 7 4 2 5 3 2" xfId="25638"/>
    <cellStyle name="표준 9 7 4 2 5 4" xfId="25639"/>
    <cellStyle name="표준 9 7 4 2 5 5" xfId="25640"/>
    <cellStyle name="표준 9 7 4 2 6 2" xfId="25641"/>
    <cellStyle name="표준 9 7 4 2 7" xfId="25642"/>
    <cellStyle name="표준 9 7 4 2 7 2" xfId="25643"/>
    <cellStyle name="표준 9 7 4 2 8" xfId="25644"/>
    <cellStyle name="표준 9 7 4 2 9" xfId="25645"/>
    <cellStyle name="표준 9 7 4 3 2 2 2 2" xfId="25646"/>
    <cellStyle name="표준 9 7 4 3 2 2 3" xfId="25647"/>
    <cellStyle name="표준 9 7 4 3 2 2 3 2" xfId="25648"/>
    <cellStyle name="표준 9 7 4 3 2 2 4" xfId="25649"/>
    <cellStyle name="표준 9 7 4 3 2 2 5" xfId="25650"/>
    <cellStyle name="표준 9 7 4 3 2 3 2 2" xfId="25651"/>
    <cellStyle name="표준 9 7 4 3 2 3 3" xfId="25652"/>
    <cellStyle name="표준 9 7 4 3 2 3 3 2" xfId="25653"/>
    <cellStyle name="표준 9 7 4 3 2 3 4" xfId="25654"/>
    <cellStyle name="표준 9 7 4 3 2 3 5" xfId="25655"/>
    <cellStyle name="표준 9 7 4 3 2 4 2" xfId="25656"/>
    <cellStyle name="표준 9 7 4 3 2 5" xfId="25657"/>
    <cellStyle name="표준 9 7 4 3 2 5 2" xfId="25658"/>
    <cellStyle name="표준 9 7 4 3 2 6" xfId="25659"/>
    <cellStyle name="표준 9 7 4 3 2 7" xfId="25660"/>
    <cellStyle name="표준 9 7 4 3 3 2 2" xfId="25661"/>
    <cellStyle name="표준 9 7 4 3 3 3" xfId="25662"/>
    <cellStyle name="표준 9 7 4 3 3 3 2" xfId="25663"/>
    <cellStyle name="표준 9 7 4 3 3 4" xfId="25664"/>
    <cellStyle name="표준 9 7 4 3 3 5" xfId="25665"/>
    <cellStyle name="표준 9 7 4 3 4 2 2" xfId="25666"/>
    <cellStyle name="표준 9 7 4 3 4 3" xfId="25667"/>
    <cellStyle name="표준 9 7 4 3 4 3 2" xfId="25668"/>
    <cellStyle name="표준 9 7 4 3 4 4" xfId="25669"/>
    <cellStyle name="표준 9 7 4 3 4 5" xfId="25670"/>
    <cellStyle name="표준 9 7 4 3 5 2" xfId="25671"/>
    <cellStyle name="표준 9 7 4 3 6" xfId="25672"/>
    <cellStyle name="표준 9 7 4 3 6 2" xfId="25673"/>
    <cellStyle name="표준 9 7 4 3 7" xfId="25674"/>
    <cellStyle name="표준 9 7 4 3 8" xfId="25675"/>
    <cellStyle name="표준 9 7 4 4 2 2 2" xfId="25676"/>
    <cellStyle name="표준 9 7 4 4 2 3" xfId="25677"/>
    <cellStyle name="표준 9 7 4 4 2 3 2" xfId="25678"/>
    <cellStyle name="표준 9 7 4 4 2 4" xfId="25679"/>
    <cellStyle name="표준 9 7 4 4 2 5" xfId="25680"/>
    <cellStyle name="표준 9 7 4 4 3 2 2" xfId="25681"/>
    <cellStyle name="표준 9 7 4 4 3 3" xfId="25682"/>
    <cellStyle name="표준 9 7 4 4 3 3 2" xfId="25683"/>
    <cellStyle name="표준 9 7 4 4 3 4" xfId="25684"/>
    <cellStyle name="표준 9 7 4 4 3 5" xfId="25685"/>
    <cellStyle name="표준 9 7 4 4 4 2" xfId="25686"/>
    <cellStyle name="표준 9 7 4 4 5" xfId="25687"/>
    <cellStyle name="표준 9 7 4 4 5 2" xfId="25688"/>
    <cellStyle name="표준 9 7 4 4 6" xfId="25689"/>
    <cellStyle name="표준 9 7 4 4 7" xfId="25690"/>
    <cellStyle name="표준 9 7 4 5 2 2" xfId="25691"/>
    <cellStyle name="표준 9 7 4 5 3" xfId="25692"/>
    <cellStyle name="표준 9 7 4 5 3 2" xfId="25693"/>
    <cellStyle name="표준 9 7 4 5 4" xfId="25694"/>
    <cellStyle name="표준 9 7 4 5 5" xfId="25695"/>
    <cellStyle name="표준 9 7 4 6 2 2" xfId="25696"/>
    <cellStyle name="표준 9 7 4 6 3" xfId="25697"/>
    <cellStyle name="표준 9 7 4 6 3 2" xfId="25698"/>
    <cellStyle name="표준 9 7 4 6 4" xfId="25699"/>
    <cellStyle name="표준 9 7 4 6 5" xfId="25700"/>
    <cellStyle name="표준 9 7 4 7 2" xfId="25701"/>
    <cellStyle name="표준 9 7 4 8" xfId="25702"/>
    <cellStyle name="표준 9 7 4 8 2" xfId="25703"/>
    <cellStyle name="표준 9 7 4 9" xfId="25704"/>
    <cellStyle name="표준 9 7 5 2 2 2 2 2" xfId="25705"/>
    <cellStyle name="표준 9 7 5 2 2 2 3" xfId="25706"/>
    <cellStyle name="표준 9 7 5 2 2 2 3 2" xfId="25707"/>
    <cellStyle name="표준 9 7 5 2 2 2 4" xfId="25708"/>
    <cellStyle name="표준 9 7 5 2 2 2 5" xfId="25709"/>
    <cellStyle name="표준 9 7 5 2 2 3 2 2" xfId="25710"/>
    <cellStyle name="표준 9 7 5 2 2 3 3" xfId="25711"/>
    <cellStyle name="표준 9 7 5 2 2 3 3 2" xfId="25712"/>
    <cellStyle name="표준 9 7 5 2 2 3 4" xfId="25713"/>
    <cellStyle name="표준 9 7 5 2 2 3 5" xfId="25714"/>
    <cellStyle name="표준 9 7 5 2 2 4 2" xfId="25715"/>
    <cellStyle name="표준 9 7 5 2 2 5" xfId="25716"/>
    <cellStyle name="표준 9 7 5 2 2 5 2" xfId="25717"/>
    <cellStyle name="표준 9 7 5 2 2 6" xfId="25718"/>
    <cellStyle name="표준 9 7 5 2 2 7" xfId="25719"/>
    <cellStyle name="표준 9 7 5 2 3 2 2" xfId="25720"/>
    <cellStyle name="표준 9 7 5 2 3 3" xfId="25721"/>
    <cellStyle name="표준 9 7 5 2 3 3 2" xfId="25722"/>
    <cellStyle name="표준 9 7 5 2 3 4" xfId="25723"/>
    <cellStyle name="표준 9 7 5 2 3 5" xfId="25724"/>
    <cellStyle name="표준 9 7 5 2 4 2 2" xfId="25725"/>
    <cellStyle name="표준 9 7 5 2 4 3" xfId="25726"/>
    <cellStyle name="표준 9 7 5 2 4 3 2" xfId="25727"/>
    <cellStyle name="표준 9 7 5 2 4 4" xfId="25728"/>
    <cellStyle name="표준 9 7 5 2 4 5" xfId="25729"/>
    <cellStyle name="표준 9 7 5 2 5 2" xfId="25730"/>
    <cellStyle name="표준 9 7 5 2 6" xfId="25731"/>
    <cellStyle name="표준 9 7 5 2 6 2" xfId="25732"/>
    <cellStyle name="표준 9 7 5 2 7" xfId="25733"/>
    <cellStyle name="표준 9 7 5 2 8" xfId="25734"/>
    <cellStyle name="표준 9 7 5 3 2 2 2" xfId="25735"/>
    <cellStyle name="표준 9 7 5 3 2 3" xfId="25736"/>
    <cellStyle name="표준 9 7 5 3 2 3 2" xfId="25737"/>
    <cellStyle name="표준 9 7 5 3 2 4" xfId="25738"/>
    <cellStyle name="표준 9 7 5 3 2 5" xfId="25739"/>
    <cellStyle name="표준 9 7 5 3 3 2 2" xfId="25740"/>
    <cellStyle name="표준 9 7 5 3 3 3" xfId="25741"/>
    <cellStyle name="표준 9 7 5 3 3 3 2" xfId="25742"/>
    <cellStyle name="표준 9 7 5 3 3 4" xfId="25743"/>
    <cellStyle name="표준 9 7 5 3 3 5" xfId="25744"/>
    <cellStyle name="표준 9 7 5 3 4 2" xfId="25745"/>
    <cellStyle name="표준 9 7 5 3 5" xfId="25746"/>
    <cellStyle name="표준 9 7 5 3 5 2" xfId="25747"/>
    <cellStyle name="표준 9 7 5 3 6" xfId="25748"/>
    <cellStyle name="표준 9 7 5 3 7" xfId="25749"/>
    <cellStyle name="표준 9 7 5 4 2 2" xfId="25750"/>
    <cellStyle name="표준 9 7 5 4 3" xfId="25751"/>
    <cellStyle name="표준 9 7 5 4 3 2" xfId="25752"/>
    <cellStyle name="표준 9 7 5 4 4" xfId="25753"/>
    <cellStyle name="표준 9 7 5 4 5" xfId="25754"/>
    <cellStyle name="표준 9 7 5 5 2 2" xfId="25755"/>
    <cellStyle name="표준 9 7 5 5 3" xfId="25756"/>
    <cellStyle name="표준 9 7 5 5 3 2" xfId="25757"/>
    <cellStyle name="표준 9 7 5 5 4" xfId="25758"/>
    <cellStyle name="표준 9 7 5 5 5" xfId="25759"/>
    <cellStyle name="표준 9 7 5 6 2" xfId="25760"/>
    <cellStyle name="표준 9 7 5 7" xfId="25761"/>
    <cellStyle name="표준 9 7 5 7 2" xfId="25762"/>
    <cellStyle name="표준 9 7 5 8" xfId="25763"/>
    <cellStyle name="표준 9 7 5 9" xfId="25764"/>
    <cellStyle name="표준 9 7 6 2 2 2 2" xfId="25765"/>
    <cellStyle name="표준 9 7 6 2 2 3" xfId="25766"/>
    <cellStyle name="표준 9 7 6 2 2 3 2" xfId="25767"/>
    <cellStyle name="표준 9 7 6 2 2 4" xfId="25768"/>
    <cellStyle name="표준 9 7 6 2 2 5" xfId="25769"/>
    <cellStyle name="표준 9 7 6 2 3 2 2" xfId="25770"/>
    <cellStyle name="표준 9 7 6 2 3 3" xfId="25771"/>
    <cellStyle name="표준 9 7 6 2 3 3 2" xfId="25772"/>
    <cellStyle name="표준 9 7 6 2 3 4" xfId="25773"/>
    <cellStyle name="표준 9 7 6 2 3 5" xfId="25774"/>
    <cellStyle name="표준 9 7 6 2 4 2" xfId="25775"/>
    <cellStyle name="표준 9 7 6 2 5" xfId="25776"/>
    <cellStyle name="표준 9 7 6 2 5 2" xfId="25777"/>
    <cellStyle name="표준 9 7 6 2 6" xfId="25778"/>
    <cellStyle name="표준 9 7 6 2 7" xfId="25779"/>
    <cellStyle name="표준 9 7 6 3 2 2" xfId="25780"/>
    <cellStyle name="표준 9 7 6 3 3" xfId="25781"/>
    <cellStyle name="표준 9 7 6 3 3 2" xfId="25782"/>
    <cellStyle name="표준 9 7 6 3 4" xfId="25783"/>
    <cellStyle name="표준 9 7 6 3 5" xfId="25784"/>
    <cellStyle name="표준 9 7 6 4 2 2" xfId="25785"/>
    <cellStyle name="표준 9 7 6 4 3" xfId="25786"/>
    <cellStyle name="표준 9 7 6 4 3 2" xfId="25787"/>
    <cellStyle name="표준 9 7 6 4 4" xfId="25788"/>
    <cellStyle name="표준 9 7 6 4 5" xfId="25789"/>
    <cellStyle name="표준 9 7 6 5 2" xfId="25790"/>
    <cellStyle name="표준 9 7 6 6" xfId="25791"/>
    <cellStyle name="표준 9 7 6 6 2" xfId="25792"/>
    <cellStyle name="표준 9 7 6 7" xfId="25793"/>
    <cellStyle name="표준 9 7 6 8" xfId="25794"/>
    <cellStyle name="표준 9 7 7 2 2 2" xfId="25795"/>
    <cellStyle name="표준 9 7 7 2 3" xfId="25796"/>
    <cellStyle name="표준 9 7 7 2 3 2" xfId="25797"/>
    <cellStyle name="표준 9 7 7 2 4" xfId="25798"/>
    <cellStyle name="표준 9 7 7 2 5" xfId="25799"/>
    <cellStyle name="표준 9 7 7 3 2 2" xfId="25800"/>
    <cellStyle name="표준 9 7 7 3 3" xfId="25801"/>
    <cellStyle name="표준 9 7 7 3 3 2" xfId="25802"/>
    <cellStyle name="표준 9 7 7 3 4" xfId="25803"/>
    <cellStyle name="표준 9 7 7 3 5" xfId="25804"/>
    <cellStyle name="표준 9 7 7 4 2" xfId="25805"/>
    <cellStyle name="표준 9 7 7 5" xfId="25806"/>
    <cellStyle name="표준 9 7 7 5 2" xfId="25807"/>
    <cellStyle name="표준 9 7 7 6" xfId="25808"/>
    <cellStyle name="표준 9 7 7 7" xfId="25809"/>
    <cellStyle name="표준 9 7 8 2 2" xfId="25810"/>
    <cellStyle name="표준 9 7 8 3" xfId="25811"/>
    <cellStyle name="표준 9 7 8 3 2" xfId="25812"/>
    <cellStyle name="표준 9 7 8 4" xfId="25813"/>
    <cellStyle name="표준 9 7 8 5" xfId="25814"/>
    <cellStyle name="표준 9 7 9 2 2" xfId="25815"/>
    <cellStyle name="표준 9 7 9 3" xfId="25816"/>
    <cellStyle name="표준 9 7 9 3 2" xfId="25817"/>
    <cellStyle name="표준 9 7 9 4" xfId="25818"/>
    <cellStyle name="표준 9 7 9 5" xfId="25819"/>
    <cellStyle name="표준 9 8 10 2" xfId="25820"/>
    <cellStyle name="표준 9 8 11" xfId="25821"/>
    <cellStyle name="표준 9 8 11 2" xfId="25822"/>
    <cellStyle name="표준 9 8 12" xfId="25823"/>
    <cellStyle name="표준 9 8 13" xfId="25824"/>
    <cellStyle name="표준 9 8 2 10" xfId="25825"/>
    <cellStyle name="표준 9 8 2 2 2 2 2 2 2" xfId="25826"/>
    <cellStyle name="표준 9 8 2 2 2 2 2 3" xfId="25827"/>
    <cellStyle name="표준 9 8 2 2 2 2 2 3 2" xfId="25828"/>
    <cellStyle name="표준 9 8 2 2 2 2 2 4" xfId="25829"/>
    <cellStyle name="표준 9 8 2 2 2 2 2 5" xfId="25830"/>
    <cellStyle name="표준 9 8 2 2 2 2 3 2 2" xfId="25831"/>
    <cellStyle name="표준 9 8 2 2 2 2 3 3" xfId="25832"/>
    <cellStyle name="표준 9 8 2 2 2 2 3 3 2" xfId="25833"/>
    <cellStyle name="표준 9 8 2 2 2 2 3 4" xfId="25834"/>
    <cellStyle name="표준 9 8 2 2 2 2 3 5" xfId="25835"/>
    <cellStyle name="표준 9 8 2 2 2 2 4 2" xfId="25836"/>
    <cellStyle name="표준 9 8 2 2 2 2 5" xfId="25837"/>
    <cellStyle name="표준 9 8 2 2 2 2 5 2" xfId="25838"/>
    <cellStyle name="표준 9 8 2 2 2 2 6" xfId="25839"/>
    <cellStyle name="표준 9 8 2 2 2 2 7" xfId="25840"/>
    <cellStyle name="표준 9 8 2 2 2 3 2 2" xfId="25841"/>
    <cellStyle name="표준 9 8 2 2 2 3 3" xfId="25842"/>
    <cellStyle name="표준 9 8 2 2 2 3 3 2" xfId="25843"/>
    <cellStyle name="표준 9 8 2 2 2 3 4" xfId="25844"/>
    <cellStyle name="표준 9 8 2 2 2 3 5" xfId="25845"/>
    <cellStyle name="표준 9 8 2 2 2 4 2 2" xfId="25846"/>
    <cellStyle name="표준 9 8 2 2 2 4 3" xfId="25847"/>
    <cellStyle name="표준 9 8 2 2 2 4 3 2" xfId="25848"/>
    <cellStyle name="표준 9 8 2 2 2 4 4" xfId="25849"/>
    <cellStyle name="표준 9 8 2 2 2 4 5" xfId="25850"/>
    <cellStyle name="표준 9 8 2 2 2 5 2" xfId="25851"/>
    <cellStyle name="표준 9 8 2 2 2 6" xfId="25852"/>
    <cellStyle name="표준 9 8 2 2 2 6 2" xfId="25853"/>
    <cellStyle name="표준 9 8 2 2 2 7" xfId="25854"/>
    <cellStyle name="표준 9 8 2 2 2 8" xfId="25855"/>
    <cellStyle name="표준 9 8 2 2 3 2 2 2" xfId="25856"/>
    <cellStyle name="표준 9 8 2 2 3 2 3" xfId="25857"/>
    <cellStyle name="표준 9 8 2 2 3 2 3 2" xfId="25858"/>
    <cellStyle name="표준 9 8 2 2 3 2 4" xfId="25859"/>
    <cellStyle name="표준 9 8 2 2 3 2 5" xfId="25860"/>
    <cellStyle name="표준 9 8 2 2 3 3 2 2" xfId="25861"/>
    <cellStyle name="표준 9 8 2 2 3 3 3" xfId="25862"/>
    <cellStyle name="표준 9 8 2 2 3 3 3 2" xfId="25863"/>
    <cellStyle name="표준 9 8 2 2 3 3 4" xfId="25864"/>
    <cellStyle name="표준 9 8 2 2 3 3 5" xfId="25865"/>
    <cellStyle name="표준 9 8 2 2 3 4 2" xfId="25866"/>
    <cellStyle name="표준 9 8 2 2 3 5" xfId="25867"/>
    <cellStyle name="표준 9 8 2 2 3 5 2" xfId="25868"/>
    <cellStyle name="표준 9 8 2 2 3 6" xfId="25869"/>
    <cellStyle name="표준 9 8 2 2 3 7" xfId="25870"/>
    <cellStyle name="표준 9 8 2 2 4 2 2" xfId="25871"/>
    <cellStyle name="표준 9 8 2 2 4 3" xfId="25872"/>
    <cellStyle name="표준 9 8 2 2 4 3 2" xfId="25873"/>
    <cellStyle name="표준 9 8 2 2 4 4" xfId="25874"/>
    <cellStyle name="표준 9 8 2 2 4 5" xfId="25875"/>
    <cellStyle name="표준 9 8 2 2 5 2 2" xfId="25876"/>
    <cellStyle name="표준 9 8 2 2 5 3" xfId="25877"/>
    <cellStyle name="표준 9 8 2 2 5 3 2" xfId="25878"/>
    <cellStyle name="표준 9 8 2 2 5 4" xfId="25879"/>
    <cellStyle name="표준 9 8 2 2 5 5" xfId="25880"/>
    <cellStyle name="표준 9 8 2 2 6 2" xfId="25881"/>
    <cellStyle name="표준 9 8 2 2 7" xfId="25882"/>
    <cellStyle name="표준 9 8 2 2 7 2" xfId="25883"/>
    <cellStyle name="표준 9 8 2 2 8" xfId="25884"/>
    <cellStyle name="표준 9 8 2 2 9" xfId="25885"/>
    <cellStyle name="표준 9 8 2 3 2 2 2 2" xfId="25886"/>
    <cellStyle name="표준 9 8 2 3 2 2 3" xfId="25887"/>
    <cellStyle name="표준 9 8 2 3 2 2 3 2" xfId="25888"/>
    <cellStyle name="표준 9 8 2 3 2 2 4" xfId="25889"/>
    <cellStyle name="표준 9 8 2 3 2 2 5" xfId="25890"/>
    <cellStyle name="표준 9 8 2 3 2 3 2 2" xfId="25891"/>
    <cellStyle name="표준 9 8 2 3 2 3 3" xfId="25892"/>
    <cellStyle name="표준 9 8 2 3 2 3 3 2" xfId="25893"/>
    <cellStyle name="표준 9 8 2 3 2 3 4" xfId="25894"/>
    <cellStyle name="표준 9 8 2 3 2 3 5" xfId="25895"/>
    <cellStyle name="표준 9 8 2 3 2 4 2" xfId="25896"/>
    <cellStyle name="표준 9 8 2 3 2 5" xfId="25897"/>
    <cellStyle name="표준 9 8 2 3 2 5 2" xfId="25898"/>
    <cellStyle name="표준 9 8 2 3 2 6" xfId="25899"/>
    <cellStyle name="표준 9 8 2 3 2 7" xfId="25900"/>
    <cellStyle name="표준 9 8 2 3 3 2 2" xfId="25901"/>
    <cellStyle name="표준 9 8 2 3 3 3" xfId="25902"/>
    <cellStyle name="표준 9 8 2 3 3 3 2" xfId="25903"/>
    <cellStyle name="표준 9 8 2 3 3 4" xfId="25904"/>
    <cellStyle name="표준 9 8 2 3 3 5" xfId="25905"/>
    <cellStyle name="표준 9 8 2 3 4 2 2" xfId="25906"/>
    <cellStyle name="표준 9 8 2 3 4 3" xfId="25907"/>
    <cellStyle name="표준 9 8 2 3 4 3 2" xfId="25908"/>
    <cellStyle name="표준 9 8 2 3 4 4" xfId="25909"/>
    <cellStyle name="표준 9 8 2 3 4 5" xfId="25910"/>
    <cellStyle name="표준 9 8 2 3 5 2" xfId="25911"/>
    <cellStyle name="표준 9 8 2 3 6" xfId="25912"/>
    <cellStyle name="표준 9 8 2 3 6 2" xfId="25913"/>
    <cellStyle name="표준 9 8 2 3 7" xfId="25914"/>
    <cellStyle name="표준 9 8 2 3 8" xfId="25915"/>
    <cellStyle name="표준 9 8 2 4 2 2 2" xfId="25916"/>
    <cellStyle name="표준 9 8 2 4 2 3" xfId="25917"/>
    <cellStyle name="표준 9 8 2 4 2 3 2" xfId="25918"/>
    <cellStyle name="표준 9 8 2 4 2 4" xfId="25919"/>
    <cellStyle name="표준 9 8 2 4 2 5" xfId="25920"/>
    <cellStyle name="표준 9 8 2 4 3 2 2" xfId="25921"/>
    <cellStyle name="표준 9 8 2 4 3 3" xfId="25922"/>
    <cellStyle name="표준 9 8 2 4 3 3 2" xfId="25923"/>
    <cellStyle name="표준 9 8 2 4 3 4" xfId="25924"/>
    <cellStyle name="표준 9 8 2 4 3 5" xfId="25925"/>
    <cellStyle name="표준 9 8 2 4 4 2" xfId="25926"/>
    <cellStyle name="표준 9 8 2 4 5" xfId="25927"/>
    <cellStyle name="표준 9 8 2 4 5 2" xfId="25928"/>
    <cellStyle name="표준 9 8 2 4 6" xfId="25929"/>
    <cellStyle name="표준 9 8 2 4 7" xfId="25930"/>
    <cellStyle name="표준 9 8 2 5 2 2" xfId="25931"/>
    <cellStyle name="표준 9 8 2 5 3" xfId="25932"/>
    <cellStyle name="표준 9 8 2 5 3 2" xfId="25933"/>
    <cellStyle name="표준 9 8 2 5 4" xfId="25934"/>
    <cellStyle name="표준 9 8 2 5 5" xfId="25935"/>
    <cellStyle name="표준 9 8 2 6 2 2" xfId="25936"/>
    <cellStyle name="표준 9 8 2 6 3" xfId="25937"/>
    <cellStyle name="표준 9 8 2 6 3 2" xfId="25938"/>
    <cellStyle name="표준 9 8 2 6 4" xfId="25939"/>
    <cellStyle name="표준 9 8 2 6 5" xfId="25940"/>
    <cellStyle name="표준 9 8 2 7 2" xfId="25941"/>
    <cellStyle name="표준 9 8 2 8" xfId="25942"/>
    <cellStyle name="표준 9 8 2 8 2" xfId="25943"/>
    <cellStyle name="표준 9 8 2 9" xfId="25944"/>
    <cellStyle name="표준 9 8 3 10" xfId="25945"/>
    <cellStyle name="표준 9 8 3 2 2 2 2 2 2" xfId="25946"/>
    <cellStyle name="표준 9 8 3 2 2 2 2 3" xfId="25947"/>
    <cellStyle name="표준 9 8 3 2 2 2 2 3 2" xfId="25948"/>
    <cellStyle name="표준 9 8 3 2 2 2 2 4" xfId="25949"/>
    <cellStyle name="표준 9 8 3 2 2 2 2 5" xfId="25950"/>
    <cellStyle name="표준 9 8 3 2 2 2 3 2 2" xfId="25951"/>
    <cellStyle name="표준 9 8 3 2 2 2 3 3" xfId="25952"/>
    <cellStyle name="표준 9 8 3 2 2 2 3 3 2" xfId="25953"/>
    <cellStyle name="표준 9 8 3 2 2 2 3 4" xfId="25954"/>
    <cellStyle name="표준 9 8 3 2 2 2 3 5" xfId="25955"/>
    <cellStyle name="표준 9 8 3 2 2 2 4 2" xfId="25956"/>
    <cellStyle name="표준 9 8 3 2 2 2 5" xfId="25957"/>
    <cellStyle name="표준 9 8 3 2 2 2 5 2" xfId="25958"/>
    <cellStyle name="표준 9 8 3 2 2 2 6" xfId="25959"/>
    <cellStyle name="표준 9 8 3 2 2 2 7" xfId="25960"/>
    <cellStyle name="표준 9 8 3 2 2 3 2 2" xfId="25961"/>
    <cellStyle name="표준 9 8 3 2 2 3 3" xfId="25962"/>
    <cellStyle name="표준 9 8 3 2 2 3 3 2" xfId="25963"/>
    <cellStyle name="표준 9 8 3 2 2 3 4" xfId="25964"/>
    <cellStyle name="표준 9 8 3 2 2 3 5" xfId="25965"/>
    <cellStyle name="표준 9 8 3 2 2 4 2 2" xfId="25966"/>
    <cellStyle name="표준 9 8 3 2 2 4 3" xfId="25967"/>
    <cellStyle name="표준 9 8 3 2 2 4 3 2" xfId="25968"/>
    <cellStyle name="표준 9 8 3 2 2 4 4" xfId="25969"/>
    <cellStyle name="표준 9 8 3 2 2 4 5" xfId="25970"/>
    <cellStyle name="표준 9 8 3 2 2 5 2" xfId="25971"/>
    <cellStyle name="표준 9 8 3 2 2 6" xfId="25972"/>
    <cellStyle name="표준 9 8 3 2 2 6 2" xfId="25973"/>
    <cellStyle name="표준 9 8 3 2 2 7" xfId="25974"/>
    <cellStyle name="표준 9 8 3 2 2 8" xfId="25975"/>
    <cellStyle name="표준 9 8 3 2 3 2 2 2" xfId="25976"/>
    <cellStyle name="표준 9 8 3 2 3 2 3" xfId="25977"/>
    <cellStyle name="표준 9 8 3 2 3 2 3 2" xfId="25978"/>
    <cellStyle name="표준 9 8 3 2 3 2 4" xfId="25979"/>
    <cellStyle name="표준 9 8 3 2 3 2 5" xfId="25980"/>
    <cellStyle name="표준 9 8 3 2 3 3 2 2" xfId="25981"/>
    <cellStyle name="표준 9 8 3 2 3 3 3" xfId="25982"/>
    <cellStyle name="표준 9 8 3 2 3 3 3 2" xfId="25983"/>
    <cellStyle name="표준 9 8 3 2 3 3 4" xfId="25984"/>
    <cellStyle name="표준 9 8 3 2 3 3 5" xfId="25985"/>
    <cellStyle name="표준 9 8 3 2 3 4 2" xfId="25986"/>
    <cellStyle name="표준 9 8 3 2 3 5" xfId="25987"/>
    <cellStyle name="표준 9 8 3 2 3 5 2" xfId="25988"/>
    <cellStyle name="표준 9 8 3 2 3 6" xfId="25989"/>
    <cellStyle name="표준 9 8 3 2 3 7" xfId="25990"/>
    <cellStyle name="표준 9 8 3 2 4 2 2" xfId="25991"/>
    <cellStyle name="표준 9 8 3 2 4 3" xfId="25992"/>
    <cellStyle name="표준 9 8 3 2 4 3 2" xfId="25993"/>
    <cellStyle name="표준 9 8 3 2 4 4" xfId="25994"/>
    <cellStyle name="표준 9 8 3 2 4 5" xfId="25995"/>
    <cellStyle name="표준 9 8 3 2 5 2 2" xfId="25996"/>
    <cellStyle name="표준 9 8 3 2 5 3" xfId="25997"/>
    <cellStyle name="표준 9 8 3 2 5 3 2" xfId="25998"/>
    <cellStyle name="표준 9 8 3 2 5 4" xfId="25999"/>
    <cellStyle name="표준 9 8 3 2 5 5" xfId="26000"/>
    <cellStyle name="표준 9 8 3 2 6 2" xfId="26001"/>
    <cellStyle name="표준 9 8 3 2 7" xfId="26002"/>
    <cellStyle name="표준 9 8 3 2 7 2" xfId="26003"/>
    <cellStyle name="표준 9 8 3 2 8" xfId="26004"/>
    <cellStyle name="표준 9 8 3 2 9" xfId="26005"/>
    <cellStyle name="표준 9 8 3 3 2 2 2 2" xfId="26006"/>
    <cellStyle name="표준 9 8 3 3 2 2 3" xfId="26007"/>
    <cellStyle name="표준 9 8 3 3 2 2 3 2" xfId="26008"/>
    <cellStyle name="표준 9 8 3 3 2 2 4" xfId="26009"/>
    <cellStyle name="표준 9 8 3 3 2 2 5" xfId="26010"/>
    <cellStyle name="표준 9 8 3 3 2 3 2 2" xfId="26011"/>
    <cellStyle name="표준 9 8 3 3 2 3 3" xfId="26012"/>
    <cellStyle name="표준 9 8 3 3 2 3 3 2" xfId="26013"/>
    <cellStyle name="표준 9 8 3 3 2 3 4" xfId="26014"/>
    <cellStyle name="표준 9 8 3 3 2 3 5" xfId="26015"/>
    <cellStyle name="표준 9 8 3 3 2 4 2" xfId="26016"/>
    <cellStyle name="표준 9 8 3 3 2 5" xfId="26017"/>
    <cellStyle name="표준 9 8 3 3 2 5 2" xfId="26018"/>
    <cellStyle name="표준 9 8 3 3 2 6" xfId="26019"/>
    <cellStyle name="표준 9 8 3 3 2 7" xfId="26020"/>
    <cellStyle name="표준 9 8 3 3 3 2 2" xfId="26021"/>
    <cellStyle name="표준 9 8 3 3 3 3" xfId="26022"/>
    <cellStyle name="표준 9 8 3 3 3 3 2" xfId="26023"/>
    <cellStyle name="표준 9 8 3 3 3 4" xfId="26024"/>
    <cellStyle name="표준 9 8 3 3 3 5" xfId="26025"/>
    <cellStyle name="표준 9 8 3 3 4 2 2" xfId="26026"/>
    <cellStyle name="표준 9 8 3 3 4 3" xfId="26027"/>
    <cellStyle name="표준 9 8 3 3 4 3 2" xfId="26028"/>
    <cellStyle name="표준 9 8 3 3 4 4" xfId="26029"/>
    <cellStyle name="표준 9 8 3 3 4 5" xfId="26030"/>
    <cellStyle name="표준 9 8 3 3 5 2" xfId="26031"/>
    <cellStyle name="표준 9 8 3 3 6" xfId="26032"/>
    <cellStyle name="표준 9 8 3 3 6 2" xfId="26033"/>
    <cellStyle name="표준 9 8 3 3 7" xfId="26034"/>
    <cellStyle name="표준 9 8 3 3 8" xfId="26035"/>
    <cellStyle name="표준 9 8 3 4 2 2 2" xfId="26036"/>
    <cellStyle name="표준 9 8 3 4 2 3" xfId="26037"/>
    <cellStyle name="표준 9 8 3 4 2 3 2" xfId="26038"/>
    <cellStyle name="표준 9 8 3 4 2 4" xfId="26039"/>
    <cellStyle name="표준 9 8 3 4 2 5" xfId="26040"/>
    <cellStyle name="표준 9 8 3 4 3 2 2" xfId="26041"/>
    <cellStyle name="표준 9 8 3 4 3 3" xfId="26042"/>
    <cellStyle name="표준 9 8 3 4 3 3 2" xfId="26043"/>
    <cellStyle name="표준 9 8 3 4 3 4" xfId="26044"/>
    <cellStyle name="표준 9 8 3 4 3 5" xfId="26045"/>
    <cellStyle name="표준 9 8 3 4 4 2" xfId="26046"/>
    <cellStyle name="표준 9 8 3 4 5" xfId="26047"/>
    <cellStyle name="표준 9 8 3 4 5 2" xfId="26048"/>
    <cellStyle name="표준 9 8 3 4 6" xfId="26049"/>
    <cellStyle name="표준 9 8 3 4 7" xfId="26050"/>
    <cellStyle name="표준 9 8 3 5 2 2" xfId="26051"/>
    <cellStyle name="표준 9 8 3 5 3" xfId="26052"/>
    <cellStyle name="표준 9 8 3 5 3 2" xfId="26053"/>
    <cellStyle name="표준 9 8 3 5 4" xfId="26054"/>
    <cellStyle name="표준 9 8 3 5 5" xfId="26055"/>
    <cellStyle name="표준 9 8 3 6 2 2" xfId="26056"/>
    <cellStyle name="표준 9 8 3 6 3" xfId="26057"/>
    <cellStyle name="표준 9 8 3 6 3 2" xfId="26058"/>
    <cellStyle name="표준 9 8 3 6 4" xfId="26059"/>
    <cellStyle name="표준 9 8 3 6 5" xfId="26060"/>
    <cellStyle name="표준 9 8 3 7 2" xfId="26061"/>
    <cellStyle name="표준 9 8 3 8" xfId="26062"/>
    <cellStyle name="표준 9 8 3 8 2" xfId="26063"/>
    <cellStyle name="표준 9 8 3 9" xfId="26064"/>
    <cellStyle name="표준 9 8 4 10" xfId="26065"/>
    <cellStyle name="표준 9 8 4 2 2 2 2 2 2" xfId="26066"/>
    <cellStyle name="표준 9 8 4 2 2 2 2 3" xfId="26067"/>
    <cellStyle name="표준 9 8 4 2 2 2 2 3 2" xfId="26068"/>
    <cellStyle name="표준 9 8 4 2 2 2 2 4" xfId="26069"/>
    <cellStyle name="표준 9 8 4 2 2 2 2 5" xfId="26070"/>
    <cellStyle name="표준 9 8 4 2 2 2 3 2 2" xfId="26071"/>
    <cellStyle name="표준 9 8 4 2 2 2 3 3" xfId="26072"/>
    <cellStyle name="표준 9 8 4 2 2 2 3 3 2" xfId="26073"/>
    <cellStyle name="표준 9 8 4 2 2 2 3 4" xfId="26074"/>
    <cellStyle name="표준 9 8 4 2 2 2 3 5" xfId="26075"/>
    <cellStyle name="표준 9 8 4 2 2 2 4 2" xfId="26076"/>
    <cellStyle name="표준 9 8 4 2 2 2 5" xfId="26077"/>
    <cellStyle name="표준 9 8 4 2 2 2 5 2" xfId="26078"/>
    <cellStyle name="표준 9 8 4 2 2 2 6" xfId="26079"/>
    <cellStyle name="표준 9 8 4 2 2 2 7" xfId="26080"/>
    <cellStyle name="표준 9 8 4 2 2 3 2 2" xfId="26081"/>
    <cellStyle name="표준 9 8 4 2 2 3 3" xfId="26082"/>
    <cellStyle name="표준 9 8 4 2 2 3 3 2" xfId="26083"/>
    <cellStyle name="표준 9 8 4 2 2 3 4" xfId="26084"/>
    <cellStyle name="표준 9 8 4 2 2 3 5" xfId="26085"/>
    <cellStyle name="표준 9 8 4 2 2 4 2 2" xfId="26086"/>
    <cellStyle name="표준 9 8 4 2 2 4 3" xfId="26087"/>
    <cellStyle name="표준 9 8 4 2 2 4 3 2" xfId="26088"/>
    <cellStyle name="표준 9 8 4 2 2 4 4" xfId="26089"/>
    <cellStyle name="표준 9 8 4 2 2 4 5" xfId="26090"/>
    <cellStyle name="표준 9 8 4 2 2 5 2" xfId="26091"/>
    <cellStyle name="표준 9 8 4 2 2 6" xfId="26092"/>
    <cellStyle name="표준 9 8 4 2 2 6 2" xfId="26093"/>
    <cellStyle name="표준 9 8 4 2 2 7" xfId="26094"/>
    <cellStyle name="표준 9 8 4 2 2 8" xfId="26095"/>
    <cellStyle name="표준 9 8 4 2 3 2 2 2" xfId="26096"/>
    <cellStyle name="표준 9 8 4 2 3 2 3" xfId="26097"/>
    <cellStyle name="표준 9 8 4 2 3 2 3 2" xfId="26098"/>
    <cellStyle name="표준 9 8 4 2 3 2 4" xfId="26099"/>
    <cellStyle name="표준 9 8 4 2 3 2 5" xfId="26100"/>
    <cellStyle name="표준 9 8 4 2 3 3 2 2" xfId="26101"/>
    <cellStyle name="표준 9 8 4 2 3 3 3" xfId="26102"/>
    <cellStyle name="표준 9 8 4 2 3 3 3 2" xfId="26103"/>
    <cellStyle name="표준 9 8 4 2 3 3 4" xfId="26104"/>
    <cellStyle name="표준 9 8 4 2 3 3 5" xfId="26105"/>
    <cellStyle name="표준 9 8 4 2 3 4 2" xfId="26106"/>
    <cellStyle name="표준 9 8 4 2 3 5" xfId="26107"/>
    <cellStyle name="표준 9 8 4 2 3 5 2" xfId="26108"/>
    <cellStyle name="표준 9 8 4 2 3 6" xfId="26109"/>
    <cellStyle name="표준 9 8 4 2 3 7" xfId="26110"/>
    <cellStyle name="표준 9 8 4 2 4 2 2" xfId="26111"/>
    <cellStyle name="표준 9 8 4 2 4 3" xfId="26112"/>
    <cellStyle name="표준 9 8 4 2 4 3 2" xfId="26113"/>
    <cellStyle name="표준 9 8 4 2 4 4" xfId="26114"/>
    <cellStyle name="표준 9 8 4 2 4 5" xfId="26115"/>
    <cellStyle name="표준 9 8 4 2 5 2 2" xfId="26116"/>
    <cellStyle name="표준 9 8 4 2 5 3" xfId="26117"/>
    <cellStyle name="표준 9 8 4 2 5 3 2" xfId="26118"/>
    <cellStyle name="표준 9 8 4 2 5 4" xfId="26119"/>
    <cellStyle name="표준 9 8 4 2 5 5" xfId="26120"/>
    <cellStyle name="표준 9 8 4 2 6 2" xfId="26121"/>
    <cellStyle name="표준 9 8 4 2 7" xfId="26122"/>
    <cellStyle name="표준 9 8 4 2 7 2" xfId="26123"/>
    <cellStyle name="표준 9 8 4 2 8" xfId="26124"/>
    <cellStyle name="표준 9 8 4 2 9" xfId="26125"/>
    <cellStyle name="표준 9 8 4 3 2 2 2 2" xfId="26126"/>
    <cellStyle name="표준 9 8 4 3 2 2 3" xfId="26127"/>
    <cellStyle name="표준 9 8 4 3 2 2 3 2" xfId="26128"/>
    <cellStyle name="표준 9 8 4 3 2 2 4" xfId="26129"/>
    <cellStyle name="표준 9 8 4 3 2 2 5" xfId="26130"/>
    <cellStyle name="표준 9 8 4 3 2 3 2 2" xfId="26131"/>
    <cellStyle name="표준 9 8 4 3 2 3 3" xfId="26132"/>
    <cellStyle name="표준 9 8 4 3 2 3 3 2" xfId="26133"/>
    <cellStyle name="표준 9 8 4 3 2 3 4" xfId="26134"/>
    <cellStyle name="표준 9 8 4 3 2 3 5" xfId="26135"/>
    <cellStyle name="표준 9 8 4 3 2 4 2" xfId="26136"/>
    <cellStyle name="표준 9 8 4 3 2 5" xfId="26137"/>
    <cellStyle name="표준 9 8 4 3 2 5 2" xfId="26138"/>
    <cellStyle name="표준 9 8 4 3 2 6" xfId="26139"/>
    <cellStyle name="표준 9 8 4 3 2 7" xfId="26140"/>
    <cellStyle name="표준 9 8 4 3 3 2 2" xfId="26141"/>
    <cellStyle name="표준 9 8 4 3 3 3" xfId="26142"/>
    <cellStyle name="표준 9 8 4 3 3 3 2" xfId="26143"/>
    <cellStyle name="표준 9 8 4 3 3 4" xfId="26144"/>
    <cellStyle name="표준 9 8 4 3 3 5" xfId="26145"/>
    <cellStyle name="표준 9 8 4 3 4 2 2" xfId="26146"/>
    <cellStyle name="표준 9 8 4 3 4 3" xfId="26147"/>
    <cellStyle name="표준 9 8 4 3 4 3 2" xfId="26148"/>
    <cellStyle name="표준 9 8 4 3 4 4" xfId="26149"/>
    <cellStyle name="표준 9 8 4 3 4 5" xfId="26150"/>
    <cellStyle name="표준 9 8 4 3 5 2" xfId="26151"/>
    <cellStyle name="표준 9 8 4 3 6" xfId="26152"/>
    <cellStyle name="표준 9 8 4 3 6 2" xfId="26153"/>
    <cellStyle name="표준 9 8 4 3 7" xfId="26154"/>
    <cellStyle name="표준 9 8 4 3 8" xfId="26155"/>
    <cellStyle name="표준 9 8 4 4 2 2 2" xfId="26156"/>
    <cellStyle name="표준 9 8 4 4 2 3" xfId="26157"/>
    <cellStyle name="표준 9 8 4 4 2 3 2" xfId="26158"/>
    <cellStyle name="표준 9 8 4 4 2 4" xfId="26159"/>
    <cellStyle name="표준 9 8 4 4 2 5" xfId="26160"/>
    <cellStyle name="표준 9 8 4 4 3 2 2" xfId="26161"/>
    <cellStyle name="표준 9 8 4 4 3 3" xfId="26162"/>
    <cellStyle name="표준 9 8 4 4 3 3 2" xfId="26163"/>
    <cellStyle name="표준 9 8 4 4 3 4" xfId="26164"/>
    <cellStyle name="표준 9 8 4 4 3 5" xfId="26165"/>
    <cellStyle name="표준 9 8 4 4 4 2" xfId="26166"/>
    <cellStyle name="표준 9 8 4 4 5" xfId="26167"/>
    <cellStyle name="표준 9 8 4 4 5 2" xfId="26168"/>
    <cellStyle name="표준 9 8 4 4 6" xfId="26169"/>
    <cellStyle name="표준 9 8 4 4 7" xfId="26170"/>
    <cellStyle name="표준 9 8 4 5 2 2" xfId="26171"/>
    <cellStyle name="표준 9 8 4 5 3" xfId="26172"/>
    <cellStyle name="표준 9 8 4 5 3 2" xfId="26173"/>
    <cellStyle name="표준 9 8 4 5 4" xfId="26174"/>
    <cellStyle name="표준 9 8 4 5 5" xfId="26175"/>
    <cellStyle name="표준 9 8 4 6 2 2" xfId="26176"/>
    <cellStyle name="표준 9 8 4 6 3" xfId="26177"/>
    <cellStyle name="표준 9 8 4 6 3 2" xfId="26178"/>
    <cellStyle name="표준 9 8 4 6 4" xfId="26179"/>
    <cellStyle name="표준 9 8 4 6 5" xfId="26180"/>
    <cellStyle name="표준 9 8 4 7 2" xfId="26181"/>
    <cellStyle name="표준 9 8 4 8" xfId="26182"/>
    <cellStyle name="표준 9 8 4 8 2" xfId="26183"/>
    <cellStyle name="표준 9 8 4 9" xfId="26184"/>
    <cellStyle name="표준 9 8 5 2 2 2 2 2" xfId="26185"/>
    <cellStyle name="표준 9 8 5 2 2 2 3" xfId="26186"/>
    <cellStyle name="표준 9 8 5 2 2 2 3 2" xfId="26187"/>
    <cellStyle name="표준 9 8 5 2 2 2 4" xfId="26188"/>
    <cellStyle name="표준 9 8 5 2 2 2 5" xfId="26189"/>
    <cellStyle name="표준 9 8 5 2 2 3 2 2" xfId="26190"/>
    <cellStyle name="표준 9 8 5 2 2 3 3" xfId="26191"/>
    <cellStyle name="표준 9 8 5 2 2 3 3 2" xfId="26192"/>
    <cellStyle name="표준 9 8 5 2 2 3 4" xfId="26193"/>
    <cellStyle name="표준 9 8 5 2 2 3 5" xfId="26194"/>
    <cellStyle name="표준 9 8 5 2 2 4 2" xfId="26195"/>
    <cellStyle name="표준 9 8 5 2 2 5" xfId="26196"/>
    <cellStyle name="표준 9 8 5 2 2 5 2" xfId="26197"/>
    <cellStyle name="표준 9 8 5 2 2 6" xfId="26198"/>
    <cellStyle name="표준 9 8 5 2 2 7" xfId="26199"/>
    <cellStyle name="표준 9 8 5 2 3 2 2" xfId="26200"/>
    <cellStyle name="표준 9 8 5 2 3 3" xfId="26201"/>
    <cellStyle name="표준 9 8 5 2 3 3 2" xfId="26202"/>
    <cellStyle name="표준 9 8 5 2 3 4" xfId="26203"/>
    <cellStyle name="표준 9 8 5 2 3 5" xfId="26204"/>
    <cellStyle name="표준 9 8 5 2 4 2 2" xfId="26205"/>
    <cellStyle name="표준 9 8 5 2 4 3" xfId="26206"/>
    <cellStyle name="표준 9 8 5 2 4 3 2" xfId="26207"/>
    <cellStyle name="표준 9 8 5 2 4 4" xfId="26208"/>
    <cellStyle name="표준 9 8 5 2 4 5" xfId="26209"/>
    <cellStyle name="표준 9 8 5 2 5 2" xfId="26210"/>
    <cellStyle name="표준 9 8 5 2 6" xfId="26211"/>
    <cellStyle name="표준 9 8 5 2 6 2" xfId="26212"/>
    <cellStyle name="표준 9 8 5 2 7" xfId="26213"/>
    <cellStyle name="표준 9 8 5 2 8" xfId="26214"/>
    <cellStyle name="표준 9 8 5 3 2 2 2" xfId="26215"/>
    <cellStyle name="표준 9 8 5 3 2 3" xfId="26216"/>
    <cellStyle name="표준 9 8 5 3 2 3 2" xfId="26217"/>
    <cellStyle name="표준 9 8 5 3 2 4" xfId="26218"/>
    <cellStyle name="표준 9 8 5 3 2 5" xfId="26219"/>
    <cellStyle name="표준 9 8 5 3 3 2 2" xfId="26220"/>
    <cellStyle name="표준 9 8 5 3 3 3" xfId="26221"/>
    <cellStyle name="표준 9 8 5 3 3 3 2" xfId="26222"/>
    <cellStyle name="표준 9 8 5 3 3 4" xfId="26223"/>
    <cellStyle name="표준 9 8 5 3 3 5" xfId="26224"/>
    <cellStyle name="표준 9 8 5 3 4 2" xfId="26225"/>
    <cellStyle name="표준 9 8 5 3 5" xfId="26226"/>
    <cellStyle name="표준 9 8 5 3 5 2" xfId="26227"/>
    <cellStyle name="표준 9 8 5 3 6" xfId="26228"/>
    <cellStyle name="표준 9 8 5 3 7" xfId="26229"/>
    <cellStyle name="표준 9 8 5 4 2 2" xfId="26230"/>
    <cellStyle name="표준 9 8 5 4 3" xfId="26231"/>
    <cellStyle name="표준 9 8 5 4 3 2" xfId="26232"/>
    <cellStyle name="표준 9 8 5 4 4" xfId="26233"/>
    <cellStyle name="표준 9 8 5 4 5" xfId="26234"/>
    <cellStyle name="표준 9 8 5 5 2 2" xfId="26235"/>
    <cellStyle name="표준 9 8 5 5 3" xfId="26236"/>
    <cellStyle name="표준 9 8 5 5 3 2" xfId="26237"/>
    <cellStyle name="표준 9 8 5 5 4" xfId="26238"/>
    <cellStyle name="표준 9 8 5 5 5" xfId="26239"/>
    <cellStyle name="표준 9 8 5 6 2" xfId="26240"/>
    <cellStyle name="표준 9 8 5 7" xfId="26241"/>
    <cellStyle name="표준 9 8 5 7 2" xfId="26242"/>
    <cellStyle name="표준 9 8 5 8" xfId="26243"/>
    <cellStyle name="표준 9 8 5 9" xfId="26244"/>
    <cellStyle name="표준 9 8 6 2 2 2 2" xfId="26245"/>
    <cellStyle name="표준 9 8 6 2 2 3" xfId="26246"/>
    <cellStyle name="표준 9 8 6 2 2 3 2" xfId="26247"/>
    <cellStyle name="표준 9 8 6 2 2 4" xfId="26248"/>
    <cellStyle name="표준 9 8 6 2 2 5" xfId="26249"/>
    <cellStyle name="표준 9 8 6 2 3 2 2" xfId="26250"/>
    <cellStyle name="표준 9 8 6 2 3 3" xfId="26251"/>
    <cellStyle name="표준 9 8 6 2 3 3 2" xfId="26252"/>
    <cellStyle name="표준 9 8 6 2 3 4" xfId="26253"/>
    <cellStyle name="표준 9 8 6 2 3 5" xfId="26254"/>
    <cellStyle name="표준 9 8 6 2 4 2" xfId="26255"/>
    <cellStyle name="표준 9 8 6 2 5" xfId="26256"/>
    <cellStyle name="표준 9 8 6 2 5 2" xfId="26257"/>
    <cellStyle name="표준 9 8 6 2 6" xfId="26258"/>
    <cellStyle name="표준 9 8 6 2 7" xfId="26259"/>
    <cellStyle name="표준 9 8 6 3 2 2" xfId="26260"/>
    <cellStyle name="표준 9 8 6 3 3" xfId="26261"/>
    <cellStyle name="표준 9 8 6 3 3 2" xfId="26262"/>
    <cellStyle name="표준 9 8 6 3 4" xfId="26263"/>
    <cellStyle name="표준 9 8 6 3 5" xfId="26264"/>
    <cellStyle name="표준 9 8 6 4 2 2" xfId="26265"/>
    <cellStyle name="표준 9 8 6 4 3" xfId="26266"/>
    <cellStyle name="표준 9 8 6 4 3 2" xfId="26267"/>
    <cellStyle name="표준 9 8 6 4 4" xfId="26268"/>
    <cellStyle name="표준 9 8 6 4 5" xfId="26269"/>
    <cellStyle name="표준 9 8 6 5 2" xfId="26270"/>
    <cellStyle name="표준 9 8 6 6" xfId="26271"/>
    <cellStyle name="표준 9 8 6 6 2" xfId="26272"/>
    <cellStyle name="표준 9 8 6 7" xfId="26273"/>
    <cellStyle name="표준 9 8 6 8" xfId="26274"/>
    <cellStyle name="표준 9 8 7 2 2 2" xfId="26275"/>
    <cellStyle name="표준 9 8 7 2 3" xfId="26276"/>
    <cellStyle name="표준 9 8 7 2 3 2" xfId="26277"/>
    <cellStyle name="표준 9 8 7 2 4" xfId="26278"/>
    <cellStyle name="표준 9 8 7 2 5" xfId="26279"/>
    <cellStyle name="표준 9 8 7 3 2 2" xfId="26280"/>
    <cellStyle name="표준 9 8 7 3 3" xfId="26281"/>
    <cellStyle name="표준 9 8 7 3 3 2" xfId="26282"/>
    <cellStyle name="표준 9 8 7 3 4" xfId="26283"/>
    <cellStyle name="표준 9 8 7 3 5" xfId="26284"/>
    <cellStyle name="표준 9 8 7 4 2" xfId="26285"/>
    <cellStyle name="표준 9 8 7 5" xfId="26286"/>
    <cellStyle name="표준 9 8 7 5 2" xfId="26287"/>
    <cellStyle name="표준 9 8 7 6" xfId="26288"/>
    <cellStyle name="표준 9 8 7 7" xfId="26289"/>
    <cellStyle name="표준 9 8 8 2 2" xfId="26290"/>
    <cellStyle name="표준 9 8 8 3" xfId="26291"/>
    <cellStyle name="표준 9 8 8 3 2" xfId="26292"/>
    <cellStyle name="표준 9 8 8 4" xfId="26293"/>
    <cellStyle name="표준 9 8 8 5" xfId="26294"/>
    <cellStyle name="표준 9 8 9 2 2" xfId="26295"/>
    <cellStyle name="표준 9 8 9 3" xfId="26296"/>
    <cellStyle name="표준 9 8 9 3 2" xfId="26297"/>
    <cellStyle name="표준 9 8 9 4" xfId="26298"/>
    <cellStyle name="표준 9 8 9 5" xfId="26299"/>
    <cellStyle name="표준 9 9 10" xfId="26300"/>
    <cellStyle name="표준 9 9 10 2" xfId="26301"/>
    <cellStyle name="표준 9 9 11" xfId="26302"/>
    <cellStyle name="표준 9 9 12" xfId="26303"/>
    <cellStyle name="표준 9 9 2 10" xfId="26304"/>
    <cellStyle name="표준 9 9 2 2 2 2 2 2 2" xfId="26305"/>
    <cellStyle name="표준 9 9 2 2 2 2 2 3" xfId="26306"/>
    <cellStyle name="표준 9 9 2 2 2 2 2 3 2" xfId="26307"/>
    <cellStyle name="표준 9 9 2 2 2 2 2 4" xfId="26308"/>
    <cellStyle name="표준 9 9 2 2 2 2 2 5" xfId="26309"/>
    <cellStyle name="표준 9 9 2 2 2 2 3 2 2" xfId="26310"/>
    <cellStyle name="표준 9 9 2 2 2 2 3 3" xfId="26311"/>
    <cellStyle name="표준 9 9 2 2 2 2 3 3 2" xfId="26312"/>
    <cellStyle name="표준 9 9 2 2 2 2 3 4" xfId="26313"/>
    <cellStyle name="표준 9 9 2 2 2 2 3 5" xfId="26314"/>
    <cellStyle name="표준 9 9 2 2 2 2 4 2" xfId="26315"/>
    <cellStyle name="표준 9 9 2 2 2 2 5" xfId="26316"/>
    <cellStyle name="표준 9 9 2 2 2 2 5 2" xfId="26317"/>
    <cellStyle name="표준 9 9 2 2 2 2 6" xfId="26318"/>
    <cellStyle name="표준 9 9 2 2 2 2 7" xfId="26319"/>
    <cellStyle name="표준 9 9 2 2 2 3 2 2" xfId="26320"/>
    <cellStyle name="표준 9 9 2 2 2 3 3" xfId="26321"/>
    <cellStyle name="표준 9 9 2 2 2 3 3 2" xfId="26322"/>
    <cellStyle name="표준 9 9 2 2 2 3 4" xfId="26323"/>
    <cellStyle name="표준 9 9 2 2 2 3 5" xfId="26324"/>
    <cellStyle name="표준 9 9 2 2 2 4 2 2" xfId="26325"/>
    <cellStyle name="표준 9 9 2 2 2 4 3" xfId="26326"/>
    <cellStyle name="표준 9 9 2 2 2 4 3 2" xfId="26327"/>
    <cellStyle name="표준 9 9 2 2 2 4 4" xfId="26328"/>
    <cellStyle name="표준 9 9 2 2 2 4 5" xfId="26329"/>
    <cellStyle name="표준 9 9 2 2 2 5 2" xfId="26330"/>
    <cellStyle name="표준 9 9 2 2 2 6" xfId="26331"/>
    <cellStyle name="표준 9 9 2 2 2 6 2" xfId="26332"/>
    <cellStyle name="표준 9 9 2 2 2 7" xfId="26333"/>
    <cellStyle name="표준 9 9 2 2 2 8" xfId="26334"/>
    <cellStyle name="표준 9 9 2 2 3 2 2 2" xfId="26335"/>
    <cellStyle name="표준 9 9 2 2 3 2 3" xfId="26336"/>
    <cellStyle name="표준 9 9 2 2 3 2 3 2" xfId="26337"/>
    <cellStyle name="표준 9 9 2 2 3 2 4" xfId="26338"/>
    <cellStyle name="표준 9 9 2 2 3 2 5" xfId="26339"/>
    <cellStyle name="표준 9 9 2 2 3 3 2 2" xfId="26340"/>
    <cellStyle name="표준 9 9 2 2 3 3 3" xfId="26341"/>
    <cellStyle name="표준 9 9 2 2 3 3 3 2" xfId="26342"/>
    <cellStyle name="표준 9 9 2 2 3 3 4" xfId="26343"/>
    <cellStyle name="표준 9 9 2 2 3 3 5" xfId="26344"/>
    <cellStyle name="표준 9 9 2 2 3 4 2" xfId="26345"/>
    <cellStyle name="표준 9 9 2 2 3 5" xfId="26346"/>
    <cellStyle name="표준 9 9 2 2 3 5 2" xfId="26347"/>
    <cellStyle name="표준 9 9 2 2 3 6" xfId="26348"/>
    <cellStyle name="표준 9 9 2 2 3 7" xfId="26349"/>
    <cellStyle name="표준 9 9 2 2 4 2 2" xfId="26350"/>
    <cellStyle name="표준 9 9 2 2 4 3" xfId="26351"/>
    <cellStyle name="표준 9 9 2 2 4 3 2" xfId="26352"/>
    <cellStyle name="표준 9 9 2 2 4 4" xfId="26353"/>
    <cellStyle name="표준 9 9 2 2 4 5" xfId="26354"/>
    <cellStyle name="표준 9 9 2 2 5 2 2" xfId="26355"/>
    <cellStyle name="표준 9 9 2 2 5 3" xfId="26356"/>
    <cellStyle name="표준 9 9 2 2 5 3 2" xfId="26357"/>
    <cellStyle name="표준 9 9 2 2 5 4" xfId="26358"/>
    <cellStyle name="표준 9 9 2 2 5 5" xfId="26359"/>
    <cellStyle name="표준 9 9 2 2 6 2" xfId="26360"/>
    <cellStyle name="표준 9 9 2 2 7" xfId="26361"/>
    <cellStyle name="표준 9 9 2 2 7 2" xfId="26362"/>
    <cellStyle name="표준 9 9 2 2 8" xfId="26363"/>
    <cellStyle name="표준 9 9 2 2 9" xfId="26364"/>
    <cellStyle name="표준 9 9 2 3 2 2 2 2" xfId="26365"/>
    <cellStyle name="표준 9 9 2 3 2 2 3" xfId="26366"/>
    <cellStyle name="표준 9 9 2 3 2 2 3 2" xfId="26367"/>
    <cellStyle name="표준 9 9 2 3 2 2 4" xfId="26368"/>
    <cellStyle name="표준 9 9 2 3 2 2 5" xfId="26369"/>
    <cellStyle name="표준 9 9 2 3 2 3 2 2" xfId="26370"/>
    <cellStyle name="표준 9 9 2 3 2 3 3" xfId="26371"/>
    <cellStyle name="표준 9 9 2 3 2 3 3 2" xfId="26372"/>
    <cellStyle name="표준 9 9 2 3 2 3 4" xfId="26373"/>
    <cellStyle name="표준 9 9 2 3 2 3 5" xfId="26374"/>
    <cellStyle name="표준 9 9 2 3 2 4 2" xfId="26375"/>
    <cellStyle name="표준 9 9 2 3 2 5" xfId="26376"/>
    <cellStyle name="표준 9 9 2 3 2 5 2" xfId="26377"/>
    <cellStyle name="표준 9 9 2 3 2 6" xfId="26378"/>
    <cellStyle name="표준 9 9 2 3 2 7" xfId="26379"/>
    <cellStyle name="표준 9 9 2 3 3 2 2" xfId="26380"/>
    <cellStyle name="표준 9 9 2 3 3 3" xfId="26381"/>
    <cellStyle name="표준 9 9 2 3 3 3 2" xfId="26382"/>
    <cellStyle name="표준 9 9 2 3 3 4" xfId="26383"/>
    <cellStyle name="표준 9 9 2 3 3 5" xfId="26384"/>
    <cellStyle name="표준 9 9 2 3 4 2 2" xfId="26385"/>
    <cellStyle name="표준 9 9 2 3 4 3" xfId="26386"/>
    <cellStyle name="표준 9 9 2 3 4 3 2" xfId="26387"/>
    <cellStyle name="표준 9 9 2 3 4 4" xfId="26388"/>
    <cellStyle name="표준 9 9 2 3 4 5" xfId="26389"/>
    <cellStyle name="표준 9 9 2 3 5 2" xfId="26390"/>
    <cellStyle name="표준 9 9 2 3 6" xfId="26391"/>
    <cellStyle name="표준 9 9 2 3 6 2" xfId="26392"/>
    <cellStyle name="표준 9 9 2 3 7" xfId="26393"/>
    <cellStyle name="표준 9 9 2 3 8" xfId="26394"/>
    <cellStyle name="표준 9 9 2 4 2 2 2" xfId="26395"/>
    <cellStyle name="표준 9 9 2 4 2 3" xfId="26396"/>
    <cellStyle name="표준 9 9 2 4 2 3 2" xfId="26397"/>
    <cellStyle name="표준 9 9 2 4 2 4" xfId="26398"/>
    <cellStyle name="표준 9 9 2 4 2 5" xfId="26399"/>
    <cellStyle name="표준 9 9 2 4 3 2 2" xfId="26400"/>
    <cellStyle name="표준 9 9 2 4 3 3" xfId="26401"/>
    <cellStyle name="표준 9 9 2 4 3 3 2" xfId="26402"/>
    <cellStyle name="표준 9 9 2 4 3 4" xfId="26403"/>
    <cellStyle name="표준 9 9 2 4 3 5" xfId="26404"/>
    <cellStyle name="표준 9 9 2 4 4 2" xfId="26405"/>
    <cellStyle name="표준 9 9 2 4 5" xfId="26406"/>
    <cellStyle name="표준 9 9 2 4 5 2" xfId="26407"/>
    <cellStyle name="표준 9 9 2 4 6" xfId="26408"/>
    <cellStyle name="표준 9 9 2 4 7" xfId="26409"/>
    <cellStyle name="표준 9 9 2 5 2 2" xfId="26410"/>
    <cellStyle name="표준 9 9 2 5 3" xfId="26411"/>
    <cellStyle name="표준 9 9 2 5 3 2" xfId="26412"/>
    <cellStyle name="표준 9 9 2 5 4" xfId="26413"/>
    <cellStyle name="표준 9 9 2 5 5" xfId="26414"/>
    <cellStyle name="표준 9 9 2 6 2 2" xfId="26415"/>
    <cellStyle name="표준 9 9 2 6 3" xfId="26416"/>
    <cellStyle name="표준 9 9 2 6 3 2" xfId="26417"/>
    <cellStyle name="표준 9 9 2 6 4" xfId="26418"/>
    <cellStyle name="표준 9 9 2 6 5" xfId="26419"/>
    <cellStyle name="표준 9 9 2 7 2" xfId="26420"/>
    <cellStyle name="표준 9 9 2 8" xfId="26421"/>
    <cellStyle name="표준 9 9 2 8 2" xfId="26422"/>
    <cellStyle name="표준 9 9 2 9" xfId="26423"/>
    <cellStyle name="표준 9 9 3 10" xfId="26424"/>
    <cellStyle name="표준 9 9 3 2 2 2 2 2 2" xfId="26425"/>
    <cellStyle name="표준 9 9 3 2 2 2 2 3" xfId="26426"/>
    <cellStyle name="표준 9 9 3 2 2 2 2 3 2" xfId="26427"/>
    <cellStyle name="표준 9 9 3 2 2 2 2 4" xfId="26428"/>
    <cellStyle name="표준 9 9 3 2 2 2 2 5" xfId="26429"/>
    <cellStyle name="표준 9 9 3 2 2 2 3 2 2" xfId="26430"/>
    <cellStyle name="표준 9 9 3 2 2 2 3 3" xfId="26431"/>
    <cellStyle name="표준 9 9 3 2 2 2 3 3 2" xfId="26432"/>
    <cellStyle name="표준 9 9 3 2 2 2 3 4" xfId="26433"/>
    <cellStyle name="표준 9 9 3 2 2 2 3 5" xfId="26434"/>
    <cellStyle name="표준 9 9 3 2 2 2 4 2" xfId="26435"/>
    <cellStyle name="표준 9 9 3 2 2 2 5" xfId="26436"/>
    <cellStyle name="표준 9 9 3 2 2 2 5 2" xfId="26437"/>
    <cellStyle name="표준 9 9 3 2 2 2 6" xfId="26438"/>
    <cellStyle name="표준 9 9 3 2 2 2 7" xfId="26439"/>
    <cellStyle name="표준 9 9 3 2 2 3 2 2" xfId="26440"/>
    <cellStyle name="표준 9 9 3 2 2 3 3" xfId="26441"/>
    <cellStyle name="표준 9 9 3 2 2 3 3 2" xfId="26442"/>
    <cellStyle name="표준 9 9 3 2 2 3 4" xfId="26443"/>
    <cellStyle name="표준 9 9 3 2 2 3 5" xfId="26444"/>
    <cellStyle name="표준 9 9 3 2 2 4 2 2" xfId="26445"/>
    <cellStyle name="표준 9 9 3 2 2 4 3" xfId="26446"/>
    <cellStyle name="표준 9 9 3 2 2 4 3 2" xfId="26447"/>
    <cellStyle name="표준 9 9 3 2 2 4 4" xfId="26448"/>
    <cellStyle name="표준 9 9 3 2 2 4 5" xfId="26449"/>
    <cellStyle name="표준 9 9 3 2 2 5 2" xfId="26450"/>
    <cellStyle name="표준 9 9 3 2 2 6" xfId="26451"/>
    <cellStyle name="표준 9 9 3 2 2 6 2" xfId="26452"/>
    <cellStyle name="표준 9 9 3 2 2 7" xfId="26453"/>
    <cellStyle name="표준 9 9 3 2 2 8" xfId="26454"/>
    <cellStyle name="표준 9 9 3 2 3 2 2 2" xfId="26455"/>
    <cellStyle name="표준 9 9 3 2 3 2 3" xfId="26456"/>
    <cellStyle name="표준 9 9 3 2 3 2 3 2" xfId="26457"/>
    <cellStyle name="표준 9 9 3 2 3 2 4" xfId="26458"/>
    <cellStyle name="표준 9 9 3 2 3 2 5" xfId="26459"/>
    <cellStyle name="표준 9 9 3 2 3 3 2 2" xfId="26460"/>
    <cellStyle name="표준 9 9 3 2 3 3 3" xfId="26461"/>
    <cellStyle name="표준 9 9 3 2 3 3 3 2" xfId="26462"/>
    <cellStyle name="표준 9 9 3 2 3 3 4" xfId="26463"/>
    <cellStyle name="표준 9 9 3 2 3 3 5" xfId="26464"/>
    <cellStyle name="표준 9 9 3 2 3 4 2" xfId="26465"/>
    <cellStyle name="표준 9 9 3 2 3 5" xfId="26466"/>
    <cellStyle name="표준 9 9 3 2 3 5 2" xfId="26467"/>
    <cellStyle name="표준 9 9 3 2 3 6" xfId="26468"/>
    <cellStyle name="표준 9 9 3 2 3 7" xfId="26469"/>
    <cellStyle name="표준 9 9 3 2 4 2 2" xfId="26470"/>
    <cellStyle name="표준 9 9 3 2 4 3" xfId="26471"/>
    <cellStyle name="표준 9 9 3 2 4 3 2" xfId="26472"/>
    <cellStyle name="표준 9 9 3 2 4 4" xfId="26473"/>
    <cellStyle name="표준 9 9 3 2 4 5" xfId="26474"/>
    <cellStyle name="표준 9 9 3 2 5 2 2" xfId="26475"/>
    <cellStyle name="표준 9 9 3 2 5 3" xfId="26476"/>
    <cellStyle name="표준 9 9 3 2 5 3 2" xfId="26477"/>
    <cellStyle name="표준 9 9 3 2 5 4" xfId="26478"/>
    <cellStyle name="표준 9 9 3 2 5 5" xfId="26479"/>
    <cellStyle name="표준 9 9 3 2 6 2" xfId="26480"/>
    <cellStyle name="표준 9 9 3 2 7" xfId="26481"/>
    <cellStyle name="표준 9 9 3 2 7 2" xfId="26482"/>
    <cellStyle name="표준 9 9 3 2 8" xfId="26483"/>
    <cellStyle name="표준 9 9 3 2 9" xfId="26484"/>
    <cellStyle name="표준 9 9 3 3 2 2 2 2" xfId="26485"/>
    <cellStyle name="표준 9 9 3 3 2 2 3" xfId="26486"/>
    <cellStyle name="표준 9 9 3 3 2 2 3 2" xfId="26487"/>
    <cellStyle name="표준 9 9 3 3 2 2 4" xfId="26488"/>
    <cellStyle name="표준 9 9 3 3 2 2 5" xfId="26489"/>
    <cellStyle name="표준 9 9 3 3 2 3 2 2" xfId="26490"/>
    <cellStyle name="표준 9 9 3 3 2 3 3" xfId="26491"/>
    <cellStyle name="표준 9 9 3 3 2 3 3 2" xfId="26492"/>
    <cellStyle name="표준 9 9 3 3 2 3 4" xfId="26493"/>
    <cellStyle name="표준 9 9 3 3 2 3 5" xfId="26494"/>
    <cellStyle name="표준 9 9 3 3 2 4 2" xfId="26495"/>
    <cellStyle name="표준 9 9 3 3 2 5" xfId="26496"/>
    <cellStyle name="표준 9 9 3 3 2 5 2" xfId="26497"/>
    <cellStyle name="표준 9 9 3 3 2 6" xfId="26498"/>
    <cellStyle name="표준 9 9 3 3 2 7" xfId="26499"/>
    <cellStyle name="표준 9 9 3 3 3 2 2" xfId="26500"/>
    <cellStyle name="표준 9 9 3 3 3 3" xfId="26501"/>
    <cellStyle name="표준 9 9 3 3 3 3 2" xfId="26502"/>
    <cellStyle name="표준 9 9 3 3 3 4" xfId="26503"/>
    <cellStyle name="표준 9 9 3 3 3 5" xfId="26504"/>
    <cellStyle name="표준 9 9 3 3 4 2 2" xfId="26505"/>
    <cellStyle name="표준 9 9 3 3 4 3" xfId="26506"/>
    <cellStyle name="표준 9 9 3 3 4 3 2" xfId="26507"/>
    <cellStyle name="표준 9 9 3 3 4 4" xfId="26508"/>
    <cellStyle name="표준 9 9 3 3 4 5" xfId="26509"/>
    <cellStyle name="표준 9 9 3 3 5 2" xfId="26510"/>
    <cellStyle name="표준 9 9 3 3 6" xfId="26511"/>
    <cellStyle name="표준 9 9 3 3 6 2" xfId="26512"/>
    <cellStyle name="표준 9 9 3 3 7" xfId="26513"/>
    <cellStyle name="표준 9 9 3 3 8" xfId="26514"/>
    <cellStyle name="표준 9 9 3 4 2 2 2" xfId="26515"/>
    <cellStyle name="표준 9 9 3 4 2 3" xfId="26516"/>
    <cellStyle name="표준 9 9 3 4 2 3 2" xfId="26517"/>
    <cellStyle name="표준 9 9 3 4 2 4" xfId="26518"/>
    <cellStyle name="표준 9 9 3 4 2 5" xfId="26519"/>
    <cellStyle name="표준 9 9 3 4 3 2 2" xfId="26520"/>
    <cellStyle name="표준 9 9 3 4 3 3" xfId="26521"/>
    <cellStyle name="표준 9 9 3 4 3 3 2" xfId="26522"/>
    <cellStyle name="표준 9 9 3 4 3 4" xfId="26523"/>
    <cellStyle name="표준 9 9 3 4 3 5" xfId="26524"/>
    <cellStyle name="표준 9 9 3 4 4 2" xfId="26525"/>
    <cellStyle name="표준 9 9 3 4 5" xfId="26526"/>
    <cellStyle name="표준 9 9 3 4 5 2" xfId="26527"/>
    <cellStyle name="표준 9 9 3 4 6" xfId="26528"/>
    <cellStyle name="표준 9 9 3 4 7" xfId="26529"/>
    <cellStyle name="표준 9 9 3 5 2 2" xfId="26530"/>
    <cellStyle name="표준 9 9 3 5 3" xfId="26531"/>
    <cellStyle name="표준 9 9 3 5 3 2" xfId="26532"/>
    <cellStyle name="표준 9 9 3 5 4" xfId="26533"/>
    <cellStyle name="표준 9 9 3 5 5" xfId="26534"/>
    <cellStyle name="표준 9 9 3 6 2 2" xfId="26535"/>
    <cellStyle name="표준 9 9 3 6 3" xfId="26536"/>
    <cellStyle name="표준 9 9 3 6 3 2" xfId="26537"/>
    <cellStyle name="표준 9 9 3 6 4" xfId="26538"/>
    <cellStyle name="표준 9 9 3 6 5" xfId="26539"/>
    <cellStyle name="표준 9 9 3 7 2" xfId="26540"/>
    <cellStyle name="표준 9 9 3 8" xfId="26541"/>
    <cellStyle name="표준 9 9 3 8 2" xfId="26542"/>
    <cellStyle name="표준 9 9 3 9" xfId="26543"/>
    <cellStyle name="표준 9 9 4 2 2 2 2 2" xfId="26544"/>
    <cellStyle name="표준 9 9 4 2 2 2 3" xfId="26545"/>
    <cellStyle name="표준 9 9 4 2 2 2 3 2" xfId="26546"/>
    <cellStyle name="표준 9 9 4 2 2 2 4" xfId="26547"/>
    <cellStyle name="표준 9 9 4 2 2 2 5" xfId="26548"/>
    <cellStyle name="표준 9 9 4 2 2 3 2 2" xfId="26549"/>
    <cellStyle name="표준 9 9 4 2 2 3 3" xfId="26550"/>
    <cellStyle name="표준 9 9 4 2 2 3 3 2" xfId="26551"/>
    <cellStyle name="표준 9 9 4 2 2 3 4" xfId="26552"/>
    <cellStyle name="표준 9 9 4 2 2 3 5" xfId="26553"/>
    <cellStyle name="표준 9 9 4 2 2 4 2" xfId="26554"/>
    <cellStyle name="표준 9 9 4 2 2 5" xfId="26555"/>
    <cellStyle name="표준 9 9 4 2 2 5 2" xfId="26556"/>
    <cellStyle name="표준 9 9 4 2 2 6" xfId="26557"/>
    <cellStyle name="표준 9 9 4 2 2 7" xfId="26558"/>
    <cellStyle name="표준 9 9 4 2 3 2 2" xfId="26559"/>
    <cellStyle name="표준 9 9 4 2 3 3" xfId="26560"/>
    <cellStyle name="표준 9 9 4 2 3 3 2" xfId="26561"/>
    <cellStyle name="표준 9 9 4 2 3 4" xfId="26562"/>
    <cellStyle name="표준 9 9 4 2 3 5" xfId="26563"/>
    <cellStyle name="표준 9 9 4 2 4 2 2" xfId="26564"/>
    <cellStyle name="표준 9 9 4 2 4 3" xfId="26565"/>
    <cellStyle name="표준 9 9 4 2 4 3 2" xfId="26566"/>
    <cellStyle name="표준 9 9 4 2 4 4" xfId="26567"/>
    <cellStyle name="표준 9 9 4 2 4 5" xfId="26568"/>
    <cellStyle name="표준 9 9 4 2 5 2" xfId="26569"/>
    <cellStyle name="표준 9 9 4 2 6" xfId="26570"/>
    <cellStyle name="표준 9 9 4 2 6 2" xfId="26571"/>
    <cellStyle name="표준 9 9 4 2 7" xfId="26572"/>
    <cellStyle name="표준 9 9 4 2 8" xfId="26573"/>
    <cellStyle name="표준 9 9 4 3 2 2 2" xfId="26574"/>
    <cellStyle name="표준 9 9 4 3 2 3" xfId="26575"/>
    <cellStyle name="표준 9 9 4 3 2 3 2" xfId="26576"/>
    <cellStyle name="표준 9 9 4 3 2 4" xfId="26577"/>
    <cellStyle name="표준 9 9 4 3 2 5" xfId="26578"/>
    <cellStyle name="표준 9 9 4 3 3 2 2" xfId="26579"/>
    <cellStyle name="표준 9 9 4 3 3 3" xfId="26580"/>
    <cellStyle name="표준 9 9 4 3 3 3 2" xfId="26581"/>
    <cellStyle name="표준 9 9 4 3 3 4" xfId="26582"/>
    <cellStyle name="표준 9 9 4 3 3 5" xfId="26583"/>
    <cellStyle name="표준 9 9 4 3 4 2" xfId="26584"/>
    <cellStyle name="표준 9 9 4 3 5" xfId="26585"/>
    <cellStyle name="표준 9 9 4 3 5 2" xfId="26586"/>
    <cellStyle name="표준 9 9 4 3 6" xfId="26587"/>
    <cellStyle name="표준 9 9 4 3 7" xfId="26588"/>
    <cellStyle name="표준 9 9 4 4 2 2" xfId="26589"/>
    <cellStyle name="표준 9 9 4 4 3" xfId="26590"/>
    <cellStyle name="표준 9 9 4 4 3 2" xfId="26591"/>
    <cellStyle name="표준 9 9 4 4 4" xfId="26592"/>
    <cellStyle name="표준 9 9 4 4 5" xfId="26593"/>
    <cellStyle name="표준 9 9 4 5 2 2" xfId="26594"/>
    <cellStyle name="표준 9 9 4 5 3" xfId="26595"/>
    <cellStyle name="표준 9 9 4 5 3 2" xfId="26596"/>
    <cellStyle name="표준 9 9 4 5 4" xfId="26597"/>
    <cellStyle name="표준 9 9 4 5 5" xfId="26598"/>
    <cellStyle name="표준 9 9 4 6 2" xfId="26599"/>
    <cellStyle name="표준 9 9 4 7" xfId="26600"/>
    <cellStyle name="표준 9 9 4 7 2" xfId="26601"/>
    <cellStyle name="표준 9 9 4 8" xfId="26602"/>
    <cellStyle name="표준 9 9 4 9" xfId="26603"/>
    <cellStyle name="표준 9 9 5 2 2 2 2" xfId="26604"/>
    <cellStyle name="표준 9 9 5 2 2 3" xfId="26605"/>
    <cellStyle name="표준 9 9 5 2 2 3 2" xfId="26606"/>
    <cellStyle name="표준 9 9 5 2 2 4" xfId="26607"/>
    <cellStyle name="표준 9 9 5 2 2 5" xfId="26608"/>
    <cellStyle name="표준 9 9 5 2 3 2 2" xfId="26609"/>
    <cellStyle name="표준 9 9 5 2 3 3" xfId="26610"/>
    <cellStyle name="표준 9 9 5 2 3 3 2" xfId="26611"/>
    <cellStyle name="표준 9 9 5 2 3 4" xfId="26612"/>
    <cellStyle name="표준 9 9 5 2 3 5" xfId="26613"/>
    <cellStyle name="표준 9 9 5 2 4 2" xfId="26614"/>
    <cellStyle name="표준 9 9 5 2 5" xfId="26615"/>
    <cellStyle name="표준 9 9 5 2 5 2" xfId="26616"/>
    <cellStyle name="표준 9 9 5 2 6" xfId="26617"/>
    <cellStyle name="표준 9 9 5 2 7" xfId="26618"/>
    <cellStyle name="표준 9 9 5 3 2 2" xfId="26619"/>
    <cellStyle name="표준 9 9 5 3 3" xfId="26620"/>
    <cellStyle name="표준 9 9 5 3 3 2" xfId="26621"/>
    <cellStyle name="표준 9 9 5 3 4" xfId="26622"/>
    <cellStyle name="표준 9 9 5 3 5" xfId="26623"/>
    <cellStyle name="표준 9 9 5 4 2 2" xfId="26624"/>
    <cellStyle name="표준 9 9 5 4 3" xfId="26625"/>
    <cellStyle name="표준 9 9 5 4 3 2" xfId="26626"/>
    <cellStyle name="표준 9 9 5 4 4" xfId="26627"/>
    <cellStyle name="표준 9 9 5 4 5" xfId="26628"/>
    <cellStyle name="표준 9 9 5 5 2" xfId="26629"/>
    <cellStyle name="표준 9 9 5 6" xfId="26630"/>
    <cellStyle name="표준 9 9 5 6 2" xfId="26631"/>
    <cellStyle name="표준 9 9 5 7" xfId="26632"/>
    <cellStyle name="표준 9 9 5 8" xfId="26633"/>
    <cellStyle name="표준 9 9 6 2 2 2" xfId="26634"/>
    <cellStyle name="표준 9 9 6 2 3" xfId="26635"/>
    <cellStyle name="표준 9 9 6 2 3 2" xfId="26636"/>
    <cellStyle name="표준 9 9 6 2 4" xfId="26637"/>
    <cellStyle name="표준 9 9 6 2 5" xfId="26638"/>
    <cellStyle name="표준 9 9 6 3 2 2" xfId="26639"/>
    <cellStyle name="표준 9 9 6 3 3" xfId="26640"/>
    <cellStyle name="표준 9 9 6 3 3 2" xfId="26641"/>
    <cellStyle name="표준 9 9 6 3 4" xfId="26642"/>
    <cellStyle name="표준 9 9 6 3 5" xfId="26643"/>
    <cellStyle name="표준 9 9 6 4 2" xfId="26644"/>
    <cellStyle name="표준 9 9 6 5" xfId="26645"/>
    <cellStyle name="표준 9 9 6 5 2" xfId="26646"/>
    <cellStyle name="표준 9 9 6 6" xfId="26647"/>
    <cellStyle name="표준 9 9 6 7" xfId="26648"/>
    <cellStyle name="표준 9 9 7 2 2" xfId="26649"/>
    <cellStyle name="표준 9 9 7 3" xfId="26650"/>
    <cellStyle name="표준 9 9 7 3 2" xfId="26651"/>
    <cellStyle name="표준 9 9 7 4" xfId="26652"/>
    <cellStyle name="표준 9 9 7 5" xfId="26653"/>
    <cellStyle name="표준 9 9 8 2 2" xfId="26654"/>
    <cellStyle name="표준 9 9 8 3" xfId="26655"/>
    <cellStyle name="표준 9 9 8 3 2" xfId="26656"/>
    <cellStyle name="표준 9 9 8 4" xfId="26657"/>
    <cellStyle name="표준 9 9 8 5" xfId="26658"/>
    <cellStyle name="표준 9 9 9 2" xfId="26659"/>
    <cellStyle name="표준 47" xfId="26660"/>
    <cellStyle name="표준 48" xfId="26661"/>
    <cellStyle name="표준 49" xfId="26662"/>
    <cellStyle name="표준 50" xfId="26663"/>
    <cellStyle name="표준 51" xfId="26664"/>
    <cellStyle name="표준 52" xfId="26665"/>
    <cellStyle name="표준 53" xfId="26666"/>
    <cellStyle name="표준 54" xfId="26667"/>
    <cellStyle name="표준 55" xfId="26668"/>
    <cellStyle name="표준 56" xfId="26669"/>
    <cellStyle name="표준 57" xfId="26670"/>
    <cellStyle name="표준 58" xfId="26671"/>
    <cellStyle name="표준 59" xfId="26672"/>
    <cellStyle name="표준 60" xfId="26673"/>
    <cellStyle name="표준 61" xfId="26674"/>
    <cellStyle name="표준 63" xfId="26675"/>
    <cellStyle name="표준 62" xfId="26676"/>
    <cellStyle name="표준 7 29" xfId="26677"/>
    <cellStyle name="표준 8 23" xfId="26678"/>
    <cellStyle name="표준 9 23" xfId="26679"/>
    <cellStyle name="표준 10 23" xfId="26680"/>
    <cellStyle name="표준 7 15 13" xfId="26681"/>
    <cellStyle name="표준 8 9 13" xfId="26682"/>
    <cellStyle name="표준 9 9 13" xfId="26683"/>
    <cellStyle name="표준 10 9 13" xfId="26684"/>
    <cellStyle name="표준 7 2 15" xfId="26685"/>
    <cellStyle name="표준 8 2 14" xfId="26686"/>
    <cellStyle name="표준 9 2 14" xfId="26687"/>
    <cellStyle name="표준 10 2 14" xfId="26688"/>
    <cellStyle name="표준 7 10 14" xfId="26689"/>
    <cellStyle name="표준 8 4 14" xfId="26690"/>
    <cellStyle name="표준 9 4 14" xfId="26691"/>
    <cellStyle name="표준 10 4 14" xfId="26692"/>
    <cellStyle name="표준 7 11 14" xfId="26693"/>
    <cellStyle name="표준 8 5 14" xfId="26694"/>
    <cellStyle name="표준 9 5 14" xfId="26695"/>
    <cellStyle name="표준 10 5 14" xfId="26696"/>
    <cellStyle name="표준 21 49" xfId="26697"/>
    <cellStyle name="표준 7 12 14" xfId="26698"/>
    <cellStyle name="표준 8 6 14" xfId="26699"/>
    <cellStyle name="표준 9 6 14" xfId="26700"/>
    <cellStyle name="표준 10 6 14" xfId="26701"/>
    <cellStyle name="표준 7 13 14" xfId="26702"/>
    <cellStyle name="표준 8 7 14" xfId="26703"/>
    <cellStyle name="표준 9 7 14" xfId="26704"/>
    <cellStyle name="표준 10 7 14" xfId="26705"/>
    <cellStyle name="표준 7 14 14" xfId="26706"/>
    <cellStyle name="표준 8 8 14" xfId="26707"/>
    <cellStyle name="표준 9 8 14" xfId="26708"/>
    <cellStyle name="표준 10 8 14" xfId="26709"/>
    <cellStyle name="표준 7 18 11" xfId="26710"/>
    <cellStyle name="표준 8 12 11" xfId="26711"/>
    <cellStyle name="표준 9 12 11" xfId="26712"/>
    <cellStyle name="표준 10 12 11" xfId="26713"/>
    <cellStyle name="표준 7 2 5 11" xfId="26714"/>
    <cellStyle name="표준 8 2 4 11" xfId="26715"/>
    <cellStyle name="표준 9 2 4 11" xfId="26716"/>
    <cellStyle name="표준 10 2 4 11" xfId="26717"/>
    <cellStyle name="표준 7 10 4 11" xfId="26718"/>
    <cellStyle name="표준 8 4 4 11" xfId="26719"/>
    <cellStyle name="표준 9 4 4 11" xfId="26720"/>
    <cellStyle name="표준 10 4 4 11" xfId="26721"/>
    <cellStyle name="표준 7 11 4 11" xfId="26722"/>
    <cellStyle name="표준 8 5 4 11" xfId="26723"/>
    <cellStyle name="표준 9 5 4 11" xfId="26724"/>
    <cellStyle name="표준 10 5 4 11" xfId="26725"/>
    <cellStyle name="표준 21 4 12" xfId="26726"/>
    <cellStyle name="표준 7 12 4 11" xfId="26727"/>
    <cellStyle name="표준 8 6 4 11" xfId="26728"/>
    <cellStyle name="표준 9 6 4 11" xfId="26729"/>
    <cellStyle name="표준 10 6 4 11" xfId="26730"/>
    <cellStyle name="표준 7 13 4 11" xfId="26731"/>
    <cellStyle name="표준 8 7 4 11" xfId="26732"/>
    <cellStyle name="표준 9 7 4 11" xfId="26733"/>
    <cellStyle name="표준 10 7 4 11" xfId="26734"/>
    <cellStyle name="표준 7 14 4 11" xfId="26735"/>
    <cellStyle name="표준 8 8 4 11" xfId="26736"/>
    <cellStyle name="표준 9 8 4 11" xfId="26737"/>
    <cellStyle name="표준 10 8 4 11" xfId="26738"/>
    <cellStyle name="표준 7 16 11" xfId="26739"/>
    <cellStyle name="표준 8 10 11" xfId="26740"/>
    <cellStyle name="표준 9 10 11" xfId="26741"/>
    <cellStyle name="표준 10 10 11" xfId="26742"/>
    <cellStyle name="표준 7 15 3 11" xfId="26743"/>
    <cellStyle name="표준 8 9 3 11" xfId="26744"/>
    <cellStyle name="표준 9 9 3 11" xfId="26745"/>
    <cellStyle name="표준 10 9 3 11" xfId="26746"/>
    <cellStyle name="표준 7 2 3 11" xfId="26747"/>
    <cellStyle name="표준 8 2 2 11" xfId="26748"/>
    <cellStyle name="표준 9 2 2 11" xfId="26749"/>
    <cellStyle name="표준 10 2 2 11" xfId="26750"/>
    <cellStyle name="표준 7 10 2 11" xfId="26751"/>
    <cellStyle name="표준 8 4 2 11" xfId="26752"/>
    <cellStyle name="표준 9 4 2 11" xfId="26753"/>
    <cellStyle name="표준 10 4 2 11" xfId="26754"/>
    <cellStyle name="표준 7 11 2 11" xfId="26755"/>
    <cellStyle name="표준 8 5 2 11" xfId="26756"/>
    <cellStyle name="표준 9 5 2 11" xfId="26757"/>
    <cellStyle name="표준 10 5 2 11" xfId="26758"/>
    <cellStyle name="표준 21 2 12" xfId="26759"/>
    <cellStyle name="표준 7 12 2 11" xfId="26760"/>
    <cellStyle name="표준 8 6 2 11" xfId="26761"/>
    <cellStyle name="표준 9 6 2 11" xfId="26762"/>
    <cellStyle name="표준 10 6 2 11" xfId="26763"/>
    <cellStyle name="표준 7 13 2 11" xfId="26764"/>
    <cellStyle name="표준 8 7 2 11" xfId="26765"/>
    <cellStyle name="표준 9 7 2 11" xfId="26766"/>
    <cellStyle name="표준 10 7 2 11" xfId="26767"/>
    <cellStyle name="표준 7 14 2 11" xfId="26768"/>
    <cellStyle name="표준 8 8 2 11" xfId="26769"/>
    <cellStyle name="표준 9 8 2 11" xfId="26770"/>
    <cellStyle name="표준 10 8 2 11" xfId="26771"/>
    <cellStyle name="표준 7 17 11" xfId="26772"/>
    <cellStyle name="표준 8 11 11" xfId="26773"/>
    <cellStyle name="표준 9 11 11" xfId="26774"/>
    <cellStyle name="표준 10 11 11" xfId="26775"/>
    <cellStyle name="표준 7 15 2 11" xfId="26776"/>
    <cellStyle name="표준 8 9 2 11" xfId="26777"/>
    <cellStyle name="표준 9 9 2 11" xfId="26778"/>
    <cellStyle name="표준 10 9 2 11" xfId="26779"/>
    <cellStyle name="표준 7 2 4 11" xfId="26780"/>
    <cellStyle name="표준 8 2 3 11" xfId="26781"/>
    <cellStyle name="표준 9 2 3 11" xfId="26782"/>
    <cellStyle name="표준 10 2 3 11" xfId="26783"/>
    <cellStyle name="표준 7 10 3 11" xfId="26784"/>
    <cellStyle name="표준 8 4 3 11" xfId="26785"/>
    <cellStyle name="표준 9 4 3 11" xfId="26786"/>
    <cellStyle name="표준 10 4 3 11" xfId="26787"/>
    <cellStyle name="표준 7 11 3 11" xfId="26788"/>
    <cellStyle name="표준 8 5 3 11" xfId="26789"/>
    <cellStyle name="표준 9 5 3 11" xfId="26790"/>
    <cellStyle name="표준 10 5 3 11" xfId="26791"/>
    <cellStyle name="표준 21 3 12" xfId="26792"/>
    <cellStyle name="표준 7 12 3 11" xfId="26793"/>
    <cellStyle name="표준 8 6 3 11" xfId="26794"/>
    <cellStyle name="표준 9 6 3 11" xfId="26795"/>
    <cellStyle name="표준 10 6 3 11" xfId="26796"/>
    <cellStyle name="표준 7 13 3 11" xfId="26797"/>
    <cellStyle name="표준 8 7 3 11" xfId="26798"/>
    <cellStyle name="표준 9 7 3 11" xfId="26799"/>
    <cellStyle name="표준 10 7 3 11" xfId="26800"/>
    <cellStyle name="표준 7 14 3 11" xfId="26801"/>
    <cellStyle name="표준 8 8 3 11" xfId="26802"/>
    <cellStyle name="표준 9 8 3 11" xfId="26803"/>
    <cellStyle name="표준 10 8 3 11" xfId="26804"/>
    <cellStyle name="표준 22 12" xfId="26805"/>
    <cellStyle name="표준 7 20 10" xfId="26806"/>
    <cellStyle name="표준 8 14 10" xfId="26807"/>
    <cellStyle name="표준 9 14 10" xfId="26808"/>
    <cellStyle name="표준 10 14 10" xfId="26809"/>
    <cellStyle name="표준 7 15 4 10" xfId="26810"/>
    <cellStyle name="표준 8 9 4 10" xfId="26811"/>
    <cellStyle name="표준 9 9 4 10" xfId="26812"/>
    <cellStyle name="표준 10 9 4 10" xfId="26813"/>
    <cellStyle name="표준 7 2 6 10" xfId="26814"/>
    <cellStyle name="표준 8 2 5 10" xfId="26815"/>
    <cellStyle name="표준 9 2 5 10" xfId="26816"/>
    <cellStyle name="표준 10 2 5 10" xfId="26817"/>
    <cellStyle name="표준 7 10 5 10" xfId="26818"/>
    <cellStyle name="표준 8 4 5 10" xfId="26819"/>
    <cellStyle name="표준 9 4 5 10" xfId="26820"/>
    <cellStyle name="표준 10 4 5 10" xfId="26821"/>
    <cellStyle name="표준 7 11 5 10" xfId="26822"/>
    <cellStyle name="표준 8 5 5 10" xfId="26823"/>
    <cellStyle name="표준 9 5 5 10" xfId="26824"/>
    <cellStyle name="표준 10 5 5 10" xfId="26825"/>
    <cellStyle name="표준 21 40 10" xfId="26826"/>
    <cellStyle name="표준 7 12 5 10" xfId="26827"/>
    <cellStyle name="표준 8 6 5 10" xfId="26828"/>
    <cellStyle name="표준 9 6 5 10" xfId="26829"/>
    <cellStyle name="표준 10 6 5 10" xfId="26830"/>
    <cellStyle name="표준 7 13 5 10" xfId="26831"/>
    <cellStyle name="표준 8 7 5 10" xfId="26832"/>
    <cellStyle name="표준 9 7 5 10" xfId="26833"/>
    <cellStyle name="표준 10 7 5 10" xfId="26834"/>
    <cellStyle name="표준 7 14 5 10" xfId="26835"/>
    <cellStyle name="표준 8 8 5 10" xfId="26836"/>
    <cellStyle name="표준 9 8 5 10" xfId="26837"/>
    <cellStyle name="표준 10 8 5 10" xfId="26838"/>
    <cellStyle name="표준 7 18 2 10" xfId="26839"/>
    <cellStyle name="표준 8 12 2 10" xfId="26840"/>
    <cellStyle name="표준 9 12 2 10" xfId="26841"/>
    <cellStyle name="표준 10 12 2 10" xfId="26842"/>
    <cellStyle name="표준 7 2 5 2 10" xfId="26843"/>
    <cellStyle name="표준 8 2 4 2 10" xfId="26844"/>
    <cellStyle name="표준 9 2 4 2 10" xfId="26845"/>
    <cellStyle name="표준 10 2 4 2 10" xfId="26846"/>
    <cellStyle name="표준 7 10 4 2 10" xfId="26847"/>
    <cellStyle name="표준 8 4 4 2 10" xfId="26848"/>
    <cellStyle name="표준 9 4 4 2 10" xfId="26849"/>
    <cellStyle name="표준 10 4 4 2 10" xfId="26850"/>
    <cellStyle name="표준 7 11 4 2 10" xfId="26851"/>
    <cellStyle name="표준 8 5 4 2 10" xfId="26852"/>
    <cellStyle name="표준 9 5 4 2 10" xfId="26853"/>
    <cellStyle name="표준 10 5 4 2 10" xfId="26854"/>
    <cellStyle name="표준 21 4 3 10" xfId="26855"/>
    <cellStyle name="표준 7 12 4 2 10" xfId="26856"/>
    <cellStyle name="표준 8 6 4 2 10" xfId="26857"/>
    <cellStyle name="표준 9 6 4 2 10" xfId="26858"/>
    <cellStyle name="표준 10 6 4 2 10" xfId="26859"/>
    <cellStyle name="표준 7 13 4 2 10" xfId="26860"/>
    <cellStyle name="표준 8 7 4 2 10" xfId="26861"/>
    <cellStyle name="표준 9 7 4 2 10" xfId="26862"/>
    <cellStyle name="표준 10 7 4 2 10" xfId="26863"/>
    <cellStyle name="표준 7 14 4 2 10" xfId="26864"/>
    <cellStyle name="표준 8 8 4 2 10" xfId="26865"/>
    <cellStyle name="표준 9 8 4 2 10" xfId="26866"/>
    <cellStyle name="표준 10 8 4 2 10" xfId="26867"/>
    <cellStyle name="표준 7 16 2 10" xfId="26868"/>
    <cellStyle name="표준 8 10 2 10" xfId="26869"/>
    <cellStyle name="표준 9 10 2 10" xfId="26870"/>
    <cellStyle name="표준 10 10 2 10" xfId="26871"/>
    <cellStyle name="표준 7 15 3 2 10" xfId="26872"/>
    <cellStyle name="표준 8 9 3 2 10" xfId="26873"/>
    <cellStyle name="표준 9 9 3 2 10" xfId="26874"/>
    <cellStyle name="표준 10 9 3 2 10" xfId="26875"/>
    <cellStyle name="표준 7 2 3 2 10" xfId="26876"/>
    <cellStyle name="표준 8 2 2 2 10" xfId="26877"/>
    <cellStyle name="표준 9 2 2 2 10" xfId="26878"/>
    <cellStyle name="표준 10 2 2 2 10" xfId="26879"/>
    <cellStyle name="표준 7 10 2 2 10" xfId="26880"/>
    <cellStyle name="표준 8 4 2 2 10" xfId="26881"/>
    <cellStyle name="표준 9 4 2 2 10" xfId="26882"/>
    <cellStyle name="표준 10 4 2 2 10" xfId="26883"/>
    <cellStyle name="표준 7 11 2 2 10" xfId="26884"/>
    <cellStyle name="표준 8 5 2 2 10" xfId="26885"/>
    <cellStyle name="표준 9 5 2 2 10" xfId="26886"/>
    <cellStyle name="표준 10 5 2 2 10" xfId="26887"/>
    <cellStyle name="표준 21 2 3 10" xfId="26888"/>
    <cellStyle name="표준 7 12 2 2 10" xfId="26889"/>
    <cellStyle name="표준 8 6 2 2 10" xfId="26890"/>
    <cellStyle name="표준 9 6 2 2 10" xfId="26891"/>
    <cellStyle name="표준 10 6 2 2 10" xfId="26892"/>
    <cellStyle name="표준 7 13 2 2 10" xfId="26893"/>
    <cellStyle name="표준 8 7 2 2 10" xfId="26894"/>
    <cellStyle name="표준 9 7 2 2 10" xfId="26895"/>
    <cellStyle name="표준 10 7 2 2 10" xfId="26896"/>
    <cellStyle name="표준 7 14 2 2 10" xfId="26897"/>
    <cellStyle name="표준 8 8 2 2 10" xfId="26898"/>
    <cellStyle name="표준 9 8 2 2 10" xfId="26899"/>
    <cellStyle name="표준 10 8 2 2 10" xfId="26900"/>
    <cellStyle name="표준 7 17 2 10" xfId="26901"/>
    <cellStyle name="표준 8 11 2 10" xfId="26902"/>
    <cellStyle name="표준 9 11 2 10" xfId="26903"/>
    <cellStyle name="표준 10 11 2 10" xfId="26904"/>
    <cellStyle name="표준 7 15 2 2 10" xfId="26905"/>
    <cellStyle name="표준 8 9 2 2 10" xfId="26906"/>
    <cellStyle name="표준 9 9 2 2 10" xfId="26907"/>
    <cellStyle name="표준 10 9 2 2 10" xfId="26908"/>
    <cellStyle name="표준 7 2 4 2 10" xfId="26909"/>
    <cellStyle name="표준 8 2 3 2 10" xfId="26910"/>
    <cellStyle name="표준 9 2 3 2 10" xfId="26911"/>
    <cellStyle name="표준 10 2 3 2 10" xfId="26912"/>
    <cellStyle name="표준 7 10 3 2 10" xfId="26913"/>
    <cellStyle name="표준 8 4 3 2 10" xfId="26914"/>
    <cellStyle name="표준 9 4 3 2 10" xfId="26915"/>
    <cellStyle name="표준 10 4 3 2 10" xfId="26916"/>
    <cellStyle name="표준 7 11 3 2 10" xfId="26917"/>
    <cellStyle name="표준 8 5 3 2 10" xfId="26918"/>
    <cellStyle name="표준 9 5 3 2 10" xfId="26919"/>
    <cellStyle name="표준 10 5 3 2 10" xfId="26920"/>
    <cellStyle name="표준 21 3 3 10" xfId="26921"/>
    <cellStyle name="표준 7 12 3 2 10" xfId="26922"/>
    <cellStyle name="표준 8 6 3 2 10" xfId="26923"/>
    <cellStyle name="표준 9 6 3 2 10" xfId="26924"/>
    <cellStyle name="표준 10 6 3 2 10" xfId="26925"/>
    <cellStyle name="표준 7 13 3 2 10" xfId="26926"/>
    <cellStyle name="표준 8 7 3 2 10" xfId="26927"/>
    <cellStyle name="표준 9 7 3 2 10" xfId="26928"/>
    <cellStyle name="표준 10 7 3 2 10" xfId="26929"/>
    <cellStyle name="표준 7 14 3 2 10" xfId="26930"/>
    <cellStyle name="표준 8 8 3 2 10" xfId="26931"/>
    <cellStyle name="표준 9 8 3 2 10" xfId="26932"/>
    <cellStyle name="표준 10 8 3 2 10" xfId="26933"/>
    <cellStyle name="표준 22 3 10" xfId="26934"/>
    <cellStyle name="표준 7 21 9" xfId="26935"/>
    <cellStyle name="표준 8 15 9" xfId="26936"/>
    <cellStyle name="표준 9 15 9" xfId="26937"/>
    <cellStyle name="표준 10 15 9" xfId="26938"/>
    <cellStyle name="표준 7 15 5 9" xfId="26939"/>
    <cellStyle name="표준 8 9 5 9" xfId="26940"/>
    <cellStyle name="표준 9 9 5 9" xfId="26941"/>
    <cellStyle name="표준 10 9 5 9" xfId="26942"/>
    <cellStyle name="표준 7 2 7 9" xfId="26943"/>
    <cellStyle name="표준 8 2 6 9" xfId="26944"/>
    <cellStyle name="표준 9 2 6 9" xfId="26945"/>
    <cellStyle name="표준 10 2 6 9" xfId="26946"/>
    <cellStyle name="표준 7 10 6 9" xfId="26947"/>
    <cellStyle name="표준 8 4 6 9" xfId="26948"/>
    <cellStyle name="표준 9 4 6 9" xfId="26949"/>
    <cellStyle name="표준 10 4 6 9" xfId="26950"/>
    <cellStyle name="표준 7 11 6 9" xfId="26951"/>
    <cellStyle name="표준 8 5 6 9" xfId="26952"/>
    <cellStyle name="표준 9 5 6 9" xfId="26953"/>
    <cellStyle name="표준 10 5 6 9" xfId="26954"/>
    <cellStyle name="표준 21 41 9" xfId="26955"/>
    <cellStyle name="표준 7 12 6 9" xfId="26956"/>
    <cellStyle name="표준 8 6 6 9" xfId="26957"/>
    <cellStyle name="표준 9 6 6 9" xfId="26958"/>
    <cellStyle name="표준 10 6 6 9" xfId="26959"/>
    <cellStyle name="표준 7 13 6 9" xfId="26960"/>
    <cellStyle name="표준 8 7 6 9" xfId="26961"/>
    <cellStyle name="표준 9 7 6 9" xfId="26962"/>
    <cellStyle name="표준 10 7 6 9" xfId="26963"/>
    <cellStyle name="표준 7 14 6 9" xfId="26964"/>
    <cellStyle name="표준 8 8 6 9" xfId="26965"/>
    <cellStyle name="표준 9 8 6 9" xfId="26966"/>
    <cellStyle name="표준 10 8 6 9" xfId="26967"/>
    <cellStyle name="표준 7 18 3 9" xfId="26968"/>
    <cellStyle name="표준 8 12 3 9" xfId="26969"/>
    <cellStyle name="표준 9 12 3 9" xfId="26970"/>
    <cellStyle name="표준 10 12 3 9" xfId="26971"/>
    <cellStyle name="표준 7 2 5 3 9" xfId="26972"/>
    <cellStyle name="표준 8 2 4 3 9" xfId="26973"/>
    <cellStyle name="표준 9 2 4 3 9" xfId="26974"/>
    <cellStyle name="표준 10 2 4 3 9" xfId="26975"/>
    <cellStyle name="표준 7 10 4 3 9" xfId="26976"/>
    <cellStyle name="표준 8 4 4 3 9" xfId="26977"/>
    <cellStyle name="표준 9 4 4 3 9" xfId="26978"/>
    <cellStyle name="표준 10 4 4 3 9" xfId="26979"/>
    <cellStyle name="표준 7 11 4 3 9" xfId="26980"/>
    <cellStyle name="표준 8 5 4 3 9" xfId="26981"/>
    <cellStyle name="표준 9 5 4 3 9" xfId="26982"/>
    <cellStyle name="표준 10 5 4 3 9" xfId="26983"/>
    <cellStyle name="표준 21 4 4 9" xfId="26984"/>
    <cellStyle name="표준 7 12 4 3 9" xfId="26985"/>
    <cellStyle name="표준 8 6 4 3 9" xfId="26986"/>
    <cellStyle name="표준 9 6 4 3 9" xfId="26987"/>
    <cellStyle name="표준 10 6 4 3 9" xfId="26988"/>
    <cellStyle name="표준 7 13 4 3 9" xfId="26989"/>
    <cellStyle name="표준 8 7 4 3 9" xfId="26990"/>
    <cellStyle name="표준 9 7 4 3 9" xfId="26991"/>
    <cellStyle name="표준 10 7 4 3 9" xfId="26992"/>
    <cellStyle name="표준 7 14 4 3 9" xfId="26993"/>
    <cellStyle name="표준 8 8 4 3 9" xfId="26994"/>
    <cellStyle name="표준 9 8 4 3 9" xfId="26995"/>
    <cellStyle name="표준 10 8 4 3 9" xfId="26996"/>
    <cellStyle name="표준 7 16 3 9" xfId="26997"/>
    <cellStyle name="표준 8 10 3 9" xfId="26998"/>
    <cellStyle name="표준 9 10 3 9" xfId="26999"/>
    <cellStyle name="표준 10 10 3 9" xfId="27000"/>
    <cellStyle name="표준 7 15 3 3 9" xfId="27001"/>
    <cellStyle name="표준 8 9 3 3 9" xfId="27002"/>
    <cellStyle name="표준 9 9 3 3 9" xfId="27003"/>
    <cellStyle name="표준 10 9 3 3 9" xfId="27004"/>
    <cellStyle name="표준 7 2 3 3 9" xfId="27005"/>
    <cellStyle name="표준 8 2 2 3 9" xfId="27006"/>
    <cellStyle name="표준 9 2 2 3 9" xfId="27007"/>
    <cellStyle name="표준 10 2 2 3 9" xfId="27008"/>
    <cellStyle name="표준 7 10 2 3 9" xfId="27009"/>
    <cellStyle name="표준 8 4 2 3 9" xfId="27010"/>
    <cellStyle name="표준 9 4 2 3 9" xfId="27011"/>
    <cellStyle name="표준 10 4 2 3 9" xfId="27012"/>
    <cellStyle name="표준 7 11 2 3 9" xfId="27013"/>
    <cellStyle name="표준 8 5 2 3 9" xfId="27014"/>
    <cellStyle name="표준 9 5 2 3 9" xfId="27015"/>
    <cellStyle name="표준 10 5 2 3 9" xfId="27016"/>
    <cellStyle name="표준 21 2 4 9" xfId="27017"/>
    <cellStyle name="표준 7 12 2 3 9" xfId="27018"/>
    <cellStyle name="표준 8 6 2 3 9" xfId="27019"/>
    <cellStyle name="표준 9 6 2 3 9" xfId="27020"/>
    <cellStyle name="표준 10 6 2 3 9" xfId="27021"/>
    <cellStyle name="표준 7 13 2 3 9" xfId="27022"/>
    <cellStyle name="표준 8 7 2 3 9" xfId="27023"/>
    <cellStyle name="표준 9 7 2 3 9" xfId="27024"/>
    <cellStyle name="표준 10 7 2 3 9" xfId="27025"/>
    <cellStyle name="표준 7 14 2 3 9" xfId="27026"/>
    <cellStyle name="표준 8 8 2 3 9" xfId="27027"/>
    <cellStyle name="표준 9 8 2 3 9" xfId="27028"/>
    <cellStyle name="표준 10 8 2 3 9" xfId="27029"/>
    <cellStyle name="표준 7 17 3 9" xfId="27030"/>
    <cellStyle name="표준 8 11 3 9" xfId="27031"/>
    <cellStyle name="표준 9 11 3 9" xfId="27032"/>
    <cellStyle name="표준 10 11 3 9" xfId="27033"/>
    <cellStyle name="표준 7 15 2 3 9" xfId="27034"/>
    <cellStyle name="표준 8 9 2 3 9" xfId="27035"/>
    <cellStyle name="표준 9 9 2 3 9" xfId="27036"/>
    <cellStyle name="표준 10 9 2 3 9" xfId="27037"/>
    <cellStyle name="표준 7 2 4 3 9" xfId="27038"/>
    <cellStyle name="표준 8 2 3 3 9" xfId="27039"/>
    <cellStyle name="표준 9 2 3 3 9" xfId="27040"/>
    <cellStyle name="표준 10 2 3 3 9" xfId="27041"/>
    <cellStyle name="표준 7 10 3 3 9" xfId="27042"/>
    <cellStyle name="표준 8 4 3 3 9" xfId="27043"/>
    <cellStyle name="표준 9 4 3 3 9" xfId="27044"/>
    <cellStyle name="표준 10 4 3 3 9" xfId="27045"/>
    <cellStyle name="표준 7 11 3 3 9" xfId="27046"/>
    <cellStyle name="표준 8 5 3 3 9" xfId="27047"/>
    <cellStyle name="표준 9 5 3 3 9" xfId="27048"/>
    <cellStyle name="표준 10 5 3 3 9" xfId="27049"/>
    <cellStyle name="표준 21 3 4 9" xfId="27050"/>
    <cellStyle name="표준 7 12 3 3 9" xfId="27051"/>
    <cellStyle name="표준 8 6 3 3 9" xfId="27052"/>
    <cellStyle name="표준 9 6 3 3 9" xfId="27053"/>
    <cellStyle name="표준 10 6 3 3 9" xfId="27054"/>
    <cellStyle name="표준 7 13 3 3 9" xfId="27055"/>
    <cellStyle name="표준 8 7 3 3 9" xfId="27056"/>
    <cellStyle name="표준 9 7 3 3 9" xfId="27057"/>
    <cellStyle name="표준 10 7 3 3 9" xfId="27058"/>
    <cellStyle name="표준 7 14 3 3 9" xfId="27059"/>
    <cellStyle name="표준 8 8 3 3 9" xfId="27060"/>
    <cellStyle name="표준 9 8 3 3 9" xfId="27061"/>
    <cellStyle name="표준 10 8 3 3 9" xfId="27062"/>
    <cellStyle name="표준 22 4 9" xfId="27063"/>
    <cellStyle name="표준 10 10 2 2 9" xfId="27064"/>
    <cellStyle name="표준 10 11 2 2 9" xfId="27065"/>
    <cellStyle name="표준 10 12 2 2 9" xfId="27066"/>
    <cellStyle name="표준 10 14 2 9" xfId="27067"/>
    <cellStyle name="표준 10 2 2 2 2 9" xfId="27068"/>
    <cellStyle name="표준 10 2 3 2 2 9" xfId="27069"/>
    <cellStyle name="표준 10 2 4 2 2 9" xfId="27070"/>
    <cellStyle name="표준 10 2 5 2 9" xfId="27071"/>
    <cellStyle name="표준 10 4 2 2 2 9" xfId="27072"/>
    <cellStyle name="표준 10 4 3 2 2 9" xfId="27073"/>
    <cellStyle name="표준 10 4 4 2 2 9" xfId="27074"/>
    <cellStyle name="표준 10 4 5 2 9" xfId="27075"/>
    <cellStyle name="표준 10 5 2 2 2 9" xfId="27076"/>
    <cellStyle name="표준 10 5 3 2 2 9" xfId="27077"/>
    <cellStyle name="표준 10 5 4 2 2 9" xfId="27078"/>
    <cellStyle name="표준 10 5 5 2 9" xfId="27079"/>
    <cellStyle name="표준 10 6 2 2 2 9" xfId="27080"/>
    <cellStyle name="표준 10 6 3 2 2 9" xfId="27081"/>
    <cellStyle name="표준 10 6 4 2 2 9" xfId="27082"/>
    <cellStyle name="표준 10 6 5 2 9" xfId="27083"/>
    <cellStyle name="표준 10 7 2 2 2 9" xfId="27084"/>
    <cellStyle name="표준 10 7 3 2 2 9" xfId="27085"/>
    <cellStyle name="표준 10 7 4 2 2 9" xfId="27086"/>
    <cellStyle name="표준 10 7 5 2 9" xfId="27087"/>
    <cellStyle name="표준 10 8 2 2 2 9" xfId="27088"/>
    <cellStyle name="표준 10 8 3 2 2 9" xfId="27089"/>
    <cellStyle name="표준 10 8 4 2 2 9" xfId="27090"/>
    <cellStyle name="표준 10 8 5 2 9" xfId="27091"/>
    <cellStyle name="표준 10 9 2 2 2 9" xfId="27092"/>
    <cellStyle name="표준 10 9 3 2 2 9" xfId="27093"/>
    <cellStyle name="표준 10 9 4 2 9" xfId="27094"/>
    <cellStyle name="표준 21 2 3 2 9" xfId="27095"/>
    <cellStyle name="표준 21 3 3 2 9" xfId="27096"/>
    <cellStyle name="표준 21 4 3 2 9" xfId="27097"/>
    <cellStyle name="표준 21 40 2 9" xfId="27098"/>
    <cellStyle name="표준 22 3 2 9" xfId="27099"/>
    <cellStyle name="표준 24 47" xfId="27100"/>
    <cellStyle name="표준 25 31" xfId="27101"/>
    <cellStyle name="표준 7 10 2 2 2 9" xfId="27102"/>
    <cellStyle name="표준 7 10 3 2 2 9" xfId="27103"/>
    <cellStyle name="표준 7 10 4 2 2 9" xfId="27104"/>
    <cellStyle name="표준 7 10 5 2 9" xfId="27105"/>
    <cellStyle name="표준 7 11 2 2 2 9" xfId="27106"/>
    <cellStyle name="표준 7 11 3 2 2 9" xfId="27107"/>
    <cellStyle name="표준 7 11 4 2 2 9" xfId="27108"/>
    <cellStyle name="표준 7 11 5 2 9" xfId="27109"/>
    <cellStyle name="표준 7 12 2 2 2 9" xfId="27110"/>
    <cellStyle name="표준 7 12 3 2 2 9" xfId="27111"/>
    <cellStyle name="표준 7 12 4 2 2 9" xfId="27112"/>
    <cellStyle name="표준 7 12 5 2 9" xfId="27113"/>
    <cellStyle name="표준 7 13 2 2 2 9" xfId="27114"/>
    <cellStyle name="표준 7 13 3 2 2 9" xfId="27115"/>
    <cellStyle name="표준 7 13 4 2 2 9" xfId="27116"/>
    <cellStyle name="표준 7 13 5 2 9" xfId="27117"/>
    <cellStyle name="표준 7 14 2 2 2 9" xfId="27118"/>
    <cellStyle name="표준 7 14 3 2 2 9" xfId="27119"/>
    <cellStyle name="표준 7 14 4 2 2 9" xfId="27120"/>
    <cellStyle name="표준 7 14 5 2 9" xfId="27121"/>
    <cellStyle name="표준 7 15 2 2 2 9" xfId="27122"/>
    <cellStyle name="표준 7 15 3 2 2 9" xfId="27123"/>
    <cellStyle name="표준 7 15 4 2 9" xfId="27124"/>
    <cellStyle name="표준 7 16 2 2 9" xfId="27125"/>
    <cellStyle name="표준 7 17 2 2 9" xfId="27126"/>
    <cellStyle name="표준 7 18 2 2 9" xfId="27127"/>
    <cellStyle name="표준 7 2 3 2 2 9" xfId="27128"/>
    <cellStyle name="표준 7 2 4 2 2 9" xfId="27129"/>
    <cellStyle name="표준 7 2 5 2 2 9" xfId="27130"/>
    <cellStyle name="표준 7 2 6 2 9" xfId="27131"/>
    <cellStyle name="표준 7 20 2 9" xfId="27132"/>
    <cellStyle name="표준 8 10 2 2 9" xfId="27133"/>
    <cellStyle name="표준 8 11 2 2 9" xfId="27134"/>
    <cellStyle name="표준 8 12 2 2 9" xfId="27135"/>
    <cellStyle name="표준 8 14 2 9" xfId="27136"/>
    <cellStyle name="표준 8 2 2 2 2 9" xfId="27137"/>
    <cellStyle name="표준 8 2 3 2 2 9" xfId="27138"/>
    <cellStyle name="표준 8 2 4 2 2 9" xfId="27139"/>
    <cellStyle name="표준 8 2 5 2 9" xfId="27140"/>
    <cellStyle name="표준 8 4 2 2 2 9" xfId="27141"/>
    <cellStyle name="표준 8 4 3 2 2 9" xfId="27142"/>
    <cellStyle name="표준 8 4 4 2 2 9" xfId="27143"/>
    <cellStyle name="표준 8 4 5 2 9" xfId="27144"/>
    <cellStyle name="표준 8 5 2 2 2 9" xfId="27145"/>
    <cellStyle name="표준 8 5 3 2 2 9" xfId="27146"/>
    <cellStyle name="표준 8 5 4 2 2 9" xfId="27147"/>
    <cellStyle name="표준 8 5 5 2 9" xfId="27148"/>
    <cellStyle name="표준 8 6 2 2 2 9" xfId="27149"/>
    <cellStyle name="표준 8 6 3 2 2 9" xfId="27150"/>
    <cellStyle name="표준 8 6 4 2 2 9" xfId="27151"/>
    <cellStyle name="표준 8 6 5 2 9" xfId="27152"/>
    <cellStyle name="표준 8 7 2 2 2 9" xfId="27153"/>
    <cellStyle name="표준 8 7 3 2 2 9" xfId="27154"/>
    <cellStyle name="표준 8 7 4 2 2 9" xfId="27155"/>
    <cellStyle name="표준 8 7 5 2 9" xfId="27156"/>
    <cellStyle name="표준 8 8 2 2 2 9" xfId="27157"/>
    <cellStyle name="표준 8 8 3 2 2 9" xfId="27158"/>
    <cellStyle name="표준 8 8 4 2 2 9" xfId="27159"/>
    <cellStyle name="표준 8 8 5 2 9" xfId="27160"/>
    <cellStyle name="표준 8 9 2 2 2 9" xfId="27161"/>
    <cellStyle name="표준 8 9 3 2 2 9" xfId="27162"/>
    <cellStyle name="표준 8 9 4 2 9" xfId="27163"/>
    <cellStyle name="표준 9 10 2 2 9" xfId="27164"/>
    <cellStyle name="표준 9 11 2 2 9" xfId="27165"/>
    <cellStyle name="표준 9 12 2 2 9" xfId="27166"/>
    <cellStyle name="표준 9 14 2 9" xfId="27167"/>
    <cellStyle name="표준 9 2 2 2 2 9" xfId="27168"/>
    <cellStyle name="표준 9 2 3 2 2 9" xfId="27169"/>
    <cellStyle name="표준 9 2 4 2 2 9" xfId="27170"/>
    <cellStyle name="표준 9 2 5 2 9" xfId="27171"/>
    <cellStyle name="표준 9 4 2 2 2 9" xfId="27172"/>
    <cellStyle name="표준 9 4 3 2 2 9" xfId="27173"/>
    <cellStyle name="표준 9 4 4 2 2 9" xfId="27174"/>
    <cellStyle name="표준 9 4 5 2 9" xfId="27175"/>
    <cellStyle name="표준 9 5 2 2 2 9" xfId="27176"/>
    <cellStyle name="표준 9 5 3 2 2 9" xfId="27177"/>
    <cellStyle name="표준 9 5 4 2 2 9" xfId="27178"/>
    <cellStyle name="표준 9 5 5 2 9" xfId="27179"/>
    <cellStyle name="표준 9 6 2 2 2 9" xfId="27180"/>
    <cellStyle name="표준 9 6 3 2 2 9" xfId="27181"/>
    <cellStyle name="표준 9 6 4 2 2 9" xfId="27182"/>
    <cellStyle name="표준 9 6 5 2 9" xfId="27183"/>
    <cellStyle name="표준 9 7 2 2 2 9" xfId="27184"/>
    <cellStyle name="표준 9 7 3 2 2 9" xfId="27185"/>
    <cellStyle name="표준 9 7 4 2 2 9" xfId="27186"/>
    <cellStyle name="표준 9 7 5 2 9" xfId="27187"/>
    <cellStyle name="표준 9 8 2 2 2 9" xfId="27188"/>
    <cellStyle name="표준 9 8 3 2 2 9" xfId="27189"/>
    <cellStyle name="표준 9 8 4 2 2 9" xfId="27190"/>
    <cellStyle name="표준 9 8 5 2 9" xfId="27191"/>
    <cellStyle name="표준 9 9 2 2 2 9" xfId="27192"/>
    <cellStyle name="표준 9 9 3 2 2 9" xfId="27193"/>
    <cellStyle name="표준 9 9 4 2 9" xfId="27194"/>
    <cellStyle name="표준 27 48" xfId="27195"/>
    <cellStyle name="표준 7 22 8" xfId="27196"/>
    <cellStyle name="표준 8 16 8" xfId="27197"/>
    <cellStyle name="표준 9 16 8" xfId="27198"/>
    <cellStyle name="표준 10 16 8" xfId="27199"/>
    <cellStyle name="표준 7 15 6 8" xfId="27200"/>
    <cellStyle name="표준 8 9 6 8" xfId="27201"/>
    <cellStyle name="표준 9 9 6 8" xfId="27202"/>
    <cellStyle name="표준 10 9 6 8" xfId="27203"/>
    <cellStyle name="표준 7 2 8 8" xfId="27204"/>
    <cellStyle name="표준 8 2 7 8" xfId="27205"/>
    <cellStyle name="표준 9 2 7 8" xfId="27206"/>
    <cellStyle name="표준 10 2 7 8" xfId="27207"/>
    <cellStyle name="표준 7 10 7 8" xfId="27208"/>
    <cellStyle name="표준 8 4 7 8" xfId="27209"/>
    <cellStyle name="표준 9 4 7 8" xfId="27210"/>
    <cellStyle name="표준 10 4 7 8" xfId="27211"/>
    <cellStyle name="표준 7 11 7 8" xfId="27212"/>
    <cellStyle name="표준 8 5 7 8" xfId="27213"/>
    <cellStyle name="표준 9 5 7 8" xfId="27214"/>
    <cellStyle name="표준 10 5 7 8" xfId="27215"/>
    <cellStyle name="표준 21 42 8" xfId="27216"/>
    <cellStyle name="표준 7 12 7 8" xfId="27217"/>
    <cellStyle name="표준 8 6 7 8" xfId="27218"/>
    <cellStyle name="표준 9 6 7 8" xfId="27219"/>
    <cellStyle name="표준 10 6 7 8" xfId="27220"/>
    <cellStyle name="표준 7 13 7 8" xfId="27221"/>
    <cellStyle name="표준 8 7 7 8" xfId="27222"/>
    <cellStyle name="표준 9 7 7 8" xfId="27223"/>
    <cellStyle name="표준 10 7 7 8" xfId="27224"/>
    <cellStyle name="표준 7 14 7 8" xfId="27225"/>
    <cellStyle name="표준 8 8 7 8" xfId="27226"/>
    <cellStyle name="표준 9 8 7 8" xfId="27227"/>
    <cellStyle name="표준 10 8 7 8" xfId="27228"/>
    <cellStyle name="표준 7 18 4 8" xfId="27229"/>
    <cellStyle name="표준 8 12 4 8" xfId="27230"/>
    <cellStyle name="표준 9 12 4 8" xfId="27231"/>
    <cellStyle name="표준 10 12 4 8" xfId="27232"/>
    <cellStyle name="표준 7 2 5 4 8" xfId="27233"/>
    <cellStyle name="표준 8 2 4 4 8" xfId="27234"/>
    <cellStyle name="표준 9 2 4 4 8" xfId="27235"/>
    <cellStyle name="표준 10 2 4 4 8" xfId="27236"/>
    <cellStyle name="표준 7 10 4 4 8" xfId="27237"/>
    <cellStyle name="표준 8 4 4 4 8" xfId="27238"/>
    <cellStyle name="표준 9 4 4 4 8" xfId="27239"/>
    <cellStyle name="표준 10 4 4 4 8" xfId="27240"/>
    <cellStyle name="표준 7 11 4 4 8" xfId="27241"/>
    <cellStyle name="표준 8 5 4 4 8" xfId="27242"/>
    <cellStyle name="표준 9 5 4 4 8" xfId="27243"/>
    <cellStyle name="표준 10 5 4 4 8" xfId="27244"/>
    <cellStyle name="표준 21 4 5 8" xfId="27245"/>
    <cellStyle name="표준 7 12 4 4 8" xfId="27246"/>
    <cellStyle name="표준 8 6 4 4 8" xfId="27247"/>
    <cellStyle name="표준 9 6 4 4 8" xfId="27248"/>
    <cellStyle name="표준 10 6 4 4 8" xfId="27249"/>
    <cellStyle name="표준 7 13 4 4 8" xfId="27250"/>
    <cellStyle name="표준 8 7 4 4 8" xfId="27251"/>
    <cellStyle name="표준 9 7 4 4 8" xfId="27252"/>
    <cellStyle name="표준 10 7 4 4 8" xfId="27253"/>
    <cellStyle name="표준 7 14 4 4 8" xfId="27254"/>
    <cellStyle name="표준 8 8 4 4 8" xfId="27255"/>
    <cellStyle name="표준 9 8 4 4 8" xfId="27256"/>
    <cellStyle name="표준 10 8 4 4 8" xfId="27257"/>
    <cellStyle name="표준 7 16 4 8" xfId="27258"/>
    <cellStyle name="표준 8 10 4 8" xfId="27259"/>
    <cellStyle name="표준 9 10 4 8" xfId="27260"/>
    <cellStyle name="표준 10 10 4 8" xfId="27261"/>
    <cellStyle name="표준 7 15 3 4 8" xfId="27262"/>
    <cellStyle name="표준 8 9 3 4 8" xfId="27263"/>
    <cellStyle name="표준 9 9 3 4 8" xfId="27264"/>
    <cellStyle name="표준 10 9 3 4 8" xfId="27265"/>
    <cellStyle name="표준 7 2 3 4 8" xfId="27266"/>
    <cellStyle name="표준 8 2 2 4 8" xfId="27267"/>
    <cellStyle name="표준 9 2 2 4 8" xfId="27268"/>
    <cellStyle name="표준 10 2 2 4 8" xfId="27269"/>
    <cellStyle name="표준 7 10 2 4 8" xfId="27270"/>
    <cellStyle name="표준 8 4 2 4 8" xfId="27271"/>
    <cellStyle name="표준 9 4 2 4 8" xfId="27272"/>
    <cellStyle name="표준 10 4 2 4 8" xfId="27273"/>
    <cellStyle name="표준 7 11 2 4 8" xfId="27274"/>
    <cellStyle name="표준 8 5 2 4 8" xfId="27275"/>
    <cellStyle name="표준 9 5 2 4 8" xfId="27276"/>
    <cellStyle name="표준 10 5 2 4 8" xfId="27277"/>
    <cellStyle name="표준 21 2 5 8" xfId="27278"/>
    <cellStyle name="표준 7 12 2 4 8" xfId="27279"/>
    <cellStyle name="표준 8 6 2 4 8" xfId="27280"/>
    <cellStyle name="표준 9 6 2 4 8" xfId="27281"/>
    <cellStyle name="표준 10 6 2 4 8" xfId="27282"/>
    <cellStyle name="표준 7 13 2 4 8" xfId="27283"/>
    <cellStyle name="표준 8 7 2 4 8" xfId="27284"/>
    <cellStyle name="표준 9 7 2 4 8" xfId="27285"/>
    <cellStyle name="표준 10 7 2 4 8" xfId="27286"/>
    <cellStyle name="표준 7 14 2 4 8" xfId="27287"/>
    <cellStyle name="표준 8 8 2 4 8" xfId="27288"/>
    <cellStyle name="표준 9 8 2 4 8" xfId="27289"/>
    <cellStyle name="표준 10 8 2 4 8" xfId="27290"/>
    <cellStyle name="표준 7 17 4 8" xfId="27291"/>
    <cellStyle name="표준 8 11 4 8" xfId="27292"/>
    <cellStyle name="표준 9 11 4 8" xfId="27293"/>
    <cellStyle name="표준 10 11 4 8" xfId="27294"/>
    <cellStyle name="표준 7 15 2 4 8" xfId="27295"/>
    <cellStyle name="표준 8 9 2 4 8" xfId="27296"/>
    <cellStyle name="표준 9 9 2 4 8" xfId="27297"/>
    <cellStyle name="표준 10 9 2 4 8" xfId="27298"/>
    <cellStyle name="표준 7 2 4 4 8" xfId="27299"/>
    <cellStyle name="표준 8 2 3 4 8" xfId="27300"/>
    <cellStyle name="표준 9 2 3 4 8" xfId="27301"/>
    <cellStyle name="표준 10 2 3 4 8" xfId="27302"/>
    <cellStyle name="표준 7 10 3 4 8" xfId="27303"/>
    <cellStyle name="표준 8 4 3 4 8" xfId="27304"/>
    <cellStyle name="표준 9 4 3 4 8" xfId="27305"/>
    <cellStyle name="표준 10 4 3 4 8" xfId="27306"/>
    <cellStyle name="표준 7 11 3 4 8" xfId="27307"/>
    <cellStyle name="표준 8 5 3 4 8" xfId="27308"/>
    <cellStyle name="표준 9 5 3 4 8" xfId="27309"/>
    <cellStyle name="표준 10 5 3 4 8" xfId="27310"/>
    <cellStyle name="표준 21 3 5 8" xfId="27311"/>
    <cellStyle name="표준 7 12 3 4 8" xfId="27312"/>
    <cellStyle name="표준 8 6 3 4 8" xfId="27313"/>
    <cellStyle name="표준 9 6 3 4 8" xfId="27314"/>
    <cellStyle name="표준 10 6 3 4 8" xfId="27315"/>
    <cellStyle name="표준 7 13 3 4 8" xfId="27316"/>
    <cellStyle name="표준 8 7 3 4 8" xfId="27317"/>
    <cellStyle name="표준 9 7 3 4 8" xfId="27318"/>
    <cellStyle name="표준 10 7 3 4 8" xfId="27319"/>
    <cellStyle name="표준 7 14 3 4 8" xfId="27320"/>
    <cellStyle name="표준 8 8 3 4 8" xfId="27321"/>
    <cellStyle name="표준 9 8 3 4 8" xfId="27322"/>
    <cellStyle name="표준 10 8 3 4 8" xfId="27323"/>
    <cellStyle name="표준 22 5 8" xfId="27324"/>
    <cellStyle name="표준 7 20 3 8" xfId="27325"/>
    <cellStyle name="표준 8 14 3 8" xfId="27326"/>
    <cellStyle name="표준 9 14 3 8" xfId="27327"/>
    <cellStyle name="표준 10 14 3 8" xfId="27328"/>
    <cellStyle name="표준 7 15 4 3 8" xfId="27329"/>
    <cellStyle name="표준 8 9 4 3 8" xfId="27330"/>
    <cellStyle name="표준 9 9 4 3 8" xfId="27331"/>
    <cellStyle name="표준 10 9 4 3 8" xfId="27332"/>
    <cellStyle name="표준 7 2 6 3 8" xfId="27333"/>
    <cellStyle name="표준 8 2 5 3 8" xfId="27334"/>
    <cellStyle name="표준 9 2 5 3 8" xfId="27335"/>
    <cellStyle name="표준 10 2 5 3 8" xfId="27336"/>
    <cellStyle name="표준 7 10 5 3 8" xfId="27337"/>
    <cellStyle name="표준 8 4 5 3 8" xfId="27338"/>
    <cellStyle name="표준 9 4 5 3 8" xfId="27339"/>
    <cellStyle name="표준 10 4 5 3 8" xfId="27340"/>
    <cellStyle name="표준 7 11 5 3 8" xfId="27341"/>
    <cellStyle name="표준 8 5 5 3 8" xfId="27342"/>
    <cellStyle name="표준 9 5 5 3 8" xfId="27343"/>
    <cellStyle name="표준 10 5 5 3 8" xfId="27344"/>
    <cellStyle name="표준 21 40 3 8" xfId="27345"/>
    <cellStyle name="표준 7 12 5 3 8" xfId="27346"/>
    <cellStyle name="표준 8 6 5 3 8" xfId="27347"/>
    <cellStyle name="표준 9 6 5 3 8" xfId="27348"/>
    <cellStyle name="표준 10 6 5 3 8" xfId="27349"/>
    <cellStyle name="표준 7 13 5 3 8" xfId="27350"/>
    <cellStyle name="표준 8 7 5 3 8" xfId="27351"/>
    <cellStyle name="표준 9 7 5 3 8" xfId="27352"/>
    <cellStyle name="표준 10 7 5 3 8" xfId="27353"/>
    <cellStyle name="표준 7 14 5 3 8" xfId="27354"/>
    <cellStyle name="표준 8 8 5 3 8" xfId="27355"/>
    <cellStyle name="표준 9 8 5 3 8" xfId="27356"/>
    <cellStyle name="표준 10 8 5 3 8" xfId="27357"/>
    <cellStyle name="표준 7 18 2 3 8" xfId="27358"/>
    <cellStyle name="표준 8 12 2 3 8" xfId="27359"/>
    <cellStyle name="표준 9 12 2 3 8" xfId="27360"/>
    <cellStyle name="표준 10 12 2 3 8" xfId="27361"/>
    <cellStyle name="표준 7 2 5 2 3 8" xfId="27362"/>
    <cellStyle name="표준 8 2 4 2 3 8" xfId="27363"/>
    <cellStyle name="표준 9 2 4 2 3 8" xfId="27364"/>
    <cellStyle name="표준 10 2 4 2 3 8" xfId="27365"/>
    <cellStyle name="표준 7 10 4 2 3 8" xfId="27366"/>
    <cellStyle name="표준 8 4 4 2 3 8" xfId="27367"/>
    <cellStyle name="표준 9 4 4 2 3 8" xfId="27368"/>
    <cellStyle name="표준 10 4 4 2 3 8" xfId="27369"/>
    <cellStyle name="표준 7 11 4 2 3 8" xfId="27370"/>
    <cellStyle name="표준 8 5 4 2 3 8" xfId="27371"/>
    <cellStyle name="표준 9 5 4 2 3 8" xfId="27372"/>
    <cellStyle name="표준 10 5 4 2 3 8" xfId="27373"/>
    <cellStyle name="표준 21 4 3 3 8" xfId="27374"/>
    <cellStyle name="표준 7 12 4 2 3 8" xfId="27375"/>
    <cellStyle name="표준 8 6 4 2 3 8" xfId="27376"/>
    <cellStyle name="표준 9 6 4 2 3 8" xfId="27377"/>
    <cellStyle name="표준 10 6 4 2 3 8" xfId="27378"/>
    <cellStyle name="표준 7 13 4 2 3 8" xfId="27379"/>
    <cellStyle name="표준 8 7 4 2 3 8" xfId="27380"/>
    <cellStyle name="표준 9 7 4 2 3 8" xfId="27381"/>
    <cellStyle name="표준 10 7 4 2 3 8" xfId="27382"/>
    <cellStyle name="표준 7 14 4 2 3 8" xfId="27383"/>
    <cellStyle name="표준 8 8 4 2 3 8" xfId="27384"/>
    <cellStyle name="표준 9 8 4 2 3 8" xfId="27385"/>
    <cellStyle name="표준 10 8 4 2 3 8" xfId="27386"/>
    <cellStyle name="표준 7 16 2 3 8" xfId="27387"/>
    <cellStyle name="표준 8 10 2 3 8" xfId="27388"/>
    <cellStyle name="표준 9 10 2 3 8" xfId="27389"/>
    <cellStyle name="표준 10 10 2 3 8" xfId="27390"/>
    <cellStyle name="표준 7 15 3 2 3 8" xfId="27391"/>
    <cellStyle name="표준 8 9 3 2 3 8" xfId="27392"/>
    <cellStyle name="표준 9 9 3 2 3 8" xfId="27393"/>
    <cellStyle name="표준 10 9 3 2 3 8" xfId="27394"/>
    <cellStyle name="표준 7 2 3 2 3 8" xfId="27395"/>
    <cellStyle name="표준 8 2 2 2 3 8" xfId="27396"/>
    <cellStyle name="표준 9 2 2 2 3 8" xfId="27397"/>
    <cellStyle name="표준 10 2 2 2 3 8" xfId="27398"/>
    <cellStyle name="표준 7 10 2 2 3 8" xfId="27399"/>
    <cellStyle name="표준 8 4 2 2 3 8" xfId="27400"/>
    <cellStyle name="표준 9 4 2 2 3 8" xfId="27401"/>
    <cellStyle name="표준 10 4 2 2 3 8" xfId="27402"/>
    <cellStyle name="표준 7 11 2 2 3 8" xfId="27403"/>
    <cellStyle name="표준 8 5 2 2 3 8" xfId="27404"/>
    <cellStyle name="표준 9 5 2 2 3 8" xfId="27405"/>
    <cellStyle name="표준 10 5 2 2 3 8" xfId="27406"/>
    <cellStyle name="표준 21 2 3 3 8" xfId="27407"/>
    <cellStyle name="표준 7 12 2 2 3 8" xfId="27408"/>
    <cellStyle name="표준 8 6 2 2 3 8" xfId="27409"/>
    <cellStyle name="표준 9 6 2 2 3 8" xfId="27410"/>
    <cellStyle name="표준 10 6 2 2 3 8" xfId="27411"/>
    <cellStyle name="표준 7 13 2 2 3 8" xfId="27412"/>
    <cellStyle name="표준 8 7 2 2 3 8" xfId="27413"/>
    <cellStyle name="표준 9 7 2 2 3 8" xfId="27414"/>
    <cellStyle name="표준 10 7 2 2 3 8" xfId="27415"/>
    <cellStyle name="표준 7 14 2 2 3 8" xfId="27416"/>
    <cellStyle name="표준 8 8 2 2 3 8" xfId="27417"/>
    <cellStyle name="표준 9 8 2 2 3 8" xfId="27418"/>
    <cellStyle name="표준 10 8 2 2 3 8" xfId="27419"/>
    <cellStyle name="표준 7 17 2 3 8" xfId="27420"/>
    <cellStyle name="표준 8 11 2 3 8" xfId="27421"/>
    <cellStyle name="표준 9 11 2 3 8" xfId="27422"/>
    <cellStyle name="표준 10 11 2 3 8" xfId="27423"/>
    <cellStyle name="표준 7 15 2 2 3 8" xfId="27424"/>
    <cellStyle name="표준 8 9 2 2 3 8" xfId="27425"/>
    <cellStyle name="표준 9 9 2 2 3 8" xfId="27426"/>
    <cellStyle name="표준 10 9 2 2 3 8" xfId="27427"/>
    <cellStyle name="표준 7 2 4 2 3 8" xfId="27428"/>
    <cellStyle name="표준 8 2 3 2 3 8" xfId="27429"/>
    <cellStyle name="표준 9 2 3 2 3 8" xfId="27430"/>
    <cellStyle name="표준 10 2 3 2 3 8" xfId="27431"/>
    <cellStyle name="표준 7 10 3 2 3 8" xfId="27432"/>
    <cellStyle name="표준 8 4 3 2 3 8" xfId="27433"/>
    <cellStyle name="표준 9 4 3 2 3 8" xfId="27434"/>
    <cellStyle name="표준 10 4 3 2 3 8" xfId="27435"/>
    <cellStyle name="표준 7 11 3 2 3 8" xfId="27436"/>
    <cellStyle name="표준 8 5 3 2 3 8" xfId="27437"/>
    <cellStyle name="표준 9 5 3 2 3 8" xfId="27438"/>
    <cellStyle name="표준 10 5 3 2 3 8" xfId="27439"/>
    <cellStyle name="표준 21 3 3 3 8" xfId="27440"/>
    <cellStyle name="표준 7 12 3 2 3 8" xfId="27441"/>
    <cellStyle name="표준 8 6 3 2 3 8" xfId="27442"/>
    <cellStyle name="표준 9 6 3 2 3 8" xfId="27443"/>
    <cellStyle name="표준 10 6 3 2 3 8" xfId="27444"/>
    <cellStyle name="표준 7 13 3 2 3 8" xfId="27445"/>
    <cellStyle name="표준 8 7 3 2 3 8" xfId="27446"/>
    <cellStyle name="표준 9 7 3 2 3 8" xfId="27447"/>
    <cellStyle name="표준 10 7 3 2 3 8" xfId="27448"/>
    <cellStyle name="표준 7 14 3 2 3 8" xfId="27449"/>
    <cellStyle name="표준 8 8 3 2 3 8" xfId="27450"/>
    <cellStyle name="표준 9 8 3 2 3 8" xfId="27451"/>
    <cellStyle name="표준 10 8 3 2 3 8" xfId="27452"/>
    <cellStyle name="표준 22 3 3 8" xfId="27453"/>
    <cellStyle name="표준 7 21 2 8" xfId="27454"/>
    <cellStyle name="표준 8 15 2 8" xfId="27455"/>
    <cellStyle name="표준 9 15 2 8" xfId="27456"/>
    <cellStyle name="표준 10 15 2 8" xfId="27457"/>
    <cellStyle name="표준 7 15 5 2 8" xfId="27458"/>
    <cellStyle name="표준 8 9 5 2 8" xfId="27459"/>
    <cellStyle name="표준 9 9 5 2 8" xfId="27460"/>
    <cellStyle name="표준 10 9 5 2 8" xfId="27461"/>
    <cellStyle name="표준 7 2 7 2 8" xfId="27462"/>
    <cellStyle name="표준 8 2 6 2 8" xfId="27463"/>
    <cellStyle name="표준 9 2 6 2 8" xfId="27464"/>
    <cellStyle name="표준 10 2 6 2 8" xfId="27465"/>
    <cellStyle name="표준 7 10 6 2 8" xfId="27466"/>
    <cellStyle name="표준 8 4 6 2 8" xfId="27467"/>
    <cellStyle name="표준 9 4 6 2 8" xfId="27468"/>
    <cellStyle name="표준 10 4 6 2 8" xfId="27469"/>
    <cellStyle name="표준 7 11 6 2 8" xfId="27470"/>
    <cellStyle name="표준 8 5 6 2 8" xfId="27471"/>
    <cellStyle name="표준 9 5 6 2 8" xfId="27472"/>
    <cellStyle name="표준 10 5 6 2 8" xfId="27473"/>
    <cellStyle name="표준 21 41 2 8" xfId="27474"/>
    <cellStyle name="표준 7 12 6 2 8" xfId="27475"/>
    <cellStyle name="표준 8 6 6 2 8" xfId="27476"/>
    <cellStyle name="표준 9 6 6 2 8" xfId="27477"/>
    <cellStyle name="표준 10 6 6 2 8" xfId="27478"/>
    <cellStyle name="표준 7 13 6 2 8" xfId="27479"/>
    <cellStyle name="표준 8 7 6 2 8" xfId="27480"/>
    <cellStyle name="표준 9 7 6 2 8" xfId="27481"/>
    <cellStyle name="표준 10 7 6 2 8" xfId="27482"/>
    <cellStyle name="표준 7 14 6 2 8" xfId="27483"/>
    <cellStyle name="표준 8 8 6 2 8" xfId="27484"/>
    <cellStyle name="표준 9 8 6 2 8" xfId="27485"/>
    <cellStyle name="표준 10 8 6 2 8" xfId="27486"/>
    <cellStyle name="표준 7 18 3 2 8" xfId="27487"/>
    <cellStyle name="표준 8 12 3 2 8" xfId="27488"/>
    <cellStyle name="표준 9 12 3 2 8" xfId="27489"/>
    <cellStyle name="표준 10 12 3 2 8" xfId="27490"/>
    <cellStyle name="표준 7 2 5 3 2 8" xfId="27491"/>
    <cellStyle name="표준 8 2 4 3 2 8" xfId="27492"/>
    <cellStyle name="표준 9 2 4 3 2 8" xfId="27493"/>
    <cellStyle name="표준 10 2 4 3 2 8" xfId="27494"/>
    <cellStyle name="표준 7 10 4 3 2 8" xfId="27495"/>
    <cellStyle name="표준 8 4 4 3 2 8" xfId="27496"/>
    <cellStyle name="표준 9 4 4 3 2 8" xfId="27497"/>
    <cellStyle name="표준 10 4 4 3 2 8" xfId="27498"/>
    <cellStyle name="표준 7 11 4 3 2 8" xfId="27499"/>
    <cellStyle name="표준 8 5 4 3 2 8" xfId="27500"/>
    <cellStyle name="표준 9 5 4 3 2 8" xfId="27501"/>
    <cellStyle name="표준 10 5 4 3 2 8" xfId="27502"/>
    <cellStyle name="표준 21 4 4 2 8" xfId="27503"/>
    <cellStyle name="표준 7 12 4 3 2 8" xfId="27504"/>
    <cellStyle name="표준 8 6 4 3 2 8" xfId="27505"/>
    <cellStyle name="표준 9 6 4 3 2 8" xfId="27506"/>
    <cellStyle name="표준 10 6 4 3 2 8" xfId="27507"/>
    <cellStyle name="표준 7 13 4 3 2 8" xfId="27508"/>
    <cellStyle name="표준 8 7 4 3 2 8" xfId="27509"/>
    <cellStyle name="표준 9 7 4 3 2 8" xfId="27510"/>
    <cellStyle name="표준 10 7 4 3 2 8" xfId="27511"/>
    <cellStyle name="표준 7 14 4 3 2 8" xfId="27512"/>
    <cellStyle name="표준 8 8 4 3 2 8" xfId="27513"/>
    <cellStyle name="표준 9 8 4 3 2 8" xfId="27514"/>
    <cellStyle name="표준 10 8 4 3 2 8" xfId="27515"/>
    <cellStyle name="표준 7 16 3 2 8" xfId="27516"/>
    <cellStyle name="표준 8 10 3 2 8" xfId="27517"/>
    <cellStyle name="표준 9 10 3 2 8" xfId="27518"/>
    <cellStyle name="표준 10 10 3 2 8" xfId="27519"/>
    <cellStyle name="표준 7 15 3 3 2 8" xfId="27520"/>
    <cellStyle name="표준 8 9 3 3 2 8" xfId="27521"/>
    <cellStyle name="표준 9 9 3 3 2 8" xfId="27522"/>
    <cellStyle name="표준 10 9 3 3 2 8" xfId="27523"/>
    <cellStyle name="표준 7 2 3 3 2 8" xfId="27524"/>
    <cellStyle name="표준 8 2 2 3 2 8" xfId="27525"/>
    <cellStyle name="표준 9 2 2 3 2 8" xfId="27526"/>
    <cellStyle name="표준 10 2 2 3 2 8" xfId="27527"/>
    <cellStyle name="표준 7 10 2 3 2 8" xfId="27528"/>
    <cellStyle name="표준 8 4 2 3 2 8" xfId="27529"/>
    <cellStyle name="표준 9 4 2 3 2 8" xfId="27530"/>
    <cellStyle name="표준 10 4 2 3 2 8" xfId="27531"/>
    <cellStyle name="표준 7 11 2 3 2 8" xfId="27532"/>
    <cellStyle name="표준 8 5 2 3 2 8" xfId="27533"/>
    <cellStyle name="표준 9 5 2 3 2 8" xfId="27534"/>
    <cellStyle name="표준 10 5 2 3 2 8" xfId="27535"/>
    <cellStyle name="표준 21 2 4 2 8" xfId="27536"/>
    <cellStyle name="표준 7 12 2 3 2 8" xfId="27537"/>
    <cellStyle name="표준 8 6 2 3 2 8" xfId="27538"/>
    <cellStyle name="표준 9 6 2 3 2 8" xfId="27539"/>
    <cellStyle name="표준 10 6 2 3 2 8" xfId="27540"/>
    <cellStyle name="표준 7 13 2 3 2 8" xfId="27541"/>
    <cellStyle name="표준 8 7 2 3 2 8" xfId="27542"/>
    <cellStyle name="표준 9 7 2 3 2 8" xfId="27543"/>
    <cellStyle name="표준 10 7 2 3 2 8" xfId="27544"/>
    <cellStyle name="표준 7 14 2 3 2 8" xfId="27545"/>
    <cellStyle name="표준 8 8 2 3 2 8" xfId="27546"/>
    <cellStyle name="표준 9 8 2 3 2 8" xfId="27547"/>
    <cellStyle name="표준 10 8 2 3 2 8" xfId="27548"/>
    <cellStyle name="표준 7 17 3 2 8" xfId="27549"/>
    <cellStyle name="표준 8 11 3 2 8" xfId="27550"/>
    <cellStyle name="표준 9 11 3 2 8" xfId="27551"/>
    <cellStyle name="표준 10 11 3 2 8" xfId="27552"/>
    <cellStyle name="표준 7 15 2 3 2 8" xfId="27553"/>
    <cellStyle name="표준 8 9 2 3 2 8" xfId="27554"/>
    <cellStyle name="표준 9 9 2 3 2 8" xfId="27555"/>
    <cellStyle name="표준 10 9 2 3 2 8" xfId="27556"/>
    <cellStyle name="표준 7 2 4 3 2 8" xfId="27557"/>
    <cellStyle name="표준 8 2 3 3 2 8" xfId="27558"/>
    <cellStyle name="표준 9 2 3 3 2 8" xfId="27559"/>
    <cellStyle name="표준 10 2 3 3 2 8" xfId="27560"/>
    <cellStyle name="표준 7 10 3 3 2 8" xfId="27561"/>
    <cellStyle name="표준 8 4 3 3 2 8" xfId="27562"/>
    <cellStyle name="표준 9 4 3 3 2 8" xfId="27563"/>
    <cellStyle name="표준 10 4 3 3 2 8" xfId="27564"/>
    <cellStyle name="표준 7 11 3 3 2 8" xfId="27565"/>
    <cellStyle name="표준 8 5 3 3 2 8" xfId="27566"/>
    <cellStyle name="표준 9 5 3 3 2 8" xfId="27567"/>
    <cellStyle name="표준 10 5 3 3 2 8" xfId="27568"/>
    <cellStyle name="표준 21 3 4 2 8" xfId="27569"/>
    <cellStyle name="표준 7 12 3 3 2 8" xfId="27570"/>
    <cellStyle name="표준 8 6 3 3 2 8" xfId="27571"/>
    <cellStyle name="표준 9 6 3 3 2 8" xfId="27572"/>
    <cellStyle name="표준 10 6 3 3 2 8" xfId="27573"/>
    <cellStyle name="표준 7 13 3 3 2 8" xfId="27574"/>
    <cellStyle name="표준 8 7 3 3 2 8" xfId="27575"/>
    <cellStyle name="표준 9 7 3 3 2 8" xfId="27576"/>
    <cellStyle name="표준 10 7 3 3 2 8" xfId="27577"/>
    <cellStyle name="표준 7 14 3 3 2 8" xfId="27578"/>
    <cellStyle name="표준 8 8 3 3 2 8" xfId="27579"/>
    <cellStyle name="표준 9 8 3 3 2 8" xfId="27580"/>
    <cellStyle name="표준 10 8 3 3 2 8" xfId="27581"/>
    <cellStyle name="표준 22 4 2 8" xfId="27582"/>
    <cellStyle name="표준 10 10 2 2 2 8" xfId="27583"/>
    <cellStyle name="표준 10 11 2 2 2 8" xfId="27584"/>
    <cellStyle name="표준 10 12 2 2 2 8" xfId="27585"/>
    <cellStyle name="표준 10 14 2 2 8" xfId="27586"/>
    <cellStyle name="표준 10 2 2 2 2 2 8" xfId="27587"/>
    <cellStyle name="표준 10 2 3 2 2 2 8" xfId="27588"/>
    <cellStyle name="표준 10 2 4 2 2 2 8" xfId="27589"/>
    <cellStyle name="표준 10 2 5 2 2 8" xfId="27590"/>
    <cellStyle name="표준 10 4 2 2 2 2 8" xfId="27591"/>
    <cellStyle name="표준 10 4 3 2 2 2 8" xfId="27592"/>
    <cellStyle name="표준 10 4 4 2 2 2 8" xfId="27593"/>
    <cellStyle name="표준 10 4 5 2 2 8" xfId="27594"/>
    <cellStyle name="표준 10 5 2 2 2 2 8" xfId="27595"/>
    <cellStyle name="표준 10 5 3 2 2 2 8" xfId="27596"/>
    <cellStyle name="표준 10 5 4 2 2 2 8" xfId="27597"/>
    <cellStyle name="표준 10 5 5 2 2 8" xfId="27598"/>
    <cellStyle name="표준 10 6 2 2 2 2 8" xfId="27599"/>
    <cellStyle name="표준 10 6 3 2 2 2 8" xfId="27600"/>
    <cellStyle name="표준 10 6 4 2 2 2 8" xfId="27601"/>
    <cellStyle name="표준 10 6 5 2 2 8" xfId="27602"/>
    <cellStyle name="표준 10 7 2 2 2 2 8" xfId="27603"/>
    <cellStyle name="표준 10 7 3 2 2 2 8" xfId="27604"/>
    <cellStyle name="표준 10 7 4 2 2 2 8" xfId="27605"/>
    <cellStyle name="표준 10 7 5 2 2 8" xfId="27606"/>
    <cellStyle name="표준 10 8 2 2 2 2 8" xfId="27607"/>
    <cellStyle name="표준 10 8 3 2 2 2 8" xfId="27608"/>
    <cellStyle name="표준 10 8 4 2 2 2 8" xfId="27609"/>
    <cellStyle name="표준 10 8 5 2 2 8" xfId="27610"/>
    <cellStyle name="표준 10 9 2 2 2 2 8" xfId="27611"/>
    <cellStyle name="표준 10 9 3 2 2 2 8" xfId="27612"/>
    <cellStyle name="표준 10 9 4 2 2 8" xfId="27613"/>
    <cellStyle name="표준 21 2 3 2 2 8" xfId="27614"/>
    <cellStyle name="표준 21 3 3 2 2 8" xfId="27615"/>
    <cellStyle name="표준 21 4 3 2 2 8" xfId="27616"/>
    <cellStyle name="표준 21 40 2 2 8" xfId="27617"/>
    <cellStyle name="표준 22 3 2 2 8" xfId="27618"/>
    <cellStyle name="표준 24 40 8" xfId="27619"/>
    <cellStyle name="표준 25 24 8" xfId="27620"/>
    <cellStyle name="표준 7 10 2 2 2 2 8" xfId="27621"/>
    <cellStyle name="표준 7 10 3 2 2 2 8" xfId="27622"/>
    <cellStyle name="표준 7 10 4 2 2 2 8" xfId="27623"/>
    <cellStyle name="표준 7 10 5 2 2 8" xfId="27624"/>
    <cellStyle name="표준 7 11 2 2 2 2 8" xfId="27625"/>
    <cellStyle name="표준 7 11 3 2 2 2 8" xfId="27626"/>
    <cellStyle name="표준 7 11 4 2 2 2 8" xfId="27627"/>
    <cellStyle name="표준 7 11 5 2 2 8" xfId="27628"/>
    <cellStyle name="표준 7 12 2 2 2 2 8" xfId="27629"/>
    <cellStyle name="표준 7 12 3 2 2 2 8" xfId="27630"/>
    <cellStyle name="표준 7 12 4 2 2 2 8" xfId="27631"/>
    <cellStyle name="표준 7 12 5 2 2 8" xfId="27632"/>
    <cellStyle name="표준 7 13 2 2 2 2 8" xfId="27633"/>
    <cellStyle name="표준 7 13 3 2 2 2 8" xfId="27634"/>
    <cellStyle name="표준 7 13 4 2 2 2 8" xfId="27635"/>
    <cellStyle name="표준 7 13 5 2 2 8" xfId="27636"/>
    <cellStyle name="표준 7 14 2 2 2 2 8" xfId="27637"/>
    <cellStyle name="표준 7 14 3 2 2 2 8" xfId="27638"/>
    <cellStyle name="표준 7 14 4 2 2 2 8" xfId="27639"/>
    <cellStyle name="표준 7 14 5 2 2 8" xfId="27640"/>
    <cellStyle name="표준 7 15 2 2 2 2 8" xfId="27641"/>
    <cellStyle name="표준 7 15 3 2 2 2 8" xfId="27642"/>
    <cellStyle name="표준 7 15 4 2 2 8" xfId="27643"/>
    <cellStyle name="표준 7 16 2 2 2 8" xfId="27644"/>
    <cellStyle name="표준 7 17 2 2 2 8" xfId="27645"/>
    <cellStyle name="표준 7 18 2 2 2 8" xfId="27646"/>
    <cellStyle name="표준 7 2 3 2 2 2 8" xfId="27647"/>
    <cellStyle name="표준 7 2 4 2 2 2 8" xfId="27648"/>
    <cellStyle name="표준 7 2 5 2 2 2 8" xfId="27649"/>
    <cellStyle name="표준 7 2 6 2 2 8" xfId="27650"/>
    <cellStyle name="표준 7 20 2 2 8" xfId="27651"/>
    <cellStyle name="표준 8 10 2 2 2 8" xfId="27652"/>
    <cellStyle name="표준 8 11 2 2 2 8" xfId="27653"/>
    <cellStyle name="표준 8 12 2 2 2 8" xfId="27654"/>
    <cellStyle name="표준 8 14 2 2 8" xfId="27655"/>
    <cellStyle name="표준 8 2 2 2 2 2 8" xfId="27656"/>
    <cellStyle name="표준 8 2 3 2 2 2 8" xfId="27657"/>
    <cellStyle name="표준 8 2 4 2 2 2 8" xfId="27658"/>
    <cellStyle name="표준 8 2 5 2 2 8" xfId="27659"/>
    <cellStyle name="표준 8 4 2 2 2 2 8" xfId="27660"/>
    <cellStyle name="표준 8 4 3 2 2 2 8" xfId="27661"/>
    <cellStyle name="표준 8 4 4 2 2 2 8" xfId="27662"/>
    <cellStyle name="표준 8 4 5 2 2 8" xfId="27663"/>
    <cellStyle name="표준 8 5 2 2 2 2 8" xfId="27664"/>
    <cellStyle name="표준 8 5 3 2 2 2 8" xfId="27665"/>
    <cellStyle name="표준 8 5 4 2 2 2 8" xfId="27666"/>
    <cellStyle name="표준 8 5 5 2 2 8" xfId="27667"/>
    <cellStyle name="표준 8 6 2 2 2 2 8" xfId="27668"/>
    <cellStyle name="표준 8 6 3 2 2 2 8" xfId="27669"/>
    <cellStyle name="표준 8 6 4 2 2 2 8" xfId="27670"/>
    <cellStyle name="표준 8 6 5 2 2 8" xfId="27671"/>
    <cellStyle name="표준 8 7 2 2 2 2 8" xfId="27672"/>
    <cellStyle name="표준 8 7 3 2 2 2 8" xfId="27673"/>
    <cellStyle name="표준 8 7 4 2 2 2 8" xfId="27674"/>
    <cellStyle name="표준 8 7 5 2 2 8" xfId="27675"/>
    <cellStyle name="표준 8 8 2 2 2 2 8" xfId="27676"/>
    <cellStyle name="표준 8 8 3 2 2 2 8" xfId="27677"/>
    <cellStyle name="표준 8 8 4 2 2 2 8" xfId="27678"/>
    <cellStyle name="표준 8 8 5 2 2 8" xfId="27679"/>
    <cellStyle name="표준 8 9 2 2 2 2 8" xfId="27680"/>
    <cellStyle name="표준 8 9 3 2 2 2 8" xfId="27681"/>
    <cellStyle name="표준 8 9 4 2 2 8" xfId="27682"/>
    <cellStyle name="표준 9 10 2 2 2 8" xfId="27683"/>
    <cellStyle name="표준 9 11 2 2 2 8" xfId="27684"/>
    <cellStyle name="표준 9 12 2 2 2 8" xfId="27685"/>
    <cellStyle name="표준 9 14 2 2 8" xfId="27686"/>
    <cellStyle name="표준 9 2 2 2 2 2 8" xfId="27687"/>
    <cellStyle name="표준 9 2 3 2 2 2 8" xfId="27688"/>
    <cellStyle name="표준 9 2 4 2 2 2 8" xfId="27689"/>
    <cellStyle name="표준 9 2 5 2 2 8" xfId="27690"/>
    <cellStyle name="표준 9 4 2 2 2 2 8" xfId="27691"/>
    <cellStyle name="표준 9 4 3 2 2 2 8" xfId="27692"/>
    <cellStyle name="표준 9 4 4 2 2 2 8" xfId="27693"/>
    <cellStyle name="표준 9 4 5 2 2 8" xfId="27694"/>
    <cellStyle name="표준 9 5 2 2 2 2 8" xfId="27695"/>
    <cellStyle name="표준 9 5 3 2 2 2 8" xfId="27696"/>
    <cellStyle name="표준 9 5 4 2 2 2 8" xfId="27697"/>
    <cellStyle name="표준 9 5 5 2 2 8" xfId="27698"/>
    <cellStyle name="표준 9 6 2 2 2 2 8" xfId="27699"/>
    <cellStyle name="표준 9 6 3 2 2 2 8" xfId="27700"/>
    <cellStyle name="표준 9 6 4 2 2 2 8" xfId="27701"/>
    <cellStyle name="표준 9 6 5 2 2 8" xfId="27702"/>
    <cellStyle name="표준 9 7 2 2 2 2 8" xfId="27703"/>
    <cellStyle name="표준 9 7 3 2 2 2 8" xfId="27704"/>
    <cellStyle name="표준 9 7 4 2 2 2 8" xfId="27705"/>
    <cellStyle name="표준 9 7 5 2 2 8" xfId="27706"/>
    <cellStyle name="표준 9 8 2 2 2 2 8" xfId="27707"/>
    <cellStyle name="표준 9 8 3 2 2 2 8" xfId="27708"/>
    <cellStyle name="표준 9 8 4 2 2 2 8" xfId="27709"/>
    <cellStyle name="표준 9 8 5 2 2 8" xfId="27710"/>
    <cellStyle name="표준 9 9 2 2 2 2 8" xfId="27711"/>
    <cellStyle name="표준 9 9 3 2 2 2 8" xfId="27712"/>
    <cellStyle name="표준 9 9 4 2 2 8" xfId="27713"/>
    <cellStyle name="백분율 2" xfId="27714"/>
    <cellStyle name="쉼표 [0] 2 2 7" xfId="27715"/>
    <cellStyle name="쉼표 [0] 2 2 2 6" xfId="27716"/>
    <cellStyle name="쉼표 [0] 2 2 2 2 3" xfId="27717"/>
    <cellStyle name="쉼표 [0] 2 2 3 3" xfId="27718"/>
    <cellStyle name="쉼표 [0] 2 3 7" xfId="27719"/>
    <cellStyle name="쉼표 [0] 2 3 2 6" xfId="27720"/>
    <cellStyle name="쉼표 [0] 2 3 2 2 3" xfId="27721"/>
    <cellStyle name="쉼표 [0] 2 3 3 3" xfId="27722"/>
    <cellStyle name="통화 [0] 2 8" xfId="27723"/>
    <cellStyle name="통화 [0] 2 2 7" xfId="27724"/>
    <cellStyle name="통화 [0] 2 2 2 6" xfId="27725"/>
    <cellStyle name="통화 [0] 2 2 2 2 3" xfId="27726"/>
    <cellStyle name="통화 [0] 2 2 3 3" xfId="27727"/>
    <cellStyle name="통화 [0] 2 3 6" xfId="27728"/>
    <cellStyle name="통화 [0] 2 3 2 3" xfId="27729"/>
    <cellStyle name="통화 [0] 2 4 3" xfId="27730"/>
    <cellStyle name="표준 10 10 2 2 2 2 6" xfId="27731"/>
    <cellStyle name="표준 10 10 2 2 2 2 2 3" xfId="27732"/>
    <cellStyle name="표준 10 10 2 2 2 3 6" xfId="27733"/>
    <cellStyle name="표준 10 10 2 2 2 3 2 3" xfId="27734"/>
    <cellStyle name="표준 10 10 2 2 2 4 3" xfId="27735"/>
    <cellStyle name="표준 10 10 2 2 3 6" xfId="27736"/>
    <cellStyle name="표준 10 10 2 2 3 2 3" xfId="27737"/>
    <cellStyle name="표준 10 10 2 2 4 6" xfId="27738"/>
    <cellStyle name="표준 10 10 2 2 4 2 3" xfId="27739"/>
    <cellStyle name="표준 10 10 2 2 5 3" xfId="27740"/>
    <cellStyle name="표준 10 10 2 3 2 6" xfId="27741"/>
    <cellStyle name="표준 10 10 2 3 2 2 3" xfId="27742"/>
    <cellStyle name="표준 10 10 2 3 3 6" xfId="27743"/>
    <cellStyle name="표준 10 10 2 3 3 2 3" xfId="27744"/>
    <cellStyle name="표준 10 10 2 3 4 3" xfId="27745"/>
    <cellStyle name="표준 10 10 2 4 6" xfId="27746"/>
    <cellStyle name="표준 10 10 2 4 2 3" xfId="27747"/>
    <cellStyle name="표준 10 10 2 5 6" xfId="27748"/>
    <cellStyle name="표준 10 10 2 5 2 3" xfId="27749"/>
    <cellStyle name="표준 10 10 2 6 3" xfId="27750"/>
    <cellStyle name="표준 10 10 3 2 2 6" xfId="27751"/>
    <cellStyle name="표준 10 10 3 2 2 2 3" xfId="27752"/>
    <cellStyle name="표준 10 10 3 2 3 6" xfId="27753"/>
    <cellStyle name="표준 10 10 3 2 3 2 3" xfId="27754"/>
    <cellStyle name="표준 10 10 3 2 4 3" xfId="27755"/>
    <cellStyle name="표준 10 10 3 3 6" xfId="27756"/>
    <cellStyle name="표준 10 10 3 3 2 3" xfId="27757"/>
    <cellStyle name="표준 10 10 3 4 6" xfId="27758"/>
    <cellStyle name="표준 10 10 3 4 2 3" xfId="27759"/>
    <cellStyle name="표준 10 10 3 5 3" xfId="27760"/>
    <cellStyle name="표준 10 10 4 2 6" xfId="27761"/>
    <cellStyle name="표준 10 10 4 2 2 3" xfId="27762"/>
    <cellStyle name="표준 10 10 4 3 6" xfId="27763"/>
    <cellStyle name="표준 10 10 4 3 2 3" xfId="27764"/>
    <cellStyle name="표준 10 10 4 4 3" xfId="27765"/>
    <cellStyle name="표준 10 10 5 6" xfId="27766"/>
    <cellStyle name="표준 10 10 5 2 3" xfId="27767"/>
    <cellStyle name="표준 10 10 6 6" xfId="27768"/>
    <cellStyle name="표준 10 10 6 2 3" xfId="27769"/>
    <cellStyle name="표준 10 10 7 3" xfId="27770"/>
    <cellStyle name="표준 10 11 2 2 2 2 6" xfId="27771"/>
    <cellStyle name="표준 10 11 2 2 2 2 2 3" xfId="27772"/>
    <cellStyle name="표준 10 11 2 2 2 3 6" xfId="27773"/>
    <cellStyle name="표준 10 11 2 2 2 3 2 3" xfId="27774"/>
    <cellStyle name="표준 10 11 2 2 2 4 3" xfId="27775"/>
    <cellStyle name="표준 10 11 2 2 3 6" xfId="27776"/>
    <cellStyle name="표준 10 11 2 2 3 2 3" xfId="27777"/>
    <cellStyle name="표준 10 11 2 2 4 6" xfId="27778"/>
    <cellStyle name="표준 10 11 2 2 4 2 3" xfId="27779"/>
    <cellStyle name="표준 10 11 2 2 5 3" xfId="27780"/>
    <cellStyle name="표준 10 11 2 3 2 6" xfId="27781"/>
    <cellStyle name="표준 10 11 2 3 2 2 3" xfId="27782"/>
    <cellStyle name="표준 10 11 2 3 3 6" xfId="27783"/>
    <cellStyle name="표준 10 11 2 3 3 2 3" xfId="27784"/>
    <cellStyle name="표준 10 11 2 3 4 3" xfId="27785"/>
    <cellStyle name="표준 10 11 2 4 6" xfId="27786"/>
    <cellStyle name="표준 10 11 2 4 2 3" xfId="27787"/>
    <cellStyle name="표준 10 11 2 5 6" xfId="27788"/>
    <cellStyle name="표준 10 11 2 5 2 3" xfId="27789"/>
    <cellStyle name="표준 10 11 2 6 3" xfId="27790"/>
    <cellStyle name="표준 10 11 3 2 2 6" xfId="27791"/>
    <cellStyle name="표준 10 11 3 2 2 2 3" xfId="27792"/>
    <cellStyle name="표준 10 11 3 2 3 6" xfId="27793"/>
    <cellStyle name="표준 10 11 3 2 3 2 3" xfId="27794"/>
    <cellStyle name="표준 10 11 3 2 4 3" xfId="27795"/>
    <cellStyle name="표준 10 11 3 3 6" xfId="27796"/>
    <cellStyle name="표준 10 11 3 3 2 3" xfId="27797"/>
    <cellStyle name="표준 10 11 3 4 6" xfId="27798"/>
    <cellStyle name="표준 10 11 3 4 2 3" xfId="27799"/>
    <cellStyle name="표준 10 11 3 5 3" xfId="27800"/>
    <cellStyle name="표준 10 11 4 2 6" xfId="27801"/>
    <cellStyle name="표준 10 11 4 2 2 3" xfId="27802"/>
    <cellStyle name="표준 10 11 4 3 6" xfId="27803"/>
    <cellStyle name="표준 10 11 4 3 2 3" xfId="27804"/>
    <cellStyle name="표준 10 11 4 4 3" xfId="27805"/>
    <cellStyle name="표준 10 11 5 6" xfId="27806"/>
    <cellStyle name="표준 10 11 5 2 3" xfId="27807"/>
    <cellStyle name="표준 10 11 6 6" xfId="27808"/>
    <cellStyle name="표준 10 11 6 2 3" xfId="27809"/>
    <cellStyle name="표준 10 11 7 3" xfId="27810"/>
    <cellStyle name="표준 10 12 2 2 2 2 6" xfId="27811"/>
    <cellStyle name="표준 10 12 2 2 2 2 2 3" xfId="27812"/>
    <cellStyle name="표준 10 12 2 2 2 3 6" xfId="27813"/>
    <cellStyle name="표준 10 12 2 2 2 3 2 3" xfId="27814"/>
    <cellStyle name="표준 10 12 2 2 2 4 3" xfId="27815"/>
    <cellStyle name="표준 10 12 2 2 3 6" xfId="27816"/>
    <cellStyle name="표준 10 12 2 2 3 2 3" xfId="27817"/>
    <cellStyle name="표준 10 12 2 2 4 6" xfId="27818"/>
    <cellStyle name="표준 10 12 2 2 4 2 3" xfId="27819"/>
    <cellStyle name="표준 10 12 2 2 5 3" xfId="27820"/>
    <cellStyle name="표준 10 12 2 3 2 6" xfId="27821"/>
    <cellStyle name="표준 10 12 2 3 2 2 3" xfId="27822"/>
    <cellStyle name="표준 10 12 2 3 3 6" xfId="27823"/>
    <cellStyle name="표준 10 12 2 3 3 2 3" xfId="27824"/>
    <cellStyle name="표준 10 12 2 3 4 3" xfId="27825"/>
    <cellStyle name="표준 10 12 2 4 6" xfId="27826"/>
    <cellStyle name="표준 10 12 2 4 2 3" xfId="27827"/>
    <cellStyle name="표준 10 12 2 5 6" xfId="27828"/>
    <cellStyle name="표준 10 12 2 5 2 3" xfId="27829"/>
    <cellStyle name="표준 10 12 2 6 3" xfId="27830"/>
    <cellStyle name="표준 10 12 3 2 2 6" xfId="27831"/>
    <cellStyle name="표준 10 12 3 2 2 2 3" xfId="27832"/>
    <cellStyle name="표준 10 12 3 2 3 6" xfId="27833"/>
    <cellStyle name="표준 10 12 3 2 3 2 3" xfId="27834"/>
    <cellStyle name="표준 10 12 3 2 4 3" xfId="27835"/>
    <cellStyle name="표준 10 12 3 3 6" xfId="27836"/>
    <cellStyle name="표준 10 12 3 3 2 3" xfId="27837"/>
    <cellStyle name="표준 10 12 3 4 6" xfId="27838"/>
    <cellStyle name="표준 10 12 3 4 2 3" xfId="27839"/>
    <cellStyle name="표준 10 12 3 5 3" xfId="27840"/>
    <cellStyle name="표준 10 12 4 2 6" xfId="27841"/>
    <cellStyle name="표준 10 12 4 2 2 3" xfId="27842"/>
    <cellStyle name="표준 10 12 4 3 6" xfId="27843"/>
    <cellStyle name="표준 10 12 4 3 2 3" xfId="27844"/>
    <cellStyle name="표준 10 12 4 4 3" xfId="27845"/>
    <cellStyle name="표준 10 12 5 6" xfId="27846"/>
    <cellStyle name="표준 10 12 5 2 3" xfId="27847"/>
    <cellStyle name="표준 10 12 6 6" xfId="27848"/>
    <cellStyle name="표준 10 12 6 2 3" xfId="27849"/>
    <cellStyle name="표준 10 12 7 3" xfId="27850"/>
    <cellStyle name="표준 10 14 2 2 2 6" xfId="27851"/>
    <cellStyle name="표준 10 14 2 2 2 2 3" xfId="27852"/>
    <cellStyle name="표준 10 14 2 2 3 6" xfId="27853"/>
    <cellStyle name="표준 10 14 2 2 3 2 3" xfId="27854"/>
    <cellStyle name="표준 10 14 2 2 4 3" xfId="27855"/>
    <cellStyle name="표준 10 14 2 3 6" xfId="27856"/>
    <cellStyle name="표준 10 14 2 3 2 3" xfId="27857"/>
    <cellStyle name="표준 10 14 2 4 6" xfId="27858"/>
    <cellStyle name="표준 10 14 2 4 2 3" xfId="27859"/>
    <cellStyle name="표준 10 14 2 5 3" xfId="27860"/>
    <cellStyle name="표준 10 14 3 2 6" xfId="27861"/>
    <cellStyle name="표준 10 14 3 2 2 3" xfId="27862"/>
    <cellStyle name="표준 10 14 3 3 6" xfId="27863"/>
    <cellStyle name="표준 10 14 3 3 2 3" xfId="27864"/>
    <cellStyle name="표준 10 14 3 4 3" xfId="27865"/>
    <cellStyle name="표준 10 14 4 6" xfId="27866"/>
    <cellStyle name="표준 10 14 4 2 3" xfId="27867"/>
    <cellStyle name="표준 10 14 5 6" xfId="27868"/>
    <cellStyle name="표준 10 14 5 2 3" xfId="27869"/>
    <cellStyle name="표준 10 14 6 3" xfId="27870"/>
    <cellStyle name="표준 10 15 2 2 6" xfId="27871"/>
    <cellStyle name="표준 10 15 2 2 2 3" xfId="27872"/>
    <cellStyle name="표준 10 15 2 3 6" xfId="27873"/>
    <cellStyle name="표준 10 15 2 3 2 3" xfId="27874"/>
    <cellStyle name="표준 10 15 2 4 3" xfId="27875"/>
    <cellStyle name="표준 10 15 3 6" xfId="27876"/>
    <cellStyle name="표준 10 15 3 2 3" xfId="27877"/>
    <cellStyle name="표준 10 15 4 6" xfId="27878"/>
    <cellStyle name="표준 10 15 4 2 3" xfId="27879"/>
    <cellStyle name="표준 10 15 5 3" xfId="27880"/>
    <cellStyle name="표준 10 16 2 6" xfId="27881"/>
    <cellStyle name="표준 10 16 2 2 3" xfId="27882"/>
    <cellStyle name="표준 10 16 3 6" xfId="27883"/>
    <cellStyle name="표준 10 16 3 2 3" xfId="27884"/>
    <cellStyle name="표준 10 16 4 3" xfId="27885"/>
    <cellStyle name="표준 10 17 6" xfId="27886"/>
    <cellStyle name="표준 10 17 2 3" xfId="27887"/>
    <cellStyle name="표준 10 18 6" xfId="27888"/>
    <cellStyle name="표준 10 18 2 3" xfId="27889"/>
    <cellStyle name="표준 10 19 3" xfId="27890"/>
    <cellStyle name="표준 10 2 10 3" xfId="27891"/>
    <cellStyle name="표준 10 2 2 2 2 2 2 6" xfId="27892"/>
    <cellStyle name="표준 10 2 2 2 2 2 2 2 3" xfId="27893"/>
    <cellStyle name="표준 10 2 2 2 2 2 3 6" xfId="27894"/>
    <cellStyle name="표준 10 2 2 2 2 2 3 2 3" xfId="27895"/>
    <cellStyle name="표준 10 2 2 2 2 2 4 3" xfId="27896"/>
    <cellStyle name="표준 10 2 2 2 2 3 6" xfId="27897"/>
    <cellStyle name="표준 10 2 2 2 2 3 2 3" xfId="27898"/>
    <cellStyle name="표준 10 2 2 2 2 4 6" xfId="27899"/>
    <cellStyle name="표준 10 2 2 2 2 4 2 3" xfId="27900"/>
    <cellStyle name="표준 10 2 2 2 2 5 3" xfId="27901"/>
    <cellStyle name="표준 10 2 2 2 3 2 6" xfId="27902"/>
    <cellStyle name="표준 10 2 2 2 3 2 2 3" xfId="27903"/>
    <cellStyle name="표준 10 2 2 2 3 3 6" xfId="27904"/>
    <cellStyle name="표준 10 2 2 2 3 3 2 3" xfId="27905"/>
    <cellStyle name="표준 10 2 2 2 3 4 3" xfId="27906"/>
    <cellStyle name="표준 10 2 2 2 4 6" xfId="27907"/>
    <cellStyle name="표준 10 2 2 2 4 2 3" xfId="27908"/>
    <cellStyle name="표준 10 2 2 2 5 6" xfId="27909"/>
    <cellStyle name="표준 10 2 2 2 5 2 3" xfId="27910"/>
    <cellStyle name="표준 10 2 2 2 6 3" xfId="27911"/>
    <cellStyle name="표준 10 2 2 3 2 2 6" xfId="27912"/>
    <cellStyle name="표준 10 2 2 3 2 2 2 3" xfId="27913"/>
    <cellStyle name="표준 10 2 2 3 2 3 6" xfId="27914"/>
    <cellStyle name="표준 10 2 2 3 2 3 2 3" xfId="27915"/>
    <cellStyle name="표준 10 2 2 3 2 4 3" xfId="27916"/>
    <cellStyle name="표준 10 2 2 3 3 6" xfId="27917"/>
    <cellStyle name="표준 10 2 2 3 3 2 3" xfId="27918"/>
    <cellStyle name="표준 10 2 2 3 4 6" xfId="27919"/>
    <cellStyle name="표준 10 2 2 3 4 2 3" xfId="27920"/>
    <cellStyle name="표준 10 2 2 3 5 3" xfId="27921"/>
    <cellStyle name="표준 10 2 2 4 2 6" xfId="27922"/>
    <cellStyle name="표준 10 2 2 4 2 2 3" xfId="27923"/>
    <cellStyle name="표준 10 2 2 4 3 6" xfId="27924"/>
    <cellStyle name="표준 10 2 2 4 3 2 3" xfId="27925"/>
    <cellStyle name="표준 10 2 2 4 4 3" xfId="27926"/>
    <cellStyle name="표준 10 2 2 5 6" xfId="27927"/>
    <cellStyle name="표준 10 2 2 5 2 3" xfId="27928"/>
    <cellStyle name="표준 10 2 2 6 6" xfId="27929"/>
    <cellStyle name="표준 10 2 2 6 2 3" xfId="27930"/>
    <cellStyle name="표준 10 2 2 7 3" xfId="27931"/>
    <cellStyle name="표준 10 2 3 2 2 2 2 6" xfId="27932"/>
    <cellStyle name="표준 10 2 3 2 2 2 2 2 3" xfId="27933"/>
    <cellStyle name="표준 10 2 3 2 2 2 3 6" xfId="27934"/>
    <cellStyle name="표준 10 2 3 2 2 2 3 2 3" xfId="27935"/>
    <cellStyle name="표준 10 2 3 2 2 2 4 3" xfId="27936"/>
    <cellStyle name="표준 10 2 3 2 2 3 6" xfId="27937"/>
    <cellStyle name="표준 10 2 3 2 2 3 2 3" xfId="27938"/>
    <cellStyle name="표준 10 2 3 2 2 4 6" xfId="27939"/>
    <cellStyle name="표준 10 2 3 2 2 4 2 3" xfId="27940"/>
    <cellStyle name="표준 10 2 3 2 2 5 3" xfId="27941"/>
    <cellStyle name="표준 10 2 3 2 3 2 6" xfId="27942"/>
    <cellStyle name="표준 10 2 3 2 3 2 2 3" xfId="27943"/>
    <cellStyle name="표준 10 2 3 2 3 3 6" xfId="27944"/>
    <cellStyle name="표준 10 2 3 2 3 3 2 3" xfId="27945"/>
    <cellStyle name="표준 10 2 3 2 3 4 3" xfId="27946"/>
    <cellStyle name="표준 10 2 3 2 4 6" xfId="27947"/>
    <cellStyle name="표준 10 2 3 2 4 2 3" xfId="27948"/>
    <cellStyle name="표준 10 2 3 2 5 6" xfId="27949"/>
    <cellStyle name="표준 10 2 3 2 5 2 3" xfId="27950"/>
    <cellStyle name="표준 10 2 3 2 6 3" xfId="27951"/>
    <cellStyle name="표준 10 2 3 3 2 2 6" xfId="27952"/>
    <cellStyle name="표준 10 2 3 3 2 2 2 3" xfId="27953"/>
    <cellStyle name="표준 10 2 3 3 2 3 6" xfId="27954"/>
    <cellStyle name="표준 10 2 3 3 2 3 2 3" xfId="27955"/>
    <cellStyle name="표준 10 2 3 3 2 4 3" xfId="27956"/>
    <cellStyle name="표준 10 2 3 3 3 6" xfId="27957"/>
    <cellStyle name="표준 10 2 3 3 3 2 3" xfId="27958"/>
    <cellStyle name="표준 10 2 3 3 4 6" xfId="27959"/>
    <cellStyle name="표준 10 2 3 3 4 2 3" xfId="27960"/>
    <cellStyle name="표준 10 2 3 3 5 3" xfId="27961"/>
    <cellStyle name="표준 10 2 3 4 2 6" xfId="27962"/>
    <cellStyle name="표준 10 2 3 4 2 2 3" xfId="27963"/>
    <cellStyle name="표준 10 2 3 4 3 6" xfId="27964"/>
    <cellStyle name="표준 10 2 3 4 3 2 3" xfId="27965"/>
    <cellStyle name="표준 10 2 3 4 4 3" xfId="27966"/>
    <cellStyle name="표준 10 2 3 5 6" xfId="27967"/>
    <cellStyle name="표준 10 2 3 5 2 3" xfId="27968"/>
    <cellStyle name="표준 10 2 3 6 6" xfId="27969"/>
    <cellStyle name="표준 10 2 3 6 2 3" xfId="27970"/>
    <cellStyle name="표준 10 2 3 7 3" xfId="27971"/>
    <cellStyle name="표준 10 2 4 2 2 2 2 6" xfId="27972"/>
    <cellStyle name="표준 10 2 4 2 2 2 2 2 3" xfId="27973"/>
    <cellStyle name="표준 10 2 4 2 2 2 3 6" xfId="27974"/>
    <cellStyle name="표준 10 2 4 2 2 2 3 2 3" xfId="27975"/>
    <cellStyle name="표준 10 2 4 2 2 2 4 3" xfId="27976"/>
    <cellStyle name="표준 10 2 4 2 2 3 6" xfId="27977"/>
    <cellStyle name="표준 10 2 4 2 2 3 2 3" xfId="27978"/>
    <cellStyle name="표준 10 2 4 2 2 4 6" xfId="27979"/>
    <cellStyle name="표준 10 2 4 2 2 4 2 3" xfId="27980"/>
    <cellStyle name="표준 10 2 4 2 2 5 3" xfId="27981"/>
    <cellStyle name="표준 10 2 4 2 3 2 6" xfId="27982"/>
    <cellStyle name="표준 10 2 4 2 3 2 2 3" xfId="27983"/>
    <cellStyle name="표준 10 2 4 2 3 3 6" xfId="27984"/>
    <cellStyle name="표준 10 2 4 2 3 3 2 3" xfId="27985"/>
    <cellStyle name="표준 10 2 4 2 3 4 3" xfId="27986"/>
    <cellStyle name="표준 10 2 4 2 4 6" xfId="27987"/>
    <cellStyle name="표준 10 2 4 2 4 2 3" xfId="27988"/>
    <cellStyle name="표준 10 2 4 2 5 6" xfId="27989"/>
    <cellStyle name="표준 10 2 4 2 5 2 3" xfId="27990"/>
    <cellStyle name="표준 10 2 4 2 6 3" xfId="27991"/>
    <cellStyle name="표준 10 2 4 3 2 2 6" xfId="27992"/>
    <cellStyle name="표준 10 2 4 3 2 2 2 3" xfId="27993"/>
    <cellStyle name="표준 10 2 4 3 2 3 6" xfId="27994"/>
    <cellStyle name="표준 10 2 4 3 2 3 2 3" xfId="27995"/>
    <cellStyle name="표준 10 2 4 3 2 4 3" xfId="27996"/>
    <cellStyle name="표준 10 2 4 3 3 6" xfId="27997"/>
    <cellStyle name="표준 10 2 4 3 3 2 3" xfId="27998"/>
    <cellStyle name="표준 10 2 4 3 4 6" xfId="27999"/>
    <cellStyle name="표준 10 2 4 3 4 2 3" xfId="28000"/>
    <cellStyle name="표준 10 2 4 3 5 3" xfId="28001"/>
    <cellStyle name="표준 10 2 4 4 2 6" xfId="28002"/>
    <cellStyle name="표준 10 2 4 4 2 2 3" xfId="28003"/>
    <cellStyle name="표준 10 2 4 4 3 6" xfId="28004"/>
    <cellStyle name="표준 10 2 4 4 3 2 3" xfId="28005"/>
    <cellStyle name="표준 10 2 4 4 4 3" xfId="28006"/>
    <cellStyle name="표준 10 2 4 5 6" xfId="28007"/>
    <cellStyle name="표준 10 2 4 5 2 3" xfId="28008"/>
    <cellStyle name="표준 10 2 4 6 6" xfId="28009"/>
    <cellStyle name="표준 10 2 4 6 2 3" xfId="28010"/>
    <cellStyle name="표준 10 2 4 7 3" xfId="28011"/>
    <cellStyle name="표준 10 2 5 2 2 2 6" xfId="28012"/>
    <cellStyle name="표준 10 2 5 2 2 2 2 3" xfId="28013"/>
    <cellStyle name="표준 10 2 5 2 2 3 6" xfId="28014"/>
    <cellStyle name="표준 10 2 5 2 2 3 2 3" xfId="28015"/>
    <cellStyle name="표준 10 2 5 2 2 4 3" xfId="28016"/>
    <cellStyle name="표준 10 2 5 2 3 6" xfId="28017"/>
    <cellStyle name="표준 10 2 5 2 3 2 3" xfId="28018"/>
    <cellStyle name="표준 10 2 5 2 4 6" xfId="28019"/>
    <cellStyle name="표준 10 2 5 2 4 2 3" xfId="28020"/>
    <cellStyle name="표준 10 2 5 2 5 3" xfId="28021"/>
    <cellStyle name="표준 10 2 5 3 2 6" xfId="28022"/>
    <cellStyle name="표준 10 2 5 3 2 2 3" xfId="28023"/>
    <cellStyle name="표준 10 2 5 3 3 6" xfId="28024"/>
    <cellStyle name="표준 10 2 5 3 3 2 3" xfId="28025"/>
    <cellStyle name="표준 10 2 5 3 4 3" xfId="28026"/>
    <cellStyle name="표준 10 2 5 4 6" xfId="28027"/>
    <cellStyle name="표준 10 2 5 4 2 3" xfId="28028"/>
    <cellStyle name="표준 10 2 5 5 6" xfId="28029"/>
    <cellStyle name="표준 10 2 5 5 2 3" xfId="28030"/>
    <cellStyle name="표준 10 2 5 6 3" xfId="28031"/>
    <cellStyle name="표준 10 2 6 2 2 6" xfId="28032"/>
    <cellStyle name="표준 10 2 6 2 2 2 3" xfId="28033"/>
    <cellStyle name="표준 10 2 6 2 3 6" xfId="28034"/>
    <cellStyle name="표준 10 2 6 2 3 2 3" xfId="28035"/>
    <cellStyle name="표준 10 2 6 2 4 3" xfId="28036"/>
    <cellStyle name="표준 10 2 6 3 6" xfId="28037"/>
    <cellStyle name="표준 10 2 6 3 2 3" xfId="28038"/>
    <cellStyle name="표준 10 2 6 4 6" xfId="28039"/>
    <cellStyle name="표준 10 2 6 4 2 3" xfId="28040"/>
    <cellStyle name="표준 10 2 6 5 3" xfId="28041"/>
    <cellStyle name="표준 10 2 7 2 6" xfId="28042"/>
    <cellStyle name="표준 10 2 7 2 2 3" xfId="28043"/>
    <cellStyle name="표준 10 2 7 3 6" xfId="28044"/>
    <cellStyle name="표준 10 2 7 3 2 3" xfId="28045"/>
    <cellStyle name="표준 10 2 7 4 3" xfId="28046"/>
    <cellStyle name="표준 10 2 8 6" xfId="28047"/>
    <cellStyle name="표준 10 2 8 2 3" xfId="28048"/>
    <cellStyle name="표준 10 2 9 6" xfId="28049"/>
    <cellStyle name="표준 10 2 9 2 3" xfId="28050"/>
    <cellStyle name="표준 10 4 10 3" xfId="28051"/>
    <cellStyle name="표준 10 4 2 2 2 2 2 6" xfId="28052"/>
    <cellStyle name="표준 10 4 2 2 2 2 2 2 3" xfId="28053"/>
    <cellStyle name="표준 10 4 2 2 2 2 3 6" xfId="28054"/>
    <cellStyle name="표준 10 4 2 2 2 2 3 2 3" xfId="28055"/>
    <cellStyle name="표준 10 4 2 2 2 2 4 3" xfId="28056"/>
    <cellStyle name="표준 10 4 2 2 2 3 6" xfId="28057"/>
    <cellStyle name="표준 10 4 2 2 2 3 2 3" xfId="28058"/>
    <cellStyle name="표준 10 4 2 2 2 4 6" xfId="28059"/>
    <cellStyle name="표준 10 4 2 2 2 4 2 3" xfId="28060"/>
    <cellStyle name="표준 10 4 2 2 2 5 3" xfId="28061"/>
    <cellStyle name="표준 10 4 2 2 3 2 6" xfId="28062"/>
    <cellStyle name="표준 10 4 2 2 3 2 2 3" xfId="28063"/>
    <cellStyle name="표준 10 4 2 2 3 3 6" xfId="28064"/>
    <cellStyle name="표준 10 4 2 2 3 3 2 3" xfId="28065"/>
    <cellStyle name="표준 10 4 2 2 3 4 3" xfId="28066"/>
    <cellStyle name="표준 10 4 2 2 4 6" xfId="28067"/>
    <cellStyle name="표준 10 4 2 2 4 2 3" xfId="28068"/>
    <cellStyle name="표준 10 4 2 2 5 6" xfId="28069"/>
    <cellStyle name="표준 10 4 2 2 5 2 3" xfId="28070"/>
    <cellStyle name="표준 10 4 2 2 6 3" xfId="28071"/>
    <cellStyle name="표준 10 4 2 3 2 2 6" xfId="28072"/>
    <cellStyle name="표준 10 4 2 3 2 2 2 3" xfId="28073"/>
    <cellStyle name="표준 10 4 2 3 2 3 6" xfId="28074"/>
    <cellStyle name="표준 10 4 2 3 2 3 2 3" xfId="28075"/>
    <cellStyle name="표준 10 4 2 3 2 4 3" xfId="28076"/>
    <cellStyle name="표준 10 4 2 3 3 6" xfId="28077"/>
    <cellStyle name="표준 10 4 2 3 3 2 3" xfId="28078"/>
    <cellStyle name="표준 10 4 2 3 4 6" xfId="28079"/>
    <cellStyle name="표준 10 4 2 3 4 2 3" xfId="28080"/>
    <cellStyle name="표준 10 4 2 3 5 3" xfId="28081"/>
    <cellStyle name="표준 10 4 2 4 2 6" xfId="28082"/>
    <cellStyle name="표준 10 4 2 4 2 2 3" xfId="28083"/>
    <cellStyle name="표준 10 4 2 4 3 6" xfId="28084"/>
    <cellStyle name="표준 10 4 2 4 3 2 3" xfId="28085"/>
    <cellStyle name="표준 10 4 2 4 4 3" xfId="28086"/>
    <cellStyle name="표준 10 4 2 5 6" xfId="28087"/>
    <cellStyle name="표준 10 4 2 5 2 3" xfId="28088"/>
    <cellStyle name="표준 10 4 2 6 6" xfId="28089"/>
    <cellStyle name="표준 10 4 2 6 2 3" xfId="28090"/>
    <cellStyle name="표준 10 4 2 7 3" xfId="28091"/>
    <cellStyle name="표준 10 4 3 2 2 2 2 6" xfId="28092"/>
    <cellStyle name="표준 10 4 3 2 2 2 2 2 3" xfId="28093"/>
    <cellStyle name="표준 10 4 3 2 2 2 3 6" xfId="28094"/>
    <cellStyle name="표준 10 4 3 2 2 2 3 2 3" xfId="28095"/>
    <cellStyle name="표준 10 4 3 2 2 2 4 3" xfId="28096"/>
    <cellStyle name="표준 10 4 3 2 2 3 6" xfId="28097"/>
    <cellStyle name="표준 10 4 3 2 2 3 2 3" xfId="28098"/>
    <cellStyle name="표준 10 4 3 2 2 4 6" xfId="28099"/>
    <cellStyle name="표준 10 4 3 2 2 4 2 3" xfId="28100"/>
    <cellStyle name="표준 10 4 3 2 2 5 3" xfId="28101"/>
    <cellStyle name="표준 10 4 3 2 3 2 6" xfId="28102"/>
    <cellStyle name="표준 10 4 3 2 3 2 2 3" xfId="28103"/>
    <cellStyle name="표준 10 4 3 2 3 3 6" xfId="28104"/>
    <cellStyle name="표준 10 4 3 2 3 3 2 3" xfId="28105"/>
    <cellStyle name="표준 10 4 3 2 3 4 3" xfId="28106"/>
    <cellStyle name="표준 10 4 3 2 4 6" xfId="28107"/>
    <cellStyle name="표준 10 4 3 2 4 2 3" xfId="28108"/>
    <cellStyle name="표준 10 4 3 2 5 6" xfId="28109"/>
    <cellStyle name="표준 10 4 3 2 5 2 3" xfId="28110"/>
    <cellStyle name="표준 10 4 3 2 6 3" xfId="28111"/>
    <cellStyle name="표준 10 4 3 3 2 2 6" xfId="28112"/>
    <cellStyle name="표준 10 4 3 3 2 2 2 3" xfId="28113"/>
    <cellStyle name="표준 10 4 3 3 2 3 6" xfId="28114"/>
    <cellStyle name="표준 10 4 3 3 2 3 2 3" xfId="28115"/>
    <cellStyle name="표준 10 4 3 3 2 4 3" xfId="28116"/>
    <cellStyle name="표준 10 4 3 3 3 6" xfId="28117"/>
    <cellStyle name="표준 10 4 3 3 3 2 3" xfId="28118"/>
    <cellStyle name="표준 10 4 3 3 4 6" xfId="28119"/>
    <cellStyle name="표준 10 4 3 3 4 2 3" xfId="28120"/>
    <cellStyle name="표준 10 4 3 3 5 3" xfId="28121"/>
    <cellStyle name="표준 10 4 3 4 2 6" xfId="28122"/>
    <cellStyle name="표준 10 4 3 4 2 2 3" xfId="28123"/>
    <cellStyle name="표준 10 4 3 4 3 6" xfId="28124"/>
    <cellStyle name="표준 10 4 3 4 3 2 3" xfId="28125"/>
    <cellStyle name="표준 10 4 3 4 4 3" xfId="28126"/>
    <cellStyle name="표준 10 4 3 5 6" xfId="28127"/>
    <cellStyle name="표준 10 4 3 5 2 3" xfId="28128"/>
    <cellStyle name="표준 10 4 3 6 6" xfId="28129"/>
    <cellStyle name="표준 10 4 3 6 2 3" xfId="28130"/>
    <cellStyle name="표준 10 4 3 7 3" xfId="28131"/>
    <cellStyle name="표준 10 4 4 2 2 2 2 6" xfId="28132"/>
    <cellStyle name="표준 10 4 4 2 2 2 2 2 3" xfId="28133"/>
    <cellStyle name="표준 10 4 4 2 2 2 3 6" xfId="28134"/>
    <cellStyle name="표준 10 4 4 2 2 2 3 2 3" xfId="28135"/>
    <cellStyle name="표준 10 4 4 2 2 2 4 3" xfId="28136"/>
    <cellStyle name="표준 10 4 4 2 2 3 6" xfId="28137"/>
    <cellStyle name="표준 10 4 4 2 2 3 2 3" xfId="28138"/>
    <cellStyle name="표준 10 4 4 2 2 4 6" xfId="28139"/>
    <cellStyle name="표준 10 4 4 2 2 4 2 3" xfId="28140"/>
    <cellStyle name="표준 10 4 4 2 2 5 3" xfId="28141"/>
    <cellStyle name="표준 10 4 4 2 3 2 6" xfId="28142"/>
    <cellStyle name="표준 10 4 4 2 3 2 2 3" xfId="28143"/>
    <cellStyle name="표준 10 4 4 2 3 3 6" xfId="28144"/>
    <cellStyle name="표준 10 4 4 2 3 3 2 3" xfId="28145"/>
    <cellStyle name="표준 10 4 4 2 3 4 3" xfId="28146"/>
    <cellStyle name="표준 10 4 4 2 4 6" xfId="28147"/>
    <cellStyle name="표준 10 4 4 2 4 2 3" xfId="28148"/>
    <cellStyle name="표준 10 4 4 2 5 6" xfId="28149"/>
    <cellStyle name="표준 10 4 4 2 5 2 3" xfId="28150"/>
    <cellStyle name="표준 10 4 4 2 6 3" xfId="28151"/>
    <cellStyle name="표준 10 4 4 3 2 2 6" xfId="28152"/>
    <cellStyle name="표준 10 4 4 3 2 2 2 3" xfId="28153"/>
    <cellStyle name="표준 10 4 4 3 2 3 6" xfId="28154"/>
    <cellStyle name="표준 10 4 4 3 2 3 2 3" xfId="28155"/>
    <cellStyle name="표준 10 4 4 3 2 4 3" xfId="28156"/>
    <cellStyle name="표준 10 4 4 3 3 6" xfId="28157"/>
    <cellStyle name="표준 10 4 4 3 3 2 3" xfId="28158"/>
    <cellStyle name="표준 10 4 4 3 4 6" xfId="28159"/>
    <cellStyle name="표준 10 4 4 3 4 2 3" xfId="28160"/>
    <cellStyle name="표준 10 4 4 3 5 3" xfId="28161"/>
    <cellStyle name="표준 10 4 4 4 2 6" xfId="28162"/>
    <cellStyle name="표준 10 4 4 4 2 2 3" xfId="28163"/>
    <cellStyle name="표준 10 4 4 4 3 6" xfId="28164"/>
    <cellStyle name="표준 10 4 4 4 3 2 3" xfId="28165"/>
    <cellStyle name="표준 10 4 4 4 4 3" xfId="28166"/>
    <cellStyle name="표준 10 4 4 5 6" xfId="28167"/>
    <cellStyle name="표준 10 4 4 5 2 3" xfId="28168"/>
    <cellStyle name="표준 10 4 4 6 6" xfId="28169"/>
    <cellStyle name="표준 10 4 4 6 2 3" xfId="28170"/>
    <cellStyle name="표준 10 4 4 7 3" xfId="28171"/>
    <cellStyle name="표준 10 4 5 2 2 2 6" xfId="28172"/>
    <cellStyle name="표준 10 4 5 2 2 2 2 3" xfId="28173"/>
    <cellStyle name="표준 10 4 5 2 2 3 6" xfId="28174"/>
    <cellStyle name="표준 10 4 5 2 2 3 2 3" xfId="28175"/>
    <cellStyle name="표준 10 4 5 2 2 4 3" xfId="28176"/>
    <cellStyle name="표준 10 4 5 2 3 6" xfId="28177"/>
    <cellStyle name="표준 10 4 5 2 3 2 3" xfId="28178"/>
    <cellStyle name="표준 10 4 5 2 4 6" xfId="28179"/>
    <cellStyle name="표준 10 4 5 2 4 2 3" xfId="28180"/>
    <cellStyle name="표준 10 4 5 2 5 3" xfId="28181"/>
    <cellStyle name="표준 10 4 5 3 2 6" xfId="28182"/>
    <cellStyle name="표준 10 4 5 3 2 2 3" xfId="28183"/>
    <cellStyle name="표준 10 4 5 3 3 6" xfId="28184"/>
    <cellStyle name="표준 10 4 5 3 3 2 3" xfId="28185"/>
    <cellStyle name="표준 10 4 5 3 4 3" xfId="28186"/>
    <cellStyle name="표준 10 4 5 4 6" xfId="28187"/>
    <cellStyle name="표준 10 4 5 4 2 3" xfId="28188"/>
    <cellStyle name="표준 10 4 5 5 6" xfId="28189"/>
    <cellStyle name="표준 10 4 5 5 2 3" xfId="28190"/>
    <cellStyle name="표준 10 4 5 6 3" xfId="28191"/>
    <cellStyle name="표준 10 4 6 2 2 6" xfId="28192"/>
    <cellStyle name="표준 10 4 6 2 2 2 3" xfId="28193"/>
    <cellStyle name="표준 10 4 6 2 3 6" xfId="28194"/>
    <cellStyle name="표준 10 4 6 2 3 2 3" xfId="28195"/>
    <cellStyle name="표준 10 4 6 2 4 3" xfId="28196"/>
    <cellStyle name="표준 10 4 6 3 6" xfId="28197"/>
    <cellStyle name="표준 10 4 6 3 2 3" xfId="28198"/>
    <cellStyle name="표준 10 4 6 4 6" xfId="28199"/>
    <cellStyle name="표준 10 4 6 4 2 3" xfId="28200"/>
    <cellStyle name="표준 10 4 6 5 3" xfId="28201"/>
    <cellStyle name="표준 10 4 7 2 6" xfId="28202"/>
    <cellStyle name="표준 10 4 7 2 2 3" xfId="28203"/>
    <cellStyle name="표준 10 4 7 3 6" xfId="28204"/>
    <cellStyle name="표준 10 4 7 3 2 3" xfId="28205"/>
    <cellStyle name="표준 10 4 7 4 3" xfId="28206"/>
    <cellStyle name="표준 10 4 8 6" xfId="28207"/>
    <cellStyle name="표준 10 4 8 2 3" xfId="28208"/>
    <cellStyle name="표준 10 4 9 6" xfId="28209"/>
    <cellStyle name="표준 10 4 9 2 3" xfId="28210"/>
    <cellStyle name="표준 10 5 10 3" xfId="28211"/>
    <cellStyle name="표준 10 5 2 2 2 2 2 6" xfId="28212"/>
    <cellStyle name="표준 10 5 2 2 2 2 2 2 3" xfId="28213"/>
    <cellStyle name="표준 10 5 2 2 2 2 3 6" xfId="28214"/>
    <cellStyle name="표준 10 5 2 2 2 2 3 2 3" xfId="28215"/>
    <cellStyle name="표준 10 5 2 2 2 2 4 3" xfId="28216"/>
    <cellStyle name="표준 10 5 2 2 2 3 6" xfId="28217"/>
    <cellStyle name="표준 10 5 2 2 2 3 2 3" xfId="28218"/>
    <cellStyle name="표준 10 5 2 2 2 4 6" xfId="28219"/>
    <cellStyle name="표준 10 5 2 2 2 4 2 3" xfId="28220"/>
    <cellStyle name="표준 10 5 2 2 2 5 3" xfId="28221"/>
    <cellStyle name="표준 10 5 2 2 3 2 6" xfId="28222"/>
    <cellStyle name="표준 10 5 2 2 3 2 2 3" xfId="28223"/>
    <cellStyle name="표준 10 5 2 2 3 3 6" xfId="28224"/>
    <cellStyle name="표준 10 5 2 2 3 3 2 3" xfId="28225"/>
    <cellStyle name="표준 10 5 2 2 3 4 3" xfId="28226"/>
    <cellStyle name="표준 10 5 2 2 4 6" xfId="28227"/>
    <cellStyle name="표준 10 5 2 2 4 2 3" xfId="28228"/>
    <cellStyle name="표준 10 5 2 2 5 6" xfId="28229"/>
    <cellStyle name="표준 10 5 2 2 5 2 3" xfId="28230"/>
    <cellStyle name="표준 10 5 2 2 6 3" xfId="28231"/>
    <cellStyle name="표준 10 5 2 3 2 2 6" xfId="28232"/>
    <cellStyle name="표준 10 5 2 3 2 2 2 3" xfId="28233"/>
    <cellStyle name="표준 10 5 2 3 2 3 6" xfId="28234"/>
    <cellStyle name="표준 10 5 2 3 2 3 2 3" xfId="28235"/>
    <cellStyle name="표준 10 5 2 3 2 4 3" xfId="28236"/>
    <cellStyle name="표준 10 5 2 3 3 6" xfId="28237"/>
    <cellStyle name="표준 10 5 2 3 3 2 3" xfId="28238"/>
    <cellStyle name="표준 10 5 2 3 4 6" xfId="28239"/>
    <cellStyle name="표준 10 5 2 3 4 2 3" xfId="28240"/>
    <cellStyle name="표준 10 5 2 3 5 3" xfId="28241"/>
    <cellStyle name="표준 10 5 2 4 2 6" xfId="28242"/>
    <cellStyle name="표준 10 5 2 4 2 2 3" xfId="28243"/>
    <cellStyle name="표준 10 5 2 4 3 6" xfId="28244"/>
    <cellStyle name="표준 10 5 2 4 3 2 3" xfId="28245"/>
    <cellStyle name="표준 10 5 2 4 4 3" xfId="28246"/>
    <cellStyle name="표준 10 5 2 5 6" xfId="28247"/>
    <cellStyle name="표준 10 5 2 5 2 3" xfId="28248"/>
    <cellStyle name="표준 10 5 2 6 6" xfId="28249"/>
    <cellStyle name="표준 10 5 2 6 2 3" xfId="28250"/>
    <cellStyle name="표준 10 5 2 7 3" xfId="28251"/>
    <cellStyle name="표준 10 5 3 2 2 2 2 6" xfId="28252"/>
    <cellStyle name="표준 10 5 3 2 2 2 2 2 3" xfId="28253"/>
    <cellStyle name="표준 10 5 3 2 2 2 3 6" xfId="28254"/>
    <cellStyle name="표준 10 5 3 2 2 2 3 2 3" xfId="28255"/>
    <cellStyle name="표준 10 5 3 2 2 2 4 3" xfId="28256"/>
    <cellStyle name="표준 10 5 3 2 2 3 6" xfId="28257"/>
    <cellStyle name="표준 10 5 3 2 2 3 2 3" xfId="28258"/>
    <cellStyle name="표준 10 5 3 2 2 4 6" xfId="28259"/>
    <cellStyle name="표준 10 5 3 2 2 4 2 3" xfId="28260"/>
    <cellStyle name="표준 10 5 3 2 2 5 3" xfId="28261"/>
    <cellStyle name="표준 10 5 3 2 3 2 6" xfId="28262"/>
    <cellStyle name="표준 10 5 3 2 3 2 2 3" xfId="28263"/>
    <cellStyle name="표준 10 5 3 2 3 3 6" xfId="28264"/>
    <cellStyle name="표준 10 5 3 2 3 3 2 3" xfId="28265"/>
    <cellStyle name="표준 10 5 3 2 3 4 3" xfId="28266"/>
    <cellStyle name="표준 10 5 3 2 4 6" xfId="28267"/>
    <cellStyle name="표준 10 5 3 2 4 2 3" xfId="28268"/>
    <cellStyle name="표준 10 5 3 2 5 6" xfId="28269"/>
    <cellStyle name="표준 10 5 3 2 5 2 3" xfId="28270"/>
    <cellStyle name="표준 10 5 3 2 6 3" xfId="28271"/>
    <cellStyle name="표준 10 5 3 3 2 2 6" xfId="28272"/>
    <cellStyle name="표준 10 5 3 3 2 2 2 3" xfId="28273"/>
    <cellStyle name="표준 10 5 3 3 2 3 6" xfId="28274"/>
    <cellStyle name="표준 10 5 3 3 2 3 2 3" xfId="28275"/>
    <cellStyle name="표준 10 5 3 3 2 4 3" xfId="28276"/>
    <cellStyle name="표준 10 5 3 3 3 6" xfId="28277"/>
    <cellStyle name="표준 10 5 3 3 3 2 3" xfId="28278"/>
    <cellStyle name="표준 10 5 3 3 4 6" xfId="28279"/>
    <cellStyle name="표준 10 5 3 3 4 2 3" xfId="28280"/>
    <cellStyle name="표준 10 5 3 3 5 3" xfId="28281"/>
    <cellStyle name="표준 10 5 3 4 2 6" xfId="28282"/>
    <cellStyle name="표준 10 5 3 4 2 2 3" xfId="28283"/>
    <cellStyle name="표준 10 5 3 4 3 6" xfId="28284"/>
    <cellStyle name="표준 10 5 3 4 3 2 3" xfId="28285"/>
    <cellStyle name="표준 10 5 3 4 4 3" xfId="28286"/>
    <cellStyle name="표준 10 5 3 5 6" xfId="28287"/>
    <cellStyle name="표준 10 5 3 5 2 3" xfId="28288"/>
    <cellStyle name="표준 10 5 3 6 6" xfId="28289"/>
    <cellStyle name="표준 10 5 3 6 2 3" xfId="28290"/>
    <cellStyle name="표준 10 5 3 7 3" xfId="28291"/>
    <cellStyle name="표준 10 5 4 2 2 2 2 6" xfId="28292"/>
    <cellStyle name="표준 10 5 4 2 2 2 2 2 3" xfId="28293"/>
    <cellStyle name="표준 10 5 4 2 2 2 3 6" xfId="28294"/>
    <cellStyle name="표준 10 5 4 2 2 2 3 2 3" xfId="28295"/>
    <cellStyle name="표준 10 5 4 2 2 2 4 3" xfId="28296"/>
    <cellStyle name="표준 10 5 4 2 2 3 6" xfId="28297"/>
    <cellStyle name="표준 10 5 4 2 2 3 2 3" xfId="28298"/>
    <cellStyle name="표준 10 5 4 2 2 4 6" xfId="28299"/>
    <cellStyle name="표준 10 5 4 2 2 4 2 3" xfId="28300"/>
    <cellStyle name="표준 10 5 4 2 2 5 3" xfId="28301"/>
    <cellStyle name="표준 10 5 4 2 3 2 6" xfId="28302"/>
    <cellStyle name="표준 10 5 4 2 3 2 2 3" xfId="28303"/>
    <cellStyle name="표준 10 5 4 2 3 3 6" xfId="28304"/>
    <cellStyle name="표준 10 5 4 2 3 3 2 3" xfId="28305"/>
    <cellStyle name="표준 10 5 4 2 3 4 3" xfId="28306"/>
    <cellStyle name="표준 10 5 4 2 4 6" xfId="28307"/>
    <cellStyle name="표준 10 5 4 2 4 2 3" xfId="28308"/>
    <cellStyle name="표준 10 5 4 2 5 6" xfId="28309"/>
    <cellStyle name="표준 10 5 4 2 5 2 3" xfId="28310"/>
    <cellStyle name="표준 10 5 4 2 6 3" xfId="28311"/>
    <cellStyle name="표준 10 5 4 3 2 2 6" xfId="28312"/>
    <cellStyle name="표준 10 5 4 3 2 2 2 3" xfId="28313"/>
    <cellStyle name="표준 10 5 4 3 2 3 6" xfId="28314"/>
    <cellStyle name="표준 10 5 4 3 2 3 2 3" xfId="28315"/>
    <cellStyle name="표준 10 5 4 3 2 4 3" xfId="28316"/>
    <cellStyle name="표준 10 5 4 3 3 6" xfId="28317"/>
    <cellStyle name="표준 10 5 4 3 3 2 3" xfId="28318"/>
    <cellStyle name="표준 10 5 4 3 4 6" xfId="28319"/>
    <cellStyle name="표준 10 5 4 3 4 2 3" xfId="28320"/>
    <cellStyle name="표준 10 5 4 3 5 3" xfId="28321"/>
    <cellStyle name="표준 10 5 4 4 2 6" xfId="28322"/>
    <cellStyle name="표준 10 5 4 4 2 2 3" xfId="28323"/>
    <cellStyle name="표준 10 5 4 4 3 6" xfId="28324"/>
    <cellStyle name="표준 10 5 4 4 3 2 3" xfId="28325"/>
    <cellStyle name="표준 10 5 4 4 4 3" xfId="28326"/>
    <cellStyle name="표준 10 5 4 5 6" xfId="28327"/>
    <cellStyle name="표준 10 5 4 5 2 3" xfId="28328"/>
    <cellStyle name="표준 10 5 4 6 6" xfId="28329"/>
    <cellStyle name="표준 10 5 4 6 2 3" xfId="28330"/>
    <cellStyle name="표준 10 5 4 7 3" xfId="28331"/>
    <cellStyle name="표준 10 5 5 2 2 2 6" xfId="28332"/>
    <cellStyle name="표준 10 5 5 2 2 2 2 3" xfId="28333"/>
    <cellStyle name="표준 10 5 5 2 2 3 6" xfId="28334"/>
    <cellStyle name="표준 10 5 5 2 2 3 2 3" xfId="28335"/>
    <cellStyle name="표준 10 5 5 2 2 4 3" xfId="28336"/>
    <cellStyle name="표준 10 5 5 2 3 6" xfId="28337"/>
    <cellStyle name="표준 10 5 5 2 3 2 3" xfId="28338"/>
    <cellStyle name="표준 10 5 5 2 4 6" xfId="28339"/>
    <cellStyle name="표준 10 5 5 2 4 2 3" xfId="28340"/>
    <cellStyle name="표준 10 5 5 2 5 3" xfId="28341"/>
    <cellStyle name="표준 10 5 5 3 2 6" xfId="28342"/>
    <cellStyle name="표준 10 5 5 3 2 2 3" xfId="28343"/>
    <cellStyle name="표준 10 5 5 3 3 6" xfId="28344"/>
    <cellStyle name="표준 10 5 5 3 3 2 3" xfId="28345"/>
    <cellStyle name="표준 10 5 5 3 4 3" xfId="28346"/>
    <cellStyle name="표준 10 5 5 4 6" xfId="28347"/>
    <cellStyle name="표준 10 5 5 4 2 3" xfId="28348"/>
    <cellStyle name="표준 10 5 5 5 6" xfId="28349"/>
    <cellStyle name="표준 10 5 5 5 2 3" xfId="28350"/>
    <cellStyle name="표준 10 5 5 6 3" xfId="28351"/>
    <cellStyle name="표준 10 5 6 2 2 6" xfId="28352"/>
    <cellStyle name="표준 10 5 6 2 2 2 3" xfId="28353"/>
    <cellStyle name="표준 10 5 6 2 3 6" xfId="28354"/>
    <cellStyle name="표준 10 5 6 2 3 2 3" xfId="28355"/>
    <cellStyle name="표준 10 5 6 2 4 3" xfId="28356"/>
    <cellStyle name="표준 10 5 6 3 6" xfId="28357"/>
    <cellStyle name="표준 10 5 6 3 2 3" xfId="28358"/>
    <cellStyle name="표준 10 5 6 4 6" xfId="28359"/>
    <cellStyle name="표준 10 5 6 4 2 3" xfId="28360"/>
    <cellStyle name="표준 10 5 6 5 3" xfId="28361"/>
    <cellStyle name="표준 10 5 7 2 6" xfId="28362"/>
    <cellStyle name="표준 10 5 7 2 2 3" xfId="28363"/>
    <cellStyle name="표준 10 5 7 3 6" xfId="28364"/>
    <cellStyle name="표준 10 5 7 3 2 3" xfId="28365"/>
    <cellStyle name="표준 10 5 7 4 3" xfId="28366"/>
    <cellStyle name="표준 10 5 8 6" xfId="28367"/>
    <cellStyle name="표준 10 5 8 2 3" xfId="28368"/>
    <cellStyle name="표준 10 5 9 6" xfId="28369"/>
    <cellStyle name="표준 10 5 9 2 3" xfId="28370"/>
    <cellStyle name="표준 10 6 10 3" xfId="28371"/>
    <cellStyle name="표준 10 6 2 2 2 2 2 6" xfId="28372"/>
    <cellStyle name="표준 10 6 2 2 2 2 2 2 3" xfId="28373"/>
    <cellStyle name="표준 10 6 2 2 2 2 3 6" xfId="28374"/>
    <cellStyle name="표준 10 6 2 2 2 2 3 2 3" xfId="28375"/>
    <cellStyle name="표준 10 6 2 2 2 2 4 3" xfId="28376"/>
    <cellStyle name="표준 10 6 2 2 2 3 6" xfId="28377"/>
    <cellStyle name="표준 10 6 2 2 2 3 2 3" xfId="28378"/>
    <cellStyle name="표준 10 6 2 2 2 4 6" xfId="28379"/>
    <cellStyle name="표준 10 6 2 2 2 4 2 3" xfId="28380"/>
    <cellStyle name="표준 10 6 2 2 2 5 3" xfId="28381"/>
    <cellStyle name="표준 10 6 2 2 3 2 6" xfId="28382"/>
    <cellStyle name="표준 10 6 2 2 3 2 2 3" xfId="28383"/>
    <cellStyle name="표준 10 6 2 2 3 3 6" xfId="28384"/>
    <cellStyle name="표준 10 6 2 2 3 3 2 3" xfId="28385"/>
    <cellStyle name="표준 10 6 2 2 3 4 3" xfId="28386"/>
    <cellStyle name="표준 10 6 2 2 4 6" xfId="28387"/>
    <cellStyle name="표준 10 6 2 2 4 2 3" xfId="28388"/>
    <cellStyle name="표준 10 6 2 2 5 6" xfId="28389"/>
    <cellStyle name="표준 10 6 2 2 5 2 3" xfId="28390"/>
    <cellStyle name="표준 10 6 2 2 6 3" xfId="28391"/>
    <cellStyle name="표준 10 6 2 3 2 2 6" xfId="28392"/>
    <cellStyle name="표준 10 6 2 3 2 2 2 3" xfId="28393"/>
    <cellStyle name="표준 10 6 2 3 2 3 6" xfId="28394"/>
    <cellStyle name="표준 10 6 2 3 2 3 2 3" xfId="28395"/>
    <cellStyle name="표준 10 6 2 3 2 4 3" xfId="28396"/>
    <cellStyle name="표준 10 6 2 3 3 6" xfId="28397"/>
    <cellStyle name="표준 10 6 2 3 3 2 3" xfId="28398"/>
    <cellStyle name="표준 10 6 2 3 4 6" xfId="28399"/>
    <cellStyle name="표준 10 6 2 3 4 2 3" xfId="28400"/>
    <cellStyle name="표준 10 6 2 3 5 3" xfId="28401"/>
    <cellStyle name="표준 10 6 2 4 2 6" xfId="28402"/>
    <cellStyle name="표준 10 6 2 4 2 2 3" xfId="28403"/>
    <cellStyle name="표준 10 6 2 4 3 6" xfId="28404"/>
    <cellStyle name="표준 10 6 2 4 3 2 3" xfId="28405"/>
    <cellStyle name="표준 10 6 2 4 4 3" xfId="28406"/>
    <cellStyle name="표준 10 6 2 5 6" xfId="28407"/>
    <cellStyle name="표준 10 6 2 5 2 3" xfId="28408"/>
    <cellStyle name="표준 10 6 2 6 6" xfId="28409"/>
    <cellStyle name="표준 10 6 2 6 2 3" xfId="28410"/>
    <cellStyle name="표준 10 6 2 7 3" xfId="28411"/>
    <cellStyle name="표준 10 6 3 2 2 2 2 6" xfId="28412"/>
    <cellStyle name="표준 10 6 3 2 2 2 2 2 3" xfId="28413"/>
    <cellStyle name="표준 10 6 3 2 2 2 3 6" xfId="28414"/>
    <cellStyle name="표준 10 6 3 2 2 2 3 2 3" xfId="28415"/>
    <cellStyle name="표준 10 6 3 2 2 2 4 3" xfId="28416"/>
    <cellStyle name="표준 10 6 3 2 2 3 6" xfId="28417"/>
    <cellStyle name="표준 10 6 3 2 2 3 2 3" xfId="28418"/>
    <cellStyle name="표준 10 6 3 2 2 4 6" xfId="28419"/>
    <cellStyle name="표준 10 6 3 2 2 4 2 3" xfId="28420"/>
    <cellStyle name="표준 10 6 3 2 2 5 3" xfId="28421"/>
    <cellStyle name="표준 10 6 3 2 3 2 6" xfId="28422"/>
    <cellStyle name="표준 10 6 3 2 3 2 2 3" xfId="28423"/>
    <cellStyle name="표준 10 6 3 2 3 3 6" xfId="28424"/>
    <cellStyle name="표준 10 6 3 2 3 3 2 3" xfId="28425"/>
    <cellStyle name="표준 10 6 3 2 3 4 3" xfId="28426"/>
    <cellStyle name="표준 10 6 3 2 4 6" xfId="28427"/>
    <cellStyle name="표준 10 6 3 2 4 2 3" xfId="28428"/>
    <cellStyle name="표준 10 6 3 2 5 6" xfId="28429"/>
    <cellStyle name="표준 10 6 3 2 5 2 3" xfId="28430"/>
    <cellStyle name="표준 10 6 3 2 6 3" xfId="28431"/>
    <cellStyle name="표준 10 6 3 3 2 2 6" xfId="28432"/>
    <cellStyle name="표준 10 6 3 3 2 2 2 3" xfId="28433"/>
    <cellStyle name="표준 10 6 3 3 2 3 6" xfId="28434"/>
    <cellStyle name="표준 10 6 3 3 2 3 2 3" xfId="28435"/>
    <cellStyle name="표준 10 6 3 3 2 4 3" xfId="28436"/>
    <cellStyle name="표준 10 6 3 3 3 6" xfId="28437"/>
    <cellStyle name="표준 10 6 3 3 3 2 3" xfId="28438"/>
    <cellStyle name="표준 10 6 3 3 4 6" xfId="28439"/>
    <cellStyle name="표준 10 6 3 3 4 2 3" xfId="28440"/>
    <cellStyle name="표준 10 6 3 3 5 3" xfId="28441"/>
    <cellStyle name="표준 10 6 3 4 2 6" xfId="28442"/>
    <cellStyle name="표준 10 6 3 4 2 2 3" xfId="28443"/>
    <cellStyle name="표준 10 6 3 4 3 6" xfId="28444"/>
    <cellStyle name="표준 10 6 3 4 3 2 3" xfId="28445"/>
    <cellStyle name="표준 10 6 3 4 4 3" xfId="28446"/>
    <cellStyle name="표준 10 6 3 5 6" xfId="28447"/>
    <cellStyle name="표준 10 6 3 5 2 3" xfId="28448"/>
    <cellStyle name="표준 10 6 3 6 6" xfId="28449"/>
    <cellStyle name="표준 10 6 3 6 2 3" xfId="28450"/>
    <cellStyle name="표준 10 6 3 7 3" xfId="28451"/>
    <cellStyle name="표준 10 6 4 2 2 2 2 6" xfId="28452"/>
    <cellStyle name="표준 10 6 4 2 2 2 2 2 3" xfId="28453"/>
    <cellStyle name="표준 10 6 4 2 2 2 3 6" xfId="28454"/>
    <cellStyle name="표준 10 6 4 2 2 2 3 2 3" xfId="28455"/>
    <cellStyle name="표준 10 6 4 2 2 2 4 3" xfId="28456"/>
    <cellStyle name="표준 10 6 4 2 2 3 6" xfId="28457"/>
    <cellStyle name="표준 10 6 4 2 2 3 2 3" xfId="28458"/>
    <cellStyle name="표준 10 6 4 2 2 4 6" xfId="28459"/>
    <cellStyle name="표준 10 6 4 2 2 4 2 3" xfId="28460"/>
    <cellStyle name="표준 10 6 4 2 2 5 3" xfId="28461"/>
    <cellStyle name="표준 10 6 4 2 3 2 6" xfId="28462"/>
    <cellStyle name="표준 10 6 4 2 3 2 2 3" xfId="28463"/>
    <cellStyle name="표준 10 6 4 2 3 3 6" xfId="28464"/>
    <cellStyle name="표준 10 6 4 2 3 3 2 3" xfId="28465"/>
    <cellStyle name="표준 10 6 4 2 3 4 3" xfId="28466"/>
    <cellStyle name="표준 10 6 4 2 4 6" xfId="28467"/>
    <cellStyle name="표준 10 6 4 2 4 2 3" xfId="28468"/>
    <cellStyle name="표준 10 6 4 2 5 6" xfId="28469"/>
    <cellStyle name="표준 10 6 4 2 5 2 3" xfId="28470"/>
    <cellStyle name="표준 10 6 4 2 6 3" xfId="28471"/>
    <cellStyle name="표준 10 6 4 3 2 2 6" xfId="28472"/>
    <cellStyle name="표준 10 6 4 3 2 2 2 3" xfId="28473"/>
    <cellStyle name="표준 10 6 4 3 2 3 6" xfId="28474"/>
    <cellStyle name="표준 10 6 4 3 2 3 2 3" xfId="28475"/>
    <cellStyle name="표준 10 6 4 3 2 4 3" xfId="28476"/>
    <cellStyle name="표준 10 6 4 3 3 6" xfId="28477"/>
    <cellStyle name="표준 10 6 4 3 3 2 3" xfId="28478"/>
    <cellStyle name="표준 10 6 4 3 4 6" xfId="28479"/>
    <cellStyle name="표준 10 6 4 3 4 2 3" xfId="28480"/>
    <cellStyle name="표준 10 6 4 3 5 3" xfId="28481"/>
    <cellStyle name="표준 10 6 4 4 2 6" xfId="28482"/>
    <cellStyle name="표준 10 6 4 4 2 2 3" xfId="28483"/>
    <cellStyle name="표준 10 6 4 4 3 6" xfId="28484"/>
    <cellStyle name="표준 10 6 4 4 3 2 3" xfId="28485"/>
    <cellStyle name="표준 10 6 4 4 4 3" xfId="28486"/>
    <cellStyle name="표준 10 6 4 5 6" xfId="28487"/>
    <cellStyle name="표준 10 6 4 5 2 3" xfId="28488"/>
    <cellStyle name="표준 10 6 4 6 6" xfId="28489"/>
    <cellStyle name="표준 10 6 4 6 2 3" xfId="28490"/>
    <cellStyle name="표준 10 6 4 7 3" xfId="28491"/>
    <cellStyle name="표준 10 6 5 2 2 2 6" xfId="28492"/>
    <cellStyle name="표준 10 6 5 2 2 2 2 3" xfId="28493"/>
    <cellStyle name="표준 10 6 5 2 2 3 6" xfId="28494"/>
    <cellStyle name="표준 10 6 5 2 2 3 2 3" xfId="28495"/>
    <cellStyle name="표준 10 6 5 2 2 4 3" xfId="28496"/>
    <cellStyle name="표준 10 6 5 2 3 6" xfId="28497"/>
    <cellStyle name="표준 10 6 5 2 3 2 3" xfId="28498"/>
    <cellStyle name="표준 10 6 5 2 4 6" xfId="28499"/>
    <cellStyle name="표준 10 6 5 2 4 2 3" xfId="28500"/>
    <cellStyle name="표준 10 6 5 2 5 3" xfId="28501"/>
    <cellStyle name="표준 10 6 5 3 2 6" xfId="28502"/>
    <cellStyle name="표준 10 6 5 3 2 2 3" xfId="28503"/>
    <cellStyle name="표준 10 6 5 3 3 6" xfId="28504"/>
    <cellStyle name="표준 10 6 5 3 3 2 3" xfId="28505"/>
    <cellStyle name="표준 10 6 5 3 4 3" xfId="28506"/>
    <cellStyle name="표준 10 6 5 4 6" xfId="28507"/>
    <cellStyle name="표준 10 6 5 4 2 3" xfId="28508"/>
    <cellStyle name="표준 10 6 5 5 6" xfId="28509"/>
    <cellStyle name="표준 10 6 5 5 2 3" xfId="28510"/>
    <cellStyle name="표준 10 6 5 6 3" xfId="28511"/>
    <cellStyle name="표준 10 6 6 2 2 6" xfId="28512"/>
    <cellStyle name="표준 10 6 6 2 2 2 3" xfId="28513"/>
    <cellStyle name="표준 10 6 6 2 3 6" xfId="28514"/>
    <cellStyle name="표준 10 6 6 2 3 2 3" xfId="28515"/>
    <cellStyle name="표준 10 6 6 2 4 3" xfId="28516"/>
    <cellStyle name="표준 10 6 6 3 6" xfId="28517"/>
    <cellStyle name="표준 10 6 6 3 2 3" xfId="28518"/>
    <cellStyle name="표준 10 6 6 4 6" xfId="28519"/>
    <cellStyle name="표준 10 6 6 4 2 3" xfId="28520"/>
    <cellStyle name="표준 10 6 6 5 3" xfId="28521"/>
    <cellStyle name="표준 10 6 7 2 6" xfId="28522"/>
    <cellStyle name="표준 10 6 7 2 2 3" xfId="28523"/>
    <cellStyle name="표준 10 6 7 3 6" xfId="28524"/>
    <cellStyle name="표준 10 6 7 3 2 3" xfId="28525"/>
    <cellStyle name="표준 10 6 7 4 3" xfId="28526"/>
    <cellStyle name="표준 10 6 8 6" xfId="28527"/>
    <cellStyle name="표준 10 6 8 2 3" xfId="28528"/>
    <cellStyle name="표준 10 6 9 6" xfId="28529"/>
    <cellStyle name="표준 10 6 9 2 3" xfId="28530"/>
    <cellStyle name="표준 10 7 10 3" xfId="28531"/>
    <cellStyle name="표준 10 7 2 2 2 2 2 6" xfId="28532"/>
    <cellStyle name="표준 10 7 2 2 2 2 2 2 3" xfId="28533"/>
    <cellStyle name="표준 10 7 2 2 2 2 3 6" xfId="28534"/>
    <cellStyle name="표준 10 7 2 2 2 2 3 2 3" xfId="28535"/>
    <cellStyle name="표준 10 7 2 2 2 2 4 3" xfId="28536"/>
    <cellStyle name="표준 10 7 2 2 2 3 6" xfId="28537"/>
    <cellStyle name="표준 10 7 2 2 2 3 2 3" xfId="28538"/>
    <cellStyle name="표준 10 7 2 2 2 4 6" xfId="28539"/>
    <cellStyle name="표준 10 7 2 2 2 4 2 3" xfId="28540"/>
    <cellStyle name="표준 10 7 2 2 2 5 3" xfId="28541"/>
    <cellStyle name="표준 10 7 2 2 3 2 6" xfId="28542"/>
    <cellStyle name="표준 10 7 2 2 3 2 2 3" xfId="28543"/>
    <cellStyle name="표준 10 7 2 2 3 3 6" xfId="28544"/>
    <cellStyle name="표준 10 7 2 2 3 3 2 3" xfId="28545"/>
    <cellStyle name="표준 10 7 2 2 3 4 3" xfId="28546"/>
    <cellStyle name="표준 10 7 2 2 4 6" xfId="28547"/>
    <cellStyle name="표준 10 7 2 2 4 2 3" xfId="28548"/>
    <cellStyle name="표준 10 7 2 2 5 6" xfId="28549"/>
    <cellStyle name="표준 10 7 2 2 5 2 3" xfId="28550"/>
    <cellStyle name="표준 10 7 2 2 6 3" xfId="28551"/>
    <cellStyle name="표준 10 7 2 3 2 2 6" xfId="28552"/>
    <cellStyle name="표준 10 7 2 3 2 2 2 3" xfId="28553"/>
    <cellStyle name="표준 10 7 2 3 2 3 6" xfId="28554"/>
    <cellStyle name="표준 10 7 2 3 2 3 2 3" xfId="28555"/>
    <cellStyle name="표준 10 7 2 3 2 4 3" xfId="28556"/>
    <cellStyle name="표준 10 7 2 3 3 6" xfId="28557"/>
    <cellStyle name="표준 10 7 2 3 3 2 3" xfId="28558"/>
    <cellStyle name="표준 10 7 2 3 4 6" xfId="28559"/>
    <cellStyle name="표준 10 7 2 3 4 2 3" xfId="28560"/>
    <cellStyle name="표준 10 7 2 3 5 3" xfId="28561"/>
    <cellStyle name="표준 10 7 2 4 2 6" xfId="28562"/>
    <cellStyle name="표준 10 7 2 4 2 2 3" xfId="28563"/>
    <cellStyle name="표준 10 7 2 4 3 6" xfId="28564"/>
    <cellStyle name="표준 10 7 2 4 3 2 3" xfId="28565"/>
    <cellStyle name="표준 10 7 2 4 4 3" xfId="28566"/>
    <cellStyle name="표준 10 7 2 5 6" xfId="28567"/>
    <cellStyle name="표준 10 7 2 5 2 3" xfId="28568"/>
    <cellStyle name="표준 10 7 2 6 6" xfId="28569"/>
    <cellStyle name="표준 10 7 2 6 2 3" xfId="28570"/>
    <cellStyle name="표준 10 7 2 7 3" xfId="28571"/>
    <cellStyle name="표준 10 7 3 2 2 2 2 6" xfId="28572"/>
    <cellStyle name="표준 10 7 3 2 2 2 2 2 3" xfId="28573"/>
    <cellStyle name="표준 10 7 3 2 2 2 3 6" xfId="28574"/>
    <cellStyle name="표준 10 7 3 2 2 2 3 2 3" xfId="28575"/>
    <cellStyle name="표준 10 7 3 2 2 2 4 3" xfId="28576"/>
    <cellStyle name="표준 10 7 3 2 2 3 6" xfId="28577"/>
    <cellStyle name="표준 10 7 3 2 2 3 2 3" xfId="28578"/>
    <cellStyle name="표준 10 7 3 2 2 4 6" xfId="28579"/>
    <cellStyle name="표준 10 7 3 2 2 4 2 3" xfId="28580"/>
    <cellStyle name="표준 10 7 3 2 2 5 3" xfId="28581"/>
    <cellStyle name="표준 10 7 3 2 3 2 6" xfId="28582"/>
    <cellStyle name="표준 10 7 3 2 3 2 2 3" xfId="28583"/>
    <cellStyle name="표준 10 7 3 2 3 3 6" xfId="28584"/>
    <cellStyle name="표준 10 7 3 2 3 3 2 3" xfId="28585"/>
    <cellStyle name="표준 10 7 3 2 3 4 3" xfId="28586"/>
    <cellStyle name="표준 10 7 3 2 4 6" xfId="28587"/>
    <cellStyle name="표준 10 7 3 2 4 2 3" xfId="28588"/>
    <cellStyle name="표준 10 7 3 2 5 6" xfId="28589"/>
    <cellStyle name="표준 10 7 3 2 5 2 3" xfId="28590"/>
    <cellStyle name="표준 10 7 3 2 6 3" xfId="28591"/>
    <cellStyle name="표준 10 7 3 3 2 2 6" xfId="28592"/>
    <cellStyle name="표준 10 7 3 3 2 2 2 3" xfId="28593"/>
    <cellStyle name="표준 10 7 3 3 2 3 6" xfId="28594"/>
    <cellStyle name="표준 10 7 3 3 2 3 2 3" xfId="28595"/>
    <cellStyle name="표준 10 7 3 3 2 4 3" xfId="28596"/>
    <cellStyle name="표준 10 7 3 3 3 6" xfId="28597"/>
    <cellStyle name="표준 10 7 3 3 3 2 3" xfId="28598"/>
    <cellStyle name="표준 10 7 3 3 4 6" xfId="28599"/>
    <cellStyle name="표준 10 7 3 3 4 2 3" xfId="28600"/>
    <cellStyle name="표준 10 7 3 3 5 3" xfId="28601"/>
    <cellStyle name="표준 10 7 3 4 2 6" xfId="28602"/>
    <cellStyle name="표준 10 7 3 4 2 2 3" xfId="28603"/>
    <cellStyle name="표준 10 7 3 4 3 6" xfId="28604"/>
    <cellStyle name="표준 10 7 3 4 3 2 3" xfId="28605"/>
    <cellStyle name="표준 10 7 3 4 4 3" xfId="28606"/>
    <cellStyle name="표준 10 7 3 5 6" xfId="28607"/>
    <cellStyle name="표준 10 7 3 5 2 3" xfId="28608"/>
    <cellStyle name="표준 10 7 3 6 6" xfId="28609"/>
    <cellStyle name="표준 10 7 3 6 2 3" xfId="28610"/>
    <cellStyle name="표준 10 7 3 7 3" xfId="28611"/>
    <cellStyle name="표준 10 7 4 2 2 2 2 6" xfId="28612"/>
    <cellStyle name="표준 10 7 4 2 2 2 2 2 3" xfId="28613"/>
    <cellStyle name="표준 10 7 4 2 2 2 3 6" xfId="28614"/>
    <cellStyle name="표준 10 7 4 2 2 2 3 2 3" xfId="28615"/>
    <cellStyle name="표준 10 7 4 2 2 2 4 3" xfId="28616"/>
    <cellStyle name="표준 10 7 4 2 2 3 6" xfId="28617"/>
    <cellStyle name="표준 10 7 4 2 2 3 2 3" xfId="28618"/>
    <cellStyle name="표준 10 7 4 2 2 4 6" xfId="28619"/>
    <cellStyle name="표준 10 7 4 2 2 4 2 3" xfId="28620"/>
    <cellStyle name="표준 10 7 4 2 2 5 3" xfId="28621"/>
    <cellStyle name="표준 10 7 4 2 3 2 6" xfId="28622"/>
    <cellStyle name="표준 10 7 4 2 3 2 2 3" xfId="28623"/>
    <cellStyle name="표준 10 7 4 2 3 3 6" xfId="28624"/>
    <cellStyle name="표준 10 7 4 2 3 3 2 3" xfId="28625"/>
    <cellStyle name="표준 10 7 4 2 3 4 3" xfId="28626"/>
    <cellStyle name="표준 10 7 4 2 4 6" xfId="28627"/>
    <cellStyle name="표준 10 7 4 2 4 2 3" xfId="28628"/>
    <cellStyle name="표준 10 7 4 2 5 6" xfId="28629"/>
    <cellStyle name="표준 10 7 4 2 5 2 3" xfId="28630"/>
    <cellStyle name="표준 10 7 4 2 6 3" xfId="28631"/>
    <cellStyle name="표준 10 7 4 3 2 2 6" xfId="28632"/>
    <cellStyle name="표준 10 7 4 3 2 2 2 3" xfId="28633"/>
    <cellStyle name="표준 10 7 4 3 2 3 6" xfId="28634"/>
    <cellStyle name="표준 10 7 4 3 2 3 2 3" xfId="28635"/>
    <cellStyle name="표준 10 7 4 3 2 4 3" xfId="28636"/>
    <cellStyle name="표준 10 7 4 3 3 6" xfId="28637"/>
    <cellStyle name="표준 10 7 4 3 3 2 3" xfId="28638"/>
    <cellStyle name="표준 10 7 4 3 4 6" xfId="28639"/>
    <cellStyle name="표준 10 7 4 3 4 2 3" xfId="28640"/>
    <cellStyle name="표준 10 7 4 3 5 3" xfId="28641"/>
    <cellStyle name="표준 10 7 4 4 2 6" xfId="28642"/>
    <cellStyle name="표준 10 7 4 4 2 2 3" xfId="28643"/>
    <cellStyle name="표준 10 7 4 4 3 6" xfId="28644"/>
    <cellStyle name="표준 10 7 4 4 3 2 3" xfId="28645"/>
    <cellStyle name="표준 10 7 4 4 4 3" xfId="28646"/>
    <cellStyle name="표준 10 7 4 5 6" xfId="28647"/>
    <cellStyle name="표준 10 7 4 5 2 3" xfId="28648"/>
    <cellStyle name="표준 10 7 4 6 6" xfId="28649"/>
    <cellStyle name="표준 10 7 4 6 2 3" xfId="28650"/>
    <cellStyle name="표준 10 7 4 7 3" xfId="28651"/>
    <cellStyle name="표준 10 7 5 2 2 2 6" xfId="28652"/>
    <cellStyle name="표준 10 7 5 2 2 2 2 3" xfId="28653"/>
    <cellStyle name="표준 10 7 5 2 2 3 6" xfId="28654"/>
    <cellStyle name="표준 10 7 5 2 2 3 2 3" xfId="28655"/>
    <cellStyle name="표준 10 7 5 2 2 4 3" xfId="28656"/>
    <cellStyle name="표준 10 7 5 2 3 6" xfId="28657"/>
    <cellStyle name="표준 10 7 5 2 3 2 3" xfId="28658"/>
    <cellStyle name="표준 10 7 5 2 4 6" xfId="28659"/>
    <cellStyle name="표준 10 7 5 2 4 2 3" xfId="28660"/>
    <cellStyle name="표준 10 7 5 2 5 3" xfId="28661"/>
    <cellStyle name="표준 10 7 5 3 2 6" xfId="28662"/>
    <cellStyle name="표준 10 7 5 3 2 2 3" xfId="28663"/>
    <cellStyle name="표준 10 7 5 3 3 6" xfId="28664"/>
    <cellStyle name="표준 10 7 5 3 3 2 3" xfId="28665"/>
    <cellStyle name="표준 10 7 5 3 4 3" xfId="28666"/>
    <cellStyle name="표준 10 7 5 4 6" xfId="28667"/>
    <cellStyle name="표준 10 7 5 4 2 3" xfId="28668"/>
    <cellStyle name="표준 10 7 5 5 6" xfId="28669"/>
    <cellStyle name="표준 10 7 5 5 2 3" xfId="28670"/>
    <cellStyle name="표준 10 7 5 6 3" xfId="28671"/>
    <cellStyle name="표준 10 7 6 2 2 6" xfId="28672"/>
    <cellStyle name="표준 10 7 6 2 2 2 3" xfId="28673"/>
    <cellStyle name="표준 10 7 6 2 3 6" xfId="28674"/>
    <cellStyle name="표준 10 7 6 2 3 2 3" xfId="28675"/>
    <cellStyle name="표준 10 7 6 2 4 3" xfId="28676"/>
    <cellStyle name="표준 10 7 6 3 6" xfId="28677"/>
    <cellStyle name="표준 10 7 6 3 2 3" xfId="28678"/>
    <cellStyle name="표준 10 7 6 4 6" xfId="28679"/>
    <cellStyle name="표준 10 7 6 4 2 3" xfId="28680"/>
    <cellStyle name="표준 10 7 6 5 3" xfId="28681"/>
    <cellStyle name="표준 10 7 7 2 6" xfId="28682"/>
    <cellStyle name="표준 10 7 7 2 2 3" xfId="28683"/>
    <cellStyle name="표준 10 7 7 3 6" xfId="28684"/>
    <cellStyle name="표준 10 7 7 3 2 3" xfId="28685"/>
    <cellStyle name="표준 10 7 7 4 3" xfId="28686"/>
    <cellStyle name="표준 10 7 8 6" xfId="28687"/>
    <cellStyle name="표준 10 7 8 2 3" xfId="28688"/>
    <cellStyle name="표준 10 7 9 6" xfId="28689"/>
    <cellStyle name="표준 10 7 9 2 3" xfId="28690"/>
    <cellStyle name="표준 10 8 10 3" xfId="28691"/>
    <cellStyle name="표준 10 8 2 2 2 2 2 6" xfId="28692"/>
    <cellStyle name="표준 10 8 2 2 2 2 2 2 3" xfId="28693"/>
    <cellStyle name="표준 10 8 2 2 2 2 3 6" xfId="28694"/>
    <cellStyle name="표준 10 8 2 2 2 2 3 2 3" xfId="28695"/>
    <cellStyle name="표준 10 8 2 2 2 2 4 3" xfId="28696"/>
    <cellStyle name="표준 10 8 2 2 2 3 6" xfId="28697"/>
    <cellStyle name="표준 10 8 2 2 2 3 2 3" xfId="28698"/>
    <cellStyle name="표준 10 8 2 2 2 4 6" xfId="28699"/>
    <cellStyle name="표준 10 8 2 2 2 4 2 3" xfId="28700"/>
    <cellStyle name="표준 10 8 2 2 2 5 3" xfId="28701"/>
    <cellStyle name="표준 10 8 2 2 3 2 6" xfId="28702"/>
    <cellStyle name="표준 10 8 2 2 3 2 2 3" xfId="28703"/>
    <cellStyle name="표준 10 8 2 2 3 3 6" xfId="28704"/>
    <cellStyle name="표준 10 8 2 2 3 3 2 3" xfId="28705"/>
    <cellStyle name="표준 10 8 2 2 3 4 3" xfId="28706"/>
    <cellStyle name="표준 10 8 2 2 4 6" xfId="28707"/>
    <cellStyle name="표준 10 8 2 2 4 2 3" xfId="28708"/>
    <cellStyle name="표준 10 8 2 2 5 6" xfId="28709"/>
    <cellStyle name="표준 10 8 2 2 5 2 3" xfId="28710"/>
    <cellStyle name="표준 10 8 2 2 6 3" xfId="28711"/>
    <cellStyle name="표준 10 8 2 3 2 2 6" xfId="28712"/>
    <cellStyle name="표준 10 8 2 3 2 2 2 3" xfId="28713"/>
    <cellStyle name="표준 10 8 2 3 2 3 6" xfId="28714"/>
    <cellStyle name="표준 10 8 2 3 2 3 2 3" xfId="28715"/>
    <cellStyle name="표준 10 8 2 3 2 4 3" xfId="28716"/>
    <cellStyle name="표준 10 8 2 3 3 6" xfId="28717"/>
    <cellStyle name="표준 10 8 2 3 3 2 3" xfId="28718"/>
    <cellStyle name="표준 10 8 2 3 4 6" xfId="28719"/>
    <cellStyle name="표준 10 8 2 3 4 2 3" xfId="28720"/>
    <cellStyle name="표준 10 8 2 3 5 3" xfId="28721"/>
    <cellStyle name="표준 10 8 2 4 2 6" xfId="28722"/>
    <cellStyle name="표준 10 8 2 4 2 2 3" xfId="28723"/>
    <cellStyle name="표준 10 8 2 4 3 6" xfId="28724"/>
    <cellStyle name="표준 10 8 2 4 3 2 3" xfId="28725"/>
    <cellStyle name="표준 10 8 2 4 4 3" xfId="28726"/>
    <cellStyle name="표준 10 8 2 5 6" xfId="28727"/>
    <cellStyle name="표준 10 8 2 5 2 3" xfId="28728"/>
    <cellStyle name="표준 10 8 2 6 6" xfId="28729"/>
    <cellStyle name="표준 10 8 2 6 2 3" xfId="28730"/>
    <cellStyle name="표준 10 8 2 7 3" xfId="28731"/>
    <cellStyle name="표준 10 8 3 2 2 2 2 6" xfId="28732"/>
    <cellStyle name="표준 10 8 3 2 2 2 2 2 3" xfId="28733"/>
    <cellStyle name="표준 10 8 3 2 2 2 3 6" xfId="28734"/>
    <cellStyle name="표준 10 8 3 2 2 2 3 2 3" xfId="28735"/>
    <cellStyle name="표준 10 8 3 2 2 2 4 3" xfId="28736"/>
    <cellStyle name="표준 10 8 3 2 2 3 6" xfId="28737"/>
    <cellStyle name="표준 10 8 3 2 2 3 2 3" xfId="28738"/>
    <cellStyle name="표준 10 8 3 2 2 4 6" xfId="28739"/>
    <cellStyle name="표준 10 8 3 2 2 4 2 3" xfId="28740"/>
    <cellStyle name="표준 10 8 3 2 2 5 3" xfId="28741"/>
    <cellStyle name="표준 10 8 3 2 3 2 6" xfId="28742"/>
    <cellStyle name="표준 10 8 3 2 3 2 2 3" xfId="28743"/>
    <cellStyle name="표준 10 8 3 2 3 3 6" xfId="28744"/>
    <cellStyle name="표준 10 8 3 2 3 3 2 3" xfId="28745"/>
    <cellStyle name="표준 10 8 3 2 3 4 3" xfId="28746"/>
    <cellStyle name="표준 10 8 3 2 4 6" xfId="28747"/>
    <cellStyle name="표준 10 8 3 2 4 2 3" xfId="28748"/>
    <cellStyle name="표준 10 8 3 2 5 6" xfId="28749"/>
    <cellStyle name="표준 10 8 3 2 5 2 3" xfId="28750"/>
    <cellStyle name="표준 10 8 3 2 6 3" xfId="28751"/>
    <cellStyle name="표준 10 8 3 3 2 2 6" xfId="28752"/>
    <cellStyle name="표준 10 8 3 3 2 2 2 3" xfId="28753"/>
    <cellStyle name="표준 10 8 3 3 2 3 6" xfId="28754"/>
    <cellStyle name="표준 10 8 3 3 2 3 2 3" xfId="28755"/>
    <cellStyle name="표준 10 8 3 3 2 4 3" xfId="28756"/>
    <cellStyle name="표준 10 8 3 3 3 6" xfId="28757"/>
    <cellStyle name="표준 10 8 3 3 3 2 3" xfId="28758"/>
    <cellStyle name="표준 10 8 3 3 4 6" xfId="28759"/>
    <cellStyle name="표준 10 8 3 3 4 2 3" xfId="28760"/>
    <cellStyle name="표준 10 8 3 3 5 3" xfId="28761"/>
    <cellStyle name="표준 10 8 3 4 2 6" xfId="28762"/>
    <cellStyle name="표준 10 8 3 4 2 2 3" xfId="28763"/>
    <cellStyle name="표준 10 8 3 4 3 6" xfId="28764"/>
    <cellStyle name="표준 10 8 3 4 3 2 3" xfId="28765"/>
    <cellStyle name="표준 10 8 3 4 4 3" xfId="28766"/>
    <cellStyle name="표준 10 8 3 5 6" xfId="28767"/>
    <cellStyle name="표준 10 8 3 5 2 3" xfId="28768"/>
    <cellStyle name="표준 10 8 3 6 6" xfId="28769"/>
    <cellStyle name="표준 10 8 3 6 2 3" xfId="28770"/>
    <cellStyle name="표준 10 8 3 7 3" xfId="28771"/>
    <cellStyle name="표준 10 8 4 2 2 2 2 6" xfId="28772"/>
    <cellStyle name="표준 10 8 4 2 2 2 2 2 3" xfId="28773"/>
    <cellStyle name="표준 10 8 4 2 2 2 3 6" xfId="28774"/>
    <cellStyle name="표준 10 8 4 2 2 2 3 2 3" xfId="28775"/>
    <cellStyle name="표준 10 8 4 2 2 2 4 3" xfId="28776"/>
    <cellStyle name="표준 10 8 4 2 2 3 6" xfId="28777"/>
    <cellStyle name="표준 10 8 4 2 2 3 2 3" xfId="28778"/>
    <cellStyle name="표준 10 8 4 2 2 4 6" xfId="28779"/>
    <cellStyle name="표준 10 8 4 2 2 4 2 3" xfId="28780"/>
    <cellStyle name="표준 10 8 4 2 2 5 3" xfId="28781"/>
    <cellStyle name="표준 10 8 4 2 3 2 6" xfId="28782"/>
    <cellStyle name="표준 10 8 4 2 3 2 2 3" xfId="28783"/>
    <cellStyle name="표준 10 8 4 2 3 3 6" xfId="28784"/>
    <cellStyle name="표준 10 8 4 2 3 3 2 3" xfId="28785"/>
    <cellStyle name="표준 10 8 4 2 3 4 3" xfId="28786"/>
    <cellStyle name="표준 10 8 4 2 4 6" xfId="28787"/>
    <cellStyle name="표준 10 8 4 2 4 2 3" xfId="28788"/>
    <cellStyle name="표준 10 8 4 2 5 6" xfId="28789"/>
    <cellStyle name="표준 10 8 4 2 5 2 3" xfId="28790"/>
    <cellStyle name="표준 10 8 4 2 6 3" xfId="28791"/>
    <cellStyle name="표준 10 8 4 3 2 2 6" xfId="28792"/>
    <cellStyle name="표준 10 8 4 3 2 2 2 3" xfId="28793"/>
    <cellStyle name="표준 10 8 4 3 2 3 6" xfId="28794"/>
    <cellStyle name="표준 10 8 4 3 2 3 2 3" xfId="28795"/>
    <cellStyle name="표준 10 8 4 3 2 4 3" xfId="28796"/>
    <cellStyle name="표준 10 8 4 3 3 6" xfId="28797"/>
    <cellStyle name="표준 10 8 4 3 3 2 3" xfId="28798"/>
    <cellStyle name="표준 10 8 4 3 4 6" xfId="28799"/>
    <cellStyle name="표준 10 8 4 3 4 2 3" xfId="28800"/>
    <cellStyle name="표준 10 8 4 3 5 3" xfId="28801"/>
    <cellStyle name="표준 10 8 4 4 2 6" xfId="28802"/>
    <cellStyle name="표준 10 8 4 4 2 2 3" xfId="28803"/>
    <cellStyle name="표준 10 8 4 4 3 6" xfId="28804"/>
    <cellStyle name="표준 10 8 4 4 3 2 3" xfId="28805"/>
    <cellStyle name="표준 10 8 4 4 4 3" xfId="28806"/>
    <cellStyle name="표준 10 8 4 5 6" xfId="28807"/>
    <cellStyle name="표준 10 8 4 5 2 3" xfId="28808"/>
    <cellStyle name="표준 10 8 4 6 6" xfId="28809"/>
    <cellStyle name="표준 10 8 4 6 2 3" xfId="28810"/>
    <cellStyle name="표준 10 8 4 7 3" xfId="28811"/>
    <cellStyle name="표준 10 8 5 2 2 2 6" xfId="28812"/>
    <cellStyle name="표준 10 8 5 2 2 2 2 3" xfId="28813"/>
    <cellStyle name="표준 10 8 5 2 2 3 6" xfId="28814"/>
    <cellStyle name="표준 10 8 5 2 2 3 2 3" xfId="28815"/>
    <cellStyle name="표준 10 8 5 2 2 4 3" xfId="28816"/>
    <cellStyle name="표준 10 8 5 2 3 6" xfId="28817"/>
    <cellStyle name="표준 10 8 5 2 3 2 3" xfId="28818"/>
    <cellStyle name="표준 10 8 5 2 4 6" xfId="28819"/>
    <cellStyle name="표준 10 8 5 2 4 2 3" xfId="28820"/>
    <cellStyle name="표준 10 8 5 2 5 3" xfId="28821"/>
    <cellStyle name="표준 10 8 5 3 2 6" xfId="28822"/>
    <cellStyle name="표준 10 8 5 3 2 2 3" xfId="28823"/>
    <cellStyle name="표준 10 8 5 3 3 6" xfId="28824"/>
    <cellStyle name="표준 10 8 5 3 3 2 3" xfId="28825"/>
    <cellStyle name="표준 10 8 5 3 4 3" xfId="28826"/>
    <cellStyle name="표준 10 8 5 4 6" xfId="28827"/>
    <cellStyle name="표준 10 8 5 4 2 3" xfId="28828"/>
    <cellStyle name="표준 10 8 5 5 6" xfId="28829"/>
    <cellStyle name="표준 10 8 5 5 2 3" xfId="28830"/>
    <cellStyle name="표준 10 8 5 6 3" xfId="28831"/>
    <cellStyle name="표준 10 8 6 2 2 6" xfId="28832"/>
    <cellStyle name="표준 10 8 6 2 2 2 3" xfId="28833"/>
    <cellStyle name="표준 10 8 6 2 3 6" xfId="28834"/>
    <cellStyle name="표준 10 8 6 2 3 2 3" xfId="28835"/>
    <cellStyle name="표준 10 8 6 2 4 3" xfId="28836"/>
    <cellStyle name="표준 10 8 6 3 6" xfId="28837"/>
    <cellStyle name="표준 10 8 6 3 2 3" xfId="28838"/>
    <cellStyle name="표준 10 8 6 4 6" xfId="28839"/>
    <cellStyle name="표준 10 8 6 4 2 3" xfId="28840"/>
    <cellStyle name="표준 10 8 6 5 3" xfId="28841"/>
    <cellStyle name="표준 10 8 7 2 6" xfId="28842"/>
    <cellStyle name="표준 10 8 7 2 2 3" xfId="28843"/>
    <cellStyle name="표준 10 8 7 3 6" xfId="28844"/>
    <cellStyle name="표준 10 8 7 3 2 3" xfId="28845"/>
    <cellStyle name="표준 10 8 7 4 3" xfId="28846"/>
    <cellStyle name="표준 10 8 8 6" xfId="28847"/>
    <cellStyle name="표준 10 8 8 2 3" xfId="28848"/>
    <cellStyle name="표준 10 8 9 6" xfId="28849"/>
    <cellStyle name="표준 10 8 9 2 3" xfId="28850"/>
    <cellStyle name="표준 10 9 2 2 2 2 2 6" xfId="28851"/>
    <cellStyle name="표준 10 9 2 2 2 2 2 2 3" xfId="28852"/>
    <cellStyle name="표준 10 9 2 2 2 2 3 6" xfId="28853"/>
    <cellStyle name="표준 10 9 2 2 2 2 3 2 3" xfId="28854"/>
    <cellStyle name="표준 10 9 2 2 2 2 4 3" xfId="28855"/>
    <cellStyle name="표준 10 9 2 2 2 3 6" xfId="28856"/>
    <cellStyle name="표준 10 9 2 2 2 3 2 3" xfId="28857"/>
    <cellStyle name="표준 10 9 2 2 2 4 6" xfId="28858"/>
    <cellStyle name="표준 10 9 2 2 2 4 2 3" xfId="28859"/>
    <cellStyle name="표준 10 9 2 2 2 5 3" xfId="28860"/>
    <cellStyle name="표준 10 9 2 2 3 2 6" xfId="28861"/>
    <cellStyle name="표준 10 9 2 2 3 2 2 3" xfId="28862"/>
    <cellStyle name="표준 10 9 2 2 3 3 6" xfId="28863"/>
    <cellStyle name="표준 10 9 2 2 3 3 2 3" xfId="28864"/>
    <cellStyle name="표준 10 9 2 2 3 4 3" xfId="28865"/>
    <cellStyle name="표준 10 9 2 2 4 6" xfId="28866"/>
    <cellStyle name="표준 10 9 2 2 4 2 3" xfId="28867"/>
    <cellStyle name="표준 10 9 2 2 5 6" xfId="28868"/>
    <cellStyle name="표준 10 9 2 2 5 2 3" xfId="28869"/>
    <cellStyle name="표준 10 9 2 2 6 3" xfId="28870"/>
    <cellStyle name="표준 10 9 2 3 2 2 6" xfId="28871"/>
    <cellStyle name="표준 10 9 2 3 2 2 2 3" xfId="28872"/>
    <cellStyle name="표준 10 9 2 3 2 3 6" xfId="28873"/>
    <cellStyle name="표준 10 9 2 3 2 3 2 3" xfId="28874"/>
    <cellStyle name="표준 10 9 2 3 2 4 3" xfId="28875"/>
    <cellStyle name="표준 10 9 2 3 3 6" xfId="28876"/>
    <cellStyle name="표준 10 9 2 3 3 2 3" xfId="28877"/>
    <cellStyle name="표준 10 9 2 3 4 6" xfId="28878"/>
    <cellStyle name="표준 10 9 2 3 4 2 3" xfId="28879"/>
    <cellStyle name="표준 10 9 2 3 5 3" xfId="28880"/>
    <cellStyle name="표준 10 9 2 4 2 6" xfId="28881"/>
    <cellStyle name="표준 10 9 2 4 2 2 3" xfId="28882"/>
    <cellStyle name="표준 10 9 2 4 3 6" xfId="28883"/>
    <cellStyle name="표준 10 9 2 4 3 2 3" xfId="28884"/>
    <cellStyle name="표준 10 9 2 4 4 3" xfId="28885"/>
    <cellStyle name="표준 10 9 2 5 6" xfId="28886"/>
    <cellStyle name="표준 10 9 2 5 2 3" xfId="28887"/>
    <cellStyle name="표준 10 9 2 6 6" xfId="28888"/>
    <cellStyle name="표준 10 9 2 6 2 3" xfId="28889"/>
    <cellStyle name="표준 10 9 2 7 3" xfId="28890"/>
    <cellStyle name="표준 10 9 3 2 2 2 2 6" xfId="28891"/>
    <cellStyle name="표준 10 9 3 2 2 2 2 2 3" xfId="28892"/>
    <cellStyle name="표준 10 9 3 2 2 2 3 6" xfId="28893"/>
    <cellStyle name="표준 10 9 3 2 2 2 3 2 3" xfId="28894"/>
    <cellStyle name="표준 10 9 3 2 2 2 4 3" xfId="28895"/>
    <cellStyle name="표준 10 9 3 2 2 3 6" xfId="28896"/>
    <cellStyle name="표준 10 9 3 2 2 3 2 3" xfId="28897"/>
    <cellStyle name="표준 10 9 3 2 2 4 6" xfId="28898"/>
    <cellStyle name="표준 10 9 3 2 2 4 2 3" xfId="28899"/>
    <cellStyle name="표준 10 9 3 2 2 5 3" xfId="28900"/>
    <cellStyle name="표준 10 9 3 2 3 2 6" xfId="28901"/>
    <cellStyle name="표준 10 9 3 2 3 2 2 3" xfId="28902"/>
    <cellStyle name="표준 10 9 3 2 3 3 6" xfId="28903"/>
    <cellStyle name="표준 10 9 3 2 3 3 2 3" xfId="28904"/>
    <cellStyle name="표준 10 9 3 2 3 4 3" xfId="28905"/>
    <cellStyle name="표준 10 9 3 2 4 6" xfId="28906"/>
    <cellStyle name="표준 10 9 3 2 4 2 3" xfId="28907"/>
    <cellStyle name="표준 10 9 3 2 5 6" xfId="28908"/>
    <cellStyle name="표준 10 9 3 2 5 2 3" xfId="28909"/>
    <cellStyle name="표준 10 9 3 2 6 3" xfId="28910"/>
    <cellStyle name="표준 10 9 3 3 2 2 6" xfId="28911"/>
    <cellStyle name="표준 10 9 3 3 2 2 2 3" xfId="28912"/>
    <cellStyle name="표준 10 9 3 3 2 3 6" xfId="28913"/>
    <cellStyle name="표준 10 9 3 3 2 3 2 3" xfId="28914"/>
    <cellStyle name="표준 10 9 3 3 2 4 3" xfId="28915"/>
    <cellStyle name="표준 10 9 3 3 3 6" xfId="28916"/>
    <cellStyle name="표준 10 9 3 3 3 2 3" xfId="28917"/>
    <cellStyle name="표준 10 9 3 3 4 6" xfId="28918"/>
    <cellStyle name="표준 10 9 3 3 4 2 3" xfId="28919"/>
    <cellStyle name="표준 10 9 3 3 5 3" xfId="28920"/>
    <cellStyle name="표준 10 9 3 4 2 6" xfId="28921"/>
    <cellStyle name="표준 10 9 3 4 2 2 3" xfId="28922"/>
    <cellStyle name="표준 10 9 3 4 3 6" xfId="28923"/>
    <cellStyle name="표준 10 9 3 4 3 2 3" xfId="28924"/>
    <cellStyle name="표준 10 9 3 4 4 3" xfId="28925"/>
    <cellStyle name="표준 10 9 3 5 6" xfId="28926"/>
    <cellStyle name="표준 10 9 3 5 2 3" xfId="28927"/>
    <cellStyle name="표준 10 9 3 6 6" xfId="28928"/>
    <cellStyle name="표준 10 9 3 6 2 3" xfId="28929"/>
    <cellStyle name="표준 10 9 3 7 3" xfId="28930"/>
    <cellStyle name="표준 10 9 4 2 2 2 6" xfId="28931"/>
    <cellStyle name="표준 10 9 4 2 2 2 2 3" xfId="28932"/>
    <cellStyle name="표준 10 9 4 2 2 3 6" xfId="28933"/>
    <cellStyle name="표준 10 9 4 2 2 3 2 3" xfId="28934"/>
    <cellStyle name="표준 10 9 4 2 2 4 3" xfId="28935"/>
    <cellStyle name="표준 10 9 4 2 3 6" xfId="28936"/>
    <cellStyle name="표준 10 9 4 2 3 2 3" xfId="28937"/>
    <cellStyle name="표준 10 9 4 2 4 6" xfId="28938"/>
    <cellStyle name="표준 10 9 4 2 4 2 3" xfId="28939"/>
    <cellStyle name="표준 10 9 4 2 5 3" xfId="28940"/>
    <cellStyle name="표준 10 9 4 3 2 6" xfId="28941"/>
    <cellStyle name="표준 10 9 4 3 2 2 3" xfId="28942"/>
    <cellStyle name="표준 10 9 4 3 3 6" xfId="28943"/>
    <cellStyle name="표준 10 9 4 3 3 2 3" xfId="28944"/>
    <cellStyle name="표준 10 9 4 3 4 3" xfId="28945"/>
    <cellStyle name="표준 10 9 4 4 6" xfId="28946"/>
    <cellStyle name="표준 10 9 4 4 2 3" xfId="28947"/>
    <cellStyle name="표준 10 9 4 5 6" xfId="28948"/>
    <cellStyle name="표준 10 9 4 5 2 3" xfId="28949"/>
    <cellStyle name="표준 10 9 4 6 3" xfId="28950"/>
    <cellStyle name="표준 10 9 5 2 2 6" xfId="28951"/>
    <cellStyle name="표준 10 9 5 2 2 2 3" xfId="28952"/>
    <cellStyle name="표준 10 9 5 2 3 6" xfId="28953"/>
    <cellStyle name="표준 10 9 5 2 3 2 3" xfId="28954"/>
    <cellStyle name="표준 10 9 5 2 4 3" xfId="28955"/>
    <cellStyle name="표준 10 9 5 3 6" xfId="28956"/>
    <cellStyle name="표준 10 9 5 3 2 3" xfId="28957"/>
    <cellStyle name="표준 10 9 5 4 6" xfId="28958"/>
    <cellStyle name="표준 10 9 5 4 2 3" xfId="28959"/>
    <cellStyle name="표준 10 9 5 5 3" xfId="28960"/>
    <cellStyle name="표준 10 9 6 2 6" xfId="28961"/>
    <cellStyle name="표준 10 9 6 2 2 3" xfId="28962"/>
    <cellStyle name="표준 10 9 6 3 6" xfId="28963"/>
    <cellStyle name="표준 10 9 6 3 2 3" xfId="28964"/>
    <cellStyle name="표준 10 9 6 4 3" xfId="28965"/>
    <cellStyle name="표준 10 9 7 6" xfId="28966"/>
    <cellStyle name="표준 10 9 7 2 3" xfId="28967"/>
    <cellStyle name="표준 10 9 8 6" xfId="28968"/>
    <cellStyle name="표준 10 9 8 2 3" xfId="28969"/>
    <cellStyle name="표준 10 9 9 3" xfId="28970"/>
    <cellStyle name="표준 21 2 3 2 2 2 6" xfId="28971"/>
    <cellStyle name="표준 21 2 3 2 2 2 2 3" xfId="28972"/>
    <cellStyle name="표준 21 2 3 2 2 3 6" xfId="28973"/>
    <cellStyle name="표준 21 2 3 2 2 3 2 3" xfId="28974"/>
    <cellStyle name="표준 21 2 3 2 2 4 3" xfId="28975"/>
    <cellStyle name="표준 21 2 3 2 3 6" xfId="28976"/>
    <cellStyle name="표준 21 2 3 2 3 2 3" xfId="28977"/>
    <cellStyle name="표준 21 2 3 2 4 6" xfId="28978"/>
    <cellStyle name="표준 21 2 3 2 4 2 3" xfId="28979"/>
    <cellStyle name="표준 21 2 3 2 5 3" xfId="28980"/>
    <cellStyle name="표준 21 2 3 3 2 6" xfId="28981"/>
    <cellStyle name="표준 21 2 3 3 2 2 3" xfId="28982"/>
    <cellStyle name="표준 21 2 3 3 3 6" xfId="28983"/>
    <cellStyle name="표준 21 2 3 3 3 2 3" xfId="28984"/>
    <cellStyle name="표준 21 2 3 3 4 3" xfId="28985"/>
    <cellStyle name="표준 21 2 3 4 6" xfId="28986"/>
    <cellStyle name="표준 21 2 3 4 2 3" xfId="28987"/>
    <cellStyle name="표준 21 2 3 5 6" xfId="28988"/>
    <cellStyle name="표준 21 2 3 5 2 3" xfId="28989"/>
    <cellStyle name="표준 21 2 3 6 3" xfId="28990"/>
    <cellStyle name="표준 21 2 4 2 2 6" xfId="28991"/>
    <cellStyle name="표준 21 2 4 2 2 2 3" xfId="28992"/>
    <cellStyle name="표준 21 2 4 2 3 6" xfId="28993"/>
    <cellStyle name="표준 21 2 4 2 3 2 3" xfId="28994"/>
    <cellStyle name="표준 21 2 4 2 4 3" xfId="28995"/>
    <cellStyle name="표준 21 2 4 3 6" xfId="28996"/>
    <cellStyle name="표준 21 2 4 3 2 3" xfId="28997"/>
    <cellStyle name="표준 21 2 4 4 6" xfId="28998"/>
    <cellStyle name="표준 21 2 4 4 2 3" xfId="28999"/>
    <cellStyle name="표준 21 2 4 5 3" xfId="29000"/>
    <cellStyle name="표준 21 2 5 2 6" xfId="29001"/>
    <cellStyle name="표준 21 2 5 2 2 3" xfId="29002"/>
    <cellStyle name="표준 21 2 5 3 6" xfId="29003"/>
    <cellStyle name="표준 21 2 5 3 2 3" xfId="29004"/>
    <cellStyle name="표준 21 2 5 4 3" xfId="29005"/>
    <cellStyle name="표준 21 2 6 6" xfId="29006"/>
    <cellStyle name="표준 21 2 6 2 3" xfId="29007"/>
    <cellStyle name="표준 21 2 7 6" xfId="29008"/>
    <cellStyle name="표준 21 2 7 2 3" xfId="29009"/>
    <cellStyle name="표준 21 2 8 3" xfId="29010"/>
    <cellStyle name="표준 21 3 3 2 2 2 6" xfId="29011"/>
    <cellStyle name="표준 21 3 3 2 2 2 2 3" xfId="29012"/>
    <cellStyle name="표준 21 3 3 2 2 3 6" xfId="29013"/>
    <cellStyle name="표준 21 3 3 2 2 3 2 3" xfId="29014"/>
    <cellStyle name="표준 21 3 3 2 2 4 3" xfId="29015"/>
    <cellStyle name="표준 21 3 3 2 3 6" xfId="29016"/>
    <cellStyle name="표준 21 3 3 2 3 2 3" xfId="29017"/>
    <cellStyle name="표준 21 3 3 2 4 6" xfId="29018"/>
    <cellStyle name="표준 21 3 3 2 4 2 3" xfId="29019"/>
    <cellStyle name="표준 21 3 3 2 5 3" xfId="29020"/>
    <cellStyle name="표준 21 3 3 3 2 6" xfId="29021"/>
    <cellStyle name="표준 21 3 3 3 2 2 3" xfId="29022"/>
    <cellStyle name="표준 21 3 3 3 3 6" xfId="29023"/>
    <cellStyle name="표준 21 3 3 3 3 2 3" xfId="29024"/>
    <cellStyle name="표준 21 3 3 3 4 3" xfId="29025"/>
    <cellStyle name="표준 21 3 3 4 6" xfId="29026"/>
    <cellStyle name="표준 21 3 3 4 2 3" xfId="29027"/>
    <cellStyle name="표준 21 3 3 5 6" xfId="29028"/>
    <cellStyle name="표준 21 3 3 5 2 3" xfId="29029"/>
    <cellStyle name="표준 21 3 3 6 3" xfId="29030"/>
    <cellStyle name="표준 21 3 4 2 2 6" xfId="29031"/>
    <cellStyle name="표준 21 3 4 2 2 2 3" xfId="29032"/>
    <cellStyle name="표준 21 3 4 2 3 6" xfId="29033"/>
    <cellStyle name="표준 21 3 4 2 3 2 3" xfId="29034"/>
    <cellStyle name="표준 21 3 4 2 4 3" xfId="29035"/>
    <cellStyle name="표준 21 3 4 3 6" xfId="29036"/>
    <cellStyle name="표준 21 3 4 3 2 3" xfId="29037"/>
    <cellStyle name="표준 21 3 4 4 6" xfId="29038"/>
    <cellStyle name="표준 21 3 4 4 2 3" xfId="29039"/>
    <cellStyle name="표준 21 3 4 5 3" xfId="29040"/>
    <cellStyle name="표준 21 3 5 2 6" xfId="29041"/>
    <cellStyle name="표준 21 3 5 2 2 3" xfId="29042"/>
    <cellStyle name="표준 21 3 5 3 6" xfId="29043"/>
    <cellStyle name="표준 21 3 5 3 2 3" xfId="29044"/>
    <cellStyle name="표준 21 3 5 4 3" xfId="29045"/>
    <cellStyle name="표준 21 3 6 6" xfId="29046"/>
    <cellStyle name="표준 21 3 6 2 3" xfId="29047"/>
    <cellStyle name="표준 21 3 7 6" xfId="29048"/>
    <cellStyle name="표준 21 3 7 2 3" xfId="29049"/>
    <cellStyle name="표준 21 3 8 3" xfId="29050"/>
    <cellStyle name="표준 21 4 3 2 2 2 6" xfId="29051"/>
    <cellStyle name="표준 21 4 3 2 2 2 2 3" xfId="29052"/>
    <cellStyle name="표준 21 4 3 2 2 3 6" xfId="29053"/>
    <cellStyle name="표준 21 4 3 2 2 3 2 3" xfId="29054"/>
    <cellStyle name="표준 21 4 3 2 2 4 3" xfId="29055"/>
    <cellStyle name="표준 21 4 3 2 3 6" xfId="29056"/>
    <cellStyle name="표준 21 4 3 2 3 2 3" xfId="29057"/>
    <cellStyle name="표준 21 4 3 2 4 6" xfId="29058"/>
    <cellStyle name="표준 21 4 3 2 4 2 3" xfId="29059"/>
    <cellStyle name="표준 21 4 3 2 5 3" xfId="29060"/>
    <cellStyle name="표준 21 4 3 3 2 6" xfId="29061"/>
    <cellStyle name="표준 21 4 3 3 2 2 3" xfId="29062"/>
    <cellStyle name="표준 21 4 3 3 3 6" xfId="29063"/>
    <cellStyle name="표준 21 4 3 3 3 2 3" xfId="29064"/>
    <cellStyle name="표준 21 4 3 3 4 3" xfId="29065"/>
    <cellStyle name="표준 21 4 3 4 6" xfId="29066"/>
    <cellStyle name="표준 21 4 3 4 2 3" xfId="29067"/>
    <cellStyle name="표준 21 4 3 5 6" xfId="29068"/>
    <cellStyle name="표준 21 4 3 5 2 3" xfId="29069"/>
    <cellStyle name="표준 21 4 3 6 3" xfId="29070"/>
    <cellStyle name="표준 21 4 4 2 2 6" xfId="29071"/>
    <cellStyle name="표준 21 4 4 2 2 2 3" xfId="29072"/>
    <cellStyle name="표준 21 4 4 2 3 6" xfId="29073"/>
    <cellStyle name="표준 21 4 4 2 3 2 3" xfId="29074"/>
    <cellStyle name="표준 21 4 4 2 4 3" xfId="29075"/>
    <cellStyle name="표준 21 4 4 3 6" xfId="29076"/>
    <cellStyle name="표준 21 4 4 3 2 3" xfId="29077"/>
    <cellStyle name="표준 21 4 4 4 6" xfId="29078"/>
    <cellStyle name="표준 21 4 4 4 2 3" xfId="29079"/>
    <cellStyle name="표준 21 4 4 5 3" xfId="29080"/>
    <cellStyle name="표준 21 4 5 2 6" xfId="29081"/>
    <cellStyle name="표준 21 4 5 2 2 3" xfId="29082"/>
    <cellStyle name="표준 21 4 5 3 6" xfId="29083"/>
    <cellStyle name="표준 21 4 5 3 2 3" xfId="29084"/>
    <cellStyle name="표준 21 4 5 4 3" xfId="29085"/>
    <cellStyle name="표준 21 4 6 6" xfId="29086"/>
    <cellStyle name="표준 21 4 6 2 3" xfId="29087"/>
    <cellStyle name="표준 21 4 7 6" xfId="29088"/>
    <cellStyle name="표준 21 4 7 2 3" xfId="29089"/>
    <cellStyle name="표준 21 4 8 3" xfId="29090"/>
    <cellStyle name="표준 21 40 2 2 2 6" xfId="29091"/>
    <cellStyle name="표준 21 40 2 2 2 2 3" xfId="29092"/>
    <cellStyle name="표준 21 40 2 2 3 6" xfId="29093"/>
    <cellStyle name="표준 21 40 2 2 3 2 3" xfId="29094"/>
    <cellStyle name="표준 21 40 2 2 4 3" xfId="29095"/>
    <cellStyle name="표준 21 40 2 3 6" xfId="29096"/>
    <cellStyle name="표준 21 40 2 3 2 3" xfId="29097"/>
    <cellStyle name="표준 21 40 2 4 6" xfId="29098"/>
    <cellStyle name="표준 21 40 2 4 2 3" xfId="29099"/>
    <cellStyle name="표준 21 40 2 5 3" xfId="29100"/>
    <cellStyle name="표준 21 40 3 2 6" xfId="29101"/>
    <cellStyle name="표준 21 40 3 2 2 3" xfId="29102"/>
    <cellStyle name="표준 21 40 3 3 6" xfId="29103"/>
    <cellStyle name="표준 21 40 3 3 2 3" xfId="29104"/>
    <cellStyle name="표준 21 40 3 4 3" xfId="29105"/>
    <cellStyle name="표준 21 40 4 6" xfId="29106"/>
    <cellStyle name="표준 21 40 4 2 3" xfId="29107"/>
    <cellStyle name="표준 21 40 5 6" xfId="29108"/>
    <cellStyle name="표준 21 40 5 2 3" xfId="29109"/>
    <cellStyle name="표준 21 40 6 3" xfId="29110"/>
    <cellStyle name="표준 21 41 2 2 6" xfId="29111"/>
    <cellStyle name="표준 21 41 2 2 2 3" xfId="29112"/>
    <cellStyle name="표준 21 41 2 3 6" xfId="29113"/>
    <cellStyle name="표준 21 41 2 3 2 3" xfId="29114"/>
    <cellStyle name="표준 21 41 2 4 3" xfId="29115"/>
    <cellStyle name="표준 21 41 3 6" xfId="29116"/>
    <cellStyle name="표준 21 41 3 2 3" xfId="29117"/>
    <cellStyle name="표준 21 41 4 6" xfId="29118"/>
    <cellStyle name="표준 21 41 4 2 3" xfId="29119"/>
    <cellStyle name="표준 21 41 5 3" xfId="29120"/>
    <cellStyle name="표준 21 42 2 6" xfId="29121"/>
    <cellStyle name="표준 21 42 2 2 3" xfId="29122"/>
    <cellStyle name="표준 21 42 3 6" xfId="29123"/>
    <cellStyle name="표준 21 42 3 2 3" xfId="29124"/>
    <cellStyle name="표준 21 42 4 3" xfId="29125"/>
    <cellStyle name="표준 21 43 6" xfId="29126"/>
    <cellStyle name="표준 21 43 2 3" xfId="29127"/>
    <cellStyle name="표준 21 44 6" xfId="29128"/>
    <cellStyle name="표준 21 44 2 3" xfId="29129"/>
    <cellStyle name="표준 21 45 3" xfId="29130"/>
    <cellStyle name="표준 22 3 2 2 2 6" xfId="29131"/>
    <cellStyle name="표준 22 3 2 2 2 2 3" xfId="29132"/>
    <cellStyle name="표준 22 3 2 2 3 6" xfId="29133"/>
    <cellStyle name="표준 22 3 2 2 3 2 3" xfId="29134"/>
    <cellStyle name="표준 22 3 2 2 4 3" xfId="29135"/>
    <cellStyle name="표준 22 3 2 3 6" xfId="29136"/>
    <cellStyle name="표준 22 3 2 3 2 3" xfId="29137"/>
    <cellStyle name="표준 22 3 2 4 6" xfId="29138"/>
    <cellStyle name="표준 22 3 2 4 2 3" xfId="29139"/>
    <cellStyle name="표준 22 3 2 5 3" xfId="29140"/>
    <cellStyle name="표준 22 3 3 2 6" xfId="29141"/>
    <cellStyle name="표준 22 3 3 2 2 3" xfId="29142"/>
    <cellStyle name="표준 22 3 3 3 6" xfId="29143"/>
    <cellStyle name="표준 22 3 3 3 2 3" xfId="29144"/>
    <cellStyle name="표준 22 3 3 4 3" xfId="29145"/>
    <cellStyle name="표준 22 3 4 6" xfId="29146"/>
    <cellStyle name="표준 22 3 4 2 3" xfId="29147"/>
    <cellStyle name="표준 22 3 5 6" xfId="29148"/>
    <cellStyle name="표준 22 3 5 2 3" xfId="29149"/>
    <cellStyle name="표준 22 3 6 3" xfId="29150"/>
    <cellStyle name="표준 22 4 2 2 6" xfId="29151"/>
    <cellStyle name="표준 22 4 2 2 2 3" xfId="29152"/>
    <cellStyle name="표준 22 4 2 3 6" xfId="29153"/>
    <cellStyle name="표준 22 4 2 3 2 3" xfId="29154"/>
    <cellStyle name="표준 22 4 2 4 3" xfId="29155"/>
    <cellStyle name="표준 22 4 3 6" xfId="29156"/>
    <cellStyle name="표준 22 4 3 2 3" xfId="29157"/>
    <cellStyle name="표준 22 4 4 6" xfId="29158"/>
    <cellStyle name="표준 22 4 4 2 3" xfId="29159"/>
    <cellStyle name="표준 22 4 5 3" xfId="29160"/>
    <cellStyle name="표준 22 5 2 6" xfId="29161"/>
    <cellStyle name="표준 22 5 2 2 3" xfId="29162"/>
    <cellStyle name="표준 22 5 3 6" xfId="29163"/>
    <cellStyle name="표준 22 5 3 2 3" xfId="29164"/>
    <cellStyle name="표준 22 5 4 3" xfId="29165"/>
    <cellStyle name="표준 22 6 6" xfId="29166"/>
    <cellStyle name="표준 22 6 2 3" xfId="29167"/>
    <cellStyle name="표준 22 7 6" xfId="29168"/>
    <cellStyle name="표준 22 7 2 3" xfId="29169"/>
    <cellStyle name="표준 22 8 3" xfId="29170"/>
    <cellStyle name="표준 24 40 2 6" xfId="29171"/>
    <cellStyle name="표준 24 40 2 2 3" xfId="29172"/>
    <cellStyle name="표준 24 40 3 6" xfId="29173"/>
    <cellStyle name="표준 24 40 3 2 3" xfId="29174"/>
    <cellStyle name="표준 24 40 4 3" xfId="29175"/>
    <cellStyle name="표준 24 41 6" xfId="29176"/>
    <cellStyle name="표준 24 41 2 3" xfId="29177"/>
    <cellStyle name="표준 24 42 6" xfId="29178"/>
    <cellStyle name="표준 24 42 2 3" xfId="29179"/>
    <cellStyle name="표준 24 43 3" xfId="29180"/>
    <cellStyle name="표준 25 24 2 6" xfId="29181"/>
    <cellStyle name="표준 25 24 2 2 3" xfId="29182"/>
    <cellStyle name="표준 25 24 3 6" xfId="29183"/>
    <cellStyle name="표준 25 24 3 2 3" xfId="29184"/>
    <cellStyle name="표준 25 24 4 3" xfId="29185"/>
    <cellStyle name="표준 25 25 6" xfId="29186"/>
    <cellStyle name="표준 25 25 2 3" xfId="29187"/>
    <cellStyle name="표준 25 26 6" xfId="29188"/>
    <cellStyle name="표준 25 26 2 3" xfId="29189"/>
    <cellStyle name="표준 25 27 3" xfId="29190"/>
    <cellStyle name="표준 26 42 6" xfId="29191"/>
    <cellStyle name="표준 26 42 2 3" xfId="29192"/>
    <cellStyle name="표준 26 44 3" xfId="29193"/>
    <cellStyle name="표준 27 42 6" xfId="29194"/>
    <cellStyle name="표준 27 42 2 3" xfId="29195"/>
    <cellStyle name="표준 27 43 6" xfId="29196"/>
    <cellStyle name="표준 27 43 2 3" xfId="29197"/>
    <cellStyle name="표준 27 44 3" xfId="29198"/>
    <cellStyle name="표준 28 47" xfId="29199"/>
    <cellStyle name="표준 28 42 6" xfId="29200"/>
    <cellStyle name="표준 28 42 2 3" xfId="29201"/>
    <cellStyle name="표준 28 43 3" xfId="29202"/>
    <cellStyle name="표준 287 6" xfId="29203"/>
    <cellStyle name="표준 287 2 3" xfId="29204"/>
    <cellStyle name="표준 29 47" xfId="29205"/>
    <cellStyle name="표준 29 42 6" xfId="29206"/>
    <cellStyle name="표준 29 42 2 3" xfId="29207"/>
    <cellStyle name="표준 29 43 3" xfId="29208"/>
    <cellStyle name="표준 30 46" xfId="29209"/>
    <cellStyle name="표준 30 41 6" xfId="29210"/>
    <cellStyle name="표준 30 41 2 3" xfId="29211"/>
    <cellStyle name="표준 30 42 3" xfId="29212"/>
    <cellStyle name="표준 32 42" xfId="29213"/>
    <cellStyle name="표준 4 16 7" xfId="29214"/>
    <cellStyle name="표준 4 16 2 6" xfId="29215"/>
    <cellStyle name="표준 4 16 2 2 3" xfId="29216"/>
    <cellStyle name="표준 4 16 3 3" xfId="29217"/>
    <cellStyle name="표준 4 2 2 7" xfId="29218"/>
    <cellStyle name="표준 4 2 2 2 6" xfId="29219"/>
    <cellStyle name="표준 4 2 2 2 2 3" xfId="29220"/>
    <cellStyle name="표준 4 2 2 3 3" xfId="29221"/>
    <cellStyle name="표준 7 10 10 3" xfId="29222"/>
    <cellStyle name="표준 7 10 2 2 2 2 2 6" xfId="29223"/>
    <cellStyle name="표준 7 10 2 2 2 2 2 2 3" xfId="29224"/>
    <cellStyle name="표준 7 10 2 2 2 2 3 6" xfId="29225"/>
    <cellStyle name="표준 7 10 2 2 2 2 3 2 3" xfId="29226"/>
    <cellStyle name="표준 7 10 2 2 2 2 4 3" xfId="29227"/>
    <cellStyle name="표준 7 10 2 2 2 3 6" xfId="29228"/>
    <cellStyle name="표준 7 10 2 2 2 3 2 3" xfId="29229"/>
    <cellStyle name="표준 7 10 2 2 2 4 6" xfId="29230"/>
    <cellStyle name="표준 7 10 2 2 2 4 2 3" xfId="29231"/>
    <cellStyle name="표준 7 10 2 2 2 5 3" xfId="29232"/>
    <cellStyle name="표준 7 10 2 2 3 2 6" xfId="29233"/>
    <cellStyle name="표준 7 10 2 2 3 2 2 3" xfId="29234"/>
    <cellStyle name="표준 7 10 2 2 3 3 6" xfId="29235"/>
    <cellStyle name="표준 7 10 2 2 3 3 2 3" xfId="29236"/>
    <cellStyle name="표준 7 10 2 2 3 4 3" xfId="29237"/>
    <cellStyle name="표준 7 10 2 2 4 6" xfId="29238"/>
    <cellStyle name="표준 7 10 2 2 4 2 3" xfId="29239"/>
    <cellStyle name="표준 7 10 2 2 5 6" xfId="29240"/>
    <cellStyle name="표준 7 10 2 2 5 2 3" xfId="29241"/>
    <cellStyle name="표준 7 10 2 2 6 3" xfId="29242"/>
    <cellStyle name="표준 7 10 2 3 2 2 6" xfId="29243"/>
    <cellStyle name="표준 7 10 2 3 2 2 2 3" xfId="29244"/>
    <cellStyle name="표준 7 10 2 3 2 3 6" xfId="29245"/>
    <cellStyle name="표준 7 10 2 3 2 3 2 3" xfId="29246"/>
    <cellStyle name="표준 7 10 2 3 2 4 3" xfId="29247"/>
    <cellStyle name="표준 7 10 2 3 3 6" xfId="29248"/>
    <cellStyle name="표준 7 10 2 3 3 2 3" xfId="29249"/>
    <cellStyle name="표준 7 10 2 3 4 6" xfId="29250"/>
    <cellStyle name="표준 7 10 2 3 4 2 3" xfId="29251"/>
    <cellStyle name="표준 7 10 2 3 5 3" xfId="29252"/>
    <cellStyle name="표준 7 10 2 4 2 6" xfId="29253"/>
    <cellStyle name="표준 7 10 2 4 2 2 3" xfId="29254"/>
    <cellStyle name="표준 7 10 2 4 3 6" xfId="29255"/>
    <cellStyle name="표준 7 10 2 4 3 2 3" xfId="29256"/>
    <cellStyle name="표준 7 10 2 4 4 3" xfId="29257"/>
    <cellStyle name="표준 7 10 2 5 6" xfId="29258"/>
    <cellStyle name="표준 7 10 2 5 2 3" xfId="29259"/>
    <cellStyle name="표준 7 10 2 6 6" xfId="29260"/>
    <cellStyle name="표준 7 10 2 6 2 3" xfId="29261"/>
    <cellStyle name="표준 7 10 2 7 3" xfId="29262"/>
    <cellStyle name="표준 7 10 3 2 2 2 2 6" xfId="29263"/>
    <cellStyle name="표준 7 10 3 2 2 2 2 2 3" xfId="29264"/>
    <cellStyle name="표준 7 10 3 2 2 2 3 6" xfId="29265"/>
    <cellStyle name="표준 7 10 3 2 2 2 3 2 3" xfId="29266"/>
    <cellStyle name="표준 7 10 3 2 2 2 4 3" xfId="29267"/>
    <cellStyle name="표준 7 10 3 2 2 3 6" xfId="29268"/>
    <cellStyle name="표준 7 10 3 2 2 3 2 3" xfId="29269"/>
    <cellStyle name="표준 7 10 3 2 2 4 6" xfId="29270"/>
    <cellStyle name="표준 7 10 3 2 2 4 2 3" xfId="29271"/>
    <cellStyle name="표준 7 10 3 2 2 5 3" xfId="29272"/>
    <cellStyle name="표준 7 10 3 2 3 2 6" xfId="29273"/>
    <cellStyle name="표준 7 10 3 2 3 2 2 3" xfId="29274"/>
    <cellStyle name="표준 7 10 3 2 3 3 6" xfId="29275"/>
    <cellStyle name="표준 7 10 3 2 3 3 2 3" xfId="29276"/>
    <cellStyle name="표준 7 10 3 2 3 4 3" xfId="29277"/>
    <cellStyle name="표준 7 10 3 2 4 6" xfId="29278"/>
    <cellStyle name="표준 7 10 3 2 4 2 3" xfId="29279"/>
    <cellStyle name="표준 7 10 3 2 5 6" xfId="29280"/>
    <cellStyle name="표준 7 10 3 2 5 2 3" xfId="29281"/>
    <cellStyle name="표준 7 10 3 2 6 3" xfId="29282"/>
    <cellStyle name="표준 7 10 3 3 2 2 6" xfId="29283"/>
    <cellStyle name="표준 7 10 3 3 2 2 2 3" xfId="29284"/>
    <cellStyle name="표준 7 10 3 3 2 3 6" xfId="29285"/>
    <cellStyle name="표준 7 10 3 3 2 3 2 3" xfId="29286"/>
    <cellStyle name="표준 7 10 3 3 2 4 3" xfId="29287"/>
    <cellStyle name="표준 7 10 3 3 3 6" xfId="29288"/>
    <cellStyle name="표준 7 10 3 3 3 2 3" xfId="29289"/>
    <cellStyle name="표준 7 10 3 3 4 6" xfId="29290"/>
    <cellStyle name="표준 7 10 3 3 4 2 3" xfId="29291"/>
    <cellStyle name="표준 7 10 3 3 5 3" xfId="29292"/>
    <cellStyle name="표준 7 10 3 4 2 6" xfId="29293"/>
    <cellStyle name="표준 7 10 3 4 2 2 3" xfId="29294"/>
    <cellStyle name="표준 7 10 3 4 3 6" xfId="29295"/>
    <cellStyle name="표준 7 10 3 4 3 2 3" xfId="29296"/>
    <cellStyle name="표준 7 10 3 4 4 3" xfId="29297"/>
    <cellStyle name="표준 7 10 3 5 6" xfId="29298"/>
    <cellStyle name="표준 7 10 3 5 2 3" xfId="29299"/>
    <cellStyle name="표준 7 10 3 6 6" xfId="29300"/>
    <cellStyle name="표준 7 10 3 6 2 3" xfId="29301"/>
    <cellStyle name="표준 7 10 3 7 3" xfId="29302"/>
    <cellStyle name="표준 7 10 4 2 2 2 2 6" xfId="29303"/>
    <cellStyle name="표준 7 10 4 2 2 2 2 2 3" xfId="29304"/>
    <cellStyle name="표준 7 10 4 2 2 2 3 6" xfId="29305"/>
    <cellStyle name="표준 7 10 4 2 2 2 3 2 3" xfId="29306"/>
    <cellStyle name="표준 7 10 4 2 2 2 4 3" xfId="29307"/>
    <cellStyle name="표준 7 10 4 2 2 3 6" xfId="29308"/>
    <cellStyle name="표준 7 10 4 2 2 3 2 3" xfId="29309"/>
    <cellStyle name="표준 7 10 4 2 2 4 6" xfId="29310"/>
    <cellStyle name="표준 7 10 4 2 2 4 2 3" xfId="29311"/>
    <cellStyle name="표준 7 10 4 2 2 5 3" xfId="29312"/>
    <cellStyle name="표준 7 10 4 2 3 2 6" xfId="29313"/>
    <cellStyle name="표준 7 10 4 2 3 2 2 3" xfId="29314"/>
    <cellStyle name="표준 7 10 4 2 3 3 6" xfId="29315"/>
    <cellStyle name="표준 7 10 4 2 3 3 2 3" xfId="29316"/>
    <cellStyle name="표준 7 10 4 2 3 4 3" xfId="29317"/>
    <cellStyle name="표준 7 10 4 2 4 6" xfId="29318"/>
    <cellStyle name="표준 7 10 4 2 4 2 3" xfId="29319"/>
    <cellStyle name="표준 7 10 4 2 5 6" xfId="29320"/>
    <cellStyle name="표준 7 10 4 2 5 2 3" xfId="29321"/>
    <cellStyle name="표준 7 10 4 2 6 3" xfId="29322"/>
    <cellStyle name="표준 7 10 4 3 2 2 6" xfId="29323"/>
    <cellStyle name="표준 7 10 4 3 2 2 2 3" xfId="29324"/>
    <cellStyle name="표준 7 10 4 3 2 3 6" xfId="29325"/>
    <cellStyle name="표준 7 10 4 3 2 3 2 3" xfId="29326"/>
    <cellStyle name="표준 7 10 4 3 2 4 3" xfId="29327"/>
    <cellStyle name="표준 7 10 4 3 3 6" xfId="29328"/>
    <cellStyle name="표준 7 10 4 3 3 2 3" xfId="29329"/>
    <cellStyle name="표준 7 10 4 3 4 6" xfId="29330"/>
    <cellStyle name="표준 7 10 4 3 4 2 3" xfId="29331"/>
    <cellStyle name="표준 7 10 4 3 5 3" xfId="29332"/>
    <cellStyle name="표준 7 10 4 4 2 6" xfId="29333"/>
    <cellStyle name="표준 7 10 4 4 2 2 3" xfId="29334"/>
    <cellStyle name="표준 7 10 4 4 3 6" xfId="29335"/>
    <cellStyle name="표준 7 10 4 4 3 2 3" xfId="29336"/>
    <cellStyle name="표준 7 10 4 4 4 3" xfId="29337"/>
    <cellStyle name="표준 7 10 4 5 6" xfId="29338"/>
    <cellStyle name="표준 7 10 4 5 2 3" xfId="29339"/>
    <cellStyle name="표준 7 10 4 6 6" xfId="29340"/>
    <cellStyle name="표준 7 10 4 6 2 3" xfId="29341"/>
    <cellStyle name="표준 7 10 4 7 3" xfId="29342"/>
    <cellStyle name="표준 7 10 5 2 2 2 6" xfId="29343"/>
    <cellStyle name="표준 7 10 5 2 2 2 2 3" xfId="29344"/>
    <cellStyle name="표준 7 10 5 2 2 3 6" xfId="29345"/>
    <cellStyle name="표준 7 10 5 2 2 3 2 3" xfId="29346"/>
    <cellStyle name="표준 7 10 5 2 2 4 3" xfId="29347"/>
    <cellStyle name="표준 7 10 5 2 3 6" xfId="29348"/>
    <cellStyle name="표준 7 10 5 2 3 2 3" xfId="29349"/>
    <cellStyle name="표준 7 10 5 2 4 6" xfId="29350"/>
    <cellStyle name="표준 7 10 5 2 4 2 3" xfId="29351"/>
    <cellStyle name="표준 7 10 5 2 5 3" xfId="29352"/>
    <cellStyle name="표준 7 10 5 3 2 6" xfId="29353"/>
    <cellStyle name="표준 7 10 5 3 2 2 3" xfId="29354"/>
    <cellStyle name="표준 7 10 5 3 3 6" xfId="29355"/>
    <cellStyle name="표준 7 10 5 3 3 2 3" xfId="29356"/>
    <cellStyle name="표준 7 10 5 3 4 3" xfId="29357"/>
    <cellStyle name="표준 7 10 5 4 6" xfId="29358"/>
    <cellStyle name="표준 7 10 5 4 2 3" xfId="29359"/>
    <cellStyle name="표준 7 10 5 5 6" xfId="29360"/>
    <cellStyle name="표준 7 10 5 5 2 3" xfId="29361"/>
    <cellStyle name="표준 7 10 5 6 3" xfId="29362"/>
    <cellStyle name="표준 7 10 6 2 2 6" xfId="29363"/>
    <cellStyle name="표준 7 10 6 2 2 2 3" xfId="29364"/>
    <cellStyle name="표준 7 10 6 2 3 6" xfId="29365"/>
    <cellStyle name="표준 7 10 6 2 3 2 3" xfId="29366"/>
    <cellStyle name="표준 7 10 6 2 4 3" xfId="29367"/>
    <cellStyle name="표준 7 10 6 3 6" xfId="29368"/>
    <cellStyle name="표준 7 10 6 3 2 3" xfId="29369"/>
    <cellStyle name="표준 7 10 6 4 6" xfId="29370"/>
    <cellStyle name="표준 7 10 6 4 2 3" xfId="29371"/>
    <cellStyle name="표준 7 10 6 5 3" xfId="29372"/>
    <cellStyle name="표준 7 10 7 2 6" xfId="29373"/>
    <cellStyle name="표준 7 10 7 2 2 3" xfId="29374"/>
    <cellStyle name="표준 7 10 7 3 6" xfId="29375"/>
    <cellStyle name="표준 7 10 7 3 2 3" xfId="29376"/>
    <cellStyle name="표준 7 10 7 4 3" xfId="29377"/>
    <cellStyle name="표준 7 10 8 6" xfId="29378"/>
    <cellStyle name="표준 7 10 8 2 3" xfId="29379"/>
    <cellStyle name="표준 7 10 9 6" xfId="29380"/>
    <cellStyle name="표준 7 10 9 2 3" xfId="29381"/>
    <cellStyle name="표준 7 11 10 3" xfId="29382"/>
    <cellStyle name="표준 7 11 2 2 2 2 2 6" xfId="29383"/>
    <cellStyle name="표준 7 11 2 2 2 2 2 2 3" xfId="29384"/>
    <cellStyle name="표준 7 11 2 2 2 2 3 6" xfId="29385"/>
    <cellStyle name="표준 7 11 2 2 2 2 3 2 3" xfId="29386"/>
    <cellStyle name="표준 7 11 2 2 2 2 4 3" xfId="29387"/>
    <cellStyle name="표준 7 11 2 2 2 3 6" xfId="29388"/>
    <cellStyle name="표준 7 11 2 2 2 3 2 3" xfId="29389"/>
    <cellStyle name="표준 7 11 2 2 2 4 6" xfId="29390"/>
    <cellStyle name="표준 7 11 2 2 2 4 2 3" xfId="29391"/>
    <cellStyle name="표준 7 11 2 2 2 5 3" xfId="29392"/>
    <cellStyle name="표준 7 11 2 2 3 2 6" xfId="29393"/>
    <cellStyle name="표준 7 11 2 2 3 2 2 3" xfId="29394"/>
    <cellStyle name="표준 7 11 2 2 3 3 6" xfId="29395"/>
    <cellStyle name="표준 7 11 2 2 3 3 2 3" xfId="29396"/>
    <cellStyle name="표준 7 11 2 2 3 4 3" xfId="29397"/>
    <cellStyle name="표준 7 11 2 2 4 6" xfId="29398"/>
    <cellStyle name="표준 7 11 2 2 4 2 3" xfId="29399"/>
    <cellStyle name="표준 7 11 2 2 5 6" xfId="29400"/>
    <cellStyle name="표준 7 11 2 2 5 2 3" xfId="29401"/>
    <cellStyle name="표준 7 11 2 2 6 3" xfId="29402"/>
    <cellStyle name="표준 7 11 2 3 2 2 6" xfId="29403"/>
    <cellStyle name="표준 7 11 2 3 2 2 2 3" xfId="29404"/>
    <cellStyle name="표준 7 11 2 3 2 3 6" xfId="29405"/>
    <cellStyle name="표준 7 11 2 3 2 3 2 3" xfId="29406"/>
    <cellStyle name="표준 7 11 2 3 2 4 3" xfId="29407"/>
    <cellStyle name="표준 7 11 2 3 3 6" xfId="29408"/>
    <cellStyle name="표준 7 11 2 3 3 2 3" xfId="29409"/>
    <cellStyle name="표준 7 11 2 3 4 6" xfId="29410"/>
    <cellStyle name="표준 7 11 2 3 4 2 3" xfId="29411"/>
    <cellStyle name="표준 7 11 2 3 5 3" xfId="29412"/>
    <cellStyle name="표준 7 11 2 4 2 6" xfId="29413"/>
    <cellStyle name="표준 7 11 2 4 2 2 3" xfId="29414"/>
    <cellStyle name="표준 7 11 2 4 3 6" xfId="29415"/>
    <cellStyle name="표준 7 11 2 4 3 2 3" xfId="29416"/>
    <cellStyle name="표준 7 11 2 4 4 3" xfId="29417"/>
    <cellStyle name="표준 7 11 2 5 6" xfId="29418"/>
    <cellStyle name="표준 7 11 2 5 2 3" xfId="29419"/>
    <cellStyle name="표준 7 11 2 6 6" xfId="29420"/>
    <cellStyle name="표준 7 11 2 6 2 3" xfId="29421"/>
    <cellStyle name="표준 7 11 2 7 3" xfId="29422"/>
    <cellStyle name="표준 7 11 3 2 2 2 2 6" xfId="29423"/>
    <cellStyle name="표준 7 11 3 2 2 2 2 2 3" xfId="29424"/>
    <cellStyle name="표준 7 11 3 2 2 2 3 6" xfId="29425"/>
    <cellStyle name="표준 7 11 3 2 2 2 3 2 3" xfId="29426"/>
    <cellStyle name="표준 7 11 3 2 2 2 4 3" xfId="29427"/>
    <cellStyle name="표준 7 11 3 2 2 3 6" xfId="29428"/>
    <cellStyle name="표준 7 11 3 2 2 3 2 3" xfId="29429"/>
    <cellStyle name="표준 7 11 3 2 2 4 6" xfId="29430"/>
    <cellStyle name="표준 7 11 3 2 2 4 2 3" xfId="29431"/>
    <cellStyle name="표준 7 11 3 2 2 5 3" xfId="29432"/>
    <cellStyle name="표준 7 11 3 2 3 2 6" xfId="29433"/>
    <cellStyle name="표준 7 11 3 2 3 2 2 3" xfId="29434"/>
    <cellStyle name="표준 7 11 3 2 3 3 6" xfId="29435"/>
    <cellStyle name="표준 7 11 3 2 3 3 2 3" xfId="29436"/>
    <cellStyle name="표준 7 11 3 2 3 4 3" xfId="29437"/>
    <cellStyle name="표준 7 11 3 2 4 6" xfId="29438"/>
    <cellStyle name="표준 7 11 3 2 4 2 3" xfId="29439"/>
    <cellStyle name="표준 7 11 3 2 5 6" xfId="29440"/>
    <cellStyle name="표준 7 11 3 2 5 2 3" xfId="29441"/>
    <cellStyle name="표준 7 11 3 2 6 3" xfId="29442"/>
    <cellStyle name="표준 7 11 3 3 2 2 6" xfId="29443"/>
    <cellStyle name="표준 7 11 3 3 2 2 2 3" xfId="29444"/>
    <cellStyle name="표준 7 11 3 3 2 3 6" xfId="29445"/>
    <cellStyle name="표준 7 11 3 3 2 3 2 3" xfId="29446"/>
    <cellStyle name="표준 7 11 3 3 2 4 3" xfId="29447"/>
    <cellStyle name="표준 7 11 3 3 3 6" xfId="29448"/>
    <cellStyle name="표준 7 11 3 3 3 2 3" xfId="29449"/>
    <cellStyle name="표준 7 11 3 3 4 6" xfId="29450"/>
    <cellStyle name="표준 7 11 3 3 4 2 3" xfId="29451"/>
    <cellStyle name="표준 7 11 3 3 5 3" xfId="29452"/>
    <cellStyle name="표준 7 11 3 4 2 6" xfId="29453"/>
    <cellStyle name="표준 7 11 3 4 2 2 3" xfId="29454"/>
    <cellStyle name="표준 7 11 3 4 3 6" xfId="29455"/>
    <cellStyle name="표준 7 11 3 4 3 2 3" xfId="29456"/>
    <cellStyle name="표준 7 11 3 4 4 3" xfId="29457"/>
    <cellStyle name="표준 7 11 3 5 6" xfId="29458"/>
    <cellStyle name="표준 7 11 3 5 2 3" xfId="29459"/>
    <cellStyle name="표준 7 11 3 6 6" xfId="29460"/>
    <cellStyle name="표준 7 11 3 6 2 3" xfId="29461"/>
    <cellStyle name="표준 7 11 3 7 3" xfId="29462"/>
    <cellStyle name="표준 7 11 4 2 2 2 2 6" xfId="29463"/>
    <cellStyle name="표준 7 11 4 2 2 2 2 2 3" xfId="29464"/>
    <cellStyle name="표준 7 11 4 2 2 2 3 6" xfId="29465"/>
    <cellStyle name="표준 7 11 4 2 2 2 3 2 3" xfId="29466"/>
    <cellStyle name="표준 7 11 4 2 2 2 4 3" xfId="29467"/>
    <cellStyle name="표준 7 11 4 2 2 3 6" xfId="29468"/>
    <cellStyle name="표준 7 11 4 2 2 3 2 3" xfId="29469"/>
    <cellStyle name="표준 7 11 4 2 2 4 6" xfId="29470"/>
    <cellStyle name="표준 7 11 4 2 2 4 2 3" xfId="29471"/>
    <cellStyle name="표준 7 11 4 2 2 5 3" xfId="29472"/>
    <cellStyle name="표준 7 11 4 2 3 2 6" xfId="29473"/>
    <cellStyle name="표준 7 11 4 2 3 2 2 3" xfId="29474"/>
    <cellStyle name="표준 7 11 4 2 3 3 6" xfId="29475"/>
    <cellStyle name="표준 7 11 4 2 3 3 2 3" xfId="29476"/>
    <cellStyle name="표준 7 11 4 2 3 4 3" xfId="29477"/>
    <cellStyle name="표준 7 11 4 2 4 6" xfId="29478"/>
    <cellStyle name="표준 7 11 4 2 4 2 3" xfId="29479"/>
    <cellStyle name="표준 7 11 4 2 5 6" xfId="29480"/>
    <cellStyle name="표준 7 11 4 2 5 2 3" xfId="29481"/>
    <cellStyle name="표준 7 11 4 2 6 3" xfId="29482"/>
    <cellStyle name="표준 7 11 4 3 2 2 6" xfId="29483"/>
    <cellStyle name="표준 7 11 4 3 2 2 2 3" xfId="29484"/>
    <cellStyle name="표준 7 11 4 3 2 3 6" xfId="29485"/>
    <cellStyle name="표준 7 11 4 3 2 3 2 3" xfId="29486"/>
    <cellStyle name="표준 7 11 4 3 2 4 3" xfId="29487"/>
    <cellStyle name="표준 7 11 4 3 3 6" xfId="29488"/>
    <cellStyle name="표준 7 11 4 3 3 2 3" xfId="29489"/>
    <cellStyle name="표준 7 11 4 3 4 6" xfId="29490"/>
    <cellStyle name="표준 7 11 4 3 4 2 3" xfId="29491"/>
    <cellStyle name="표준 7 11 4 3 5 3" xfId="29492"/>
    <cellStyle name="표준 7 11 4 4 2 6" xfId="29493"/>
    <cellStyle name="표준 7 11 4 4 2 2 3" xfId="29494"/>
    <cellStyle name="표준 7 11 4 4 3 6" xfId="29495"/>
    <cellStyle name="표준 7 11 4 4 3 2 3" xfId="29496"/>
    <cellStyle name="표준 7 11 4 4 4 3" xfId="29497"/>
    <cellStyle name="표준 7 11 4 5 6" xfId="29498"/>
    <cellStyle name="표준 7 11 4 5 2 3" xfId="29499"/>
    <cellStyle name="표준 7 11 4 6 6" xfId="29500"/>
    <cellStyle name="표준 7 11 4 6 2 3" xfId="29501"/>
    <cellStyle name="표준 7 11 4 7 3" xfId="29502"/>
    <cellStyle name="표준 7 11 5 2 2 2 6" xfId="29503"/>
    <cellStyle name="표준 7 11 5 2 2 2 2 3" xfId="29504"/>
    <cellStyle name="표준 7 11 5 2 2 3 6" xfId="29505"/>
    <cellStyle name="표준 7 11 5 2 2 3 2 3" xfId="29506"/>
    <cellStyle name="표준 7 11 5 2 2 4 3" xfId="29507"/>
    <cellStyle name="표준 7 11 5 2 3 6" xfId="29508"/>
    <cellStyle name="표준 7 11 5 2 3 2 3" xfId="29509"/>
    <cellStyle name="표준 7 11 5 2 4 6" xfId="29510"/>
    <cellStyle name="표준 7 11 5 2 4 2 3" xfId="29511"/>
    <cellStyle name="표준 7 11 5 2 5 3" xfId="29512"/>
    <cellStyle name="표준 7 11 5 3 2 6" xfId="29513"/>
    <cellStyle name="표준 7 11 5 3 2 2 3" xfId="29514"/>
    <cellStyle name="표준 7 11 5 3 3 6" xfId="29515"/>
    <cellStyle name="표준 7 11 5 3 3 2 3" xfId="29516"/>
    <cellStyle name="표준 7 11 5 3 4 3" xfId="29517"/>
    <cellStyle name="표준 7 11 5 4 6" xfId="29518"/>
    <cellStyle name="표준 7 11 5 4 2 3" xfId="29519"/>
    <cellStyle name="표준 7 11 5 5 6" xfId="29520"/>
    <cellStyle name="표준 7 11 5 5 2 3" xfId="29521"/>
    <cellStyle name="표준 7 11 5 6 3" xfId="29522"/>
    <cellStyle name="표준 7 11 6 2 2 6" xfId="29523"/>
    <cellStyle name="표준 7 11 6 2 2 2 3" xfId="29524"/>
    <cellStyle name="표준 7 11 6 2 3 6" xfId="29525"/>
    <cellStyle name="표준 7 11 6 2 3 2 3" xfId="29526"/>
    <cellStyle name="표준 7 11 6 2 4 3" xfId="29527"/>
    <cellStyle name="표준 7 11 6 3 6" xfId="29528"/>
    <cellStyle name="표준 7 11 6 3 2 3" xfId="29529"/>
    <cellStyle name="표준 7 11 6 4 6" xfId="29530"/>
    <cellStyle name="표준 7 11 6 4 2 3" xfId="29531"/>
    <cellStyle name="표준 7 11 6 5 3" xfId="29532"/>
    <cellStyle name="표준 7 11 7 2 6" xfId="29533"/>
    <cellStyle name="표준 7 11 7 2 2 3" xfId="29534"/>
    <cellStyle name="표준 7 11 7 3 6" xfId="29535"/>
    <cellStyle name="표준 7 11 7 3 2 3" xfId="29536"/>
    <cellStyle name="표준 7 11 7 4 3" xfId="29537"/>
    <cellStyle name="표준 7 11 8 6" xfId="29538"/>
    <cellStyle name="표준 7 11 8 2 3" xfId="29539"/>
    <cellStyle name="표준 7 11 9 6" xfId="29540"/>
    <cellStyle name="표준 7 11 9 2 3" xfId="29541"/>
    <cellStyle name="표준 7 12 10 3" xfId="29542"/>
    <cellStyle name="표준 7 12 2 2 2 2 2 6" xfId="29543"/>
    <cellStyle name="표준 7 12 2 2 2 2 2 2 3" xfId="29544"/>
    <cellStyle name="표준 7 12 2 2 2 2 3 6" xfId="29545"/>
    <cellStyle name="표준 7 12 2 2 2 2 3 2 3" xfId="29546"/>
    <cellStyle name="표준 7 12 2 2 2 2 4 3" xfId="29547"/>
    <cellStyle name="표준 7 12 2 2 2 3 6" xfId="29548"/>
    <cellStyle name="표준 7 12 2 2 2 3 2 3" xfId="29549"/>
    <cellStyle name="표준 7 12 2 2 2 4 6" xfId="29550"/>
    <cellStyle name="표준 7 12 2 2 2 4 2 3" xfId="29551"/>
    <cellStyle name="표준 7 12 2 2 2 5 3" xfId="29552"/>
    <cellStyle name="표준 7 12 2 2 3 2 6" xfId="29553"/>
    <cellStyle name="표준 7 12 2 2 3 2 2 3" xfId="29554"/>
    <cellStyle name="표준 7 12 2 2 3 3 6" xfId="29555"/>
    <cellStyle name="표준 7 12 2 2 3 3 2 3" xfId="29556"/>
    <cellStyle name="표준 7 12 2 2 3 4 3" xfId="29557"/>
    <cellStyle name="표준 7 12 2 2 4 6" xfId="29558"/>
    <cellStyle name="표준 7 12 2 2 4 2 3" xfId="29559"/>
    <cellStyle name="표준 7 12 2 2 5 6" xfId="29560"/>
    <cellStyle name="표준 7 12 2 2 5 2 3" xfId="29561"/>
    <cellStyle name="표준 7 12 2 2 6 3" xfId="29562"/>
    <cellStyle name="표준 7 12 2 3 2 2 6" xfId="29563"/>
    <cellStyle name="표준 7 12 2 3 2 2 2 3" xfId="29564"/>
    <cellStyle name="표준 7 12 2 3 2 3 6" xfId="29565"/>
    <cellStyle name="표준 7 12 2 3 2 3 2 3" xfId="29566"/>
    <cellStyle name="표준 7 12 2 3 2 4 3" xfId="29567"/>
    <cellStyle name="표준 7 12 2 3 3 6" xfId="29568"/>
    <cellStyle name="표준 7 12 2 3 3 2 3" xfId="29569"/>
    <cellStyle name="표준 7 12 2 3 4 6" xfId="29570"/>
    <cellStyle name="표준 7 12 2 3 4 2 3" xfId="29571"/>
    <cellStyle name="표준 7 12 2 3 5 3" xfId="29572"/>
    <cellStyle name="표준 7 12 2 4 2 6" xfId="29573"/>
    <cellStyle name="표준 7 12 2 4 2 2 3" xfId="29574"/>
    <cellStyle name="표준 7 12 2 4 3 6" xfId="29575"/>
    <cellStyle name="표준 7 12 2 4 3 2 3" xfId="29576"/>
    <cellStyle name="표준 7 12 2 4 4 3" xfId="29577"/>
    <cellStyle name="표준 7 12 2 5 6" xfId="29578"/>
    <cellStyle name="표준 7 12 2 5 2 3" xfId="29579"/>
    <cellStyle name="표준 7 12 2 6 6" xfId="29580"/>
    <cellStyle name="표준 7 12 2 6 2 3" xfId="29581"/>
    <cellStyle name="표준 7 12 2 7 3" xfId="29582"/>
    <cellStyle name="표준 7 12 3 2 2 2 2 6" xfId="29583"/>
    <cellStyle name="표준 7 12 3 2 2 2 2 2 3" xfId="29584"/>
    <cellStyle name="표준 7 12 3 2 2 2 3 6" xfId="29585"/>
    <cellStyle name="표준 7 12 3 2 2 2 3 2 3" xfId="29586"/>
    <cellStyle name="표준 7 12 3 2 2 2 4 3" xfId="29587"/>
    <cellStyle name="표준 7 12 3 2 2 3 6" xfId="29588"/>
    <cellStyle name="표준 7 12 3 2 2 3 2 3" xfId="29589"/>
    <cellStyle name="표준 7 12 3 2 2 4 6" xfId="29590"/>
    <cellStyle name="표준 7 12 3 2 2 4 2 3" xfId="29591"/>
    <cellStyle name="표준 7 12 3 2 2 5 3" xfId="29592"/>
    <cellStyle name="표준 7 12 3 2 3 2 6" xfId="29593"/>
    <cellStyle name="표준 7 12 3 2 3 2 2 3" xfId="29594"/>
    <cellStyle name="표준 7 12 3 2 3 3 6" xfId="29595"/>
    <cellStyle name="표준 7 12 3 2 3 3 2 3" xfId="29596"/>
    <cellStyle name="표준 7 12 3 2 3 4 3" xfId="29597"/>
    <cellStyle name="표준 7 12 3 2 4 6" xfId="29598"/>
    <cellStyle name="표준 7 12 3 2 4 2 3" xfId="29599"/>
    <cellStyle name="표준 7 12 3 2 5 6" xfId="29600"/>
    <cellStyle name="표준 7 12 3 2 5 2 3" xfId="29601"/>
    <cellStyle name="표준 7 12 3 2 6 3" xfId="29602"/>
    <cellStyle name="표준 7 12 3 3 2 2 6" xfId="29603"/>
    <cellStyle name="표준 7 12 3 3 2 2 2 3" xfId="29604"/>
    <cellStyle name="표준 7 12 3 3 2 3 6" xfId="29605"/>
    <cellStyle name="표준 7 12 3 3 2 3 2 3" xfId="29606"/>
    <cellStyle name="표준 7 12 3 3 2 4 3" xfId="29607"/>
    <cellStyle name="표준 7 12 3 3 3 6" xfId="29608"/>
    <cellStyle name="표준 7 12 3 3 3 2 3" xfId="29609"/>
    <cellStyle name="표준 7 12 3 3 4 6" xfId="29610"/>
    <cellStyle name="표준 7 12 3 3 4 2 3" xfId="29611"/>
    <cellStyle name="표준 7 12 3 3 5 3" xfId="29612"/>
    <cellStyle name="표준 7 12 3 4 2 6" xfId="29613"/>
    <cellStyle name="표준 7 12 3 4 2 2 3" xfId="29614"/>
    <cellStyle name="표준 7 12 3 4 3 6" xfId="29615"/>
    <cellStyle name="표준 7 12 3 4 3 2 3" xfId="29616"/>
    <cellStyle name="표준 7 12 3 4 4 3" xfId="29617"/>
    <cellStyle name="표준 7 12 3 5 6" xfId="29618"/>
    <cellStyle name="표준 7 12 3 5 2 3" xfId="29619"/>
    <cellStyle name="표준 7 12 3 6 6" xfId="29620"/>
    <cellStyle name="표준 7 12 3 6 2 3" xfId="29621"/>
    <cellStyle name="표준 7 12 3 7 3" xfId="29622"/>
    <cellStyle name="표준 7 12 4 2 2 2 2 6" xfId="29623"/>
    <cellStyle name="표준 7 12 4 2 2 2 2 2 3" xfId="29624"/>
    <cellStyle name="표준 7 12 4 2 2 2 3 6" xfId="29625"/>
    <cellStyle name="표준 7 12 4 2 2 2 3 2 3" xfId="29626"/>
    <cellStyle name="표준 7 12 4 2 2 2 4 3" xfId="29627"/>
    <cellStyle name="표준 7 12 4 2 2 3 6" xfId="29628"/>
    <cellStyle name="표준 7 12 4 2 2 3 2 3" xfId="29629"/>
    <cellStyle name="표준 7 12 4 2 2 4 6" xfId="29630"/>
    <cellStyle name="표준 7 12 4 2 2 4 2 3" xfId="29631"/>
    <cellStyle name="표준 7 12 4 2 2 5 3" xfId="29632"/>
    <cellStyle name="표준 7 12 4 2 3 2 6" xfId="29633"/>
    <cellStyle name="표준 7 12 4 2 3 2 2 3" xfId="29634"/>
    <cellStyle name="표준 7 12 4 2 3 3 6" xfId="29635"/>
    <cellStyle name="표준 7 12 4 2 3 3 2 3" xfId="29636"/>
    <cellStyle name="표준 7 12 4 2 3 4 3" xfId="29637"/>
    <cellStyle name="표준 7 12 4 2 4 6" xfId="29638"/>
    <cellStyle name="표준 7 12 4 2 4 2 3" xfId="29639"/>
    <cellStyle name="표준 7 12 4 2 5 6" xfId="29640"/>
    <cellStyle name="표준 7 12 4 2 5 2 3" xfId="29641"/>
    <cellStyle name="표준 7 12 4 2 6 3" xfId="29642"/>
    <cellStyle name="표준 7 12 4 3 2 2 6" xfId="29643"/>
    <cellStyle name="표준 7 12 4 3 2 2 2 3" xfId="29644"/>
    <cellStyle name="표준 7 12 4 3 2 3 6" xfId="29645"/>
    <cellStyle name="표준 7 12 4 3 2 3 2 3" xfId="29646"/>
    <cellStyle name="표준 7 12 4 3 2 4 3" xfId="29647"/>
    <cellStyle name="표준 7 12 4 3 3 6" xfId="29648"/>
    <cellStyle name="표준 7 12 4 3 3 2 3" xfId="29649"/>
    <cellStyle name="표준 7 12 4 3 4 6" xfId="29650"/>
    <cellStyle name="표준 7 12 4 3 4 2 3" xfId="29651"/>
    <cellStyle name="표준 7 12 4 3 5 3" xfId="29652"/>
    <cellStyle name="표준 7 12 4 4 2 6" xfId="29653"/>
    <cellStyle name="표준 7 12 4 4 2 2 3" xfId="29654"/>
    <cellStyle name="표준 7 12 4 4 3 6" xfId="29655"/>
    <cellStyle name="표준 7 12 4 4 3 2 3" xfId="29656"/>
    <cellStyle name="표준 7 12 4 4 4 3" xfId="29657"/>
    <cellStyle name="표준 7 12 4 5 6" xfId="29658"/>
    <cellStyle name="표준 7 12 4 5 2 3" xfId="29659"/>
    <cellStyle name="표준 7 12 4 6 6" xfId="29660"/>
    <cellStyle name="표준 7 12 4 6 2 3" xfId="29661"/>
    <cellStyle name="표준 7 12 4 7 3" xfId="29662"/>
    <cellStyle name="표준 7 12 5 2 2 2 6" xfId="29663"/>
    <cellStyle name="표준 7 12 5 2 2 2 2 3" xfId="29664"/>
    <cellStyle name="표준 7 12 5 2 2 3 6" xfId="29665"/>
    <cellStyle name="표준 7 12 5 2 2 3 2 3" xfId="29666"/>
    <cellStyle name="표준 7 12 5 2 2 4 3" xfId="29667"/>
    <cellStyle name="표준 7 12 5 2 3 6" xfId="29668"/>
    <cellStyle name="표준 7 12 5 2 3 2 3" xfId="29669"/>
    <cellStyle name="표준 7 12 5 2 4 6" xfId="29670"/>
    <cellStyle name="표준 7 12 5 2 4 2 3" xfId="29671"/>
    <cellStyle name="표준 7 12 5 2 5 3" xfId="29672"/>
    <cellStyle name="표준 7 12 5 3 2 6" xfId="29673"/>
    <cellStyle name="표준 7 12 5 3 2 2 3" xfId="29674"/>
    <cellStyle name="표준 7 12 5 3 3 6" xfId="29675"/>
    <cellStyle name="표준 7 12 5 3 3 2 3" xfId="29676"/>
    <cellStyle name="표준 7 12 5 3 4 3" xfId="29677"/>
    <cellStyle name="표준 7 12 5 4 6" xfId="29678"/>
    <cellStyle name="표준 7 12 5 4 2 3" xfId="29679"/>
    <cellStyle name="표준 7 12 5 5 6" xfId="29680"/>
    <cellStyle name="표준 7 12 5 5 2 3" xfId="29681"/>
    <cellStyle name="표준 7 12 5 6 3" xfId="29682"/>
    <cellStyle name="표준 7 12 6 2 2 6" xfId="29683"/>
    <cellStyle name="표준 7 12 6 2 2 2 3" xfId="29684"/>
    <cellStyle name="표준 7 12 6 2 3 6" xfId="29685"/>
    <cellStyle name="표준 7 12 6 2 3 2 3" xfId="29686"/>
    <cellStyle name="표준 7 12 6 2 4 3" xfId="29687"/>
    <cellStyle name="표준 7 12 6 3 6" xfId="29688"/>
    <cellStyle name="표준 7 12 6 3 2 3" xfId="29689"/>
    <cellStyle name="표준 7 12 6 4 6" xfId="29690"/>
    <cellStyle name="표준 7 12 6 4 2 3" xfId="29691"/>
    <cellStyle name="표준 7 12 6 5 3" xfId="29692"/>
    <cellStyle name="표준 7 12 7 2 6" xfId="29693"/>
    <cellStyle name="표준 7 12 7 2 2 3" xfId="29694"/>
    <cellStyle name="표준 7 12 7 3 6" xfId="29695"/>
    <cellStyle name="표준 7 12 7 3 2 3" xfId="29696"/>
    <cellStyle name="표준 7 12 7 4 3" xfId="29697"/>
    <cellStyle name="표준 7 12 8 6" xfId="29698"/>
    <cellStyle name="표준 7 12 8 2 3" xfId="29699"/>
    <cellStyle name="표준 7 12 9 6" xfId="29700"/>
    <cellStyle name="표준 7 12 9 2 3" xfId="29701"/>
    <cellStyle name="표준 7 13 10 3" xfId="29702"/>
    <cellStyle name="표준 7 13 2 2 2 2 2 6" xfId="29703"/>
    <cellStyle name="표준 7 13 2 2 2 2 2 2 3" xfId="29704"/>
    <cellStyle name="표준 7 13 2 2 2 2 3 6" xfId="29705"/>
    <cellStyle name="표준 7 13 2 2 2 2 3 2 3" xfId="29706"/>
    <cellStyle name="표준 7 13 2 2 2 2 4 3" xfId="29707"/>
    <cellStyle name="표준 7 13 2 2 2 3 6" xfId="29708"/>
    <cellStyle name="표준 7 13 2 2 2 3 2 3" xfId="29709"/>
    <cellStyle name="표준 7 13 2 2 2 4 6" xfId="29710"/>
    <cellStyle name="표준 7 13 2 2 2 4 2 3" xfId="29711"/>
    <cellStyle name="표준 7 13 2 2 2 5 3" xfId="29712"/>
    <cellStyle name="표준 7 13 2 2 3 2 6" xfId="29713"/>
    <cellStyle name="표준 7 13 2 2 3 2 2 3" xfId="29714"/>
    <cellStyle name="표준 7 13 2 2 3 3 6" xfId="29715"/>
    <cellStyle name="표준 7 13 2 2 3 3 2 3" xfId="29716"/>
    <cellStyle name="표준 7 13 2 2 3 4 3" xfId="29717"/>
    <cellStyle name="표준 7 13 2 2 4 6" xfId="29718"/>
    <cellStyle name="표준 7 13 2 2 4 2 3" xfId="29719"/>
    <cellStyle name="표준 7 13 2 2 5 6" xfId="29720"/>
    <cellStyle name="표준 7 13 2 2 5 2 3" xfId="29721"/>
    <cellStyle name="표준 7 13 2 2 6 3" xfId="29722"/>
    <cellStyle name="표준 7 13 2 3 2 2 6" xfId="29723"/>
    <cellStyle name="표준 7 13 2 3 2 2 2 3" xfId="29724"/>
    <cellStyle name="표준 7 13 2 3 2 3 6" xfId="29725"/>
    <cellStyle name="표준 7 13 2 3 2 3 2 3" xfId="29726"/>
    <cellStyle name="표준 7 13 2 3 2 4 3" xfId="29727"/>
    <cellStyle name="표준 7 13 2 3 3 6" xfId="29728"/>
    <cellStyle name="표준 7 13 2 3 3 2 3" xfId="29729"/>
    <cellStyle name="표준 7 13 2 3 4 6" xfId="29730"/>
    <cellStyle name="표준 7 13 2 3 4 2 3" xfId="29731"/>
    <cellStyle name="표준 7 13 2 3 5 3" xfId="29732"/>
    <cellStyle name="표준 7 13 2 4 2 6" xfId="29733"/>
    <cellStyle name="표준 7 13 2 4 2 2 3" xfId="29734"/>
    <cellStyle name="표준 7 13 2 4 3 6" xfId="29735"/>
    <cellStyle name="표준 7 13 2 4 3 2 3" xfId="29736"/>
    <cellStyle name="표준 7 13 2 4 4 3" xfId="29737"/>
    <cellStyle name="표준 7 13 2 5 6" xfId="29738"/>
    <cellStyle name="표준 7 13 2 5 2 3" xfId="29739"/>
    <cellStyle name="표준 7 13 2 6 6" xfId="29740"/>
    <cellStyle name="표준 7 13 2 6 2 3" xfId="29741"/>
    <cellStyle name="표준 7 13 2 7 3" xfId="29742"/>
    <cellStyle name="표준 7 13 3 2 2 2 2 6" xfId="29743"/>
    <cellStyle name="표준 7 13 3 2 2 2 2 2 3" xfId="29744"/>
    <cellStyle name="표준 7 13 3 2 2 2 3 6" xfId="29745"/>
    <cellStyle name="표준 7 13 3 2 2 2 3 2 3" xfId="29746"/>
    <cellStyle name="표준 7 13 3 2 2 2 4 3" xfId="29747"/>
    <cellStyle name="표준 7 13 3 2 2 3 6" xfId="29748"/>
    <cellStyle name="표준 7 13 3 2 2 3 2 3" xfId="29749"/>
    <cellStyle name="표준 7 13 3 2 2 4 6" xfId="29750"/>
    <cellStyle name="표준 7 13 3 2 2 4 2 3" xfId="29751"/>
    <cellStyle name="표준 7 13 3 2 2 5 3" xfId="29752"/>
    <cellStyle name="표준 7 13 3 2 3 2 6" xfId="29753"/>
    <cellStyle name="표준 7 13 3 2 3 2 2 3" xfId="29754"/>
    <cellStyle name="표준 7 13 3 2 3 3 6" xfId="29755"/>
    <cellStyle name="표준 7 13 3 2 3 3 2 3" xfId="29756"/>
    <cellStyle name="표준 7 13 3 2 3 4 3" xfId="29757"/>
    <cellStyle name="표준 7 13 3 2 4 6" xfId="29758"/>
    <cellStyle name="표준 7 13 3 2 4 2 3" xfId="29759"/>
    <cellStyle name="표준 7 13 3 2 5 6" xfId="29760"/>
    <cellStyle name="표준 7 13 3 2 5 2 3" xfId="29761"/>
    <cellStyle name="표준 7 13 3 2 6 3" xfId="29762"/>
    <cellStyle name="표준 7 13 3 3 2 2 6" xfId="29763"/>
    <cellStyle name="표준 7 13 3 3 2 2 2 3" xfId="29764"/>
    <cellStyle name="표준 7 13 3 3 2 3 6" xfId="29765"/>
    <cellStyle name="표준 7 13 3 3 2 3 2 3" xfId="29766"/>
    <cellStyle name="표준 7 13 3 3 2 4 3" xfId="29767"/>
    <cellStyle name="표준 7 13 3 3 3 6" xfId="29768"/>
    <cellStyle name="표준 7 13 3 3 3 2 3" xfId="29769"/>
    <cellStyle name="표준 7 13 3 3 4 6" xfId="29770"/>
    <cellStyle name="표준 7 13 3 3 4 2 3" xfId="29771"/>
    <cellStyle name="표준 7 13 3 3 5 3" xfId="29772"/>
    <cellStyle name="표준 7 13 3 4 2 6" xfId="29773"/>
    <cellStyle name="표준 7 13 3 4 2 2 3" xfId="29774"/>
    <cellStyle name="표준 7 13 3 4 3 6" xfId="29775"/>
    <cellStyle name="표준 7 13 3 4 3 2 3" xfId="29776"/>
    <cellStyle name="표준 7 13 3 4 4 3" xfId="29777"/>
    <cellStyle name="표준 7 13 3 5 6" xfId="29778"/>
    <cellStyle name="표준 7 13 3 5 2 3" xfId="29779"/>
    <cellStyle name="표준 7 13 3 6 6" xfId="29780"/>
    <cellStyle name="표준 7 13 3 6 2 3" xfId="29781"/>
    <cellStyle name="표준 7 13 3 7 3" xfId="29782"/>
    <cellStyle name="표준 7 13 4 2 2 2 2 6" xfId="29783"/>
    <cellStyle name="표준 7 13 4 2 2 2 2 2 3" xfId="29784"/>
    <cellStyle name="표준 7 13 4 2 2 2 3 6" xfId="29785"/>
    <cellStyle name="표준 7 13 4 2 2 2 3 2 3" xfId="29786"/>
    <cellStyle name="표준 7 13 4 2 2 2 4 3" xfId="29787"/>
    <cellStyle name="표준 7 13 4 2 2 3 6" xfId="29788"/>
    <cellStyle name="표준 7 13 4 2 2 3 2 3" xfId="29789"/>
    <cellStyle name="표준 7 13 4 2 2 4 6" xfId="29790"/>
    <cellStyle name="표준 7 13 4 2 2 4 2 3" xfId="29791"/>
    <cellStyle name="표준 7 13 4 2 2 5 3" xfId="29792"/>
    <cellStyle name="표준 7 13 4 2 3 2 6" xfId="29793"/>
    <cellStyle name="표준 7 13 4 2 3 2 2 3" xfId="29794"/>
    <cellStyle name="표준 7 13 4 2 3 3 6" xfId="29795"/>
    <cellStyle name="표준 7 13 4 2 3 3 2 3" xfId="29796"/>
    <cellStyle name="표준 7 13 4 2 3 4 3" xfId="29797"/>
    <cellStyle name="표준 7 13 4 2 4 6" xfId="29798"/>
    <cellStyle name="표준 7 13 4 2 4 2 3" xfId="29799"/>
    <cellStyle name="표준 7 13 4 2 5 6" xfId="29800"/>
    <cellStyle name="표준 7 13 4 2 5 2 3" xfId="29801"/>
    <cellStyle name="표준 7 13 4 2 6 3" xfId="29802"/>
    <cellStyle name="표준 7 13 4 3 2 2 6" xfId="29803"/>
    <cellStyle name="표준 7 13 4 3 2 2 2 3" xfId="29804"/>
    <cellStyle name="표준 7 13 4 3 2 3 6" xfId="29805"/>
    <cellStyle name="표준 7 13 4 3 2 3 2 3" xfId="29806"/>
    <cellStyle name="표준 7 13 4 3 2 4 3" xfId="29807"/>
    <cellStyle name="표준 7 13 4 3 3 6" xfId="29808"/>
    <cellStyle name="표준 7 13 4 3 3 2 3" xfId="29809"/>
    <cellStyle name="표준 7 13 4 3 4 6" xfId="29810"/>
    <cellStyle name="표준 7 13 4 3 4 2 3" xfId="29811"/>
    <cellStyle name="표준 7 13 4 3 5 3" xfId="29812"/>
    <cellStyle name="표준 7 13 4 4 2 6" xfId="29813"/>
    <cellStyle name="표준 7 13 4 4 2 2 3" xfId="29814"/>
    <cellStyle name="표준 7 13 4 4 3 6" xfId="29815"/>
    <cellStyle name="표준 7 13 4 4 3 2 3" xfId="29816"/>
    <cellStyle name="표준 7 13 4 4 4 3" xfId="29817"/>
    <cellStyle name="표준 7 13 4 5 6" xfId="29818"/>
    <cellStyle name="표준 7 13 4 5 2 3" xfId="29819"/>
    <cellStyle name="표준 7 13 4 6 6" xfId="29820"/>
    <cellStyle name="표준 7 13 4 6 2 3" xfId="29821"/>
    <cellStyle name="표준 7 13 4 7 3" xfId="29822"/>
    <cellStyle name="표준 7 13 5 2 2 2 6" xfId="29823"/>
    <cellStyle name="표준 7 13 5 2 2 2 2 3" xfId="29824"/>
    <cellStyle name="표준 7 13 5 2 2 3 6" xfId="29825"/>
    <cellStyle name="표준 7 13 5 2 2 3 2 3" xfId="29826"/>
    <cellStyle name="표준 7 13 5 2 2 4 3" xfId="29827"/>
    <cellStyle name="표준 7 13 5 2 3 6" xfId="29828"/>
    <cellStyle name="표준 7 13 5 2 3 2 3" xfId="29829"/>
    <cellStyle name="표준 7 13 5 2 4 6" xfId="29830"/>
    <cellStyle name="표준 7 13 5 2 4 2 3" xfId="29831"/>
    <cellStyle name="표준 7 13 5 2 5 3" xfId="29832"/>
    <cellStyle name="표준 7 13 5 3 2 6" xfId="29833"/>
    <cellStyle name="표준 7 13 5 3 2 2 3" xfId="29834"/>
    <cellStyle name="표준 7 13 5 3 3 6" xfId="29835"/>
    <cellStyle name="표준 7 13 5 3 3 2 3" xfId="29836"/>
    <cellStyle name="표준 7 13 5 3 4 3" xfId="29837"/>
    <cellStyle name="표준 7 13 5 4 6" xfId="29838"/>
    <cellStyle name="표준 7 13 5 4 2 3" xfId="29839"/>
    <cellStyle name="표준 7 13 5 5 6" xfId="29840"/>
    <cellStyle name="표준 7 13 5 5 2 3" xfId="29841"/>
    <cellStyle name="표준 7 13 5 6 3" xfId="29842"/>
    <cellStyle name="표준 7 13 6 2 2 6" xfId="29843"/>
    <cellStyle name="표준 7 13 6 2 2 2 3" xfId="29844"/>
    <cellStyle name="표준 7 13 6 2 3 6" xfId="29845"/>
    <cellStyle name="표준 7 13 6 2 3 2 3" xfId="29846"/>
    <cellStyle name="표준 7 13 6 2 4 3" xfId="29847"/>
    <cellStyle name="표준 7 13 6 3 6" xfId="29848"/>
    <cellStyle name="표준 7 13 6 3 2 3" xfId="29849"/>
    <cellStyle name="표준 7 13 6 4 6" xfId="29850"/>
    <cellStyle name="표준 7 13 6 4 2 3" xfId="29851"/>
    <cellStyle name="표준 7 13 6 5 3" xfId="29852"/>
    <cellStyle name="표준 7 13 7 2 6" xfId="29853"/>
    <cellStyle name="표준 7 13 7 2 2 3" xfId="29854"/>
    <cellStyle name="표준 7 13 7 3 6" xfId="29855"/>
    <cellStyle name="표준 7 13 7 3 2 3" xfId="29856"/>
    <cellStyle name="표준 7 13 7 4 3" xfId="29857"/>
    <cellStyle name="표준 7 13 8 6" xfId="29858"/>
    <cellStyle name="표준 7 13 8 2 3" xfId="29859"/>
    <cellStyle name="표준 7 13 9 6" xfId="29860"/>
    <cellStyle name="표준 7 13 9 2 3" xfId="29861"/>
    <cellStyle name="표준 7 14 10 3" xfId="29862"/>
    <cellStyle name="표준 7 14 2 2 2 2 2 6" xfId="29863"/>
    <cellStyle name="표준 7 14 2 2 2 2 2 2 3" xfId="29864"/>
    <cellStyle name="표준 7 14 2 2 2 2 3 6" xfId="29865"/>
    <cellStyle name="표준 7 14 2 2 2 2 3 2 3" xfId="29866"/>
    <cellStyle name="표준 7 14 2 2 2 2 4 3" xfId="29867"/>
    <cellStyle name="표준 7 14 2 2 2 3 6" xfId="29868"/>
    <cellStyle name="표준 7 14 2 2 2 3 2 3" xfId="29869"/>
    <cellStyle name="표준 7 14 2 2 2 4 6" xfId="29870"/>
    <cellStyle name="표준 7 14 2 2 2 4 2 3" xfId="29871"/>
    <cellStyle name="표준 7 14 2 2 2 5 3" xfId="29872"/>
    <cellStyle name="표준 7 14 2 2 3 2 6" xfId="29873"/>
    <cellStyle name="표준 7 14 2 2 3 2 2 3" xfId="29874"/>
    <cellStyle name="표준 7 14 2 2 3 3 6" xfId="29875"/>
    <cellStyle name="표준 7 14 2 2 3 3 2 3" xfId="29876"/>
    <cellStyle name="표준 7 14 2 2 3 4 3" xfId="29877"/>
    <cellStyle name="표준 7 14 2 2 4 6" xfId="29878"/>
    <cellStyle name="표준 7 14 2 2 4 2 3" xfId="29879"/>
    <cellStyle name="표준 7 14 2 2 5 6" xfId="29880"/>
    <cellStyle name="표준 7 14 2 2 5 2 3" xfId="29881"/>
    <cellStyle name="표준 7 14 2 2 6 3" xfId="29882"/>
    <cellStyle name="표준 7 14 2 3 2 2 6" xfId="29883"/>
    <cellStyle name="표준 7 14 2 3 2 2 2 3" xfId="29884"/>
    <cellStyle name="표준 7 14 2 3 2 3 6" xfId="29885"/>
    <cellStyle name="표준 7 14 2 3 2 3 2 3" xfId="29886"/>
    <cellStyle name="표준 7 14 2 3 2 4 3" xfId="29887"/>
    <cellStyle name="표준 7 14 2 3 3 6" xfId="29888"/>
    <cellStyle name="표준 7 14 2 3 3 2 3" xfId="29889"/>
    <cellStyle name="표준 7 14 2 3 4 6" xfId="29890"/>
    <cellStyle name="표준 7 14 2 3 4 2 3" xfId="29891"/>
    <cellStyle name="표준 7 14 2 3 5 3" xfId="29892"/>
    <cellStyle name="표준 7 14 2 4 2 6" xfId="29893"/>
    <cellStyle name="표준 7 14 2 4 2 2 3" xfId="29894"/>
    <cellStyle name="표준 7 14 2 4 3 6" xfId="29895"/>
    <cellStyle name="표준 7 14 2 4 3 2 3" xfId="29896"/>
    <cellStyle name="표준 7 14 2 4 4 3" xfId="29897"/>
    <cellStyle name="표준 7 14 2 5 6" xfId="29898"/>
    <cellStyle name="표준 7 14 2 5 2 3" xfId="29899"/>
    <cellStyle name="표준 7 14 2 6 6" xfId="29900"/>
    <cellStyle name="표준 7 14 2 6 2 3" xfId="29901"/>
    <cellStyle name="표준 7 14 2 7 3" xfId="29902"/>
    <cellStyle name="표준 7 14 3 2 2 2 2 6" xfId="29903"/>
    <cellStyle name="표준 7 14 3 2 2 2 2 2 3" xfId="29904"/>
    <cellStyle name="표준 7 14 3 2 2 2 3 6" xfId="29905"/>
    <cellStyle name="표준 7 14 3 2 2 2 3 2 3" xfId="29906"/>
    <cellStyle name="표준 7 14 3 2 2 2 4 3" xfId="29907"/>
    <cellStyle name="표준 7 14 3 2 2 3 6" xfId="29908"/>
    <cellStyle name="표준 7 14 3 2 2 3 2 3" xfId="29909"/>
    <cellStyle name="표준 7 14 3 2 2 4 6" xfId="29910"/>
    <cellStyle name="표준 7 14 3 2 2 4 2 3" xfId="29911"/>
    <cellStyle name="표준 7 14 3 2 2 5 3" xfId="29912"/>
    <cellStyle name="표준 7 14 3 2 3 2 6" xfId="29913"/>
    <cellStyle name="표준 7 14 3 2 3 2 2 3" xfId="29914"/>
    <cellStyle name="표준 7 14 3 2 3 3 6" xfId="29915"/>
    <cellStyle name="표준 7 14 3 2 3 3 2 3" xfId="29916"/>
    <cellStyle name="표준 7 14 3 2 3 4 3" xfId="29917"/>
    <cellStyle name="표준 7 14 3 2 4 6" xfId="29918"/>
    <cellStyle name="표준 7 14 3 2 4 2 3" xfId="29919"/>
    <cellStyle name="표준 7 14 3 2 5 6" xfId="29920"/>
    <cellStyle name="표준 7 14 3 2 5 2 3" xfId="29921"/>
    <cellStyle name="표준 7 14 3 2 6 3" xfId="29922"/>
    <cellStyle name="표준 7 14 3 3 2 2 6" xfId="29923"/>
    <cellStyle name="표준 7 14 3 3 2 2 2 3" xfId="29924"/>
    <cellStyle name="표준 7 14 3 3 2 3 6" xfId="29925"/>
    <cellStyle name="표준 7 14 3 3 2 3 2 3" xfId="29926"/>
    <cellStyle name="표준 7 14 3 3 2 4 3" xfId="29927"/>
    <cellStyle name="표준 7 14 3 3 3 6" xfId="29928"/>
    <cellStyle name="표준 7 14 3 3 3 2 3" xfId="29929"/>
    <cellStyle name="표준 7 14 3 3 4 6" xfId="29930"/>
    <cellStyle name="표준 7 14 3 3 4 2 3" xfId="29931"/>
    <cellStyle name="표준 7 14 3 3 5 3" xfId="29932"/>
    <cellStyle name="표준 7 14 3 4 2 6" xfId="29933"/>
    <cellStyle name="표준 7 14 3 4 2 2 3" xfId="29934"/>
    <cellStyle name="표준 7 14 3 4 3 6" xfId="29935"/>
    <cellStyle name="표준 7 14 3 4 3 2 3" xfId="29936"/>
    <cellStyle name="표준 7 14 3 4 4 3" xfId="29937"/>
    <cellStyle name="표준 7 14 3 5 6" xfId="29938"/>
    <cellStyle name="표준 7 14 3 5 2 3" xfId="29939"/>
    <cellStyle name="표준 7 14 3 6 6" xfId="29940"/>
    <cellStyle name="표준 7 14 3 6 2 3" xfId="29941"/>
    <cellStyle name="표준 7 14 3 7 3" xfId="29942"/>
    <cellStyle name="표준 7 14 4 2 2 2 2 6" xfId="29943"/>
    <cellStyle name="표준 7 14 4 2 2 2 2 2 3" xfId="29944"/>
    <cellStyle name="표준 7 14 4 2 2 2 3 6" xfId="29945"/>
    <cellStyle name="표준 7 14 4 2 2 2 3 2 3" xfId="29946"/>
    <cellStyle name="표준 7 14 4 2 2 2 4 3" xfId="29947"/>
    <cellStyle name="표준 7 14 4 2 2 3 6" xfId="29948"/>
    <cellStyle name="표준 7 14 4 2 2 3 2 3" xfId="29949"/>
    <cellStyle name="표준 7 14 4 2 2 4 6" xfId="29950"/>
    <cellStyle name="표준 7 14 4 2 2 4 2 3" xfId="29951"/>
    <cellStyle name="표준 7 14 4 2 2 5 3" xfId="29952"/>
    <cellStyle name="표준 7 14 4 2 3 2 6" xfId="29953"/>
    <cellStyle name="표준 7 14 4 2 3 2 2 3" xfId="29954"/>
    <cellStyle name="표준 7 14 4 2 3 3 6" xfId="29955"/>
    <cellStyle name="표준 7 14 4 2 3 3 2 3" xfId="29956"/>
    <cellStyle name="표준 7 14 4 2 3 4 3" xfId="29957"/>
    <cellStyle name="표준 7 14 4 2 4 6" xfId="29958"/>
    <cellStyle name="표준 7 14 4 2 4 2 3" xfId="29959"/>
    <cellStyle name="표준 7 14 4 2 5 6" xfId="29960"/>
    <cellStyle name="표준 7 14 4 2 5 2 3" xfId="29961"/>
    <cellStyle name="표준 7 14 4 2 6 3" xfId="29962"/>
    <cellStyle name="표준 7 14 4 3 2 2 6" xfId="29963"/>
    <cellStyle name="표준 7 14 4 3 2 2 2 3" xfId="29964"/>
    <cellStyle name="표준 7 14 4 3 2 3 6" xfId="29965"/>
    <cellStyle name="표준 7 14 4 3 2 3 2 3" xfId="29966"/>
    <cellStyle name="표준 7 14 4 3 2 4 3" xfId="29967"/>
    <cellStyle name="표준 7 14 4 3 3 6" xfId="29968"/>
    <cellStyle name="표준 7 14 4 3 3 2 3" xfId="29969"/>
    <cellStyle name="표준 7 14 4 3 4 6" xfId="29970"/>
    <cellStyle name="표준 7 14 4 3 4 2 3" xfId="29971"/>
    <cellStyle name="표준 7 14 4 3 5 3" xfId="29972"/>
    <cellStyle name="표준 7 14 4 4 2 6" xfId="29973"/>
    <cellStyle name="표준 7 14 4 4 2 2 3" xfId="29974"/>
    <cellStyle name="표준 7 14 4 4 3 6" xfId="29975"/>
    <cellStyle name="표준 7 14 4 4 3 2 3" xfId="29976"/>
    <cellStyle name="표준 7 14 4 4 4 3" xfId="29977"/>
    <cellStyle name="표준 7 14 4 5 6" xfId="29978"/>
    <cellStyle name="표준 7 14 4 5 2 3" xfId="29979"/>
    <cellStyle name="표준 7 14 4 6 6" xfId="29980"/>
    <cellStyle name="표준 7 14 4 6 2 3" xfId="29981"/>
    <cellStyle name="표준 7 14 4 7 3" xfId="29982"/>
    <cellStyle name="표준 7 14 5 2 2 2 6" xfId="29983"/>
    <cellStyle name="표준 7 14 5 2 2 2 2 3" xfId="29984"/>
    <cellStyle name="표준 7 14 5 2 2 3 6" xfId="29985"/>
    <cellStyle name="표준 7 14 5 2 2 3 2 3" xfId="29986"/>
    <cellStyle name="표준 7 14 5 2 2 4 3" xfId="29987"/>
    <cellStyle name="표준 7 14 5 2 3 6" xfId="29988"/>
    <cellStyle name="표준 7 14 5 2 3 2 3" xfId="29989"/>
    <cellStyle name="표준 7 14 5 2 4 6" xfId="29990"/>
    <cellStyle name="표준 7 14 5 2 4 2 3" xfId="29991"/>
    <cellStyle name="표준 7 14 5 2 5 3" xfId="29992"/>
    <cellStyle name="표준 7 14 5 3 2 6" xfId="29993"/>
    <cellStyle name="표준 7 14 5 3 2 2 3" xfId="29994"/>
    <cellStyle name="표준 7 14 5 3 3 6" xfId="29995"/>
    <cellStyle name="표준 7 14 5 3 3 2 3" xfId="29996"/>
    <cellStyle name="표준 7 14 5 3 4 3" xfId="29997"/>
    <cellStyle name="표준 7 14 5 4 6" xfId="29998"/>
    <cellStyle name="표준 7 14 5 4 2 3" xfId="29999"/>
    <cellStyle name="표준 7 14 5 5 6" xfId="30000"/>
    <cellStyle name="표준 7 14 5 5 2 3" xfId="30001"/>
    <cellStyle name="표준 7 14 5 6 3" xfId="30002"/>
    <cellStyle name="표준 7 14 6 2 2 6" xfId="30003"/>
    <cellStyle name="표준 7 14 6 2 2 2 3" xfId="30004"/>
    <cellStyle name="표준 7 14 6 2 3 6" xfId="30005"/>
    <cellStyle name="표준 7 14 6 2 3 2 3" xfId="30006"/>
    <cellStyle name="표준 7 14 6 2 4 3" xfId="30007"/>
    <cellStyle name="표준 7 14 6 3 6" xfId="30008"/>
    <cellStyle name="표준 7 14 6 3 2 3" xfId="30009"/>
    <cellStyle name="표준 7 14 6 4 6" xfId="30010"/>
    <cellStyle name="표준 7 14 6 4 2 3" xfId="30011"/>
    <cellStyle name="표준 7 14 6 5 3" xfId="30012"/>
    <cellStyle name="표준 7 14 7 2 6" xfId="30013"/>
    <cellStyle name="표준 7 14 7 2 2 3" xfId="30014"/>
    <cellStyle name="표준 7 14 7 3 6" xfId="30015"/>
    <cellStyle name="표준 7 14 7 3 2 3" xfId="30016"/>
    <cellStyle name="표준 7 14 7 4 3" xfId="30017"/>
    <cellStyle name="표준 7 14 8 6" xfId="30018"/>
    <cellStyle name="표준 7 14 8 2 3" xfId="30019"/>
    <cellStyle name="표준 7 14 9 6" xfId="30020"/>
    <cellStyle name="표준 7 14 9 2 3" xfId="30021"/>
    <cellStyle name="표준 7 15 2 2 2 2 2 6" xfId="30022"/>
    <cellStyle name="표준 7 15 2 2 2 2 2 2 3" xfId="30023"/>
    <cellStyle name="표준 7 15 2 2 2 2 3 6" xfId="30024"/>
    <cellStyle name="표준 7 15 2 2 2 2 3 2 3" xfId="30025"/>
    <cellStyle name="표준 7 15 2 2 2 2 4 3" xfId="30026"/>
    <cellStyle name="표준 7 15 2 2 2 3 6" xfId="30027"/>
    <cellStyle name="표준 7 15 2 2 2 3 2 3" xfId="30028"/>
    <cellStyle name="표준 7 15 2 2 2 4 6" xfId="30029"/>
    <cellStyle name="표준 7 15 2 2 2 4 2 3" xfId="30030"/>
    <cellStyle name="표준 7 15 2 2 2 5 3" xfId="30031"/>
    <cellStyle name="표준 7 15 2 2 3 2 6" xfId="30032"/>
    <cellStyle name="표준 7 15 2 2 3 2 2 3" xfId="30033"/>
    <cellStyle name="표준 7 15 2 2 3 3 6" xfId="30034"/>
    <cellStyle name="표준 7 15 2 2 3 3 2 3" xfId="30035"/>
    <cellStyle name="표준 7 15 2 2 3 4 3" xfId="30036"/>
    <cellStyle name="표준 7 15 2 2 4 6" xfId="30037"/>
    <cellStyle name="표준 7 15 2 2 4 2 3" xfId="30038"/>
    <cellStyle name="표준 7 15 2 2 5 6" xfId="30039"/>
    <cellStyle name="표준 7 15 2 2 5 2 3" xfId="30040"/>
    <cellStyle name="표준 7 15 2 2 6 3" xfId="30041"/>
    <cellStyle name="표준 7 15 2 3 2 2 6" xfId="30042"/>
    <cellStyle name="표준 7 15 2 3 2 2 2 3" xfId="30043"/>
    <cellStyle name="표준 7 15 2 3 2 3 6" xfId="30044"/>
    <cellStyle name="표준 7 15 2 3 2 3 2 3" xfId="30045"/>
    <cellStyle name="표준 7 15 2 3 2 4 3" xfId="30046"/>
    <cellStyle name="표준 7 15 2 3 3 6" xfId="30047"/>
    <cellStyle name="표준 7 15 2 3 3 2 3" xfId="30048"/>
    <cellStyle name="표준 7 15 2 3 4 6" xfId="30049"/>
    <cellStyle name="표준 7 15 2 3 4 2 3" xfId="30050"/>
    <cellStyle name="표준 7 15 2 3 5 3" xfId="30051"/>
    <cellStyle name="표준 7 15 2 4 2 6" xfId="30052"/>
    <cellStyle name="표준 7 15 2 4 2 2 3" xfId="30053"/>
    <cellStyle name="표준 7 15 2 4 3 6" xfId="30054"/>
    <cellStyle name="표준 7 15 2 4 3 2 3" xfId="30055"/>
    <cellStyle name="표준 7 15 2 4 4 3" xfId="30056"/>
    <cellStyle name="표준 7 15 2 5 6" xfId="30057"/>
    <cellStyle name="표준 7 15 2 5 2 3" xfId="30058"/>
    <cellStyle name="표준 7 15 2 6 6" xfId="30059"/>
    <cellStyle name="표준 7 15 2 6 2 3" xfId="30060"/>
    <cellStyle name="표준 7 15 2 7 3" xfId="30061"/>
    <cellStyle name="표준 7 15 3 2 2 2 2 6" xfId="30062"/>
    <cellStyle name="표준 7 15 3 2 2 2 2 2 3" xfId="30063"/>
    <cellStyle name="표준 7 15 3 2 2 2 3 6" xfId="30064"/>
    <cellStyle name="표준 7 15 3 2 2 2 3 2 3" xfId="30065"/>
    <cellStyle name="표준 7 15 3 2 2 2 4 3" xfId="30066"/>
    <cellStyle name="표준 7 15 3 2 2 3 6" xfId="30067"/>
    <cellStyle name="표준 7 15 3 2 2 3 2 3" xfId="30068"/>
    <cellStyle name="표준 7 15 3 2 2 4 6" xfId="30069"/>
    <cellStyle name="표준 7 15 3 2 2 4 2 3" xfId="30070"/>
    <cellStyle name="표준 7 15 3 2 2 5 3" xfId="30071"/>
    <cellStyle name="표준 7 15 3 2 3 2 6" xfId="30072"/>
    <cellStyle name="표준 7 15 3 2 3 2 2 3" xfId="30073"/>
    <cellStyle name="표준 7 15 3 2 3 3 6" xfId="30074"/>
    <cellStyle name="표준 7 15 3 2 3 3 2 3" xfId="30075"/>
    <cellStyle name="표준 7 15 3 2 3 4 3" xfId="30076"/>
    <cellStyle name="표준 7 15 3 2 4 6" xfId="30077"/>
    <cellStyle name="표준 7 15 3 2 4 2 3" xfId="30078"/>
    <cellStyle name="표준 7 15 3 2 5 6" xfId="30079"/>
    <cellStyle name="표준 7 15 3 2 5 2 3" xfId="30080"/>
    <cellStyle name="표준 7 15 3 2 6 3" xfId="30081"/>
    <cellStyle name="표준 7 15 3 3 2 2 6" xfId="30082"/>
    <cellStyle name="표준 7 15 3 3 2 2 2 3" xfId="30083"/>
    <cellStyle name="표준 7 15 3 3 2 3 6" xfId="30084"/>
    <cellStyle name="표준 7 15 3 3 2 3 2 3" xfId="30085"/>
    <cellStyle name="표준 7 15 3 3 2 4 3" xfId="30086"/>
    <cellStyle name="표준 7 15 3 3 3 6" xfId="30087"/>
    <cellStyle name="표준 7 15 3 3 3 2 3" xfId="30088"/>
    <cellStyle name="표준 7 15 3 3 4 6" xfId="30089"/>
    <cellStyle name="표준 7 15 3 3 4 2 3" xfId="30090"/>
    <cellStyle name="표준 7 15 3 3 5 3" xfId="30091"/>
    <cellStyle name="표준 7 15 3 4 2 6" xfId="30092"/>
    <cellStyle name="표준 7 15 3 4 2 2 3" xfId="30093"/>
    <cellStyle name="표준 7 15 3 4 3 6" xfId="30094"/>
    <cellStyle name="표준 7 15 3 4 3 2 3" xfId="30095"/>
    <cellStyle name="표준 7 15 3 4 4 3" xfId="30096"/>
    <cellStyle name="표준 7 15 3 5 6" xfId="30097"/>
    <cellStyle name="표준 7 15 3 5 2 3" xfId="30098"/>
    <cellStyle name="표준 7 15 3 6 6" xfId="30099"/>
    <cellStyle name="표준 7 15 3 6 2 3" xfId="30100"/>
    <cellStyle name="표준 7 15 3 7 3" xfId="30101"/>
    <cellStyle name="표준 7 15 4 2 2 2 6" xfId="30102"/>
    <cellStyle name="표준 7 15 4 2 2 2 2 3" xfId="30103"/>
    <cellStyle name="표준 7 15 4 2 2 3 6" xfId="30104"/>
    <cellStyle name="표준 7 15 4 2 2 3 2 3" xfId="30105"/>
    <cellStyle name="표준 7 15 4 2 2 4 3" xfId="30106"/>
    <cellStyle name="표준 7 15 4 2 3 6" xfId="30107"/>
    <cellStyle name="표준 7 15 4 2 3 2 3" xfId="30108"/>
    <cellStyle name="표준 7 15 4 2 4 6" xfId="30109"/>
    <cellStyle name="표준 7 15 4 2 4 2 3" xfId="30110"/>
    <cellStyle name="표준 7 15 4 2 5 3" xfId="30111"/>
    <cellStyle name="표준 7 15 4 3 2 6" xfId="30112"/>
    <cellStyle name="표준 7 15 4 3 2 2 3" xfId="30113"/>
    <cellStyle name="표준 7 15 4 3 3 6" xfId="30114"/>
    <cellStyle name="표준 7 15 4 3 3 2 3" xfId="30115"/>
    <cellStyle name="표준 7 15 4 3 4 3" xfId="30116"/>
    <cellStyle name="표준 7 15 4 4 6" xfId="30117"/>
    <cellStyle name="표준 7 15 4 4 2 3" xfId="30118"/>
    <cellStyle name="표준 7 15 4 5 6" xfId="30119"/>
    <cellStyle name="표준 7 15 4 5 2 3" xfId="30120"/>
    <cellStyle name="표준 7 15 4 6 3" xfId="30121"/>
    <cellStyle name="표준 7 15 5 2 2 6" xfId="30122"/>
    <cellStyle name="표준 7 15 5 2 2 2 3" xfId="30123"/>
    <cellStyle name="표준 7 15 5 2 3 6" xfId="30124"/>
    <cellStyle name="표준 7 15 5 2 3 2 3" xfId="30125"/>
    <cellStyle name="표준 7 15 5 2 4 3" xfId="30126"/>
    <cellStyle name="표준 7 15 5 3 6" xfId="30127"/>
    <cellStyle name="표준 7 15 5 3 2 3" xfId="30128"/>
    <cellStyle name="표준 7 15 5 4 6" xfId="30129"/>
    <cellStyle name="표준 7 15 5 4 2 3" xfId="30130"/>
    <cellStyle name="표준 7 15 5 5 3" xfId="30131"/>
    <cellStyle name="표준 7 15 6 2 6" xfId="30132"/>
    <cellStyle name="표준 7 15 6 2 2 3" xfId="30133"/>
    <cellStyle name="표준 7 15 6 3 6" xfId="30134"/>
    <cellStyle name="표준 7 15 6 3 2 3" xfId="30135"/>
    <cellStyle name="표준 7 15 6 4 3" xfId="30136"/>
    <cellStyle name="표준 7 15 7 6" xfId="30137"/>
    <cellStyle name="표준 7 15 7 2 3" xfId="30138"/>
    <cellStyle name="표준 7 15 8 6" xfId="30139"/>
    <cellStyle name="표준 7 15 8 2 3" xfId="30140"/>
    <cellStyle name="표준 7 15 9 3" xfId="30141"/>
    <cellStyle name="표준 7 16 2 2 2 2 6" xfId="30142"/>
    <cellStyle name="표준 7 16 2 2 2 2 2 3" xfId="30143"/>
    <cellStyle name="표준 7 16 2 2 2 3 6" xfId="30144"/>
    <cellStyle name="표준 7 16 2 2 2 3 2 3" xfId="30145"/>
    <cellStyle name="표준 7 16 2 2 2 4 3" xfId="30146"/>
    <cellStyle name="표준 7 16 2 2 3 6" xfId="30147"/>
    <cellStyle name="표준 7 16 2 2 3 2 3" xfId="30148"/>
    <cellStyle name="표준 7 16 2 2 4 6" xfId="30149"/>
    <cellStyle name="표준 7 16 2 2 4 2 3" xfId="30150"/>
    <cellStyle name="표준 7 16 2 2 5 3" xfId="30151"/>
    <cellStyle name="표준 7 16 2 3 2 6" xfId="30152"/>
    <cellStyle name="표준 7 16 2 3 2 2 3" xfId="30153"/>
    <cellStyle name="표준 7 16 2 3 3 6" xfId="30154"/>
    <cellStyle name="표준 7 16 2 3 3 2 3" xfId="30155"/>
    <cellStyle name="표준 7 16 2 3 4 3" xfId="30156"/>
    <cellStyle name="표준 7 16 2 4 6" xfId="30157"/>
    <cellStyle name="표준 7 16 2 4 2 3" xfId="30158"/>
    <cellStyle name="표준 7 16 2 5 6" xfId="30159"/>
    <cellStyle name="표준 7 16 2 5 2 3" xfId="30160"/>
    <cellStyle name="표준 7 16 2 6 3" xfId="30161"/>
    <cellStyle name="표준 7 16 3 2 2 6" xfId="30162"/>
    <cellStyle name="표준 7 16 3 2 2 2 3" xfId="30163"/>
    <cellStyle name="표준 7 16 3 2 3 6" xfId="30164"/>
    <cellStyle name="표준 7 16 3 2 3 2 3" xfId="30165"/>
    <cellStyle name="표준 7 16 3 2 4 3" xfId="30166"/>
    <cellStyle name="표준 7 16 3 3 6" xfId="30167"/>
    <cellStyle name="표준 7 16 3 3 2 3" xfId="30168"/>
    <cellStyle name="표준 7 16 3 4 6" xfId="30169"/>
    <cellStyle name="표준 7 16 3 4 2 3" xfId="30170"/>
    <cellStyle name="표준 7 16 3 5 3" xfId="30171"/>
    <cellStyle name="표준 7 16 4 2 6" xfId="30172"/>
    <cellStyle name="표준 7 16 4 2 2 3" xfId="30173"/>
    <cellStyle name="표준 7 16 4 3 6" xfId="30174"/>
    <cellStyle name="표준 7 16 4 3 2 3" xfId="30175"/>
    <cellStyle name="표준 7 16 4 4 3" xfId="30176"/>
    <cellStyle name="표준 7 16 5 6" xfId="30177"/>
    <cellStyle name="표준 7 16 5 2 3" xfId="30178"/>
    <cellStyle name="표준 7 16 6 6" xfId="30179"/>
    <cellStyle name="표준 7 16 6 2 3" xfId="30180"/>
    <cellStyle name="표준 7 16 7 3" xfId="30181"/>
    <cellStyle name="표준 7 17 2 2 2 2 6" xfId="30182"/>
    <cellStyle name="표준 7 17 2 2 2 2 2 3" xfId="30183"/>
    <cellStyle name="표준 7 17 2 2 2 3 6" xfId="30184"/>
    <cellStyle name="표준 7 17 2 2 2 3 2 3" xfId="30185"/>
    <cellStyle name="표준 7 17 2 2 2 4 3" xfId="30186"/>
    <cellStyle name="표준 7 17 2 2 3 6" xfId="30187"/>
    <cellStyle name="표준 7 17 2 2 3 2 3" xfId="30188"/>
    <cellStyle name="표준 7 17 2 2 4 6" xfId="30189"/>
    <cellStyle name="표준 7 17 2 2 4 2 3" xfId="30190"/>
    <cellStyle name="표준 7 17 2 2 5 3" xfId="30191"/>
    <cellStyle name="표준 7 17 2 3 2 6" xfId="30192"/>
    <cellStyle name="표준 7 17 2 3 2 2 3" xfId="30193"/>
    <cellStyle name="표준 7 17 2 3 3 6" xfId="30194"/>
    <cellStyle name="표준 7 17 2 3 3 2 3" xfId="30195"/>
    <cellStyle name="표준 7 17 2 3 4 3" xfId="30196"/>
    <cellStyle name="표준 7 17 2 4 6" xfId="30197"/>
    <cellStyle name="표준 7 17 2 4 2 3" xfId="30198"/>
    <cellStyle name="표준 7 17 2 5 6" xfId="30199"/>
    <cellStyle name="표준 7 17 2 5 2 3" xfId="30200"/>
    <cellStyle name="표준 7 17 2 6 3" xfId="30201"/>
    <cellStyle name="표준 7 17 3 2 2 6" xfId="30202"/>
    <cellStyle name="표준 7 17 3 2 2 2 3" xfId="30203"/>
    <cellStyle name="표준 7 17 3 2 3 6" xfId="30204"/>
    <cellStyle name="표준 7 17 3 2 3 2 3" xfId="30205"/>
    <cellStyle name="표준 7 17 3 2 4 3" xfId="30206"/>
    <cellStyle name="표준 7 17 3 3 6" xfId="30207"/>
    <cellStyle name="표준 7 17 3 3 2 3" xfId="30208"/>
    <cellStyle name="표준 7 17 3 4 6" xfId="30209"/>
    <cellStyle name="표준 7 17 3 4 2 3" xfId="30210"/>
    <cellStyle name="표준 7 17 3 5 3" xfId="30211"/>
    <cellStyle name="표준 7 17 4 2 6" xfId="30212"/>
    <cellStyle name="표준 7 17 4 2 2 3" xfId="30213"/>
    <cellStyle name="표준 7 17 4 3 6" xfId="30214"/>
    <cellStyle name="표준 7 17 4 3 2 3" xfId="30215"/>
    <cellStyle name="표준 7 17 4 4 3" xfId="30216"/>
    <cellStyle name="표준 7 17 5 6" xfId="30217"/>
    <cellStyle name="표준 7 17 5 2 3" xfId="30218"/>
    <cellStyle name="표준 7 17 6 6" xfId="30219"/>
    <cellStyle name="표준 7 17 6 2 3" xfId="30220"/>
    <cellStyle name="표준 7 17 7 3" xfId="30221"/>
    <cellStyle name="표준 7 18 2 2 2 2 6" xfId="30222"/>
    <cellStyle name="표준 7 18 2 2 2 2 2 3" xfId="30223"/>
    <cellStyle name="표준 7 18 2 2 2 3 6" xfId="30224"/>
    <cellStyle name="표준 7 18 2 2 2 3 2 3" xfId="30225"/>
    <cellStyle name="표준 7 18 2 2 2 4 3" xfId="30226"/>
    <cellStyle name="표준 7 18 2 2 3 6" xfId="30227"/>
    <cellStyle name="표준 7 18 2 2 3 2 3" xfId="30228"/>
    <cellStyle name="표준 7 18 2 2 4 6" xfId="30229"/>
    <cellStyle name="표준 7 18 2 2 4 2 3" xfId="30230"/>
    <cellStyle name="표준 7 18 2 2 5 3" xfId="30231"/>
    <cellStyle name="표준 7 18 2 3 2 6" xfId="30232"/>
    <cellStyle name="표준 7 18 2 3 2 2 3" xfId="30233"/>
    <cellStyle name="표준 7 18 2 3 3 6" xfId="30234"/>
    <cellStyle name="표준 7 18 2 3 3 2 3" xfId="30235"/>
    <cellStyle name="표준 7 18 2 3 4 3" xfId="30236"/>
    <cellStyle name="표준 7 18 2 4 6" xfId="30237"/>
    <cellStyle name="표준 7 18 2 4 2 3" xfId="30238"/>
    <cellStyle name="표준 7 18 2 5 6" xfId="30239"/>
    <cellStyle name="표준 7 18 2 5 2 3" xfId="30240"/>
    <cellStyle name="표준 7 18 2 6 3" xfId="30241"/>
    <cellStyle name="표준 7 18 3 2 2 6" xfId="30242"/>
    <cellStyle name="표준 7 18 3 2 2 2 3" xfId="30243"/>
    <cellStyle name="표준 7 18 3 2 3 6" xfId="30244"/>
    <cellStyle name="표준 7 18 3 2 3 2 3" xfId="30245"/>
    <cellStyle name="표준 7 18 3 2 4 3" xfId="30246"/>
    <cellStyle name="표준 7 18 3 3 6" xfId="30247"/>
    <cellStyle name="표준 7 18 3 3 2 3" xfId="30248"/>
    <cellStyle name="표준 7 18 3 4 6" xfId="30249"/>
    <cellStyle name="표준 7 18 3 4 2 3" xfId="30250"/>
    <cellStyle name="표준 7 18 3 5 3" xfId="30251"/>
    <cellStyle name="표준 7 18 4 2 6" xfId="30252"/>
    <cellStyle name="표준 7 18 4 2 2 3" xfId="30253"/>
    <cellStyle name="표준 7 18 4 3 6" xfId="30254"/>
    <cellStyle name="표준 7 18 4 3 2 3" xfId="30255"/>
    <cellStyle name="표준 7 18 4 4 3" xfId="30256"/>
    <cellStyle name="표준 7 18 5 6" xfId="30257"/>
    <cellStyle name="표준 7 18 5 2 3" xfId="30258"/>
    <cellStyle name="표준 7 18 6 6" xfId="30259"/>
    <cellStyle name="표준 7 18 6 2 3" xfId="30260"/>
    <cellStyle name="표준 7 18 7 3" xfId="30261"/>
    <cellStyle name="표준 7 2 10 6" xfId="30262"/>
    <cellStyle name="표준 7 2 10 2 3" xfId="30263"/>
    <cellStyle name="표준 7 2 11 3" xfId="30264"/>
    <cellStyle name="표준 7 2 3 2 2 2 2 6" xfId="30265"/>
    <cellStyle name="표준 7 2 3 2 2 2 2 2 3" xfId="30266"/>
    <cellStyle name="표준 7 2 3 2 2 2 3 6" xfId="30267"/>
    <cellStyle name="표준 7 2 3 2 2 2 3 2 3" xfId="30268"/>
    <cellStyle name="표준 7 2 3 2 2 2 4 3" xfId="30269"/>
    <cellStyle name="표준 7 2 3 2 2 3 6" xfId="30270"/>
    <cellStyle name="표준 7 2 3 2 2 3 2 3" xfId="30271"/>
    <cellStyle name="표준 7 2 3 2 2 4 6" xfId="30272"/>
    <cellStyle name="표준 7 2 3 2 2 4 2 3" xfId="30273"/>
    <cellStyle name="표준 7 2 3 2 2 5 3" xfId="30274"/>
    <cellStyle name="표준 7 2 3 2 3 2 6" xfId="30275"/>
    <cellStyle name="표준 7 2 3 2 3 2 2 3" xfId="30276"/>
    <cellStyle name="표준 7 2 3 2 3 3 6" xfId="30277"/>
    <cellStyle name="표준 7 2 3 2 3 3 2 3" xfId="30278"/>
    <cellStyle name="표준 7 2 3 2 3 4 3" xfId="30279"/>
    <cellStyle name="표준 7 2 3 2 4 6" xfId="30280"/>
    <cellStyle name="표준 7 2 3 2 4 2 3" xfId="30281"/>
    <cellStyle name="표준 7 2 3 2 5 6" xfId="30282"/>
    <cellStyle name="표준 7 2 3 2 5 2 3" xfId="30283"/>
    <cellStyle name="표준 7 2 3 2 6 3" xfId="30284"/>
    <cellStyle name="표준 7 2 3 3 2 2 6" xfId="30285"/>
    <cellStyle name="표준 7 2 3 3 2 2 2 3" xfId="30286"/>
    <cellStyle name="표준 7 2 3 3 2 3 6" xfId="30287"/>
    <cellStyle name="표준 7 2 3 3 2 3 2 3" xfId="30288"/>
    <cellStyle name="표준 7 2 3 3 2 4 3" xfId="30289"/>
    <cellStyle name="표준 7 2 3 3 3 6" xfId="30290"/>
    <cellStyle name="표준 7 2 3 3 3 2 3" xfId="30291"/>
    <cellStyle name="표준 7 2 3 3 4 6" xfId="30292"/>
    <cellStyle name="표준 7 2 3 3 4 2 3" xfId="30293"/>
    <cellStyle name="표준 7 2 3 3 5 3" xfId="30294"/>
    <cellStyle name="표준 7 2 3 4 2 6" xfId="30295"/>
    <cellStyle name="표준 7 2 3 4 2 2 3" xfId="30296"/>
    <cellStyle name="표준 7 2 3 4 3 6" xfId="30297"/>
    <cellStyle name="표준 7 2 3 4 3 2 3" xfId="30298"/>
    <cellStyle name="표준 7 2 3 4 4 3" xfId="30299"/>
    <cellStyle name="표준 7 2 3 5 6" xfId="30300"/>
    <cellStyle name="표준 7 2 3 5 2 3" xfId="30301"/>
    <cellStyle name="표준 7 2 3 6 6" xfId="30302"/>
    <cellStyle name="표준 7 2 3 6 2 3" xfId="30303"/>
    <cellStyle name="표준 7 2 3 7 3" xfId="30304"/>
    <cellStyle name="표준 7 2 4 2 2 2 2 6" xfId="30305"/>
    <cellStyle name="표준 7 2 4 2 2 2 2 2 3" xfId="30306"/>
    <cellStyle name="표준 7 2 4 2 2 2 3 6" xfId="30307"/>
    <cellStyle name="표준 7 2 4 2 2 2 3 2 3" xfId="30308"/>
    <cellStyle name="표준 7 2 4 2 2 2 4 3" xfId="30309"/>
    <cellStyle name="표준 7 2 4 2 2 3 6" xfId="30310"/>
    <cellStyle name="표준 7 2 4 2 2 3 2 3" xfId="30311"/>
    <cellStyle name="표준 7 2 4 2 2 4 6" xfId="30312"/>
    <cellStyle name="표준 7 2 4 2 2 4 2 3" xfId="30313"/>
    <cellStyle name="표준 7 2 4 2 2 5 3" xfId="30314"/>
    <cellStyle name="표준 7 2 4 2 3 2 6" xfId="30315"/>
    <cellStyle name="표준 7 2 4 2 3 2 2 3" xfId="30316"/>
    <cellStyle name="표준 7 2 4 2 3 3 6" xfId="30317"/>
    <cellStyle name="표준 7 2 4 2 3 3 2 3" xfId="30318"/>
    <cellStyle name="표준 7 2 4 2 3 4 3" xfId="30319"/>
    <cellStyle name="표준 7 2 4 2 4 6" xfId="30320"/>
    <cellStyle name="표준 7 2 4 2 4 2 3" xfId="30321"/>
    <cellStyle name="표준 7 2 4 2 5 6" xfId="30322"/>
    <cellStyle name="표준 7 2 4 2 5 2 3" xfId="30323"/>
    <cellStyle name="표준 7 2 4 2 6 3" xfId="30324"/>
    <cellStyle name="표준 7 2 4 3 2 2 6" xfId="30325"/>
    <cellStyle name="표준 7 2 4 3 2 2 2 3" xfId="30326"/>
    <cellStyle name="표준 7 2 4 3 2 3 6" xfId="30327"/>
    <cellStyle name="표준 7 2 4 3 2 3 2 3" xfId="30328"/>
    <cellStyle name="표준 7 2 4 3 2 4 3" xfId="30329"/>
    <cellStyle name="표준 7 2 4 3 3 6" xfId="30330"/>
    <cellStyle name="표준 7 2 4 3 3 2 3" xfId="30331"/>
    <cellStyle name="표준 7 2 4 3 4 6" xfId="30332"/>
    <cellStyle name="표준 7 2 4 3 4 2 3" xfId="30333"/>
    <cellStyle name="표준 7 2 4 3 5 3" xfId="30334"/>
    <cellStyle name="표준 7 2 4 4 2 6" xfId="30335"/>
    <cellStyle name="표준 7 2 4 4 2 2 3" xfId="30336"/>
    <cellStyle name="표준 7 2 4 4 3 6" xfId="30337"/>
    <cellStyle name="표준 7 2 4 4 3 2 3" xfId="30338"/>
    <cellStyle name="표준 7 2 4 4 4 3" xfId="30339"/>
    <cellStyle name="표준 7 2 4 5 6" xfId="30340"/>
    <cellStyle name="표준 7 2 4 5 2 3" xfId="30341"/>
    <cellStyle name="표준 7 2 4 6 6" xfId="30342"/>
    <cellStyle name="표준 7 2 4 6 2 3" xfId="30343"/>
    <cellStyle name="표준 7 2 4 7 3" xfId="30344"/>
    <cellStyle name="표준 7 2 5 2 2 2 2 6" xfId="30345"/>
    <cellStyle name="표준 7 2 5 2 2 2 2 2 3" xfId="30346"/>
    <cellStyle name="표준 7 2 5 2 2 2 3 6" xfId="30347"/>
    <cellStyle name="표준 7 2 5 2 2 2 3 2 3" xfId="30348"/>
    <cellStyle name="표준 7 2 5 2 2 2 4 3" xfId="30349"/>
    <cellStyle name="표준 7 2 5 2 2 3 6" xfId="30350"/>
    <cellStyle name="표준 7 2 5 2 2 3 2 3" xfId="30351"/>
    <cellStyle name="표준 7 2 5 2 2 4 6" xfId="30352"/>
    <cellStyle name="표준 7 2 5 2 2 4 2 3" xfId="30353"/>
    <cellStyle name="표준 7 2 5 2 2 5 3" xfId="30354"/>
    <cellStyle name="표준 7 2 5 2 3 2 6" xfId="30355"/>
    <cellStyle name="표준 7 2 5 2 3 2 2 3" xfId="30356"/>
    <cellStyle name="표준 7 2 5 2 3 3 6" xfId="30357"/>
    <cellStyle name="표준 7 2 5 2 3 3 2 3" xfId="30358"/>
    <cellStyle name="표준 7 2 5 2 3 4 3" xfId="30359"/>
    <cellStyle name="표준 7 2 5 2 4 6" xfId="30360"/>
    <cellStyle name="표준 7 2 5 2 4 2 3" xfId="30361"/>
    <cellStyle name="표준 7 2 5 2 5 6" xfId="30362"/>
    <cellStyle name="표준 7 2 5 2 5 2 3" xfId="30363"/>
    <cellStyle name="표준 7 2 5 2 6 3" xfId="30364"/>
    <cellStyle name="표준 7 2 5 3 2 2 6" xfId="30365"/>
    <cellStyle name="표준 7 2 5 3 2 2 2 3" xfId="30366"/>
    <cellStyle name="표준 7 2 5 3 2 3 6" xfId="30367"/>
    <cellStyle name="표준 7 2 5 3 2 3 2 3" xfId="30368"/>
    <cellStyle name="표준 7 2 5 3 2 4 3" xfId="30369"/>
    <cellStyle name="표준 7 2 5 3 3 6" xfId="30370"/>
    <cellStyle name="표준 7 2 5 3 3 2 3" xfId="30371"/>
    <cellStyle name="표준 7 2 5 3 4 6" xfId="30372"/>
    <cellStyle name="표준 7 2 5 3 4 2 3" xfId="30373"/>
    <cellStyle name="표준 7 2 5 3 5 3" xfId="30374"/>
    <cellStyle name="표준 7 2 5 4 2 6" xfId="30375"/>
    <cellStyle name="표준 7 2 5 4 2 2 3" xfId="30376"/>
    <cellStyle name="표준 7 2 5 4 3 6" xfId="30377"/>
    <cellStyle name="표준 7 2 5 4 3 2 3" xfId="30378"/>
    <cellStyle name="표준 7 2 5 4 4 3" xfId="30379"/>
    <cellStyle name="표준 7 2 5 5 6" xfId="30380"/>
    <cellStyle name="표준 7 2 5 5 2 3" xfId="30381"/>
    <cellStyle name="표준 7 2 5 6 6" xfId="30382"/>
    <cellStyle name="표준 7 2 5 6 2 3" xfId="30383"/>
    <cellStyle name="표준 7 2 5 7 3" xfId="30384"/>
    <cellStyle name="표준 7 2 6 2 2 2 6" xfId="30385"/>
    <cellStyle name="표준 7 2 6 2 2 2 2 3" xfId="30386"/>
    <cellStyle name="표준 7 2 6 2 2 3 6" xfId="30387"/>
    <cellStyle name="표준 7 2 6 2 2 3 2 3" xfId="30388"/>
    <cellStyle name="표준 7 2 6 2 2 4 3" xfId="30389"/>
    <cellStyle name="표준 7 2 6 2 3 6" xfId="30390"/>
    <cellStyle name="표준 7 2 6 2 3 2 3" xfId="30391"/>
    <cellStyle name="표준 7 2 6 2 4 6" xfId="30392"/>
    <cellStyle name="표준 7 2 6 2 4 2 3" xfId="30393"/>
    <cellStyle name="표준 7 2 6 2 5 3" xfId="30394"/>
    <cellStyle name="표준 7 2 6 3 2 6" xfId="30395"/>
    <cellStyle name="표준 7 2 6 3 2 2 3" xfId="30396"/>
    <cellStyle name="표준 7 2 6 3 3 6" xfId="30397"/>
    <cellStyle name="표준 7 2 6 3 3 2 3" xfId="30398"/>
    <cellStyle name="표준 7 2 6 3 4 3" xfId="30399"/>
    <cellStyle name="표준 7 2 6 4 6" xfId="30400"/>
    <cellStyle name="표준 7 2 6 4 2 3" xfId="30401"/>
    <cellStyle name="표준 7 2 6 5 6" xfId="30402"/>
    <cellStyle name="표준 7 2 6 5 2 3" xfId="30403"/>
    <cellStyle name="표준 7 2 6 6 3" xfId="30404"/>
    <cellStyle name="표준 7 2 7 2 2 6" xfId="30405"/>
    <cellStyle name="표준 7 2 7 2 2 2 3" xfId="30406"/>
    <cellStyle name="표준 7 2 7 2 3 6" xfId="30407"/>
    <cellStyle name="표준 7 2 7 2 3 2 3" xfId="30408"/>
    <cellStyle name="표준 7 2 7 2 4 3" xfId="30409"/>
    <cellStyle name="표준 7 2 7 3 6" xfId="30410"/>
    <cellStyle name="표준 7 2 7 3 2 3" xfId="30411"/>
    <cellStyle name="표준 7 2 7 4 6" xfId="30412"/>
    <cellStyle name="표준 7 2 7 4 2 3" xfId="30413"/>
    <cellStyle name="표준 7 2 7 5 3" xfId="30414"/>
    <cellStyle name="표준 7 2 8 2 6" xfId="30415"/>
    <cellStyle name="표준 7 2 8 2 2 3" xfId="30416"/>
    <cellStyle name="표준 7 2 8 3 6" xfId="30417"/>
    <cellStyle name="표준 7 2 8 3 2 3" xfId="30418"/>
    <cellStyle name="표준 7 2 8 4 3" xfId="30419"/>
    <cellStyle name="표준 7 2 9 6" xfId="30420"/>
    <cellStyle name="표준 7 2 9 2 3" xfId="30421"/>
    <cellStyle name="표준 7 20 2 2 2 6" xfId="30422"/>
    <cellStyle name="표준 7 20 2 2 2 2 3" xfId="30423"/>
    <cellStyle name="표준 7 20 2 2 3 6" xfId="30424"/>
    <cellStyle name="표준 7 20 2 2 3 2 3" xfId="30425"/>
    <cellStyle name="표준 7 20 2 2 4 3" xfId="30426"/>
    <cellStyle name="표준 7 20 2 3 6" xfId="30427"/>
    <cellStyle name="표준 7 20 2 3 2 3" xfId="30428"/>
    <cellStyle name="표준 7 20 2 4 6" xfId="30429"/>
    <cellStyle name="표준 7 20 2 4 2 3" xfId="30430"/>
    <cellStyle name="표준 7 20 2 5 3" xfId="30431"/>
    <cellStyle name="표준 7 20 3 2 6" xfId="30432"/>
    <cellStyle name="표준 7 20 3 2 2 3" xfId="30433"/>
    <cellStyle name="표준 7 20 3 3 6" xfId="30434"/>
    <cellStyle name="표준 7 20 3 3 2 3" xfId="30435"/>
    <cellStyle name="표준 7 20 3 4 3" xfId="30436"/>
    <cellStyle name="표준 7 20 4 6" xfId="30437"/>
    <cellStyle name="표준 7 20 4 2 3" xfId="30438"/>
    <cellStyle name="표준 7 20 5 6" xfId="30439"/>
    <cellStyle name="표준 7 20 5 2 3" xfId="30440"/>
    <cellStyle name="표준 7 20 6 3" xfId="30441"/>
    <cellStyle name="표준 7 21 2 2 6" xfId="30442"/>
    <cellStyle name="표준 7 21 2 2 2 3" xfId="30443"/>
    <cellStyle name="표준 7 21 2 3 6" xfId="30444"/>
    <cellStyle name="표준 7 21 2 3 2 3" xfId="30445"/>
    <cellStyle name="표준 7 21 2 4 3" xfId="30446"/>
    <cellStyle name="표준 7 21 3 6" xfId="30447"/>
    <cellStyle name="표준 7 21 3 2 3" xfId="30448"/>
    <cellStyle name="표준 7 21 4 6" xfId="30449"/>
    <cellStyle name="표준 7 21 4 2 3" xfId="30450"/>
    <cellStyle name="표준 7 21 5 3" xfId="30451"/>
    <cellStyle name="표준 7 22 2 6" xfId="30452"/>
    <cellStyle name="표준 7 22 2 2 3" xfId="30453"/>
    <cellStyle name="표준 7 22 3 6" xfId="30454"/>
    <cellStyle name="표준 7 22 3 2 3" xfId="30455"/>
    <cellStyle name="표준 7 22 4 3" xfId="30456"/>
    <cellStyle name="표준 7 23 6" xfId="30457"/>
    <cellStyle name="표준 7 23 2 3" xfId="30458"/>
    <cellStyle name="표준 7 24 6" xfId="30459"/>
    <cellStyle name="표준 7 24 2 3" xfId="30460"/>
    <cellStyle name="표준 7 25 3" xfId="30461"/>
    <cellStyle name="표준 8 10 2 2 2 2 6" xfId="30462"/>
    <cellStyle name="표준 8 10 2 2 2 2 2 3" xfId="30463"/>
    <cellStyle name="표준 8 10 2 2 2 3 6" xfId="30464"/>
    <cellStyle name="표준 8 10 2 2 2 3 2 3" xfId="30465"/>
    <cellStyle name="표준 8 10 2 2 2 4 3" xfId="30466"/>
    <cellStyle name="표준 8 10 2 2 3 6" xfId="30467"/>
    <cellStyle name="표준 8 10 2 2 3 2 3" xfId="30468"/>
    <cellStyle name="표준 8 10 2 2 4 6" xfId="30469"/>
    <cellStyle name="표준 8 10 2 2 4 2 3" xfId="30470"/>
    <cellStyle name="표준 8 10 2 2 5 3" xfId="30471"/>
    <cellStyle name="표준 8 10 2 3 2 6" xfId="30472"/>
    <cellStyle name="표준 8 10 2 3 2 2 3" xfId="30473"/>
    <cellStyle name="표준 8 10 2 3 3 6" xfId="30474"/>
    <cellStyle name="표준 8 10 2 3 3 2 3" xfId="30475"/>
    <cellStyle name="표준 8 10 2 3 4 3" xfId="30476"/>
    <cellStyle name="표준 8 10 2 4 6" xfId="30477"/>
    <cellStyle name="표준 8 10 2 4 2 3" xfId="30478"/>
    <cellStyle name="표준 8 10 2 5 6" xfId="30479"/>
    <cellStyle name="표준 8 10 2 5 2 3" xfId="30480"/>
    <cellStyle name="표준 8 10 2 6 3" xfId="30481"/>
    <cellStyle name="표준 8 10 3 2 2 6" xfId="30482"/>
    <cellStyle name="표준 8 10 3 2 2 2 3" xfId="30483"/>
    <cellStyle name="표준 8 10 3 2 3 6" xfId="30484"/>
    <cellStyle name="표준 8 10 3 2 3 2 3" xfId="30485"/>
    <cellStyle name="표준 8 10 3 2 4 3" xfId="30486"/>
    <cellStyle name="표준 8 10 3 3 6" xfId="30487"/>
    <cellStyle name="표준 8 10 3 3 2 3" xfId="30488"/>
    <cellStyle name="표준 8 10 3 4 6" xfId="30489"/>
    <cellStyle name="표준 8 10 3 4 2 3" xfId="30490"/>
    <cellStyle name="표준 8 10 3 5 3" xfId="30491"/>
    <cellStyle name="표준 8 10 4 2 6" xfId="30492"/>
    <cellStyle name="표준 8 10 4 2 2 3" xfId="30493"/>
    <cellStyle name="표준 8 10 4 3 6" xfId="30494"/>
    <cellStyle name="표준 8 10 4 3 2 3" xfId="30495"/>
    <cellStyle name="표준 8 10 4 4 3" xfId="30496"/>
    <cellStyle name="표준 8 10 5 6" xfId="30497"/>
    <cellStyle name="표준 8 10 5 2 3" xfId="30498"/>
    <cellStyle name="표준 8 10 6 6" xfId="30499"/>
    <cellStyle name="표준 8 10 6 2 3" xfId="30500"/>
    <cellStyle name="표준 8 10 7 3" xfId="30501"/>
    <cellStyle name="표준 8 11 2 2 2 2 6" xfId="30502"/>
    <cellStyle name="표준 8 11 2 2 2 2 2 3" xfId="30503"/>
    <cellStyle name="표준 8 11 2 2 2 3 6" xfId="30504"/>
    <cellStyle name="표준 8 11 2 2 2 3 2 3" xfId="30505"/>
    <cellStyle name="표준 8 11 2 2 2 4 3" xfId="30506"/>
    <cellStyle name="표준 8 11 2 2 3 6" xfId="30507"/>
    <cellStyle name="표준 8 11 2 2 3 2 3" xfId="30508"/>
    <cellStyle name="표준 8 11 2 2 4 6" xfId="30509"/>
    <cellStyle name="표준 8 11 2 2 4 2 3" xfId="30510"/>
    <cellStyle name="표준 8 11 2 2 5 3" xfId="30511"/>
    <cellStyle name="표준 8 11 2 3 2 6" xfId="30512"/>
    <cellStyle name="표준 8 11 2 3 2 2 3" xfId="30513"/>
    <cellStyle name="표준 8 11 2 3 3 6" xfId="30514"/>
    <cellStyle name="표준 8 11 2 3 3 2 3" xfId="30515"/>
    <cellStyle name="표준 8 11 2 3 4 3" xfId="30516"/>
    <cellStyle name="표준 8 11 2 4 6" xfId="30517"/>
    <cellStyle name="표준 8 11 2 4 2 3" xfId="30518"/>
    <cellStyle name="표준 8 11 2 5 6" xfId="30519"/>
    <cellStyle name="표준 8 11 2 5 2 3" xfId="30520"/>
    <cellStyle name="표준 8 11 2 6 3" xfId="30521"/>
    <cellStyle name="표준 8 11 3 2 2 6" xfId="30522"/>
    <cellStyle name="표준 8 11 3 2 2 2 3" xfId="30523"/>
    <cellStyle name="표준 8 11 3 2 3 6" xfId="30524"/>
    <cellStyle name="표준 8 11 3 2 3 2 3" xfId="30525"/>
    <cellStyle name="표준 8 11 3 2 4 3" xfId="30526"/>
    <cellStyle name="표준 8 11 3 3 6" xfId="30527"/>
    <cellStyle name="표준 8 11 3 3 2 3" xfId="30528"/>
    <cellStyle name="표준 8 11 3 4 6" xfId="30529"/>
    <cellStyle name="표준 8 11 3 4 2 3" xfId="30530"/>
    <cellStyle name="표준 8 11 3 5 3" xfId="30531"/>
    <cellStyle name="표준 8 11 4 2 6" xfId="30532"/>
    <cellStyle name="표준 8 11 4 2 2 3" xfId="30533"/>
    <cellStyle name="표준 8 11 4 3 6" xfId="30534"/>
    <cellStyle name="표준 8 11 4 3 2 3" xfId="30535"/>
    <cellStyle name="표준 8 11 4 4 3" xfId="30536"/>
    <cellStyle name="표준 8 11 5 6" xfId="30537"/>
    <cellStyle name="표준 8 11 5 2 3" xfId="30538"/>
    <cellStyle name="표준 8 11 6 6" xfId="30539"/>
    <cellStyle name="표준 8 11 6 2 3" xfId="30540"/>
    <cellStyle name="표준 8 11 7 3" xfId="30541"/>
    <cellStyle name="표준 8 12 2 2 2 2 6" xfId="30542"/>
    <cellStyle name="표준 8 12 2 2 2 2 2 3" xfId="30543"/>
    <cellStyle name="표준 8 12 2 2 2 3 6" xfId="30544"/>
    <cellStyle name="표준 8 12 2 2 2 3 2 3" xfId="30545"/>
    <cellStyle name="표준 8 12 2 2 2 4 3" xfId="30546"/>
    <cellStyle name="표준 8 12 2 2 3 6" xfId="30547"/>
    <cellStyle name="표준 8 12 2 2 3 2 3" xfId="30548"/>
    <cellStyle name="표준 8 12 2 2 4 6" xfId="30549"/>
    <cellStyle name="표준 8 12 2 2 4 2 3" xfId="30550"/>
    <cellStyle name="표준 8 12 2 2 5 3" xfId="30551"/>
    <cellStyle name="표준 8 12 2 3 2 6" xfId="30552"/>
    <cellStyle name="표준 8 12 2 3 2 2 3" xfId="30553"/>
    <cellStyle name="표준 8 12 2 3 3 6" xfId="30554"/>
    <cellStyle name="표준 8 12 2 3 3 2 3" xfId="30555"/>
    <cellStyle name="표준 8 12 2 3 4 3" xfId="30556"/>
    <cellStyle name="표준 8 12 2 4 6" xfId="30557"/>
    <cellStyle name="표준 8 12 2 4 2 3" xfId="30558"/>
    <cellStyle name="표준 8 12 2 5 6" xfId="30559"/>
    <cellStyle name="표준 8 12 2 5 2 3" xfId="30560"/>
    <cellStyle name="표준 8 12 2 6 3" xfId="30561"/>
    <cellStyle name="표준 8 12 3 2 2 6" xfId="30562"/>
    <cellStyle name="표준 8 12 3 2 2 2 3" xfId="30563"/>
    <cellStyle name="표준 8 12 3 2 3 6" xfId="30564"/>
    <cellStyle name="표준 8 12 3 2 3 2 3" xfId="30565"/>
    <cellStyle name="표준 8 12 3 2 4 3" xfId="30566"/>
    <cellStyle name="표준 8 12 3 3 6" xfId="30567"/>
    <cellStyle name="표준 8 12 3 3 2 3" xfId="30568"/>
    <cellStyle name="표준 8 12 3 4 6" xfId="30569"/>
    <cellStyle name="표준 8 12 3 4 2 3" xfId="30570"/>
    <cellStyle name="표준 8 12 3 5 3" xfId="30571"/>
    <cellStyle name="표준 8 12 4 2 6" xfId="30572"/>
    <cellStyle name="표준 8 12 4 2 2 3" xfId="30573"/>
    <cellStyle name="표준 8 12 4 3 6" xfId="30574"/>
    <cellStyle name="표준 8 12 4 3 2 3" xfId="30575"/>
    <cellStyle name="표준 8 12 4 4 3" xfId="30576"/>
    <cellStyle name="표준 8 12 5 6" xfId="30577"/>
    <cellStyle name="표준 8 12 5 2 3" xfId="30578"/>
    <cellStyle name="표준 8 12 6 6" xfId="30579"/>
    <cellStyle name="표준 8 12 6 2 3" xfId="30580"/>
    <cellStyle name="표준 8 12 7 3" xfId="30581"/>
    <cellStyle name="표준 8 14 2 2 2 6" xfId="30582"/>
    <cellStyle name="표준 8 14 2 2 2 2 3" xfId="30583"/>
    <cellStyle name="표준 8 14 2 2 3 6" xfId="30584"/>
    <cellStyle name="표준 8 14 2 2 3 2 3" xfId="30585"/>
    <cellStyle name="표준 8 14 2 2 4 3" xfId="30586"/>
    <cellStyle name="표준 8 14 2 3 6" xfId="30587"/>
    <cellStyle name="표준 8 14 2 3 2 3" xfId="30588"/>
    <cellStyle name="표준 8 14 2 4 6" xfId="30589"/>
    <cellStyle name="표준 8 14 2 4 2 3" xfId="30590"/>
    <cellStyle name="표준 8 14 2 5 3" xfId="30591"/>
    <cellStyle name="표준 8 14 3 2 6" xfId="30592"/>
    <cellStyle name="표준 8 14 3 2 2 3" xfId="30593"/>
    <cellStyle name="표준 8 14 3 3 6" xfId="30594"/>
    <cellStyle name="표준 8 14 3 3 2 3" xfId="30595"/>
    <cellStyle name="표준 8 14 3 4 3" xfId="30596"/>
    <cellStyle name="표준 8 14 4 6" xfId="30597"/>
    <cellStyle name="표준 8 14 4 2 3" xfId="30598"/>
    <cellStyle name="표준 8 14 5 6" xfId="30599"/>
    <cellStyle name="표준 8 14 5 2 3" xfId="30600"/>
    <cellStyle name="표준 8 14 6 3" xfId="30601"/>
    <cellStyle name="표준 8 15 2 2 6" xfId="30602"/>
    <cellStyle name="표준 8 15 2 2 2 3" xfId="30603"/>
    <cellStyle name="표준 8 15 2 3 6" xfId="30604"/>
    <cellStyle name="표준 8 15 2 3 2 3" xfId="30605"/>
    <cellStyle name="표준 8 15 2 4 3" xfId="30606"/>
    <cellStyle name="표준 8 15 3 6" xfId="30607"/>
    <cellStyle name="표준 8 15 3 2 3" xfId="30608"/>
    <cellStyle name="표준 8 15 4 6" xfId="30609"/>
    <cellStyle name="표준 8 15 4 2 3" xfId="30610"/>
    <cellStyle name="표준 8 15 5 3" xfId="30611"/>
    <cellStyle name="표준 8 16 2 6" xfId="30612"/>
    <cellStyle name="표준 8 16 2 2 3" xfId="30613"/>
    <cellStyle name="표준 8 16 3 6" xfId="30614"/>
    <cellStyle name="표준 8 16 3 2 3" xfId="30615"/>
    <cellStyle name="표준 8 16 4 3" xfId="30616"/>
    <cellStyle name="표준 8 17 6" xfId="30617"/>
    <cellStyle name="표준 8 17 2 3" xfId="30618"/>
    <cellStyle name="표준 8 18 6" xfId="30619"/>
    <cellStyle name="표준 8 18 2 3" xfId="30620"/>
    <cellStyle name="표준 8 19 3" xfId="30621"/>
    <cellStyle name="표준 8 2 10 3" xfId="30622"/>
    <cellStyle name="표준 8 2 2 2 2 2 2 6" xfId="30623"/>
    <cellStyle name="표준 8 2 2 2 2 2 2 2 3" xfId="30624"/>
    <cellStyle name="표준 8 2 2 2 2 2 3 6" xfId="30625"/>
    <cellStyle name="표준 8 2 2 2 2 2 3 2 3" xfId="30626"/>
    <cellStyle name="표준 8 2 2 2 2 2 4 3" xfId="30627"/>
    <cellStyle name="표준 8 2 2 2 2 3 6" xfId="30628"/>
    <cellStyle name="표준 8 2 2 2 2 3 2 3" xfId="30629"/>
    <cellStyle name="표준 8 2 2 2 2 4 6" xfId="30630"/>
    <cellStyle name="표준 8 2 2 2 2 4 2 3" xfId="30631"/>
    <cellStyle name="표준 8 2 2 2 2 5 3" xfId="30632"/>
    <cellStyle name="표준 8 2 2 2 3 2 6" xfId="30633"/>
    <cellStyle name="표준 8 2 2 2 3 2 2 3" xfId="30634"/>
    <cellStyle name="표준 8 2 2 2 3 3 6" xfId="30635"/>
    <cellStyle name="표준 8 2 2 2 3 3 2 3" xfId="30636"/>
    <cellStyle name="표준 8 2 2 2 3 4 3" xfId="30637"/>
    <cellStyle name="표준 8 2 2 2 4 6" xfId="30638"/>
    <cellStyle name="표준 8 2 2 2 4 2 3" xfId="30639"/>
    <cellStyle name="표준 8 2 2 2 5 6" xfId="30640"/>
    <cellStyle name="표준 8 2 2 2 5 2 3" xfId="30641"/>
    <cellStyle name="표준 8 2 2 2 6 3" xfId="30642"/>
    <cellStyle name="표준 8 2 2 3 2 2 6" xfId="30643"/>
    <cellStyle name="표준 8 2 2 3 2 2 2 3" xfId="30644"/>
    <cellStyle name="표준 8 2 2 3 2 3 6" xfId="30645"/>
    <cellStyle name="표준 8 2 2 3 2 3 2 3" xfId="30646"/>
    <cellStyle name="표준 8 2 2 3 2 4 3" xfId="30647"/>
    <cellStyle name="표준 8 2 2 3 3 6" xfId="30648"/>
    <cellStyle name="표준 8 2 2 3 3 2 3" xfId="30649"/>
    <cellStyle name="표준 8 2 2 3 4 6" xfId="30650"/>
    <cellStyle name="표준 8 2 2 3 4 2 3" xfId="30651"/>
    <cellStyle name="표준 8 2 2 3 5 3" xfId="30652"/>
    <cellStyle name="표준 8 2 2 4 2 6" xfId="30653"/>
    <cellStyle name="표준 8 2 2 4 2 2 3" xfId="30654"/>
    <cellStyle name="표준 8 2 2 4 3 6" xfId="30655"/>
    <cellStyle name="표준 8 2 2 4 3 2 3" xfId="30656"/>
    <cellStyle name="표준 8 2 2 4 4 3" xfId="30657"/>
    <cellStyle name="표준 8 2 2 5 6" xfId="30658"/>
    <cellStyle name="표준 8 2 2 5 2 3" xfId="30659"/>
    <cellStyle name="표준 8 2 2 6 6" xfId="30660"/>
    <cellStyle name="표준 8 2 2 6 2 3" xfId="30661"/>
    <cellStyle name="표준 8 2 2 7 3" xfId="30662"/>
    <cellStyle name="표준 8 2 3 2 2 2 2 6" xfId="30663"/>
    <cellStyle name="표준 8 2 3 2 2 2 2 2 3" xfId="30664"/>
    <cellStyle name="표준 8 2 3 2 2 2 3 6" xfId="30665"/>
    <cellStyle name="표준 8 2 3 2 2 2 3 2 3" xfId="30666"/>
    <cellStyle name="표준 8 2 3 2 2 2 4 3" xfId="30667"/>
    <cellStyle name="표준 8 2 3 2 2 3 6" xfId="30668"/>
    <cellStyle name="표준 8 2 3 2 2 3 2 3" xfId="30669"/>
    <cellStyle name="표준 8 2 3 2 2 4 6" xfId="30670"/>
    <cellStyle name="표준 8 2 3 2 2 4 2 3" xfId="30671"/>
    <cellStyle name="표준 8 2 3 2 2 5 3" xfId="30672"/>
    <cellStyle name="표준 8 2 3 2 3 2 6" xfId="30673"/>
    <cellStyle name="표준 8 2 3 2 3 2 2 3" xfId="30674"/>
    <cellStyle name="표준 8 2 3 2 3 3 6" xfId="30675"/>
    <cellStyle name="표준 8 2 3 2 3 3 2 3" xfId="30676"/>
    <cellStyle name="표준 8 2 3 2 3 4 3" xfId="30677"/>
    <cellStyle name="표준 8 2 3 2 4 6" xfId="30678"/>
    <cellStyle name="표준 8 2 3 2 4 2 3" xfId="30679"/>
    <cellStyle name="표준 8 2 3 2 5 6" xfId="30680"/>
    <cellStyle name="표준 8 2 3 2 5 2 3" xfId="30681"/>
    <cellStyle name="표준 8 2 3 2 6 3" xfId="30682"/>
    <cellStyle name="표준 8 2 3 3 2 2 6" xfId="30683"/>
    <cellStyle name="표준 8 2 3 3 2 2 2 3" xfId="30684"/>
    <cellStyle name="표준 8 2 3 3 2 3 6" xfId="30685"/>
    <cellStyle name="표준 8 2 3 3 2 3 2 3" xfId="30686"/>
    <cellStyle name="표준 8 2 3 3 2 4 3" xfId="30687"/>
    <cellStyle name="표준 8 2 3 3 3 6" xfId="30688"/>
    <cellStyle name="표준 8 2 3 3 3 2 3" xfId="30689"/>
    <cellStyle name="표준 8 2 3 3 4 6" xfId="30690"/>
    <cellStyle name="표준 8 2 3 3 4 2 3" xfId="30691"/>
    <cellStyle name="표준 8 2 3 3 5 3" xfId="30692"/>
    <cellStyle name="표준 8 2 3 4 2 6" xfId="30693"/>
    <cellStyle name="표준 8 2 3 4 2 2 3" xfId="30694"/>
    <cellStyle name="표준 8 2 3 4 3 6" xfId="30695"/>
    <cellStyle name="표준 8 2 3 4 3 2 3" xfId="30696"/>
    <cellStyle name="표준 8 2 3 4 4 3" xfId="30697"/>
    <cellStyle name="표준 8 2 3 5 6" xfId="30698"/>
    <cellStyle name="표준 8 2 3 5 2 3" xfId="30699"/>
    <cellStyle name="표준 8 2 3 6 6" xfId="30700"/>
    <cellStyle name="표준 8 2 3 6 2 3" xfId="30701"/>
    <cellStyle name="표준 8 2 3 7 3" xfId="30702"/>
    <cellStyle name="표준 8 2 4 2 2 2 2 6" xfId="30703"/>
    <cellStyle name="표준 8 2 4 2 2 2 2 2 3" xfId="30704"/>
    <cellStyle name="표준 8 2 4 2 2 2 3 6" xfId="30705"/>
    <cellStyle name="표준 8 2 4 2 2 2 3 2 3" xfId="30706"/>
    <cellStyle name="표준 8 2 4 2 2 2 4 3" xfId="30707"/>
    <cellStyle name="표준 8 2 4 2 2 3 6" xfId="30708"/>
    <cellStyle name="표준 8 2 4 2 2 3 2 3" xfId="30709"/>
    <cellStyle name="표준 8 2 4 2 2 4 6" xfId="30710"/>
    <cellStyle name="표준 8 2 4 2 2 4 2 3" xfId="30711"/>
    <cellStyle name="표준 8 2 4 2 2 5 3" xfId="30712"/>
    <cellStyle name="표준 8 2 4 2 3 2 6" xfId="30713"/>
    <cellStyle name="표준 8 2 4 2 3 2 2 3" xfId="30714"/>
    <cellStyle name="표준 8 2 4 2 3 3 6" xfId="30715"/>
    <cellStyle name="표준 8 2 4 2 3 3 2 3" xfId="30716"/>
    <cellStyle name="표준 8 2 4 2 3 4 3" xfId="30717"/>
    <cellStyle name="표준 8 2 4 2 4 6" xfId="30718"/>
    <cellStyle name="표준 8 2 4 2 4 2 3" xfId="30719"/>
    <cellStyle name="표준 8 2 4 2 5 6" xfId="30720"/>
    <cellStyle name="표준 8 2 4 2 5 2 3" xfId="30721"/>
    <cellStyle name="표준 8 2 4 2 6 3" xfId="30722"/>
    <cellStyle name="표준 8 2 4 3 2 2 6" xfId="30723"/>
    <cellStyle name="표준 8 2 4 3 2 2 2 3" xfId="30724"/>
    <cellStyle name="표준 8 2 4 3 2 3 6" xfId="30725"/>
    <cellStyle name="표준 8 2 4 3 2 3 2 3" xfId="30726"/>
    <cellStyle name="표준 8 2 4 3 2 4 3" xfId="30727"/>
    <cellStyle name="표준 8 2 4 3 3 6" xfId="30728"/>
    <cellStyle name="표준 8 2 4 3 3 2 3" xfId="30729"/>
    <cellStyle name="표준 8 2 4 3 4 6" xfId="30730"/>
    <cellStyle name="표준 8 2 4 3 4 2 3" xfId="30731"/>
    <cellStyle name="표준 8 2 4 3 5 3" xfId="30732"/>
    <cellStyle name="표준 8 2 4 4 2 6" xfId="30733"/>
    <cellStyle name="표준 8 2 4 4 2 2 3" xfId="30734"/>
    <cellStyle name="표준 8 2 4 4 3 6" xfId="30735"/>
    <cellStyle name="표준 8 2 4 4 3 2 3" xfId="30736"/>
    <cellStyle name="표준 8 2 4 4 4 3" xfId="30737"/>
    <cellStyle name="표준 8 2 4 5 6" xfId="30738"/>
    <cellStyle name="표준 8 2 4 5 2 3" xfId="30739"/>
    <cellStyle name="표준 8 2 4 6 6" xfId="30740"/>
    <cellStyle name="표준 8 2 4 6 2 3" xfId="30741"/>
    <cellStyle name="표준 8 2 4 7 3" xfId="30742"/>
    <cellStyle name="표준 8 2 5 2 2 2 6" xfId="30743"/>
    <cellStyle name="표준 8 2 5 2 2 2 2 3" xfId="30744"/>
    <cellStyle name="표준 8 2 5 2 2 3 6" xfId="30745"/>
    <cellStyle name="표준 8 2 5 2 2 3 2 3" xfId="30746"/>
    <cellStyle name="표준 8 2 5 2 2 4 3" xfId="30747"/>
    <cellStyle name="표준 8 2 5 2 3 6" xfId="30748"/>
    <cellStyle name="표준 8 2 5 2 3 2 3" xfId="30749"/>
    <cellStyle name="표준 8 2 5 2 4 6" xfId="30750"/>
    <cellStyle name="표준 8 2 5 2 4 2 3" xfId="30751"/>
    <cellStyle name="표준 8 2 5 2 5 3" xfId="30752"/>
    <cellStyle name="표준 8 2 5 3 2 6" xfId="30753"/>
    <cellStyle name="표준 8 2 5 3 2 2 3" xfId="30754"/>
    <cellStyle name="표준 8 2 5 3 3 6" xfId="30755"/>
    <cellStyle name="표준 8 2 5 3 3 2 3" xfId="30756"/>
    <cellStyle name="표준 8 2 5 3 4 3" xfId="30757"/>
    <cellStyle name="표준 8 2 5 4 6" xfId="30758"/>
    <cellStyle name="표준 8 2 5 4 2 3" xfId="30759"/>
    <cellStyle name="표준 8 2 5 5 6" xfId="30760"/>
    <cellStyle name="표준 8 2 5 5 2 3" xfId="30761"/>
    <cellStyle name="표준 8 2 5 6 3" xfId="30762"/>
    <cellStyle name="표준 8 2 6 2 2 6" xfId="30763"/>
    <cellStyle name="표준 8 2 6 2 2 2 3" xfId="30764"/>
    <cellStyle name="표준 8 2 6 2 3 6" xfId="30765"/>
    <cellStyle name="표준 8 2 6 2 3 2 3" xfId="30766"/>
    <cellStyle name="표준 8 2 6 2 4 3" xfId="30767"/>
    <cellStyle name="표준 8 2 6 3 6" xfId="30768"/>
    <cellStyle name="표준 8 2 6 3 2 3" xfId="30769"/>
    <cellStyle name="표준 8 2 6 4 6" xfId="30770"/>
    <cellStyle name="표준 8 2 6 4 2 3" xfId="30771"/>
    <cellStyle name="표준 8 2 6 5 3" xfId="30772"/>
    <cellStyle name="표준 8 2 7 2 6" xfId="30773"/>
    <cellStyle name="표준 8 2 7 2 2 3" xfId="30774"/>
    <cellStyle name="표준 8 2 7 3 6" xfId="30775"/>
    <cellStyle name="표준 8 2 7 3 2 3" xfId="30776"/>
    <cellStyle name="표준 8 2 7 4 3" xfId="30777"/>
    <cellStyle name="표준 8 2 8 6" xfId="30778"/>
    <cellStyle name="표준 8 2 8 2 3" xfId="30779"/>
    <cellStyle name="표준 8 2 9 6" xfId="30780"/>
    <cellStyle name="표준 8 2 9 2 3" xfId="30781"/>
    <cellStyle name="표준 8 4 10 3" xfId="30782"/>
    <cellStyle name="표준 8 4 2 2 2 2 2 6" xfId="30783"/>
    <cellStyle name="표준 8 4 2 2 2 2 2 2 3" xfId="30784"/>
    <cellStyle name="표준 8 4 2 2 2 2 3 6" xfId="30785"/>
    <cellStyle name="표준 8 4 2 2 2 2 3 2 3" xfId="30786"/>
    <cellStyle name="표준 8 4 2 2 2 2 4 3" xfId="30787"/>
    <cellStyle name="표준 8 4 2 2 2 3 6" xfId="30788"/>
    <cellStyle name="표준 8 4 2 2 2 3 2 3" xfId="30789"/>
    <cellStyle name="표준 8 4 2 2 2 4 6" xfId="30790"/>
    <cellStyle name="표준 8 4 2 2 2 4 2 3" xfId="30791"/>
    <cellStyle name="표준 8 4 2 2 2 5 3" xfId="30792"/>
    <cellStyle name="표준 8 4 2 2 3 2 6" xfId="30793"/>
    <cellStyle name="표준 8 4 2 2 3 2 2 3" xfId="30794"/>
    <cellStyle name="표준 8 4 2 2 3 3 6" xfId="30795"/>
    <cellStyle name="표준 8 4 2 2 3 3 2 3" xfId="30796"/>
    <cellStyle name="표준 8 4 2 2 3 4 3" xfId="30797"/>
    <cellStyle name="표준 8 4 2 2 4 6" xfId="30798"/>
    <cellStyle name="표준 8 4 2 2 4 2 3" xfId="30799"/>
    <cellStyle name="표준 8 4 2 2 5 6" xfId="30800"/>
    <cellStyle name="표준 8 4 2 2 5 2 3" xfId="30801"/>
    <cellStyle name="표준 8 4 2 2 6 3" xfId="30802"/>
    <cellStyle name="표준 8 4 2 3 2 2 6" xfId="30803"/>
    <cellStyle name="표준 8 4 2 3 2 2 2 3" xfId="30804"/>
    <cellStyle name="표준 8 4 2 3 2 3 6" xfId="30805"/>
    <cellStyle name="표준 8 4 2 3 2 3 2 3" xfId="30806"/>
    <cellStyle name="표준 8 4 2 3 2 4 3" xfId="30807"/>
    <cellStyle name="표준 8 4 2 3 3 6" xfId="30808"/>
    <cellStyle name="표준 8 4 2 3 3 2 3" xfId="30809"/>
    <cellStyle name="표준 8 4 2 3 4 6" xfId="30810"/>
    <cellStyle name="표준 8 4 2 3 4 2 3" xfId="30811"/>
    <cellStyle name="표준 8 4 2 3 5 3" xfId="30812"/>
    <cellStyle name="표준 8 4 2 4 2 6" xfId="30813"/>
    <cellStyle name="표준 8 4 2 4 2 2 3" xfId="30814"/>
    <cellStyle name="표준 8 4 2 4 3 6" xfId="30815"/>
    <cellStyle name="표준 8 4 2 4 3 2 3" xfId="30816"/>
    <cellStyle name="표준 8 4 2 4 4 3" xfId="30817"/>
    <cellStyle name="표준 8 4 2 5 6" xfId="30818"/>
    <cellStyle name="표준 8 4 2 5 2 3" xfId="30819"/>
    <cellStyle name="표준 8 4 2 6 6" xfId="30820"/>
    <cellStyle name="표준 8 4 2 6 2 3" xfId="30821"/>
    <cellStyle name="표준 8 4 2 7 3" xfId="30822"/>
    <cellStyle name="표준 8 4 3 2 2 2 2 6" xfId="30823"/>
    <cellStyle name="표준 8 4 3 2 2 2 2 2 3" xfId="30824"/>
    <cellStyle name="표준 8 4 3 2 2 2 3 6" xfId="30825"/>
    <cellStyle name="표준 8 4 3 2 2 2 3 2 3" xfId="30826"/>
    <cellStyle name="표준 8 4 3 2 2 2 4 3" xfId="30827"/>
    <cellStyle name="표준 8 4 3 2 2 3 6" xfId="30828"/>
    <cellStyle name="표준 8 4 3 2 2 3 2 3" xfId="30829"/>
    <cellStyle name="표준 8 4 3 2 2 4 6" xfId="30830"/>
    <cellStyle name="표준 8 4 3 2 2 4 2 3" xfId="30831"/>
    <cellStyle name="표준 8 4 3 2 2 5 3" xfId="30832"/>
    <cellStyle name="표준 8 4 3 2 3 2 6" xfId="30833"/>
    <cellStyle name="표준 8 4 3 2 3 2 2 3" xfId="30834"/>
    <cellStyle name="표준 8 4 3 2 3 3 6" xfId="30835"/>
    <cellStyle name="표준 8 4 3 2 3 3 2 3" xfId="30836"/>
    <cellStyle name="표준 8 4 3 2 3 4 3" xfId="30837"/>
    <cellStyle name="표준 8 4 3 2 4 6" xfId="30838"/>
    <cellStyle name="표준 8 4 3 2 4 2 3" xfId="30839"/>
    <cellStyle name="표준 8 4 3 2 5 6" xfId="30840"/>
    <cellStyle name="표준 8 4 3 2 5 2 3" xfId="30841"/>
    <cellStyle name="표준 8 4 3 2 6 3" xfId="30842"/>
    <cellStyle name="표준 8 4 3 3 2 2 6" xfId="30843"/>
    <cellStyle name="표준 8 4 3 3 2 2 2 3" xfId="30844"/>
    <cellStyle name="표준 8 4 3 3 2 3 6" xfId="30845"/>
    <cellStyle name="표준 8 4 3 3 2 3 2 3" xfId="30846"/>
    <cellStyle name="표준 8 4 3 3 2 4 3" xfId="30847"/>
    <cellStyle name="표준 8 4 3 3 3 6" xfId="30848"/>
    <cellStyle name="표준 8 4 3 3 3 2 3" xfId="30849"/>
    <cellStyle name="표준 8 4 3 3 4 6" xfId="30850"/>
    <cellStyle name="표준 8 4 3 3 4 2 3" xfId="30851"/>
    <cellStyle name="표준 8 4 3 3 5 3" xfId="30852"/>
    <cellStyle name="표준 8 4 3 4 2 6" xfId="30853"/>
    <cellStyle name="표준 8 4 3 4 2 2 3" xfId="30854"/>
    <cellStyle name="표준 8 4 3 4 3 6" xfId="30855"/>
    <cellStyle name="표준 8 4 3 4 3 2 3" xfId="30856"/>
    <cellStyle name="표준 8 4 3 4 4 3" xfId="30857"/>
    <cellStyle name="표준 8 4 3 5 6" xfId="30858"/>
    <cellStyle name="표준 8 4 3 5 2 3" xfId="30859"/>
    <cellStyle name="표준 8 4 3 6 6" xfId="30860"/>
    <cellStyle name="표준 8 4 3 6 2 3" xfId="30861"/>
    <cellStyle name="표준 8 4 3 7 3" xfId="30862"/>
    <cellStyle name="표준 8 4 4 2 2 2 2 6" xfId="30863"/>
    <cellStyle name="표준 8 4 4 2 2 2 2 2 3" xfId="30864"/>
    <cellStyle name="표준 8 4 4 2 2 2 3 6" xfId="30865"/>
    <cellStyle name="표준 8 4 4 2 2 2 3 2 3" xfId="30866"/>
    <cellStyle name="표준 8 4 4 2 2 2 4 3" xfId="30867"/>
    <cellStyle name="표준 8 4 4 2 2 3 6" xfId="30868"/>
    <cellStyle name="표준 8 4 4 2 2 3 2 3" xfId="30869"/>
    <cellStyle name="표준 8 4 4 2 2 4 6" xfId="30870"/>
    <cellStyle name="표준 8 4 4 2 2 4 2 3" xfId="30871"/>
    <cellStyle name="표준 8 4 4 2 2 5 3" xfId="30872"/>
    <cellStyle name="표준 8 4 4 2 3 2 6" xfId="30873"/>
    <cellStyle name="표준 8 4 4 2 3 2 2 3" xfId="30874"/>
    <cellStyle name="표준 8 4 4 2 3 3 6" xfId="30875"/>
    <cellStyle name="표준 8 4 4 2 3 3 2 3" xfId="30876"/>
    <cellStyle name="표준 8 4 4 2 3 4 3" xfId="30877"/>
    <cellStyle name="표준 8 4 4 2 4 6" xfId="30878"/>
    <cellStyle name="표준 8 4 4 2 4 2 3" xfId="30879"/>
    <cellStyle name="표준 8 4 4 2 5 6" xfId="30880"/>
    <cellStyle name="표준 8 4 4 2 5 2 3" xfId="30881"/>
    <cellStyle name="표준 8 4 4 2 6 3" xfId="30882"/>
    <cellStyle name="표준 8 4 4 3 2 2 6" xfId="30883"/>
    <cellStyle name="표준 8 4 4 3 2 2 2 3" xfId="30884"/>
    <cellStyle name="표준 8 4 4 3 2 3 6" xfId="30885"/>
    <cellStyle name="표준 8 4 4 3 2 3 2 3" xfId="30886"/>
    <cellStyle name="표준 8 4 4 3 2 4 3" xfId="30887"/>
    <cellStyle name="표준 8 4 4 3 3 6" xfId="30888"/>
    <cellStyle name="표준 8 4 4 3 3 2 3" xfId="30889"/>
    <cellStyle name="표준 8 4 4 3 4 6" xfId="30890"/>
    <cellStyle name="표준 8 4 4 3 4 2 3" xfId="30891"/>
    <cellStyle name="표준 8 4 4 3 5 3" xfId="30892"/>
    <cellStyle name="표준 8 4 4 4 2 6" xfId="30893"/>
    <cellStyle name="표준 8 4 4 4 2 2 3" xfId="30894"/>
    <cellStyle name="표준 8 4 4 4 3 6" xfId="30895"/>
    <cellStyle name="표준 8 4 4 4 3 2 3" xfId="30896"/>
    <cellStyle name="표준 8 4 4 4 4 3" xfId="30897"/>
    <cellStyle name="표준 8 4 4 5 6" xfId="30898"/>
    <cellStyle name="표준 8 4 4 5 2 3" xfId="30899"/>
    <cellStyle name="표준 8 4 4 6 6" xfId="30900"/>
    <cellStyle name="표준 8 4 4 6 2 3" xfId="30901"/>
    <cellStyle name="표준 8 4 4 7 3" xfId="30902"/>
    <cellStyle name="표준 8 4 5 2 2 2 6" xfId="30903"/>
    <cellStyle name="표준 8 4 5 2 2 2 2 3" xfId="30904"/>
    <cellStyle name="표준 8 4 5 2 2 3 6" xfId="30905"/>
    <cellStyle name="표준 8 4 5 2 2 3 2 3" xfId="30906"/>
    <cellStyle name="표준 8 4 5 2 2 4 3" xfId="30907"/>
    <cellStyle name="표준 8 4 5 2 3 6" xfId="30908"/>
    <cellStyle name="표준 8 4 5 2 3 2 3" xfId="30909"/>
    <cellStyle name="표준 8 4 5 2 4 6" xfId="30910"/>
    <cellStyle name="표준 8 4 5 2 4 2 3" xfId="30911"/>
    <cellStyle name="표준 8 4 5 2 5 3" xfId="30912"/>
    <cellStyle name="표준 8 4 5 3 2 6" xfId="30913"/>
    <cellStyle name="표준 8 4 5 3 2 2 3" xfId="30914"/>
    <cellStyle name="표준 8 4 5 3 3 6" xfId="30915"/>
    <cellStyle name="표준 8 4 5 3 3 2 3" xfId="30916"/>
    <cellStyle name="표준 8 4 5 3 4 3" xfId="30917"/>
    <cellStyle name="표준 8 4 5 4 6" xfId="30918"/>
    <cellStyle name="표준 8 4 5 4 2 3" xfId="30919"/>
    <cellStyle name="표준 8 4 5 5 6" xfId="30920"/>
    <cellStyle name="표준 8 4 5 5 2 3" xfId="30921"/>
    <cellStyle name="표준 8 4 5 6 3" xfId="30922"/>
    <cellStyle name="표준 8 4 6 2 2 6" xfId="30923"/>
    <cellStyle name="표준 8 4 6 2 2 2 3" xfId="30924"/>
    <cellStyle name="표준 8 4 6 2 3 6" xfId="30925"/>
    <cellStyle name="표준 8 4 6 2 3 2 3" xfId="30926"/>
    <cellStyle name="표준 8 4 6 2 4 3" xfId="30927"/>
    <cellStyle name="표준 8 4 6 3 6" xfId="30928"/>
    <cellStyle name="표준 8 4 6 3 2 3" xfId="30929"/>
    <cellStyle name="표준 8 4 6 4 6" xfId="30930"/>
    <cellStyle name="표준 8 4 6 4 2 3" xfId="30931"/>
    <cellStyle name="표준 8 4 6 5 3" xfId="30932"/>
    <cellStyle name="표준 8 4 7 2 6" xfId="30933"/>
    <cellStyle name="표준 8 4 7 2 2 3" xfId="30934"/>
    <cellStyle name="표준 8 4 7 3 6" xfId="30935"/>
    <cellStyle name="표준 8 4 7 3 2 3" xfId="30936"/>
    <cellStyle name="표준 8 4 7 4 3" xfId="30937"/>
    <cellStyle name="표준 8 4 8 6" xfId="30938"/>
    <cellStyle name="표준 8 4 8 2 3" xfId="30939"/>
    <cellStyle name="표준 8 4 9 6" xfId="30940"/>
    <cellStyle name="표준 8 4 9 2 3" xfId="30941"/>
    <cellStyle name="표준 8 5 10 3" xfId="30942"/>
    <cellStyle name="표준 8 5 2 2 2 2 2 6" xfId="30943"/>
    <cellStyle name="표준 8 5 2 2 2 2 2 2 3" xfId="30944"/>
    <cellStyle name="표준 8 5 2 2 2 2 3 6" xfId="30945"/>
    <cellStyle name="표준 8 5 2 2 2 2 3 2 3" xfId="30946"/>
    <cellStyle name="표준 8 5 2 2 2 2 4 3" xfId="30947"/>
    <cellStyle name="표준 8 5 2 2 2 3 6" xfId="30948"/>
    <cellStyle name="표준 8 5 2 2 2 3 2 3" xfId="30949"/>
    <cellStyle name="표준 8 5 2 2 2 4 6" xfId="30950"/>
    <cellStyle name="표준 8 5 2 2 2 4 2 3" xfId="30951"/>
    <cellStyle name="표준 8 5 2 2 2 5 3" xfId="30952"/>
    <cellStyle name="표준 8 5 2 2 3 2 6" xfId="30953"/>
    <cellStyle name="표준 8 5 2 2 3 2 2 3" xfId="30954"/>
    <cellStyle name="표준 8 5 2 2 3 3 6" xfId="30955"/>
    <cellStyle name="표준 8 5 2 2 3 3 2 3" xfId="30956"/>
    <cellStyle name="표준 8 5 2 2 3 4 3" xfId="30957"/>
    <cellStyle name="표준 8 5 2 2 4 6" xfId="30958"/>
    <cellStyle name="표준 8 5 2 2 4 2 3" xfId="30959"/>
    <cellStyle name="표준 8 5 2 2 5 6" xfId="30960"/>
    <cellStyle name="표준 8 5 2 2 5 2 3" xfId="30961"/>
    <cellStyle name="표준 8 5 2 2 6 3" xfId="30962"/>
    <cellStyle name="표준 8 5 2 3 2 2 6" xfId="30963"/>
    <cellStyle name="표준 8 5 2 3 2 2 2 3" xfId="30964"/>
    <cellStyle name="표준 8 5 2 3 2 3 6" xfId="30965"/>
    <cellStyle name="표준 8 5 2 3 2 3 2 3" xfId="30966"/>
    <cellStyle name="표준 8 5 2 3 2 4 3" xfId="30967"/>
    <cellStyle name="표준 8 5 2 3 3 6" xfId="30968"/>
    <cellStyle name="표준 8 5 2 3 3 2 3" xfId="30969"/>
    <cellStyle name="표준 8 5 2 3 4 6" xfId="30970"/>
    <cellStyle name="표준 8 5 2 3 4 2 3" xfId="30971"/>
    <cellStyle name="표준 8 5 2 3 5 3" xfId="30972"/>
    <cellStyle name="표준 8 5 2 4 2 6" xfId="30973"/>
    <cellStyle name="표준 8 5 2 4 2 2 3" xfId="30974"/>
    <cellStyle name="표준 8 5 2 4 3 6" xfId="30975"/>
    <cellStyle name="표준 8 5 2 4 3 2 3" xfId="30976"/>
    <cellStyle name="표준 8 5 2 4 4 3" xfId="30977"/>
    <cellStyle name="표준 8 5 2 5 6" xfId="30978"/>
    <cellStyle name="표준 8 5 2 5 2 3" xfId="30979"/>
    <cellStyle name="표준 8 5 2 6 6" xfId="30980"/>
    <cellStyle name="표준 8 5 2 6 2 3" xfId="30981"/>
    <cellStyle name="표준 8 5 2 7 3" xfId="30982"/>
    <cellStyle name="표준 8 5 3 2 2 2 2 6" xfId="30983"/>
    <cellStyle name="표준 8 5 3 2 2 2 2 2 3" xfId="30984"/>
    <cellStyle name="표준 8 5 3 2 2 2 3 6" xfId="30985"/>
    <cellStyle name="표준 8 5 3 2 2 2 3 2 3" xfId="30986"/>
    <cellStyle name="표준 8 5 3 2 2 2 4 3" xfId="30987"/>
    <cellStyle name="표준 8 5 3 2 2 3 6" xfId="30988"/>
    <cellStyle name="표준 8 5 3 2 2 3 2 3" xfId="30989"/>
    <cellStyle name="표준 8 5 3 2 2 4 6" xfId="30990"/>
    <cellStyle name="표준 8 5 3 2 2 4 2 3" xfId="30991"/>
    <cellStyle name="표준 8 5 3 2 2 5 3" xfId="30992"/>
    <cellStyle name="표준 8 5 3 2 3 2 6" xfId="30993"/>
    <cellStyle name="표준 8 5 3 2 3 2 2 3" xfId="30994"/>
    <cellStyle name="표준 8 5 3 2 3 3 6" xfId="30995"/>
    <cellStyle name="표준 8 5 3 2 3 3 2 3" xfId="30996"/>
    <cellStyle name="표준 8 5 3 2 3 4 3" xfId="30997"/>
    <cellStyle name="표준 8 5 3 2 4 6" xfId="30998"/>
    <cellStyle name="표준 8 5 3 2 4 2 3" xfId="30999"/>
    <cellStyle name="표준 8 5 3 2 5 6" xfId="31000"/>
    <cellStyle name="표준 8 5 3 2 5 2 3" xfId="31001"/>
    <cellStyle name="표준 8 5 3 2 6 3" xfId="31002"/>
    <cellStyle name="표준 8 5 3 3 2 2 6" xfId="31003"/>
    <cellStyle name="표준 8 5 3 3 2 2 2 3" xfId="31004"/>
    <cellStyle name="표준 8 5 3 3 2 3 6" xfId="31005"/>
    <cellStyle name="표준 8 5 3 3 2 3 2 3" xfId="31006"/>
    <cellStyle name="표준 8 5 3 3 2 4 3" xfId="31007"/>
    <cellStyle name="표준 8 5 3 3 3 6" xfId="31008"/>
    <cellStyle name="표준 8 5 3 3 3 2 3" xfId="31009"/>
    <cellStyle name="표준 8 5 3 3 4 6" xfId="31010"/>
    <cellStyle name="표준 8 5 3 3 4 2 3" xfId="31011"/>
    <cellStyle name="표준 8 5 3 3 5 3" xfId="31012"/>
    <cellStyle name="표준 8 5 3 4 2 6" xfId="31013"/>
    <cellStyle name="표준 8 5 3 4 2 2 3" xfId="31014"/>
    <cellStyle name="표준 8 5 3 4 3 6" xfId="31015"/>
    <cellStyle name="표준 8 5 3 4 3 2 3" xfId="31016"/>
    <cellStyle name="표준 8 5 3 4 4 3" xfId="31017"/>
    <cellStyle name="표준 8 5 3 5 6" xfId="31018"/>
    <cellStyle name="표준 8 5 3 5 2 3" xfId="31019"/>
    <cellStyle name="표준 8 5 3 6 6" xfId="31020"/>
    <cellStyle name="표준 8 5 3 6 2 3" xfId="31021"/>
    <cellStyle name="표준 8 5 3 7 3" xfId="31022"/>
    <cellStyle name="표준 8 5 4 2 2 2 2 6" xfId="31023"/>
    <cellStyle name="표준 8 5 4 2 2 2 2 2 3" xfId="31024"/>
    <cellStyle name="표준 8 5 4 2 2 2 3 6" xfId="31025"/>
    <cellStyle name="표준 8 5 4 2 2 2 3 2 3" xfId="31026"/>
    <cellStyle name="표준 8 5 4 2 2 2 4 3" xfId="31027"/>
    <cellStyle name="표준 8 5 4 2 2 3 6" xfId="31028"/>
    <cellStyle name="표준 8 5 4 2 2 3 2 3" xfId="31029"/>
    <cellStyle name="표준 8 5 4 2 2 4 6" xfId="31030"/>
    <cellStyle name="표준 8 5 4 2 2 4 2 3" xfId="31031"/>
    <cellStyle name="표준 8 5 4 2 2 5 3" xfId="31032"/>
    <cellStyle name="표준 8 5 4 2 3 2 6" xfId="31033"/>
    <cellStyle name="표준 8 5 4 2 3 2 2 3" xfId="31034"/>
    <cellStyle name="표준 8 5 4 2 3 3 6" xfId="31035"/>
    <cellStyle name="표준 8 5 4 2 3 3 2 3" xfId="31036"/>
    <cellStyle name="표준 8 5 4 2 3 4 3" xfId="31037"/>
    <cellStyle name="표준 8 5 4 2 4 6" xfId="31038"/>
    <cellStyle name="표준 8 5 4 2 4 2 3" xfId="31039"/>
    <cellStyle name="표준 8 5 4 2 5 6" xfId="31040"/>
    <cellStyle name="표준 8 5 4 2 5 2 3" xfId="31041"/>
    <cellStyle name="표준 8 5 4 2 6 3" xfId="31042"/>
    <cellStyle name="표준 8 5 4 3 2 2 6" xfId="31043"/>
    <cellStyle name="표준 8 5 4 3 2 2 2 3" xfId="31044"/>
    <cellStyle name="표준 8 5 4 3 2 3 6" xfId="31045"/>
    <cellStyle name="표준 8 5 4 3 2 3 2 3" xfId="31046"/>
    <cellStyle name="표준 8 5 4 3 2 4 3" xfId="31047"/>
    <cellStyle name="표준 8 5 4 3 3 6" xfId="31048"/>
    <cellStyle name="표준 8 5 4 3 3 2 3" xfId="31049"/>
    <cellStyle name="표준 8 5 4 3 4 6" xfId="31050"/>
    <cellStyle name="표준 8 5 4 3 4 2 3" xfId="31051"/>
    <cellStyle name="표준 8 5 4 3 5 3" xfId="31052"/>
    <cellStyle name="표준 8 5 4 4 2 6" xfId="31053"/>
    <cellStyle name="표준 8 5 4 4 2 2 3" xfId="31054"/>
    <cellStyle name="표준 8 5 4 4 3 6" xfId="31055"/>
    <cellStyle name="표준 8 5 4 4 3 2 3" xfId="31056"/>
    <cellStyle name="표준 8 5 4 4 4 3" xfId="31057"/>
    <cellStyle name="표준 8 5 4 5 6" xfId="31058"/>
    <cellStyle name="표준 8 5 4 5 2 3" xfId="31059"/>
    <cellStyle name="표준 8 5 4 6 6" xfId="31060"/>
    <cellStyle name="표준 8 5 4 6 2 3" xfId="31061"/>
    <cellStyle name="표준 8 5 4 7 3" xfId="31062"/>
    <cellStyle name="표준 8 5 5 2 2 2 6" xfId="31063"/>
    <cellStyle name="표준 8 5 5 2 2 2 2 3" xfId="31064"/>
    <cellStyle name="표준 8 5 5 2 2 3 6" xfId="31065"/>
    <cellStyle name="표준 8 5 5 2 2 3 2 3" xfId="31066"/>
    <cellStyle name="표준 8 5 5 2 2 4 3" xfId="31067"/>
    <cellStyle name="표준 8 5 5 2 3 6" xfId="31068"/>
    <cellStyle name="표준 8 5 5 2 3 2 3" xfId="31069"/>
    <cellStyle name="표준 8 5 5 2 4 6" xfId="31070"/>
    <cellStyle name="표준 8 5 5 2 4 2 3" xfId="31071"/>
    <cellStyle name="표준 8 5 5 2 5 3" xfId="31072"/>
    <cellStyle name="표준 8 5 5 3 2 6" xfId="31073"/>
    <cellStyle name="표준 8 5 5 3 2 2 3" xfId="31074"/>
    <cellStyle name="표준 8 5 5 3 3 6" xfId="31075"/>
    <cellStyle name="표준 8 5 5 3 3 2 3" xfId="31076"/>
    <cellStyle name="표준 8 5 5 3 4 3" xfId="31077"/>
    <cellStyle name="표준 8 5 5 4 6" xfId="31078"/>
    <cellStyle name="표준 8 5 5 4 2 3" xfId="31079"/>
    <cellStyle name="표준 8 5 5 5 6" xfId="31080"/>
    <cellStyle name="표준 8 5 5 5 2 3" xfId="31081"/>
    <cellStyle name="표준 8 5 5 6 3" xfId="31082"/>
    <cellStyle name="표준 8 5 6 2 2 6" xfId="31083"/>
    <cellStyle name="표준 8 5 6 2 2 2 3" xfId="31084"/>
    <cellStyle name="표준 8 5 6 2 3 6" xfId="31085"/>
    <cellStyle name="표준 8 5 6 2 3 2 3" xfId="31086"/>
    <cellStyle name="표준 8 5 6 2 4 3" xfId="31087"/>
    <cellStyle name="표준 8 5 6 3 6" xfId="31088"/>
    <cellStyle name="표준 8 5 6 3 2 3" xfId="31089"/>
    <cellStyle name="표준 8 5 6 4 6" xfId="31090"/>
    <cellStyle name="표준 8 5 6 4 2 3" xfId="31091"/>
    <cellStyle name="표준 8 5 6 5 3" xfId="31092"/>
    <cellStyle name="표준 8 5 7 2 6" xfId="31093"/>
    <cellStyle name="표준 8 5 7 2 2 3" xfId="31094"/>
    <cellStyle name="표준 8 5 7 3 6" xfId="31095"/>
    <cellStyle name="표준 8 5 7 3 2 3" xfId="31096"/>
    <cellStyle name="표준 8 5 7 4 3" xfId="31097"/>
    <cellStyle name="표준 8 5 8 6" xfId="31098"/>
    <cellStyle name="표준 8 5 8 2 3" xfId="31099"/>
    <cellStyle name="표준 8 5 9 6" xfId="31100"/>
    <cellStyle name="표준 8 5 9 2 3" xfId="31101"/>
    <cellStyle name="표준 8 6 10 3" xfId="31102"/>
    <cellStyle name="표준 8 6 2 2 2 2 2 6" xfId="31103"/>
    <cellStyle name="표준 8 6 2 2 2 2 2 2 3" xfId="31104"/>
    <cellStyle name="표준 8 6 2 2 2 2 3 6" xfId="31105"/>
    <cellStyle name="표준 8 6 2 2 2 2 3 2 3" xfId="31106"/>
    <cellStyle name="표준 8 6 2 2 2 2 4 3" xfId="31107"/>
    <cellStyle name="표준 8 6 2 2 2 3 6" xfId="31108"/>
    <cellStyle name="표준 8 6 2 2 2 3 2 3" xfId="31109"/>
    <cellStyle name="표준 8 6 2 2 2 4 6" xfId="31110"/>
    <cellStyle name="표준 8 6 2 2 2 4 2 3" xfId="31111"/>
    <cellStyle name="표준 8 6 2 2 2 5 3" xfId="31112"/>
    <cellStyle name="표준 8 6 2 2 3 2 6" xfId="31113"/>
    <cellStyle name="표준 8 6 2 2 3 2 2 3" xfId="31114"/>
    <cellStyle name="표준 8 6 2 2 3 3 6" xfId="31115"/>
    <cellStyle name="표준 8 6 2 2 3 3 2 3" xfId="31116"/>
    <cellStyle name="표준 8 6 2 2 3 4 3" xfId="31117"/>
    <cellStyle name="표준 8 6 2 2 4 6" xfId="31118"/>
    <cellStyle name="표준 8 6 2 2 4 2 3" xfId="31119"/>
    <cellStyle name="표준 8 6 2 2 5 6" xfId="31120"/>
    <cellStyle name="표준 8 6 2 2 5 2 3" xfId="31121"/>
    <cellStyle name="표준 8 6 2 2 6 3" xfId="31122"/>
    <cellStyle name="표준 8 6 2 3 2 2 6" xfId="31123"/>
    <cellStyle name="표준 8 6 2 3 2 2 2 3" xfId="31124"/>
    <cellStyle name="표준 8 6 2 3 2 3 6" xfId="31125"/>
    <cellStyle name="표준 8 6 2 3 2 3 2 3" xfId="31126"/>
    <cellStyle name="표준 8 6 2 3 2 4 3" xfId="31127"/>
    <cellStyle name="표준 8 6 2 3 3 6" xfId="31128"/>
    <cellStyle name="표준 8 6 2 3 3 2 3" xfId="31129"/>
    <cellStyle name="표준 8 6 2 3 4 6" xfId="31130"/>
    <cellStyle name="표준 8 6 2 3 4 2 3" xfId="31131"/>
    <cellStyle name="표준 8 6 2 3 5 3" xfId="31132"/>
    <cellStyle name="표준 8 6 2 4 2 6" xfId="31133"/>
    <cellStyle name="표준 8 6 2 4 2 2 3" xfId="31134"/>
    <cellStyle name="표준 8 6 2 4 3 6" xfId="31135"/>
    <cellStyle name="표준 8 6 2 4 3 2 3" xfId="31136"/>
    <cellStyle name="표준 8 6 2 4 4 3" xfId="31137"/>
    <cellStyle name="표준 8 6 2 5 6" xfId="31138"/>
    <cellStyle name="표준 8 6 2 5 2 3" xfId="31139"/>
    <cellStyle name="표준 8 6 2 6 6" xfId="31140"/>
    <cellStyle name="표준 8 6 2 6 2 3" xfId="31141"/>
    <cellStyle name="표준 8 6 2 7 3" xfId="31142"/>
    <cellStyle name="표준 8 6 3 2 2 2 2 6" xfId="31143"/>
    <cellStyle name="표준 8 6 3 2 2 2 2 2 3" xfId="31144"/>
    <cellStyle name="표준 8 6 3 2 2 2 3 6" xfId="31145"/>
    <cellStyle name="표준 8 6 3 2 2 2 3 2 3" xfId="31146"/>
    <cellStyle name="표준 8 6 3 2 2 2 4 3" xfId="31147"/>
    <cellStyle name="표준 8 6 3 2 2 3 6" xfId="31148"/>
    <cellStyle name="표준 8 6 3 2 2 3 2 3" xfId="31149"/>
    <cellStyle name="표준 8 6 3 2 2 4 6" xfId="31150"/>
    <cellStyle name="표준 8 6 3 2 2 4 2 3" xfId="31151"/>
    <cellStyle name="표준 8 6 3 2 2 5 3" xfId="31152"/>
    <cellStyle name="표준 8 6 3 2 3 2 6" xfId="31153"/>
    <cellStyle name="표준 8 6 3 2 3 2 2 3" xfId="31154"/>
    <cellStyle name="표준 8 6 3 2 3 3 6" xfId="31155"/>
    <cellStyle name="표준 8 6 3 2 3 3 2 3" xfId="31156"/>
    <cellStyle name="표준 8 6 3 2 3 4 3" xfId="31157"/>
    <cellStyle name="표준 8 6 3 2 4 6" xfId="31158"/>
    <cellStyle name="표준 8 6 3 2 4 2 3" xfId="31159"/>
    <cellStyle name="표준 8 6 3 2 5 6" xfId="31160"/>
    <cellStyle name="표준 8 6 3 2 5 2 3" xfId="31161"/>
    <cellStyle name="표준 8 6 3 2 6 3" xfId="31162"/>
    <cellStyle name="표준 8 6 3 3 2 2 6" xfId="31163"/>
    <cellStyle name="표준 8 6 3 3 2 2 2 3" xfId="31164"/>
    <cellStyle name="표준 8 6 3 3 2 3 6" xfId="31165"/>
    <cellStyle name="표준 8 6 3 3 2 3 2 3" xfId="31166"/>
    <cellStyle name="표준 8 6 3 3 2 4 3" xfId="31167"/>
    <cellStyle name="표준 8 6 3 3 3 6" xfId="31168"/>
    <cellStyle name="표준 8 6 3 3 3 2 3" xfId="31169"/>
    <cellStyle name="표준 8 6 3 3 4 6" xfId="31170"/>
    <cellStyle name="표준 8 6 3 3 4 2 3" xfId="31171"/>
    <cellStyle name="표준 8 6 3 3 5 3" xfId="31172"/>
    <cellStyle name="표준 8 6 3 4 2 6" xfId="31173"/>
    <cellStyle name="표준 8 6 3 4 2 2 3" xfId="31174"/>
    <cellStyle name="표준 8 6 3 4 3 6" xfId="31175"/>
    <cellStyle name="표준 8 6 3 4 3 2 3" xfId="31176"/>
    <cellStyle name="표준 8 6 3 4 4 3" xfId="31177"/>
    <cellStyle name="표준 8 6 3 5 6" xfId="31178"/>
    <cellStyle name="표준 8 6 3 5 2 3" xfId="31179"/>
    <cellStyle name="표준 8 6 3 6 6" xfId="31180"/>
    <cellStyle name="표준 8 6 3 6 2 3" xfId="31181"/>
    <cellStyle name="표준 8 6 3 7 3" xfId="31182"/>
    <cellStyle name="표준 8 6 4 2 2 2 2 6" xfId="31183"/>
    <cellStyle name="표준 8 6 4 2 2 2 2 2 3" xfId="31184"/>
    <cellStyle name="표준 8 6 4 2 2 2 3 6" xfId="31185"/>
    <cellStyle name="표준 8 6 4 2 2 2 3 2 3" xfId="31186"/>
    <cellStyle name="표준 8 6 4 2 2 2 4 3" xfId="31187"/>
    <cellStyle name="표준 8 6 4 2 2 3 6" xfId="31188"/>
    <cellStyle name="표준 8 6 4 2 2 3 2 3" xfId="31189"/>
    <cellStyle name="표준 8 6 4 2 2 4 6" xfId="31190"/>
    <cellStyle name="표준 8 6 4 2 2 4 2 3" xfId="31191"/>
    <cellStyle name="표준 8 6 4 2 2 5 3" xfId="31192"/>
    <cellStyle name="표준 8 6 4 2 3 2 6" xfId="31193"/>
    <cellStyle name="표준 8 6 4 2 3 2 2 3" xfId="31194"/>
    <cellStyle name="표준 8 6 4 2 3 3 6" xfId="31195"/>
    <cellStyle name="표준 8 6 4 2 3 3 2 3" xfId="31196"/>
    <cellStyle name="표준 8 6 4 2 3 4 3" xfId="31197"/>
    <cellStyle name="표준 8 6 4 2 4 6" xfId="31198"/>
    <cellStyle name="표준 8 6 4 2 4 2 3" xfId="31199"/>
    <cellStyle name="표준 8 6 4 2 5 6" xfId="31200"/>
    <cellStyle name="표준 8 6 4 2 5 2 3" xfId="31201"/>
    <cellStyle name="표준 8 6 4 2 6 3" xfId="31202"/>
    <cellStyle name="표준 8 6 4 3 2 2 6" xfId="31203"/>
    <cellStyle name="표준 8 6 4 3 2 2 2 3" xfId="31204"/>
    <cellStyle name="표준 8 6 4 3 2 3 6" xfId="31205"/>
    <cellStyle name="표준 8 6 4 3 2 3 2 3" xfId="31206"/>
    <cellStyle name="표준 8 6 4 3 2 4 3" xfId="31207"/>
    <cellStyle name="표준 8 6 4 3 3 6" xfId="31208"/>
    <cellStyle name="표준 8 6 4 3 3 2 3" xfId="31209"/>
    <cellStyle name="표준 8 6 4 3 4 6" xfId="31210"/>
    <cellStyle name="표준 8 6 4 3 4 2 3" xfId="31211"/>
    <cellStyle name="표준 8 6 4 3 5 3" xfId="31212"/>
    <cellStyle name="표준 8 6 4 4 2 6" xfId="31213"/>
    <cellStyle name="표준 8 6 4 4 2 2 3" xfId="31214"/>
    <cellStyle name="표준 8 6 4 4 3 6" xfId="31215"/>
    <cellStyle name="표준 8 6 4 4 3 2 3" xfId="31216"/>
    <cellStyle name="표준 8 6 4 4 4 3" xfId="31217"/>
    <cellStyle name="표준 8 6 4 5 6" xfId="31218"/>
    <cellStyle name="표준 8 6 4 5 2 3" xfId="31219"/>
    <cellStyle name="표준 8 6 4 6 6" xfId="31220"/>
    <cellStyle name="표준 8 6 4 6 2 3" xfId="31221"/>
    <cellStyle name="표준 8 6 4 7 3" xfId="31222"/>
    <cellStyle name="표준 8 6 5 2 2 2 6" xfId="31223"/>
    <cellStyle name="표준 8 6 5 2 2 2 2 3" xfId="31224"/>
    <cellStyle name="표준 8 6 5 2 2 3 6" xfId="31225"/>
    <cellStyle name="표준 8 6 5 2 2 3 2 3" xfId="31226"/>
    <cellStyle name="표준 8 6 5 2 2 4 3" xfId="31227"/>
    <cellStyle name="표준 8 6 5 2 3 6" xfId="31228"/>
    <cellStyle name="표준 8 6 5 2 3 2 3" xfId="31229"/>
    <cellStyle name="표준 8 6 5 2 4 6" xfId="31230"/>
    <cellStyle name="표준 8 6 5 2 4 2 3" xfId="31231"/>
    <cellStyle name="표준 8 6 5 2 5 3" xfId="31232"/>
    <cellStyle name="표준 8 6 5 3 2 6" xfId="31233"/>
    <cellStyle name="표준 8 6 5 3 2 2 3" xfId="31234"/>
    <cellStyle name="표준 8 6 5 3 3 6" xfId="31235"/>
    <cellStyle name="표준 8 6 5 3 3 2 3" xfId="31236"/>
    <cellStyle name="표준 8 6 5 3 4 3" xfId="31237"/>
    <cellStyle name="표준 8 6 5 4 6" xfId="31238"/>
    <cellStyle name="표준 8 6 5 4 2 3" xfId="31239"/>
    <cellStyle name="표준 8 6 5 5 6" xfId="31240"/>
    <cellStyle name="표준 8 6 5 5 2 3" xfId="31241"/>
    <cellStyle name="표준 8 6 5 6 3" xfId="31242"/>
    <cellStyle name="표준 8 6 6 2 2 6" xfId="31243"/>
    <cellStyle name="표준 8 6 6 2 2 2 3" xfId="31244"/>
    <cellStyle name="표준 8 6 6 2 3 6" xfId="31245"/>
    <cellStyle name="표준 8 6 6 2 3 2 3" xfId="31246"/>
    <cellStyle name="표준 8 6 6 2 4 3" xfId="31247"/>
    <cellStyle name="표준 8 6 6 3 6" xfId="31248"/>
    <cellStyle name="표준 8 6 6 3 2 3" xfId="31249"/>
    <cellStyle name="표준 8 6 6 4 6" xfId="31250"/>
    <cellStyle name="표준 8 6 6 4 2 3" xfId="31251"/>
    <cellStyle name="표준 8 6 6 5 3" xfId="31252"/>
    <cellStyle name="표준 8 6 7 2 6" xfId="31253"/>
    <cellStyle name="표준 8 6 7 2 2 3" xfId="31254"/>
    <cellStyle name="표준 8 6 7 3 6" xfId="31255"/>
    <cellStyle name="표준 8 6 7 3 2 3" xfId="31256"/>
    <cellStyle name="표준 8 6 7 4 3" xfId="31257"/>
    <cellStyle name="표준 8 6 8 6" xfId="31258"/>
    <cellStyle name="표준 8 6 8 2 3" xfId="31259"/>
    <cellStyle name="표준 8 6 9 6" xfId="31260"/>
    <cellStyle name="표준 8 6 9 2 3" xfId="31261"/>
    <cellStyle name="표준 8 7 10 3" xfId="31262"/>
    <cellStyle name="표준 8 7 2 2 2 2 2 6" xfId="31263"/>
    <cellStyle name="표준 8 7 2 2 2 2 2 2 3" xfId="31264"/>
    <cellStyle name="표준 8 7 2 2 2 2 3 6" xfId="31265"/>
    <cellStyle name="표준 8 7 2 2 2 2 3 2 3" xfId="31266"/>
    <cellStyle name="표준 8 7 2 2 2 2 4 3" xfId="31267"/>
    <cellStyle name="표준 8 7 2 2 2 3 6" xfId="31268"/>
    <cellStyle name="표준 8 7 2 2 2 3 2 3" xfId="31269"/>
    <cellStyle name="표준 8 7 2 2 2 4 6" xfId="31270"/>
    <cellStyle name="표준 8 7 2 2 2 4 2 3" xfId="31271"/>
    <cellStyle name="표준 8 7 2 2 2 5 3" xfId="31272"/>
    <cellStyle name="표준 8 7 2 2 3 2 6" xfId="31273"/>
    <cellStyle name="표준 8 7 2 2 3 2 2 3" xfId="31274"/>
    <cellStyle name="표준 8 7 2 2 3 3 6" xfId="31275"/>
    <cellStyle name="표준 8 7 2 2 3 3 2 3" xfId="31276"/>
    <cellStyle name="표준 8 7 2 2 3 4 3" xfId="31277"/>
    <cellStyle name="표준 8 7 2 2 4 6" xfId="31278"/>
    <cellStyle name="표준 8 7 2 2 4 2 3" xfId="31279"/>
    <cellStyle name="표준 8 7 2 2 5 6" xfId="31280"/>
    <cellStyle name="표준 8 7 2 2 5 2 3" xfId="31281"/>
    <cellStyle name="표준 8 7 2 2 6 3" xfId="31282"/>
    <cellStyle name="표준 8 7 2 3 2 2 6" xfId="31283"/>
    <cellStyle name="표준 8 7 2 3 2 2 2 3" xfId="31284"/>
    <cellStyle name="표준 8 7 2 3 2 3 6" xfId="31285"/>
    <cellStyle name="표준 8 7 2 3 2 3 2 3" xfId="31286"/>
    <cellStyle name="표준 8 7 2 3 2 4 3" xfId="31287"/>
    <cellStyle name="표준 8 7 2 3 3 6" xfId="31288"/>
    <cellStyle name="표준 8 7 2 3 3 2 3" xfId="31289"/>
    <cellStyle name="표준 8 7 2 3 4 6" xfId="31290"/>
    <cellStyle name="표준 8 7 2 3 4 2 3" xfId="31291"/>
    <cellStyle name="표준 8 7 2 3 5 3" xfId="31292"/>
    <cellStyle name="표준 8 7 2 4 2 6" xfId="31293"/>
    <cellStyle name="표준 8 7 2 4 2 2 3" xfId="31294"/>
    <cellStyle name="표준 8 7 2 4 3 6" xfId="31295"/>
    <cellStyle name="표준 8 7 2 4 3 2 3" xfId="31296"/>
    <cellStyle name="표준 8 7 2 4 4 3" xfId="31297"/>
    <cellStyle name="표준 8 7 2 5 6" xfId="31298"/>
    <cellStyle name="표준 8 7 2 5 2 3" xfId="31299"/>
    <cellStyle name="표준 8 7 2 6 6" xfId="31300"/>
    <cellStyle name="표준 8 7 2 6 2 3" xfId="31301"/>
    <cellStyle name="표준 8 7 2 7 3" xfId="31302"/>
    <cellStyle name="표준 8 7 3 2 2 2 2 6" xfId="31303"/>
    <cellStyle name="표준 8 7 3 2 2 2 2 2 3" xfId="31304"/>
    <cellStyle name="표준 8 7 3 2 2 2 3 6" xfId="31305"/>
    <cellStyle name="표준 8 7 3 2 2 2 3 2 3" xfId="31306"/>
    <cellStyle name="표준 8 7 3 2 2 2 4 3" xfId="31307"/>
    <cellStyle name="표준 8 7 3 2 2 3 6" xfId="31308"/>
    <cellStyle name="표준 8 7 3 2 2 3 2 3" xfId="31309"/>
    <cellStyle name="표준 8 7 3 2 2 4 6" xfId="31310"/>
    <cellStyle name="표준 8 7 3 2 2 4 2 3" xfId="31311"/>
    <cellStyle name="표준 8 7 3 2 2 5 3" xfId="31312"/>
    <cellStyle name="표준 8 7 3 2 3 2 6" xfId="31313"/>
    <cellStyle name="표준 8 7 3 2 3 2 2 3" xfId="31314"/>
    <cellStyle name="표준 8 7 3 2 3 3 6" xfId="31315"/>
    <cellStyle name="표준 8 7 3 2 3 3 2 3" xfId="31316"/>
    <cellStyle name="표준 8 7 3 2 3 4 3" xfId="31317"/>
    <cellStyle name="표준 8 7 3 2 4 6" xfId="31318"/>
    <cellStyle name="표준 8 7 3 2 4 2 3" xfId="31319"/>
    <cellStyle name="표준 8 7 3 2 5 6" xfId="31320"/>
    <cellStyle name="표준 8 7 3 2 5 2 3" xfId="31321"/>
    <cellStyle name="표준 8 7 3 2 6 3" xfId="31322"/>
    <cellStyle name="표준 8 7 3 3 2 2 6" xfId="31323"/>
    <cellStyle name="표준 8 7 3 3 2 2 2 3" xfId="31324"/>
    <cellStyle name="표준 8 7 3 3 2 3 6" xfId="31325"/>
    <cellStyle name="표준 8 7 3 3 2 3 2 3" xfId="31326"/>
    <cellStyle name="표준 8 7 3 3 2 4 3" xfId="31327"/>
    <cellStyle name="표준 8 7 3 3 3 6" xfId="31328"/>
    <cellStyle name="표준 8 7 3 3 3 2 3" xfId="31329"/>
    <cellStyle name="표준 8 7 3 3 4 6" xfId="31330"/>
    <cellStyle name="표준 8 7 3 3 4 2 3" xfId="31331"/>
    <cellStyle name="표준 8 7 3 3 5 3" xfId="31332"/>
    <cellStyle name="표준 8 7 3 4 2 6" xfId="31333"/>
    <cellStyle name="표준 8 7 3 4 2 2 3" xfId="31334"/>
    <cellStyle name="표준 8 7 3 4 3 6" xfId="31335"/>
    <cellStyle name="표준 8 7 3 4 3 2 3" xfId="31336"/>
    <cellStyle name="표준 8 7 3 4 4 3" xfId="31337"/>
    <cellStyle name="표준 8 7 3 5 6" xfId="31338"/>
    <cellStyle name="표준 8 7 3 5 2 3" xfId="31339"/>
    <cellStyle name="표준 8 7 3 6 6" xfId="31340"/>
    <cellStyle name="표준 8 7 3 6 2 3" xfId="31341"/>
    <cellStyle name="표준 8 7 3 7 3" xfId="31342"/>
    <cellStyle name="표준 8 7 4 2 2 2 2 6" xfId="31343"/>
    <cellStyle name="표준 8 7 4 2 2 2 2 2 3" xfId="31344"/>
    <cellStyle name="표준 8 7 4 2 2 2 3 6" xfId="31345"/>
    <cellStyle name="표준 8 7 4 2 2 2 3 2 3" xfId="31346"/>
    <cellStyle name="표준 8 7 4 2 2 2 4 3" xfId="31347"/>
    <cellStyle name="표준 8 7 4 2 2 3 6" xfId="31348"/>
    <cellStyle name="표준 8 7 4 2 2 3 2 3" xfId="31349"/>
    <cellStyle name="표준 8 7 4 2 2 4 6" xfId="31350"/>
    <cellStyle name="표준 8 7 4 2 2 4 2 3" xfId="31351"/>
    <cellStyle name="표준 8 7 4 2 2 5 3" xfId="31352"/>
    <cellStyle name="표준 8 7 4 2 3 2 6" xfId="31353"/>
    <cellStyle name="표준 8 7 4 2 3 2 2 3" xfId="31354"/>
    <cellStyle name="표준 8 7 4 2 3 3 6" xfId="31355"/>
    <cellStyle name="표준 8 7 4 2 3 3 2 3" xfId="31356"/>
    <cellStyle name="표준 8 7 4 2 3 4 3" xfId="31357"/>
    <cellStyle name="표준 8 7 4 2 4 6" xfId="31358"/>
    <cellStyle name="표준 8 7 4 2 4 2 3" xfId="31359"/>
    <cellStyle name="표준 8 7 4 2 5 6" xfId="31360"/>
    <cellStyle name="표준 8 7 4 2 5 2 3" xfId="31361"/>
    <cellStyle name="표준 8 7 4 2 6 3" xfId="31362"/>
    <cellStyle name="표준 8 7 4 3 2 2 6" xfId="31363"/>
    <cellStyle name="표준 8 7 4 3 2 2 2 3" xfId="31364"/>
    <cellStyle name="표준 8 7 4 3 2 3 6" xfId="31365"/>
    <cellStyle name="표준 8 7 4 3 2 3 2 3" xfId="31366"/>
    <cellStyle name="표준 8 7 4 3 2 4 3" xfId="31367"/>
    <cellStyle name="표준 8 7 4 3 3 6" xfId="31368"/>
    <cellStyle name="표준 8 7 4 3 3 2 3" xfId="31369"/>
    <cellStyle name="표준 8 7 4 3 4 6" xfId="31370"/>
    <cellStyle name="표준 8 7 4 3 4 2 3" xfId="31371"/>
    <cellStyle name="표준 8 7 4 3 5 3" xfId="31372"/>
    <cellStyle name="표준 8 7 4 4 2 6" xfId="31373"/>
    <cellStyle name="표준 8 7 4 4 2 2 3" xfId="31374"/>
    <cellStyle name="표준 8 7 4 4 3 6" xfId="31375"/>
    <cellStyle name="표준 8 7 4 4 3 2 3" xfId="31376"/>
    <cellStyle name="표준 8 7 4 4 4 3" xfId="31377"/>
    <cellStyle name="표준 8 7 4 5 6" xfId="31378"/>
    <cellStyle name="표준 8 7 4 5 2 3" xfId="31379"/>
    <cellStyle name="표준 8 7 4 6 6" xfId="31380"/>
    <cellStyle name="표준 8 7 4 6 2 3" xfId="31381"/>
    <cellStyle name="표준 8 7 4 7 3" xfId="31382"/>
    <cellStyle name="표준 8 7 5 2 2 2 6" xfId="31383"/>
    <cellStyle name="표준 8 7 5 2 2 2 2 3" xfId="31384"/>
    <cellStyle name="표준 8 7 5 2 2 3 6" xfId="31385"/>
    <cellStyle name="표준 8 7 5 2 2 3 2 3" xfId="31386"/>
    <cellStyle name="표준 8 7 5 2 2 4 3" xfId="31387"/>
    <cellStyle name="표준 8 7 5 2 3 6" xfId="31388"/>
    <cellStyle name="표준 8 7 5 2 3 2 3" xfId="31389"/>
    <cellStyle name="표준 8 7 5 2 4 6" xfId="31390"/>
    <cellStyle name="표준 8 7 5 2 4 2 3" xfId="31391"/>
    <cellStyle name="표준 8 7 5 2 5 3" xfId="31392"/>
    <cellStyle name="표준 8 7 5 3 2 6" xfId="31393"/>
    <cellStyle name="표준 8 7 5 3 2 2 3" xfId="31394"/>
    <cellStyle name="표준 8 7 5 3 3 6" xfId="31395"/>
    <cellStyle name="표준 8 7 5 3 3 2 3" xfId="31396"/>
    <cellStyle name="표준 8 7 5 3 4 3" xfId="31397"/>
    <cellStyle name="표준 8 7 5 4 6" xfId="31398"/>
    <cellStyle name="표준 8 7 5 4 2 3" xfId="31399"/>
    <cellStyle name="표준 8 7 5 5 6" xfId="31400"/>
    <cellStyle name="표준 8 7 5 5 2 3" xfId="31401"/>
    <cellStyle name="표준 8 7 5 6 3" xfId="31402"/>
    <cellStyle name="표준 8 7 6 2 2 6" xfId="31403"/>
    <cellStyle name="표준 8 7 6 2 2 2 3" xfId="31404"/>
    <cellStyle name="표준 8 7 6 2 3 6" xfId="31405"/>
    <cellStyle name="표준 8 7 6 2 3 2 3" xfId="31406"/>
    <cellStyle name="표준 8 7 6 2 4 3" xfId="31407"/>
    <cellStyle name="표준 8 7 6 3 6" xfId="31408"/>
    <cellStyle name="표준 8 7 6 3 2 3" xfId="31409"/>
    <cellStyle name="표준 8 7 6 4 6" xfId="31410"/>
    <cellStyle name="표준 8 7 6 4 2 3" xfId="31411"/>
    <cellStyle name="표준 8 7 6 5 3" xfId="31412"/>
    <cellStyle name="표준 8 7 7 2 6" xfId="31413"/>
    <cellStyle name="표준 8 7 7 2 2 3" xfId="31414"/>
    <cellStyle name="표준 8 7 7 3 6" xfId="31415"/>
    <cellStyle name="표준 8 7 7 3 2 3" xfId="31416"/>
    <cellStyle name="표준 8 7 7 4 3" xfId="31417"/>
    <cellStyle name="표준 8 7 8 6" xfId="31418"/>
    <cellStyle name="표준 8 7 8 2 3" xfId="31419"/>
    <cellStyle name="표준 8 7 9 6" xfId="31420"/>
    <cellStyle name="표준 8 7 9 2 3" xfId="31421"/>
    <cellStyle name="표준 8 8 10 3" xfId="31422"/>
    <cellStyle name="표준 8 8 2 2 2 2 2 6" xfId="31423"/>
    <cellStyle name="표준 8 8 2 2 2 2 2 2 3" xfId="31424"/>
    <cellStyle name="표준 8 8 2 2 2 2 3 6" xfId="31425"/>
    <cellStyle name="표준 8 8 2 2 2 2 3 2 3" xfId="31426"/>
    <cellStyle name="표준 8 8 2 2 2 2 4 3" xfId="31427"/>
    <cellStyle name="표준 8 8 2 2 2 3 6" xfId="31428"/>
    <cellStyle name="표준 8 8 2 2 2 3 2 3" xfId="31429"/>
    <cellStyle name="표준 8 8 2 2 2 4 6" xfId="31430"/>
    <cellStyle name="표준 8 8 2 2 2 4 2 3" xfId="31431"/>
    <cellStyle name="표준 8 8 2 2 2 5 3" xfId="31432"/>
    <cellStyle name="표준 8 8 2 2 3 2 6" xfId="31433"/>
    <cellStyle name="표준 8 8 2 2 3 2 2 3" xfId="31434"/>
    <cellStyle name="표준 8 8 2 2 3 3 6" xfId="31435"/>
    <cellStyle name="표준 8 8 2 2 3 3 2 3" xfId="31436"/>
    <cellStyle name="표준 8 8 2 2 3 4 3" xfId="31437"/>
    <cellStyle name="표준 8 8 2 2 4 6" xfId="31438"/>
    <cellStyle name="표준 8 8 2 2 4 2 3" xfId="31439"/>
    <cellStyle name="표준 8 8 2 2 5 6" xfId="31440"/>
    <cellStyle name="표준 8 8 2 2 5 2 3" xfId="31441"/>
    <cellStyle name="표준 8 8 2 2 6 3" xfId="31442"/>
    <cellStyle name="표준 8 8 2 3 2 2 6" xfId="31443"/>
    <cellStyle name="표준 8 8 2 3 2 2 2 3" xfId="31444"/>
    <cellStyle name="표준 8 8 2 3 2 3 6" xfId="31445"/>
    <cellStyle name="표준 8 8 2 3 2 3 2 3" xfId="31446"/>
    <cellStyle name="표준 8 8 2 3 2 4 3" xfId="31447"/>
    <cellStyle name="표준 8 8 2 3 3 6" xfId="31448"/>
    <cellStyle name="표준 8 8 2 3 3 2 3" xfId="31449"/>
    <cellStyle name="표준 8 8 2 3 4 6" xfId="31450"/>
    <cellStyle name="표준 8 8 2 3 4 2 3" xfId="31451"/>
    <cellStyle name="표준 8 8 2 3 5 3" xfId="31452"/>
    <cellStyle name="표준 8 8 2 4 2 6" xfId="31453"/>
    <cellStyle name="표준 8 8 2 4 2 2 3" xfId="31454"/>
    <cellStyle name="표준 8 8 2 4 3 6" xfId="31455"/>
    <cellStyle name="표준 8 8 2 4 3 2 3" xfId="31456"/>
    <cellStyle name="표준 8 8 2 4 4 3" xfId="31457"/>
    <cellStyle name="표준 8 8 2 5 6" xfId="31458"/>
    <cellStyle name="표준 8 8 2 5 2 3" xfId="31459"/>
    <cellStyle name="표준 8 8 2 6 6" xfId="31460"/>
    <cellStyle name="표준 8 8 2 6 2 3" xfId="31461"/>
    <cellStyle name="표준 8 8 2 7 3" xfId="31462"/>
    <cellStyle name="표준 8 8 3 2 2 2 2 6" xfId="31463"/>
    <cellStyle name="표준 8 8 3 2 2 2 2 2 3" xfId="31464"/>
    <cellStyle name="표준 8 8 3 2 2 2 3 6" xfId="31465"/>
    <cellStyle name="표준 8 8 3 2 2 2 3 2 3" xfId="31466"/>
    <cellStyle name="표준 8 8 3 2 2 2 4 3" xfId="31467"/>
    <cellStyle name="표준 8 8 3 2 2 3 6" xfId="31468"/>
    <cellStyle name="표준 8 8 3 2 2 3 2 3" xfId="31469"/>
    <cellStyle name="표준 8 8 3 2 2 4 6" xfId="31470"/>
    <cellStyle name="표준 8 8 3 2 2 4 2 3" xfId="31471"/>
    <cellStyle name="표준 8 8 3 2 2 5 3" xfId="31472"/>
    <cellStyle name="표준 8 8 3 2 3 2 6" xfId="31473"/>
    <cellStyle name="표준 8 8 3 2 3 2 2 3" xfId="31474"/>
    <cellStyle name="표준 8 8 3 2 3 3 6" xfId="31475"/>
    <cellStyle name="표준 8 8 3 2 3 3 2 3" xfId="31476"/>
    <cellStyle name="표준 8 8 3 2 3 4 3" xfId="31477"/>
    <cellStyle name="표준 8 8 3 2 4 6" xfId="31478"/>
    <cellStyle name="표준 8 8 3 2 4 2 3" xfId="31479"/>
    <cellStyle name="표준 8 8 3 2 5 6" xfId="31480"/>
    <cellStyle name="표준 8 8 3 2 5 2 3" xfId="31481"/>
    <cellStyle name="표준 8 8 3 2 6 3" xfId="31482"/>
    <cellStyle name="표준 8 8 3 3 2 2 6" xfId="31483"/>
    <cellStyle name="표준 8 8 3 3 2 2 2 3" xfId="31484"/>
    <cellStyle name="표준 8 8 3 3 2 3 6" xfId="31485"/>
    <cellStyle name="표준 8 8 3 3 2 3 2 3" xfId="31486"/>
    <cellStyle name="표준 8 8 3 3 2 4 3" xfId="31487"/>
    <cellStyle name="표준 8 8 3 3 3 6" xfId="31488"/>
    <cellStyle name="표준 8 8 3 3 3 2 3" xfId="31489"/>
    <cellStyle name="표준 8 8 3 3 4 6" xfId="31490"/>
    <cellStyle name="표준 8 8 3 3 4 2 3" xfId="31491"/>
    <cellStyle name="표준 8 8 3 3 5 3" xfId="31492"/>
    <cellStyle name="표준 8 8 3 4 2 6" xfId="31493"/>
    <cellStyle name="표준 8 8 3 4 2 2 3" xfId="31494"/>
    <cellStyle name="표준 8 8 3 4 3 6" xfId="31495"/>
    <cellStyle name="표준 8 8 3 4 3 2 3" xfId="31496"/>
    <cellStyle name="표준 8 8 3 4 4 3" xfId="31497"/>
    <cellStyle name="표준 8 8 3 5 6" xfId="31498"/>
    <cellStyle name="표준 8 8 3 5 2 3" xfId="31499"/>
    <cellStyle name="표준 8 8 3 6 6" xfId="31500"/>
    <cellStyle name="표준 8 8 3 6 2 3" xfId="31501"/>
    <cellStyle name="표준 8 8 3 7 3" xfId="31502"/>
    <cellStyle name="표준 8 8 4 2 2 2 2 6" xfId="31503"/>
    <cellStyle name="표준 8 8 4 2 2 2 2 2 3" xfId="31504"/>
    <cellStyle name="표준 8 8 4 2 2 2 3 6" xfId="31505"/>
    <cellStyle name="표준 8 8 4 2 2 2 3 2 3" xfId="31506"/>
    <cellStyle name="표준 8 8 4 2 2 2 4 3" xfId="31507"/>
    <cellStyle name="표준 8 8 4 2 2 3 6" xfId="31508"/>
    <cellStyle name="표준 8 8 4 2 2 3 2 3" xfId="31509"/>
    <cellStyle name="표준 8 8 4 2 2 4 6" xfId="31510"/>
    <cellStyle name="표준 8 8 4 2 2 4 2 3" xfId="31511"/>
    <cellStyle name="표준 8 8 4 2 2 5 3" xfId="31512"/>
    <cellStyle name="표준 8 8 4 2 3 2 6" xfId="31513"/>
    <cellStyle name="표준 8 8 4 2 3 2 2 3" xfId="31514"/>
    <cellStyle name="표준 8 8 4 2 3 3 6" xfId="31515"/>
    <cellStyle name="표준 8 8 4 2 3 3 2 3" xfId="31516"/>
    <cellStyle name="표준 8 8 4 2 3 4 3" xfId="31517"/>
    <cellStyle name="표준 8 8 4 2 4 6" xfId="31518"/>
    <cellStyle name="표준 8 8 4 2 4 2 3" xfId="31519"/>
    <cellStyle name="표준 8 8 4 2 5 6" xfId="31520"/>
    <cellStyle name="표준 8 8 4 2 5 2 3" xfId="31521"/>
    <cellStyle name="표준 8 8 4 2 6 3" xfId="31522"/>
    <cellStyle name="표준 8 8 4 3 2 2 6" xfId="31523"/>
    <cellStyle name="표준 8 8 4 3 2 2 2 3" xfId="31524"/>
    <cellStyle name="표준 8 8 4 3 2 3 6" xfId="31525"/>
    <cellStyle name="표준 8 8 4 3 2 3 2 3" xfId="31526"/>
    <cellStyle name="표준 8 8 4 3 2 4 3" xfId="31527"/>
    <cellStyle name="표준 8 8 4 3 3 6" xfId="31528"/>
    <cellStyle name="표준 8 8 4 3 3 2 3" xfId="31529"/>
    <cellStyle name="표준 8 8 4 3 4 6" xfId="31530"/>
    <cellStyle name="표준 8 8 4 3 4 2 3" xfId="31531"/>
    <cellStyle name="표준 8 8 4 3 5 3" xfId="31532"/>
    <cellStyle name="표준 8 8 4 4 2 6" xfId="31533"/>
    <cellStyle name="표준 8 8 4 4 2 2 3" xfId="31534"/>
    <cellStyle name="표준 8 8 4 4 3 6" xfId="31535"/>
    <cellStyle name="표준 8 8 4 4 3 2 3" xfId="31536"/>
    <cellStyle name="표준 8 8 4 4 4 3" xfId="31537"/>
    <cellStyle name="표준 8 8 4 5 6" xfId="31538"/>
    <cellStyle name="표준 8 8 4 5 2 3" xfId="31539"/>
    <cellStyle name="표준 8 8 4 6 6" xfId="31540"/>
    <cellStyle name="표준 8 8 4 6 2 3" xfId="31541"/>
    <cellStyle name="표준 8 8 4 7 3" xfId="31542"/>
    <cellStyle name="표준 8 8 5 2 2 2 6" xfId="31543"/>
    <cellStyle name="표준 8 8 5 2 2 2 2 3" xfId="31544"/>
    <cellStyle name="표준 8 8 5 2 2 3 6" xfId="31545"/>
    <cellStyle name="표준 8 8 5 2 2 3 2 3" xfId="31546"/>
    <cellStyle name="표준 8 8 5 2 2 4 3" xfId="31547"/>
    <cellStyle name="표준 8 8 5 2 3 6" xfId="31548"/>
    <cellStyle name="표준 8 8 5 2 3 2 3" xfId="31549"/>
    <cellStyle name="표준 8 8 5 2 4 6" xfId="31550"/>
    <cellStyle name="표준 8 8 5 2 4 2 3" xfId="31551"/>
    <cellStyle name="표준 8 8 5 2 5 3" xfId="31552"/>
    <cellStyle name="표준 8 8 5 3 2 6" xfId="31553"/>
    <cellStyle name="표준 8 8 5 3 2 2 3" xfId="31554"/>
    <cellStyle name="표준 8 8 5 3 3 6" xfId="31555"/>
    <cellStyle name="표준 8 8 5 3 3 2 3" xfId="31556"/>
    <cellStyle name="표준 8 8 5 3 4 3" xfId="31557"/>
    <cellStyle name="표준 8 8 5 4 6" xfId="31558"/>
    <cellStyle name="표준 8 8 5 4 2 3" xfId="31559"/>
    <cellStyle name="표준 8 8 5 5 6" xfId="31560"/>
    <cellStyle name="표준 8 8 5 5 2 3" xfId="31561"/>
    <cellStyle name="표준 8 8 5 6 3" xfId="31562"/>
    <cellStyle name="표준 8 8 6 2 2 6" xfId="31563"/>
    <cellStyle name="표준 8 8 6 2 2 2 3" xfId="31564"/>
    <cellStyle name="표준 8 8 6 2 3 6" xfId="31565"/>
    <cellStyle name="표준 8 8 6 2 3 2 3" xfId="31566"/>
    <cellStyle name="표준 8 8 6 2 4 3" xfId="31567"/>
    <cellStyle name="표준 8 8 6 3 6" xfId="31568"/>
    <cellStyle name="표준 8 8 6 3 2 3" xfId="31569"/>
    <cellStyle name="표준 8 8 6 4 6" xfId="31570"/>
    <cellStyle name="표준 8 8 6 4 2 3" xfId="31571"/>
    <cellStyle name="표준 8 8 6 5 3" xfId="31572"/>
    <cellStyle name="표준 8 8 7 2 6" xfId="31573"/>
    <cellStyle name="표준 8 8 7 2 2 3" xfId="31574"/>
    <cellStyle name="표준 8 8 7 3 6" xfId="31575"/>
    <cellStyle name="표준 8 8 7 3 2 3" xfId="31576"/>
    <cellStyle name="표준 8 8 7 4 3" xfId="31577"/>
    <cellStyle name="표준 8 8 8 6" xfId="31578"/>
    <cellStyle name="표준 8 8 8 2 3" xfId="31579"/>
    <cellStyle name="표준 8 8 9 6" xfId="31580"/>
    <cellStyle name="표준 8 8 9 2 3" xfId="31581"/>
    <cellStyle name="표준 8 9 2 2 2 2 2 6" xfId="31582"/>
    <cellStyle name="표준 8 9 2 2 2 2 2 2 3" xfId="31583"/>
    <cellStyle name="표준 8 9 2 2 2 2 3 6" xfId="31584"/>
    <cellStyle name="표준 8 9 2 2 2 2 3 2 3" xfId="31585"/>
    <cellStyle name="표준 8 9 2 2 2 2 4 3" xfId="31586"/>
    <cellStyle name="표준 8 9 2 2 2 3 6" xfId="31587"/>
    <cellStyle name="표준 8 9 2 2 2 3 2 3" xfId="31588"/>
    <cellStyle name="표준 8 9 2 2 2 4 6" xfId="31589"/>
    <cellStyle name="표준 8 9 2 2 2 4 2 3" xfId="31590"/>
    <cellStyle name="표준 8 9 2 2 2 5 3" xfId="31591"/>
    <cellStyle name="표준 8 9 2 2 3 2 6" xfId="31592"/>
    <cellStyle name="표준 8 9 2 2 3 2 2 3" xfId="31593"/>
    <cellStyle name="표준 8 9 2 2 3 3 6" xfId="31594"/>
    <cellStyle name="표준 8 9 2 2 3 3 2 3" xfId="31595"/>
    <cellStyle name="표준 8 9 2 2 3 4 3" xfId="31596"/>
    <cellStyle name="표준 8 9 2 2 4 6" xfId="31597"/>
    <cellStyle name="표준 8 9 2 2 4 2 3" xfId="31598"/>
    <cellStyle name="표준 8 9 2 2 5 6" xfId="31599"/>
    <cellStyle name="표준 8 9 2 2 5 2 3" xfId="31600"/>
    <cellStyle name="표준 8 9 2 2 6 3" xfId="31601"/>
    <cellStyle name="표준 8 9 2 3 2 2 6" xfId="31602"/>
    <cellStyle name="표준 8 9 2 3 2 2 2 3" xfId="31603"/>
    <cellStyle name="표준 8 9 2 3 2 3 6" xfId="31604"/>
    <cellStyle name="표준 8 9 2 3 2 3 2 3" xfId="31605"/>
    <cellStyle name="표준 8 9 2 3 2 4 3" xfId="31606"/>
    <cellStyle name="표준 8 9 2 3 3 6" xfId="31607"/>
    <cellStyle name="표준 8 9 2 3 3 2 3" xfId="31608"/>
    <cellStyle name="표준 8 9 2 3 4 6" xfId="31609"/>
    <cellStyle name="표준 8 9 2 3 4 2 3" xfId="31610"/>
    <cellStyle name="표준 8 9 2 3 5 3" xfId="31611"/>
    <cellStyle name="표준 8 9 2 4 2 6" xfId="31612"/>
    <cellStyle name="표준 8 9 2 4 2 2 3" xfId="31613"/>
    <cellStyle name="표준 8 9 2 4 3 6" xfId="31614"/>
    <cellStyle name="표준 8 9 2 4 3 2 3" xfId="31615"/>
    <cellStyle name="표준 8 9 2 4 4 3" xfId="31616"/>
    <cellStyle name="표준 8 9 2 5 6" xfId="31617"/>
    <cellStyle name="표준 8 9 2 5 2 3" xfId="31618"/>
    <cellStyle name="표준 8 9 2 6 6" xfId="31619"/>
    <cellStyle name="표준 8 9 2 6 2 3" xfId="31620"/>
    <cellStyle name="표준 8 9 2 7 3" xfId="31621"/>
    <cellStyle name="표준 8 9 3 2 2 2 2 6" xfId="31622"/>
    <cellStyle name="표준 8 9 3 2 2 2 2 2 3" xfId="31623"/>
    <cellStyle name="표준 8 9 3 2 2 2 3 6" xfId="31624"/>
    <cellStyle name="표준 8 9 3 2 2 2 3 2 3" xfId="31625"/>
    <cellStyle name="표준 8 9 3 2 2 2 4 3" xfId="31626"/>
    <cellStyle name="표준 8 9 3 2 2 3 6" xfId="31627"/>
    <cellStyle name="표준 8 9 3 2 2 3 2 3" xfId="31628"/>
    <cellStyle name="표준 8 9 3 2 2 4 6" xfId="31629"/>
    <cellStyle name="표준 8 9 3 2 2 4 2 3" xfId="31630"/>
    <cellStyle name="표준 8 9 3 2 2 5 3" xfId="31631"/>
    <cellStyle name="표준 8 9 3 2 3 2 6" xfId="31632"/>
    <cellStyle name="표준 8 9 3 2 3 2 2 3" xfId="31633"/>
    <cellStyle name="표준 8 9 3 2 3 3 6" xfId="31634"/>
    <cellStyle name="표준 8 9 3 2 3 3 2 3" xfId="31635"/>
    <cellStyle name="표준 8 9 3 2 3 4 3" xfId="31636"/>
    <cellStyle name="표준 8 9 3 2 4 6" xfId="31637"/>
    <cellStyle name="표준 8 9 3 2 4 2 3" xfId="31638"/>
    <cellStyle name="표준 8 9 3 2 5 6" xfId="31639"/>
    <cellStyle name="표준 8 9 3 2 5 2 3" xfId="31640"/>
    <cellStyle name="표준 8 9 3 2 6 3" xfId="31641"/>
    <cellStyle name="표준 8 9 3 3 2 2 6" xfId="31642"/>
    <cellStyle name="표준 8 9 3 3 2 2 2 3" xfId="31643"/>
    <cellStyle name="표준 8 9 3 3 2 3 6" xfId="31644"/>
    <cellStyle name="표준 8 9 3 3 2 3 2 3" xfId="31645"/>
    <cellStyle name="표준 8 9 3 3 2 4 3" xfId="31646"/>
    <cellStyle name="표준 8 9 3 3 3 6" xfId="31647"/>
    <cellStyle name="표준 8 9 3 3 3 2 3" xfId="31648"/>
    <cellStyle name="표준 8 9 3 3 4 6" xfId="31649"/>
    <cellStyle name="표준 8 9 3 3 4 2 3" xfId="31650"/>
    <cellStyle name="표준 8 9 3 3 5 3" xfId="31651"/>
    <cellStyle name="표준 8 9 3 4 2 6" xfId="31652"/>
    <cellStyle name="표준 8 9 3 4 2 2 3" xfId="31653"/>
    <cellStyle name="표준 8 9 3 4 3 6" xfId="31654"/>
    <cellStyle name="표준 8 9 3 4 3 2 3" xfId="31655"/>
    <cellStyle name="표준 8 9 3 4 4 3" xfId="31656"/>
    <cellStyle name="표준 8 9 3 5 6" xfId="31657"/>
    <cellStyle name="표준 8 9 3 5 2 3" xfId="31658"/>
    <cellStyle name="표준 8 9 3 6 6" xfId="31659"/>
    <cellStyle name="표준 8 9 3 6 2 3" xfId="31660"/>
    <cellStyle name="표준 8 9 3 7 3" xfId="31661"/>
    <cellStyle name="표준 8 9 4 2 2 2 6" xfId="31662"/>
    <cellStyle name="표준 8 9 4 2 2 2 2 3" xfId="31663"/>
    <cellStyle name="표준 8 9 4 2 2 3 6" xfId="31664"/>
    <cellStyle name="표준 8 9 4 2 2 3 2 3" xfId="31665"/>
    <cellStyle name="표준 8 9 4 2 2 4 3" xfId="31666"/>
    <cellStyle name="표준 8 9 4 2 3 6" xfId="31667"/>
    <cellStyle name="표준 8 9 4 2 3 2 3" xfId="31668"/>
    <cellStyle name="표준 8 9 4 2 4 6" xfId="31669"/>
    <cellStyle name="표준 8 9 4 2 4 2 3" xfId="31670"/>
    <cellStyle name="표준 8 9 4 2 5 3" xfId="31671"/>
    <cellStyle name="표준 8 9 4 3 2 6" xfId="31672"/>
    <cellStyle name="표준 8 9 4 3 2 2 3" xfId="31673"/>
    <cellStyle name="표준 8 9 4 3 3 6" xfId="31674"/>
    <cellStyle name="표준 8 9 4 3 3 2 3" xfId="31675"/>
    <cellStyle name="표준 8 9 4 3 4 3" xfId="31676"/>
    <cellStyle name="표준 8 9 4 4 6" xfId="31677"/>
    <cellStyle name="표준 8 9 4 4 2 3" xfId="31678"/>
    <cellStyle name="표준 8 9 4 5 6" xfId="31679"/>
    <cellStyle name="표준 8 9 4 5 2 3" xfId="31680"/>
    <cellStyle name="표준 8 9 4 6 3" xfId="31681"/>
    <cellStyle name="표준 8 9 5 2 2 6" xfId="31682"/>
    <cellStyle name="표준 8 9 5 2 2 2 3" xfId="31683"/>
    <cellStyle name="표준 8 9 5 2 3 6" xfId="31684"/>
    <cellStyle name="표준 8 9 5 2 3 2 3" xfId="31685"/>
    <cellStyle name="표준 8 9 5 2 4 3" xfId="31686"/>
    <cellStyle name="표준 8 9 5 3 6" xfId="31687"/>
    <cellStyle name="표준 8 9 5 3 2 3" xfId="31688"/>
    <cellStyle name="표준 8 9 5 4 6" xfId="31689"/>
    <cellStyle name="표준 8 9 5 4 2 3" xfId="31690"/>
    <cellStyle name="표준 8 9 5 5 3" xfId="31691"/>
    <cellStyle name="표준 8 9 6 2 6" xfId="31692"/>
    <cellStyle name="표준 8 9 6 2 2 3" xfId="31693"/>
    <cellStyle name="표준 8 9 6 3 6" xfId="31694"/>
    <cellStyle name="표준 8 9 6 3 2 3" xfId="31695"/>
    <cellStyle name="표준 8 9 6 4 3" xfId="31696"/>
    <cellStyle name="표준 8 9 7 6" xfId="31697"/>
    <cellStyle name="표준 8 9 7 2 3" xfId="31698"/>
    <cellStyle name="표준 8 9 8 6" xfId="31699"/>
    <cellStyle name="표준 8 9 8 2 3" xfId="31700"/>
    <cellStyle name="표준 8 9 9 3" xfId="31701"/>
    <cellStyle name="표준 9 10 2 2 2 2 6" xfId="31702"/>
    <cellStyle name="표준 9 10 2 2 2 2 2 3" xfId="31703"/>
    <cellStyle name="표준 9 10 2 2 2 3 6" xfId="31704"/>
    <cellStyle name="표준 9 10 2 2 2 3 2 3" xfId="31705"/>
    <cellStyle name="표준 9 10 2 2 2 4 3" xfId="31706"/>
    <cellStyle name="표준 9 10 2 2 3 6" xfId="31707"/>
    <cellStyle name="표준 9 10 2 2 3 2 3" xfId="31708"/>
    <cellStyle name="표준 9 10 2 2 4 6" xfId="31709"/>
    <cellStyle name="표준 9 10 2 2 4 2 3" xfId="31710"/>
    <cellStyle name="표준 9 10 2 2 5 3" xfId="31711"/>
    <cellStyle name="표준 9 10 2 3 2 6" xfId="31712"/>
    <cellStyle name="표준 9 10 2 3 2 2 3" xfId="31713"/>
    <cellStyle name="표준 9 10 2 3 3 6" xfId="31714"/>
    <cellStyle name="표준 9 10 2 3 3 2 3" xfId="31715"/>
    <cellStyle name="표준 9 10 2 3 4 3" xfId="31716"/>
    <cellStyle name="표준 9 10 2 4 6" xfId="31717"/>
    <cellStyle name="표준 9 10 2 4 2 3" xfId="31718"/>
    <cellStyle name="표준 9 10 2 5 6" xfId="31719"/>
    <cellStyle name="표준 9 10 2 5 2 3" xfId="31720"/>
    <cellStyle name="표준 9 10 2 6 3" xfId="31721"/>
    <cellStyle name="표준 9 10 3 2 2 6" xfId="31722"/>
    <cellStyle name="표준 9 10 3 2 2 2 3" xfId="31723"/>
    <cellStyle name="표준 9 10 3 2 3 6" xfId="31724"/>
    <cellStyle name="표준 9 10 3 2 3 2 3" xfId="31725"/>
    <cellStyle name="표준 9 10 3 2 4 3" xfId="31726"/>
    <cellStyle name="표준 9 10 3 3 6" xfId="31727"/>
    <cellStyle name="표준 9 10 3 3 2 3" xfId="31728"/>
    <cellStyle name="표준 9 10 3 4 6" xfId="31729"/>
    <cellStyle name="표준 9 10 3 4 2 3" xfId="31730"/>
    <cellStyle name="표준 9 10 3 5 3" xfId="31731"/>
    <cellStyle name="표준 9 10 4 2 6" xfId="31732"/>
    <cellStyle name="표준 9 10 4 2 2 3" xfId="31733"/>
    <cellStyle name="표준 9 10 4 3 6" xfId="31734"/>
    <cellStyle name="표준 9 10 4 3 2 3" xfId="31735"/>
    <cellStyle name="표준 9 10 4 4 3" xfId="31736"/>
    <cellStyle name="표준 9 10 5 6" xfId="31737"/>
    <cellStyle name="표준 9 10 5 2 3" xfId="31738"/>
    <cellStyle name="표준 9 10 6 6" xfId="31739"/>
    <cellStyle name="표준 9 10 6 2 3" xfId="31740"/>
    <cellStyle name="표준 9 10 7 3" xfId="31741"/>
    <cellStyle name="표준 9 11 2 2 2 2 6" xfId="31742"/>
    <cellStyle name="표준 9 11 2 2 2 2 2 3" xfId="31743"/>
    <cellStyle name="표준 9 11 2 2 2 3 6" xfId="31744"/>
    <cellStyle name="표준 9 11 2 2 2 3 2 3" xfId="31745"/>
    <cellStyle name="표준 9 11 2 2 2 4 3" xfId="31746"/>
    <cellStyle name="표준 9 11 2 2 3 6" xfId="31747"/>
    <cellStyle name="표준 9 11 2 2 3 2 3" xfId="31748"/>
    <cellStyle name="표준 9 11 2 2 4 6" xfId="31749"/>
    <cellStyle name="표준 9 11 2 2 4 2 3" xfId="31750"/>
    <cellStyle name="표준 9 11 2 2 5 3" xfId="31751"/>
    <cellStyle name="표준 9 11 2 3 2 6" xfId="31752"/>
    <cellStyle name="표준 9 11 2 3 2 2 3" xfId="31753"/>
    <cellStyle name="표준 9 11 2 3 3 6" xfId="31754"/>
    <cellStyle name="표준 9 11 2 3 3 2 3" xfId="31755"/>
    <cellStyle name="표준 9 11 2 3 4 3" xfId="31756"/>
    <cellStyle name="표준 9 11 2 4 6" xfId="31757"/>
    <cellStyle name="표준 9 11 2 4 2 3" xfId="31758"/>
    <cellStyle name="표준 9 11 2 5 6" xfId="31759"/>
    <cellStyle name="표준 9 11 2 5 2 3" xfId="31760"/>
    <cellStyle name="표준 9 11 2 6 3" xfId="31761"/>
    <cellStyle name="표준 9 11 3 2 2 6" xfId="31762"/>
    <cellStyle name="표준 9 11 3 2 2 2 3" xfId="31763"/>
    <cellStyle name="표준 9 11 3 2 3 6" xfId="31764"/>
    <cellStyle name="표준 9 11 3 2 3 2 3" xfId="31765"/>
    <cellStyle name="표준 9 11 3 2 4 3" xfId="31766"/>
    <cellStyle name="표준 9 11 3 3 6" xfId="31767"/>
    <cellStyle name="표준 9 11 3 3 2 3" xfId="31768"/>
    <cellStyle name="표준 9 11 3 4 6" xfId="31769"/>
    <cellStyle name="표준 9 11 3 4 2 3" xfId="31770"/>
    <cellStyle name="표준 9 11 3 5 3" xfId="31771"/>
    <cellStyle name="표준 9 11 4 2 6" xfId="31772"/>
    <cellStyle name="표준 9 11 4 2 2 3" xfId="31773"/>
    <cellStyle name="표준 9 11 4 3 6" xfId="31774"/>
    <cellStyle name="표준 9 11 4 3 2 3" xfId="31775"/>
    <cellStyle name="표준 9 11 4 4 3" xfId="31776"/>
    <cellStyle name="표준 9 11 5 6" xfId="31777"/>
    <cellStyle name="표준 9 11 5 2 3" xfId="31778"/>
    <cellStyle name="표준 9 11 6 6" xfId="31779"/>
    <cellStyle name="표준 9 11 6 2 3" xfId="31780"/>
    <cellStyle name="표준 9 11 7 3" xfId="31781"/>
    <cellStyle name="표준 9 12 2 2 2 2 6" xfId="31782"/>
    <cellStyle name="표준 9 12 2 2 2 2 2 3" xfId="31783"/>
    <cellStyle name="표준 9 12 2 2 2 3 6" xfId="31784"/>
    <cellStyle name="표준 9 12 2 2 2 3 2 3" xfId="31785"/>
    <cellStyle name="표준 9 12 2 2 2 4 3" xfId="31786"/>
    <cellStyle name="표준 9 12 2 2 3 6" xfId="31787"/>
    <cellStyle name="표준 9 12 2 2 3 2 3" xfId="31788"/>
    <cellStyle name="표준 9 12 2 2 4 6" xfId="31789"/>
    <cellStyle name="표준 9 12 2 2 4 2 3" xfId="31790"/>
    <cellStyle name="표준 9 12 2 2 5 3" xfId="31791"/>
    <cellStyle name="표준 9 12 2 3 2 6" xfId="31792"/>
    <cellStyle name="표준 9 12 2 3 2 2 3" xfId="31793"/>
    <cellStyle name="표준 9 12 2 3 3 6" xfId="31794"/>
    <cellStyle name="표준 9 12 2 3 3 2 3" xfId="31795"/>
    <cellStyle name="표준 9 12 2 3 4 3" xfId="31796"/>
    <cellStyle name="표준 9 12 2 4 6" xfId="31797"/>
    <cellStyle name="표준 9 12 2 4 2 3" xfId="31798"/>
    <cellStyle name="표준 9 12 2 5 6" xfId="31799"/>
    <cellStyle name="표준 9 12 2 5 2 3" xfId="31800"/>
    <cellStyle name="표준 9 12 2 6 3" xfId="31801"/>
    <cellStyle name="표준 9 12 3 2 2 6" xfId="31802"/>
    <cellStyle name="표준 9 12 3 2 2 2 3" xfId="31803"/>
    <cellStyle name="표준 9 12 3 2 3 6" xfId="31804"/>
    <cellStyle name="표준 9 12 3 2 3 2 3" xfId="31805"/>
    <cellStyle name="표준 9 12 3 2 4 3" xfId="31806"/>
    <cellStyle name="표준 9 12 3 3 6" xfId="31807"/>
    <cellStyle name="표준 9 12 3 3 2 3" xfId="31808"/>
    <cellStyle name="표준 9 12 3 4 6" xfId="31809"/>
    <cellStyle name="표준 9 12 3 4 2 3" xfId="31810"/>
    <cellStyle name="표준 9 12 3 5 3" xfId="31811"/>
    <cellStyle name="표준 9 12 4 2 6" xfId="31812"/>
    <cellStyle name="표준 9 12 4 2 2 3" xfId="31813"/>
    <cellStyle name="표준 9 12 4 3 6" xfId="31814"/>
    <cellStyle name="표준 9 12 4 3 2 3" xfId="31815"/>
    <cellStyle name="표준 9 12 4 4 3" xfId="31816"/>
    <cellStyle name="표준 9 12 5 6" xfId="31817"/>
    <cellStyle name="표준 9 12 5 2 3" xfId="31818"/>
    <cellStyle name="표준 9 12 6 6" xfId="31819"/>
    <cellStyle name="표준 9 12 6 2 3" xfId="31820"/>
    <cellStyle name="표준 9 12 7 3" xfId="31821"/>
    <cellStyle name="표준 9 14 2 2 2 6" xfId="31822"/>
    <cellStyle name="표준 9 14 2 2 2 2 3" xfId="31823"/>
    <cellStyle name="표준 9 14 2 2 3 6" xfId="31824"/>
    <cellStyle name="표준 9 14 2 2 3 2 3" xfId="31825"/>
    <cellStyle name="표준 9 14 2 2 4 3" xfId="31826"/>
    <cellStyle name="표준 9 14 2 3 6" xfId="31827"/>
    <cellStyle name="표준 9 14 2 3 2 3" xfId="31828"/>
    <cellStyle name="표준 9 14 2 4 6" xfId="31829"/>
    <cellStyle name="표준 9 14 2 4 2 3" xfId="31830"/>
    <cellStyle name="표준 9 14 2 5 3" xfId="31831"/>
    <cellStyle name="표준 9 14 3 2 6" xfId="31832"/>
    <cellStyle name="표준 9 14 3 2 2 3" xfId="31833"/>
    <cellStyle name="표준 9 14 3 3 6" xfId="31834"/>
    <cellStyle name="표준 9 14 3 3 2 3" xfId="31835"/>
    <cellStyle name="표준 9 14 3 4 3" xfId="31836"/>
    <cellStyle name="표준 9 14 4 6" xfId="31837"/>
    <cellStyle name="표준 9 14 4 2 3" xfId="31838"/>
    <cellStyle name="표준 9 14 5 6" xfId="31839"/>
    <cellStyle name="표준 9 14 5 2 3" xfId="31840"/>
    <cellStyle name="표준 9 14 6 3" xfId="31841"/>
    <cellStyle name="표준 9 15 2 2 6" xfId="31842"/>
    <cellStyle name="표준 9 15 2 2 2 3" xfId="31843"/>
    <cellStyle name="표준 9 15 2 3 6" xfId="31844"/>
    <cellStyle name="표준 9 15 2 3 2 3" xfId="31845"/>
    <cellStyle name="표준 9 15 2 4 3" xfId="31846"/>
    <cellStyle name="표준 9 15 3 6" xfId="31847"/>
    <cellStyle name="표준 9 15 3 2 3" xfId="31848"/>
    <cellStyle name="표준 9 15 4 6" xfId="31849"/>
    <cellStyle name="표준 9 15 4 2 3" xfId="31850"/>
    <cellStyle name="표준 9 15 5 3" xfId="31851"/>
    <cellStyle name="표준 9 16 2 6" xfId="31852"/>
    <cellStyle name="표준 9 16 2 2 3" xfId="31853"/>
    <cellStyle name="표준 9 16 3 6" xfId="31854"/>
    <cellStyle name="표준 9 16 3 2 3" xfId="31855"/>
    <cellStyle name="표준 9 16 4 3" xfId="31856"/>
    <cellStyle name="표준 9 17 6" xfId="31857"/>
    <cellStyle name="표준 9 17 2 3" xfId="31858"/>
    <cellStyle name="표준 9 18 6" xfId="31859"/>
    <cellStyle name="표준 9 18 2 3" xfId="31860"/>
    <cellStyle name="표준 9 19 3" xfId="31861"/>
    <cellStyle name="표준 9 2 10 3" xfId="31862"/>
    <cellStyle name="표준 9 2 2 2 2 2 2 6" xfId="31863"/>
    <cellStyle name="표준 9 2 2 2 2 2 2 2 3" xfId="31864"/>
    <cellStyle name="표준 9 2 2 2 2 2 3 6" xfId="31865"/>
    <cellStyle name="표준 9 2 2 2 2 2 3 2 3" xfId="31866"/>
    <cellStyle name="표준 9 2 2 2 2 2 4 3" xfId="31867"/>
    <cellStyle name="표준 9 2 2 2 2 3 6" xfId="31868"/>
    <cellStyle name="표준 9 2 2 2 2 3 2 3" xfId="31869"/>
    <cellStyle name="표준 9 2 2 2 2 4 6" xfId="31870"/>
    <cellStyle name="표준 9 2 2 2 2 4 2 3" xfId="31871"/>
    <cellStyle name="표준 9 2 2 2 2 5 3" xfId="31872"/>
    <cellStyle name="표준 9 2 2 2 3 2 6" xfId="31873"/>
    <cellStyle name="표준 9 2 2 2 3 2 2 3" xfId="31874"/>
    <cellStyle name="표준 9 2 2 2 3 3 6" xfId="31875"/>
    <cellStyle name="표준 9 2 2 2 3 3 2 3" xfId="31876"/>
    <cellStyle name="표준 9 2 2 2 3 4 3" xfId="31877"/>
    <cellStyle name="표준 9 2 2 2 4 6" xfId="31878"/>
    <cellStyle name="표준 9 2 2 2 4 2 3" xfId="31879"/>
    <cellStyle name="표준 9 2 2 2 5 6" xfId="31880"/>
    <cellStyle name="표준 9 2 2 2 5 2 3" xfId="31881"/>
    <cellStyle name="표준 9 2 2 2 6 3" xfId="31882"/>
    <cellStyle name="표준 9 2 2 3 2 2 6" xfId="31883"/>
    <cellStyle name="표준 9 2 2 3 2 2 2 3" xfId="31884"/>
    <cellStyle name="표준 9 2 2 3 2 3 6" xfId="31885"/>
    <cellStyle name="표준 9 2 2 3 2 3 2 3" xfId="31886"/>
    <cellStyle name="표준 9 2 2 3 2 4 3" xfId="31887"/>
    <cellStyle name="표준 9 2 2 3 3 6" xfId="31888"/>
    <cellStyle name="표준 9 2 2 3 3 2 3" xfId="31889"/>
    <cellStyle name="표준 9 2 2 3 4 6" xfId="31890"/>
    <cellStyle name="표준 9 2 2 3 4 2 3" xfId="31891"/>
    <cellStyle name="표준 9 2 2 3 5 3" xfId="31892"/>
    <cellStyle name="표준 9 2 2 4 2 6" xfId="31893"/>
    <cellStyle name="표준 9 2 2 4 2 2 3" xfId="31894"/>
    <cellStyle name="표준 9 2 2 4 3 6" xfId="31895"/>
    <cellStyle name="표준 9 2 2 4 3 2 3" xfId="31896"/>
    <cellStyle name="표준 9 2 2 4 4 3" xfId="31897"/>
    <cellStyle name="표준 9 2 2 5 6" xfId="31898"/>
    <cellStyle name="표준 9 2 2 5 2 3" xfId="31899"/>
    <cellStyle name="표준 9 2 2 6 6" xfId="31900"/>
    <cellStyle name="표준 9 2 2 6 2 3" xfId="31901"/>
    <cellStyle name="표준 9 2 2 7 3" xfId="31902"/>
    <cellStyle name="표준 9 2 3 2 2 2 2 6" xfId="31903"/>
    <cellStyle name="표준 9 2 3 2 2 2 2 2 3" xfId="31904"/>
    <cellStyle name="표준 9 2 3 2 2 2 3 6" xfId="31905"/>
    <cellStyle name="표준 9 2 3 2 2 2 3 2 3" xfId="31906"/>
    <cellStyle name="표준 9 2 3 2 2 2 4 3" xfId="31907"/>
    <cellStyle name="표준 9 2 3 2 2 3 6" xfId="31908"/>
    <cellStyle name="표준 9 2 3 2 2 3 2 3" xfId="31909"/>
    <cellStyle name="표준 9 2 3 2 2 4 6" xfId="31910"/>
    <cellStyle name="표준 9 2 3 2 2 4 2 3" xfId="31911"/>
    <cellStyle name="표준 9 2 3 2 2 5 3" xfId="31912"/>
    <cellStyle name="표준 9 2 3 2 3 2 6" xfId="31913"/>
    <cellStyle name="표준 9 2 3 2 3 2 2 3" xfId="31914"/>
    <cellStyle name="표준 9 2 3 2 3 3 6" xfId="31915"/>
    <cellStyle name="표준 9 2 3 2 3 3 2 3" xfId="31916"/>
    <cellStyle name="표준 9 2 3 2 3 4 3" xfId="31917"/>
    <cellStyle name="표준 9 2 3 2 4 6" xfId="31918"/>
    <cellStyle name="표준 9 2 3 2 4 2 3" xfId="31919"/>
    <cellStyle name="표준 9 2 3 2 5 6" xfId="31920"/>
    <cellStyle name="표준 9 2 3 2 5 2 3" xfId="31921"/>
    <cellStyle name="표준 9 2 3 2 6 3" xfId="31922"/>
    <cellStyle name="표준 9 2 3 3 2 2 6" xfId="31923"/>
    <cellStyle name="표준 9 2 3 3 2 2 2 3" xfId="31924"/>
    <cellStyle name="표준 9 2 3 3 2 3 6" xfId="31925"/>
    <cellStyle name="표준 9 2 3 3 2 3 2 3" xfId="31926"/>
    <cellStyle name="표준 9 2 3 3 2 4 3" xfId="31927"/>
    <cellStyle name="표준 9 2 3 3 3 6" xfId="31928"/>
    <cellStyle name="표준 9 2 3 3 3 2 3" xfId="31929"/>
    <cellStyle name="표준 9 2 3 3 4 6" xfId="31930"/>
    <cellStyle name="표준 9 2 3 3 4 2 3" xfId="31931"/>
    <cellStyle name="표준 9 2 3 3 5 3" xfId="31932"/>
    <cellStyle name="표준 9 2 3 4 2 6" xfId="31933"/>
    <cellStyle name="표준 9 2 3 4 2 2 3" xfId="31934"/>
    <cellStyle name="표준 9 2 3 4 3 6" xfId="31935"/>
    <cellStyle name="표준 9 2 3 4 3 2 3" xfId="31936"/>
    <cellStyle name="표준 9 2 3 4 4 3" xfId="31937"/>
    <cellStyle name="표준 9 2 3 5 6" xfId="31938"/>
    <cellStyle name="표준 9 2 3 5 2 3" xfId="31939"/>
    <cellStyle name="표준 9 2 3 6 6" xfId="31940"/>
    <cellStyle name="표준 9 2 3 6 2 3" xfId="31941"/>
    <cellStyle name="표준 9 2 3 7 3" xfId="31942"/>
    <cellStyle name="표준 9 2 4 2 2 2 2 6" xfId="31943"/>
    <cellStyle name="표준 9 2 4 2 2 2 2 2 3" xfId="31944"/>
    <cellStyle name="표준 9 2 4 2 2 2 3 6" xfId="31945"/>
    <cellStyle name="표준 9 2 4 2 2 2 3 2 3" xfId="31946"/>
    <cellStyle name="표준 9 2 4 2 2 2 4 3" xfId="31947"/>
    <cellStyle name="표준 9 2 4 2 2 3 6" xfId="31948"/>
    <cellStyle name="표준 9 2 4 2 2 3 2 3" xfId="31949"/>
    <cellStyle name="표준 9 2 4 2 2 4 6" xfId="31950"/>
    <cellStyle name="표준 9 2 4 2 2 4 2 3" xfId="31951"/>
    <cellStyle name="표준 9 2 4 2 2 5 3" xfId="31952"/>
    <cellStyle name="표준 9 2 4 2 3 2 6" xfId="31953"/>
    <cellStyle name="표준 9 2 4 2 3 2 2 3" xfId="31954"/>
    <cellStyle name="표준 9 2 4 2 3 3 6" xfId="31955"/>
    <cellStyle name="표준 9 2 4 2 3 3 2 3" xfId="31956"/>
    <cellStyle name="표준 9 2 4 2 3 4 3" xfId="31957"/>
    <cellStyle name="표준 9 2 4 2 4 6" xfId="31958"/>
    <cellStyle name="표준 9 2 4 2 4 2 3" xfId="31959"/>
    <cellStyle name="표준 9 2 4 2 5 6" xfId="31960"/>
    <cellStyle name="표준 9 2 4 2 5 2 3" xfId="31961"/>
    <cellStyle name="표준 9 2 4 2 6 3" xfId="31962"/>
    <cellStyle name="표준 9 2 4 3 2 2 6" xfId="31963"/>
    <cellStyle name="표준 9 2 4 3 2 2 2 3" xfId="31964"/>
    <cellStyle name="표준 9 2 4 3 2 3 6" xfId="31965"/>
    <cellStyle name="표준 9 2 4 3 2 3 2 3" xfId="31966"/>
    <cellStyle name="표준 9 2 4 3 2 4 3" xfId="31967"/>
    <cellStyle name="표준 9 2 4 3 3 6" xfId="31968"/>
    <cellStyle name="표준 9 2 4 3 3 2 3" xfId="31969"/>
    <cellStyle name="표준 9 2 4 3 4 6" xfId="31970"/>
    <cellStyle name="표준 9 2 4 3 4 2 3" xfId="31971"/>
    <cellStyle name="표준 9 2 4 3 5 3" xfId="31972"/>
    <cellStyle name="표준 9 2 4 4 2 6" xfId="31973"/>
    <cellStyle name="표준 9 2 4 4 2 2 3" xfId="31974"/>
    <cellStyle name="표준 9 2 4 4 3 6" xfId="31975"/>
    <cellStyle name="표준 9 2 4 4 3 2 3" xfId="31976"/>
    <cellStyle name="표준 9 2 4 4 4 3" xfId="31977"/>
    <cellStyle name="표준 9 2 4 5 6" xfId="31978"/>
    <cellStyle name="표준 9 2 4 5 2 3" xfId="31979"/>
    <cellStyle name="표준 9 2 4 6 6" xfId="31980"/>
    <cellStyle name="표준 9 2 4 6 2 3" xfId="31981"/>
    <cellStyle name="표준 9 2 4 7 3" xfId="31982"/>
    <cellStyle name="표준 9 2 5 2 2 2 6" xfId="31983"/>
    <cellStyle name="표준 9 2 5 2 2 2 2 3" xfId="31984"/>
    <cellStyle name="표준 9 2 5 2 2 3 6" xfId="31985"/>
    <cellStyle name="표준 9 2 5 2 2 3 2 3" xfId="31986"/>
    <cellStyle name="표준 9 2 5 2 2 4 3" xfId="31987"/>
    <cellStyle name="표준 9 2 5 2 3 6" xfId="31988"/>
    <cellStyle name="표준 9 2 5 2 3 2 3" xfId="31989"/>
    <cellStyle name="표준 9 2 5 2 4 6" xfId="31990"/>
    <cellStyle name="표준 9 2 5 2 4 2 3" xfId="31991"/>
    <cellStyle name="표준 9 2 5 2 5 3" xfId="31992"/>
    <cellStyle name="표준 9 2 5 3 2 6" xfId="31993"/>
    <cellStyle name="표준 9 2 5 3 2 2 3" xfId="31994"/>
    <cellStyle name="표준 9 2 5 3 3 6" xfId="31995"/>
    <cellStyle name="표준 9 2 5 3 3 2 3" xfId="31996"/>
    <cellStyle name="표준 9 2 5 3 4 3" xfId="31997"/>
    <cellStyle name="표준 9 2 5 4 6" xfId="31998"/>
    <cellStyle name="표준 9 2 5 4 2 3" xfId="31999"/>
    <cellStyle name="표준 9 2 5 5 6" xfId="32000"/>
    <cellStyle name="표준 9 2 5 5 2 3" xfId="32001"/>
    <cellStyle name="표준 9 2 5 6 3" xfId="32002"/>
    <cellStyle name="표준 9 2 6 2 2 6" xfId="32003"/>
    <cellStyle name="표준 9 2 6 2 2 2 3" xfId="32004"/>
    <cellStyle name="표준 9 2 6 2 3 6" xfId="32005"/>
    <cellStyle name="표준 9 2 6 2 3 2 3" xfId="32006"/>
    <cellStyle name="표준 9 2 6 2 4 3" xfId="32007"/>
    <cellStyle name="표준 9 2 6 3 6" xfId="32008"/>
    <cellStyle name="표준 9 2 6 3 2 3" xfId="32009"/>
    <cellStyle name="표준 9 2 6 4 6" xfId="32010"/>
    <cellStyle name="표준 9 2 6 4 2 3" xfId="32011"/>
    <cellStyle name="표준 9 2 6 5 3" xfId="32012"/>
    <cellStyle name="표준 9 2 7 2 6" xfId="32013"/>
    <cellStyle name="표준 9 2 7 2 2 3" xfId="32014"/>
    <cellStyle name="표준 9 2 7 3 6" xfId="32015"/>
    <cellStyle name="표준 9 2 7 3 2 3" xfId="32016"/>
    <cellStyle name="표준 9 2 7 4 3" xfId="32017"/>
    <cellStyle name="표준 9 2 8 6" xfId="32018"/>
    <cellStyle name="표준 9 2 8 2 3" xfId="32019"/>
    <cellStyle name="표준 9 2 9 6" xfId="32020"/>
    <cellStyle name="표준 9 2 9 2 3" xfId="32021"/>
    <cellStyle name="표준 9 4 10 3" xfId="32022"/>
    <cellStyle name="표준 9 4 2 2 2 2 2 6" xfId="32023"/>
    <cellStyle name="표준 9 4 2 2 2 2 2 2 3" xfId="32024"/>
    <cellStyle name="표준 9 4 2 2 2 2 3 6" xfId="32025"/>
    <cellStyle name="표준 9 4 2 2 2 2 3 2 3" xfId="32026"/>
    <cellStyle name="표준 9 4 2 2 2 2 4 3" xfId="32027"/>
    <cellStyle name="표준 9 4 2 2 2 3 6" xfId="32028"/>
    <cellStyle name="표준 9 4 2 2 2 3 2 3" xfId="32029"/>
    <cellStyle name="표준 9 4 2 2 2 4 6" xfId="32030"/>
    <cellStyle name="표준 9 4 2 2 2 4 2 3" xfId="32031"/>
    <cellStyle name="표준 9 4 2 2 2 5 3" xfId="32032"/>
    <cellStyle name="표준 9 4 2 2 3 2 6" xfId="32033"/>
    <cellStyle name="표준 9 4 2 2 3 2 2 3" xfId="32034"/>
    <cellStyle name="표준 9 4 2 2 3 3 6" xfId="32035"/>
    <cellStyle name="표준 9 4 2 2 3 3 2 3" xfId="32036"/>
    <cellStyle name="표준 9 4 2 2 3 4 3" xfId="32037"/>
    <cellStyle name="표준 9 4 2 2 4 6" xfId="32038"/>
    <cellStyle name="표준 9 4 2 2 4 2 3" xfId="32039"/>
    <cellStyle name="표준 9 4 2 2 5 6" xfId="32040"/>
    <cellStyle name="표준 9 4 2 2 5 2 3" xfId="32041"/>
    <cellStyle name="표준 9 4 2 2 6 3" xfId="32042"/>
    <cellStyle name="표준 9 4 2 3 2 2 6" xfId="32043"/>
    <cellStyle name="표준 9 4 2 3 2 2 2 3" xfId="32044"/>
    <cellStyle name="표준 9 4 2 3 2 3 6" xfId="32045"/>
    <cellStyle name="표준 9 4 2 3 2 3 2 3" xfId="32046"/>
    <cellStyle name="표준 9 4 2 3 2 4 3" xfId="32047"/>
    <cellStyle name="표준 9 4 2 3 3 6" xfId="32048"/>
    <cellStyle name="표준 9 4 2 3 3 2 3" xfId="32049"/>
    <cellStyle name="표준 9 4 2 3 4 6" xfId="32050"/>
    <cellStyle name="표준 9 4 2 3 4 2 3" xfId="32051"/>
    <cellStyle name="표준 9 4 2 3 5 3" xfId="32052"/>
    <cellStyle name="표준 9 4 2 4 2 6" xfId="32053"/>
    <cellStyle name="표준 9 4 2 4 2 2 3" xfId="32054"/>
    <cellStyle name="표준 9 4 2 4 3 6" xfId="32055"/>
    <cellStyle name="표준 9 4 2 4 3 2 3" xfId="32056"/>
    <cellStyle name="표준 9 4 2 4 4 3" xfId="32057"/>
    <cellStyle name="표준 9 4 2 5 6" xfId="32058"/>
    <cellStyle name="표준 9 4 2 5 2 3" xfId="32059"/>
    <cellStyle name="표준 9 4 2 6 6" xfId="32060"/>
    <cellStyle name="표준 9 4 2 6 2 3" xfId="32061"/>
    <cellStyle name="표준 9 4 2 7 3" xfId="32062"/>
    <cellStyle name="표준 9 4 3 2 2 2 2 6" xfId="32063"/>
    <cellStyle name="표준 9 4 3 2 2 2 2 2 3" xfId="32064"/>
    <cellStyle name="표준 9 4 3 2 2 2 3 6" xfId="32065"/>
    <cellStyle name="표준 9 4 3 2 2 2 3 2 3" xfId="32066"/>
    <cellStyle name="표준 9 4 3 2 2 2 4 3" xfId="32067"/>
    <cellStyle name="표준 9 4 3 2 2 3 6" xfId="32068"/>
    <cellStyle name="표준 9 4 3 2 2 3 2 3" xfId="32069"/>
    <cellStyle name="표준 9 4 3 2 2 4 6" xfId="32070"/>
    <cellStyle name="표준 9 4 3 2 2 4 2 3" xfId="32071"/>
    <cellStyle name="표준 9 4 3 2 2 5 3" xfId="32072"/>
    <cellStyle name="표준 9 4 3 2 3 2 6" xfId="32073"/>
    <cellStyle name="표준 9 4 3 2 3 2 2 3" xfId="32074"/>
    <cellStyle name="표준 9 4 3 2 3 3 6" xfId="32075"/>
    <cellStyle name="표준 9 4 3 2 3 3 2 3" xfId="32076"/>
    <cellStyle name="표준 9 4 3 2 3 4 3" xfId="32077"/>
    <cellStyle name="표준 9 4 3 2 4 6" xfId="32078"/>
    <cellStyle name="표준 9 4 3 2 4 2 3" xfId="32079"/>
    <cellStyle name="표준 9 4 3 2 5 6" xfId="32080"/>
    <cellStyle name="표준 9 4 3 2 5 2 3" xfId="32081"/>
    <cellStyle name="표준 9 4 3 2 6 3" xfId="32082"/>
    <cellStyle name="표준 9 4 3 3 2 2 6" xfId="32083"/>
    <cellStyle name="표준 9 4 3 3 2 2 2 3" xfId="32084"/>
    <cellStyle name="표준 9 4 3 3 2 3 6" xfId="32085"/>
    <cellStyle name="표준 9 4 3 3 2 3 2 3" xfId="32086"/>
    <cellStyle name="표준 9 4 3 3 2 4 3" xfId="32087"/>
    <cellStyle name="표준 9 4 3 3 3 6" xfId="32088"/>
    <cellStyle name="표준 9 4 3 3 3 2 3" xfId="32089"/>
    <cellStyle name="표준 9 4 3 3 4 6" xfId="32090"/>
    <cellStyle name="표준 9 4 3 3 4 2 3" xfId="32091"/>
    <cellStyle name="표준 9 4 3 3 5 3" xfId="32092"/>
    <cellStyle name="표준 9 4 3 4 2 6" xfId="32093"/>
    <cellStyle name="표준 9 4 3 4 2 2 3" xfId="32094"/>
    <cellStyle name="표준 9 4 3 4 3 6" xfId="32095"/>
    <cellStyle name="표준 9 4 3 4 3 2 3" xfId="32096"/>
    <cellStyle name="표준 9 4 3 4 4 3" xfId="32097"/>
    <cellStyle name="표준 9 4 3 5 6" xfId="32098"/>
    <cellStyle name="표준 9 4 3 5 2 3" xfId="32099"/>
    <cellStyle name="표준 9 4 3 6 6" xfId="32100"/>
    <cellStyle name="표준 9 4 3 6 2 3" xfId="32101"/>
    <cellStyle name="표준 9 4 3 7 3" xfId="32102"/>
    <cellStyle name="표준 9 4 4 2 2 2 2 6" xfId="32103"/>
    <cellStyle name="표준 9 4 4 2 2 2 2 2 3" xfId="32104"/>
    <cellStyle name="표준 9 4 4 2 2 2 3 6" xfId="32105"/>
    <cellStyle name="표준 9 4 4 2 2 2 3 2 3" xfId="32106"/>
    <cellStyle name="표준 9 4 4 2 2 2 4 3" xfId="32107"/>
    <cellStyle name="표준 9 4 4 2 2 3 6" xfId="32108"/>
    <cellStyle name="표준 9 4 4 2 2 3 2 3" xfId="32109"/>
    <cellStyle name="표준 9 4 4 2 2 4 6" xfId="32110"/>
    <cellStyle name="표준 9 4 4 2 2 4 2 3" xfId="32111"/>
    <cellStyle name="표준 9 4 4 2 2 5 3" xfId="32112"/>
    <cellStyle name="표준 9 4 4 2 3 2 6" xfId="32113"/>
    <cellStyle name="표준 9 4 4 2 3 2 2 3" xfId="32114"/>
    <cellStyle name="표준 9 4 4 2 3 3 6" xfId="32115"/>
    <cellStyle name="표준 9 4 4 2 3 3 2 3" xfId="32116"/>
    <cellStyle name="표준 9 4 4 2 3 4 3" xfId="32117"/>
    <cellStyle name="표준 9 4 4 2 4 6" xfId="32118"/>
    <cellStyle name="표준 9 4 4 2 4 2 3" xfId="32119"/>
    <cellStyle name="표준 9 4 4 2 5 6" xfId="32120"/>
    <cellStyle name="표준 9 4 4 2 5 2 3" xfId="32121"/>
    <cellStyle name="표준 9 4 4 2 6 3" xfId="32122"/>
    <cellStyle name="표준 9 4 4 3 2 2 6" xfId="32123"/>
    <cellStyle name="표준 9 4 4 3 2 2 2 3" xfId="32124"/>
    <cellStyle name="표준 9 4 4 3 2 3 6" xfId="32125"/>
    <cellStyle name="표준 9 4 4 3 2 3 2 3" xfId="32126"/>
    <cellStyle name="표준 9 4 4 3 2 4 3" xfId="32127"/>
    <cellStyle name="표준 9 4 4 3 3 6" xfId="32128"/>
    <cellStyle name="표준 9 4 4 3 3 2 3" xfId="32129"/>
    <cellStyle name="표준 9 4 4 3 4 6" xfId="32130"/>
    <cellStyle name="표준 9 4 4 3 4 2 3" xfId="32131"/>
    <cellStyle name="표준 9 4 4 3 5 3" xfId="32132"/>
    <cellStyle name="표준 9 4 4 4 2 6" xfId="32133"/>
    <cellStyle name="표준 9 4 4 4 2 2 3" xfId="32134"/>
    <cellStyle name="표준 9 4 4 4 3 6" xfId="32135"/>
    <cellStyle name="표준 9 4 4 4 3 2 3" xfId="32136"/>
    <cellStyle name="표준 9 4 4 4 4 3" xfId="32137"/>
    <cellStyle name="표준 9 4 4 5 6" xfId="32138"/>
    <cellStyle name="표준 9 4 4 5 2 3" xfId="32139"/>
    <cellStyle name="표준 9 4 4 6 6" xfId="32140"/>
    <cellStyle name="표준 9 4 4 6 2 3" xfId="32141"/>
    <cellStyle name="표준 9 4 4 7 3" xfId="32142"/>
    <cellStyle name="표준 9 4 5 2 2 2 6" xfId="32143"/>
    <cellStyle name="표준 9 4 5 2 2 2 2 3" xfId="32144"/>
    <cellStyle name="표준 9 4 5 2 2 3 6" xfId="32145"/>
    <cellStyle name="표준 9 4 5 2 2 3 2 3" xfId="32146"/>
    <cellStyle name="표준 9 4 5 2 2 4 3" xfId="32147"/>
    <cellStyle name="표준 9 4 5 2 3 6" xfId="32148"/>
    <cellStyle name="표준 9 4 5 2 3 2 3" xfId="32149"/>
    <cellStyle name="표준 9 4 5 2 4 6" xfId="32150"/>
    <cellStyle name="표준 9 4 5 2 4 2 3" xfId="32151"/>
    <cellStyle name="표준 9 4 5 2 5 3" xfId="32152"/>
    <cellStyle name="표준 9 4 5 3 2 6" xfId="32153"/>
    <cellStyle name="표준 9 4 5 3 2 2 3" xfId="32154"/>
    <cellStyle name="표준 9 4 5 3 3 6" xfId="32155"/>
    <cellStyle name="표준 9 4 5 3 3 2 3" xfId="32156"/>
    <cellStyle name="표준 9 4 5 3 4 3" xfId="32157"/>
    <cellStyle name="표준 9 4 5 4 6" xfId="32158"/>
    <cellStyle name="표준 9 4 5 4 2 3" xfId="32159"/>
    <cellStyle name="표준 9 4 5 5 6" xfId="32160"/>
    <cellStyle name="표준 9 4 5 5 2 3" xfId="32161"/>
    <cellStyle name="표준 9 4 5 6 3" xfId="32162"/>
    <cellStyle name="표준 9 4 6 2 2 6" xfId="32163"/>
    <cellStyle name="표준 9 4 6 2 2 2 3" xfId="32164"/>
    <cellStyle name="표준 9 4 6 2 3 6" xfId="32165"/>
    <cellStyle name="표준 9 4 6 2 3 2 3" xfId="32166"/>
    <cellStyle name="표준 9 4 6 2 4 3" xfId="32167"/>
    <cellStyle name="표준 9 4 6 3 6" xfId="32168"/>
    <cellStyle name="표준 9 4 6 3 2 3" xfId="32169"/>
    <cellStyle name="표준 9 4 6 4 6" xfId="32170"/>
    <cellStyle name="표준 9 4 6 4 2 3" xfId="32171"/>
    <cellStyle name="표준 9 4 6 5 3" xfId="32172"/>
    <cellStyle name="표준 9 4 7 2 6" xfId="32173"/>
    <cellStyle name="표준 9 4 7 2 2 3" xfId="32174"/>
    <cellStyle name="표준 9 4 7 3 6" xfId="32175"/>
    <cellStyle name="표준 9 4 7 3 2 3" xfId="32176"/>
    <cellStyle name="표준 9 4 7 4 3" xfId="32177"/>
    <cellStyle name="표준 9 4 8 6" xfId="32178"/>
    <cellStyle name="표준 9 4 8 2 3" xfId="32179"/>
    <cellStyle name="표준 9 4 9 6" xfId="32180"/>
    <cellStyle name="표준 9 4 9 2 3" xfId="32181"/>
    <cellStyle name="표준 9 5 10 3" xfId="32182"/>
    <cellStyle name="표준 9 5 2 2 2 2 2 6" xfId="32183"/>
    <cellStyle name="표준 9 5 2 2 2 2 2 2 3" xfId="32184"/>
    <cellStyle name="표준 9 5 2 2 2 2 3 6" xfId="32185"/>
    <cellStyle name="표준 9 5 2 2 2 2 3 2 3" xfId="32186"/>
    <cellStyle name="표준 9 5 2 2 2 2 4 3" xfId="32187"/>
    <cellStyle name="표준 9 5 2 2 2 3 6" xfId="32188"/>
    <cellStyle name="표준 9 5 2 2 2 3 2 3" xfId="32189"/>
    <cellStyle name="표준 9 5 2 2 2 4 6" xfId="32190"/>
    <cellStyle name="표준 9 5 2 2 2 4 2 3" xfId="32191"/>
    <cellStyle name="표준 9 5 2 2 2 5 3" xfId="32192"/>
    <cellStyle name="표준 9 5 2 2 3 2 6" xfId="32193"/>
    <cellStyle name="표준 9 5 2 2 3 2 2 3" xfId="32194"/>
    <cellStyle name="표준 9 5 2 2 3 3 6" xfId="32195"/>
    <cellStyle name="표준 9 5 2 2 3 3 2 3" xfId="32196"/>
    <cellStyle name="표준 9 5 2 2 3 4 3" xfId="32197"/>
    <cellStyle name="표준 9 5 2 2 4 6" xfId="32198"/>
    <cellStyle name="표준 9 5 2 2 4 2 3" xfId="32199"/>
    <cellStyle name="표준 9 5 2 2 5 6" xfId="32200"/>
    <cellStyle name="표준 9 5 2 2 5 2 3" xfId="32201"/>
    <cellStyle name="표준 9 5 2 2 6 3" xfId="32202"/>
    <cellStyle name="표준 9 5 2 3 2 2 6" xfId="32203"/>
    <cellStyle name="표준 9 5 2 3 2 2 2 3" xfId="32204"/>
    <cellStyle name="표준 9 5 2 3 2 3 6" xfId="32205"/>
    <cellStyle name="표준 9 5 2 3 2 3 2 3" xfId="32206"/>
    <cellStyle name="표준 9 5 2 3 2 4 3" xfId="32207"/>
    <cellStyle name="표준 9 5 2 3 3 6" xfId="32208"/>
    <cellStyle name="표준 9 5 2 3 3 2 3" xfId="32209"/>
    <cellStyle name="표준 9 5 2 3 4 6" xfId="32210"/>
    <cellStyle name="표준 9 5 2 3 4 2 3" xfId="32211"/>
    <cellStyle name="표준 9 5 2 3 5 3" xfId="32212"/>
    <cellStyle name="표준 9 5 2 4 2 6" xfId="32213"/>
    <cellStyle name="표준 9 5 2 4 2 2 3" xfId="32214"/>
    <cellStyle name="표준 9 5 2 4 3 6" xfId="32215"/>
    <cellStyle name="표준 9 5 2 4 3 2 3" xfId="32216"/>
    <cellStyle name="표준 9 5 2 4 4 3" xfId="32217"/>
    <cellStyle name="표준 9 5 2 5 6" xfId="32218"/>
    <cellStyle name="표준 9 5 2 5 2 3" xfId="32219"/>
    <cellStyle name="표준 9 5 2 6 6" xfId="32220"/>
    <cellStyle name="표준 9 5 2 6 2 3" xfId="32221"/>
    <cellStyle name="표준 9 5 2 7 3" xfId="32222"/>
    <cellStyle name="표준 9 5 3 2 2 2 2 6" xfId="32223"/>
    <cellStyle name="표준 9 5 3 2 2 2 2 2 3" xfId="32224"/>
    <cellStyle name="표준 9 5 3 2 2 2 3 6" xfId="32225"/>
    <cellStyle name="표준 9 5 3 2 2 2 3 2 3" xfId="32226"/>
    <cellStyle name="표준 9 5 3 2 2 2 4 3" xfId="32227"/>
    <cellStyle name="표준 9 5 3 2 2 3 6" xfId="32228"/>
    <cellStyle name="표준 9 5 3 2 2 3 2 3" xfId="32229"/>
    <cellStyle name="표준 9 5 3 2 2 4 6" xfId="32230"/>
    <cellStyle name="표준 9 5 3 2 2 4 2 3" xfId="32231"/>
    <cellStyle name="표준 9 5 3 2 2 5 3" xfId="32232"/>
    <cellStyle name="표준 9 5 3 2 3 2 6" xfId="32233"/>
    <cellStyle name="표준 9 5 3 2 3 2 2 3" xfId="32234"/>
    <cellStyle name="표준 9 5 3 2 3 3 6" xfId="32235"/>
    <cellStyle name="표준 9 5 3 2 3 3 2 3" xfId="32236"/>
    <cellStyle name="표준 9 5 3 2 3 4 3" xfId="32237"/>
    <cellStyle name="표준 9 5 3 2 4 6" xfId="32238"/>
    <cellStyle name="표준 9 5 3 2 4 2 3" xfId="32239"/>
    <cellStyle name="표준 9 5 3 2 5 6" xfId="32240"/>
    <cellStyle name="표준 9 5 3 2 5 2 3" xfId="32241"/>
    <cellStyle name="표준 9 5 3 2 6 3" xfId="32242"/>
    <cellStyle name="표준 9 5 3 3 2 2 6" xfId="32243"/>
    <cellStyle name="표준 9 5 3 3 2 2 2 3" xfId="32244"/>
    <cellStyle name="표준 9 5 3 3 2 3 6" xfId="32245"/>
    <cellStyle name="표준 9 5 3 3 2 3 2 3" xfId="32246"/>
    <cellStyle name="표준 9 5 3 3 2 4 3" xfId="32247"/>
    <cellStyle name="표준 9 5 3 3 3 6" xfId="32248"/>
    <cellStyle name="표준 9 5 3 3 3 2 3" xfId="32249"/>
    <cellStyle name="표준 9 5 3 3 4 6" xfId="32250"/>
    <cellStyle name="표준 9 5 3 3 4 2 3" xfId="32251"/>
    <cellStyle name="표준 9 5 3 3 5 3" xfId="32252"/>
    <cellStyle name="표준 9 5 3 4 2 6" xfId="32253"/>
    <cellStyle name="표준 9 5 3 4 2 2 3" xfId="32254"/>
    <cellStyle name="표준 9 5 3 4 3 6" xfId="32255"/>
    <cellStyle name="표준 9 5 3 4 3 2 3" xfId="32256"/>
    <cellStyle name="표준 9 5 3 4 4 3" xfId="32257"/>
    <cellStyle name="표준 9 5 3 5 6" xfId="32258"/>
    <cellStyle name="표준 9 5 3 5 2 3" xfId="32259"/>
    <cellStyle name="표준 9 5 3 6 6" xfId="32260"/>
    <cellStyle name="표준 9 5 3 6 2 3" xfId="32261"/>
    <cellStyle name="표준 9 5 3 7 3" xfId="32262"/>
    <cellStyle name="표준 9 5 4 2 2 2 2 6" xfId="32263"/>
    <cellStyle name="표준 9 5 4 2 2 2 2 2 3" xfId="32264"/>
    <cellStyle name="표준 9 5 4 2 2 2 3 6" xfId="32265"/>
    <cellStyle name="표준 9 5 4 2 2 2 3 2 3" xfId="32266"/>
    <cellStyle name="표준 9 5 4 2 2 2 4 3" xfId="32267"/>
    <cellStyle name="표준 9 5 4 2 2 3 6" xfId="32268"/>
    <cellStyle name="표준 9 5 4 2 2 3 2 3" xfId="32269"/>
    <cellStyle name="표준 9 5 4 2 2 4 6" xfId="32270"/>
    <cellStyle name="표준 9 5 4 2 2 4 2 3" xfId="32271"/>
    <cellStyle name="표준 9 5 4 2 2 5 3" xfId="32272"/>
    <cellStyle name="표준 9 5 4 2 3 2 6" xfId="32273"/>
    <cellStyle name="표준 9 5 4 2 3 2 2 3" xfId="32274"/>
    <cellStyle name="표준 9 5 4 2 3 3 6" xfId="32275"/>
    <cellStyle name="표준 9 5 4 2 3 3 2 3" xfId="32276"/>
    <cellStyle name="표준 9 5 4 2 3 4 3" xfId="32277"/>
    <cellStyle name="표준 9 5 4 2 4 6" xfId="32278"/>
    <cellStyle name="표준 9 5 4 2 4 2 3" xfId="32279"/>
    <cellStyle name="표준 9 5 4 2 5 6" xfId="32280"/>
    <cellStyle name="표준 9 5 4 2 5 2 3" xfId="32281"/>
    <cellStyle name="표준 9 5 4 2 6 3" xfId="32282"/>
    <cellStyle name="표준 9 5 4 3 2 2 6" xfId="32283"/>
    <cellStyle name="표준 9 5 4 3 2 2 2 3" xfId="32284"/>
    <cellStyle name="표준 9 5 4 3 2 3 6" xfId="32285"/>
    <cellStyle name="표준 9 5 4 3 2 3 2 3" xfId="32286"/>
    <cellStyle name="표준 9 5 4 3 2 4 3" xfId="32287"/>
    <cellStyle name="표준 9 5 4 3 3 6" xfId="32288"/>
    <cellStyle name="표준 9 5 4 3 3 2 3" xfId="32289"/>
    <cellStyle name="표준 9 5 4 3 4 6" xfId="32290"/>
    <cellStyle name="표준 9 5 4 3 4 2 3" xfId="32291"/>
    <cellStyle name="표준 9 5 4 3 5 3" xfId="32292"/>
    <cellStyle name="표준 9 5 4 4 2 6" xfId="32293"/>
    <cellStyle name="표준 9 5 4 4 2 2 3" xfId="32294"/>
    <cellStyle name="표준 9 5 4 4 3 6" xfId="32295"/>
    <cellStyle name="표준 9 5 4 4 3 2 3" xfId="32296"/>
    <cellStyle name="표준 9 5 4 4 4 3" xfId="32297"/>
    <cellStyle name="표준 9 5 4 5 6" xfId="32298"/>
    <cellStyle name="표준 9 5 4 5 2 3" xfId="32299"/>
    <cellStyle name="표준 9 5 4 6 6" xfId="32300"/>
    <cellStyle name="표준 9 5 4 6 2 3" xfId="32301"/>
    <cellStyle name="표준 9 5 4 7 3" xfId="32302"/>
    <cellStyle name="표준 9 5 5 2 2 2 6" xfId="32303"/>
    <cellStyle name="표준 9 5 5 2 2 2 2 3" xfId="32304"/>
    <cellStyle name="표준 9 5 5 2 2 3 6" xfId="32305"/>
    <cellStyle name="표준 9 5 5 2 2 3 2 3" xfId="32306"/>
    <cellStyle name="표준 9 5 5 2 2 4 3" xfId="32307"/>
    <cellStyle name="표준 9 5 5 2 3 6" xfId="32308"/>
    <cellStyle name="표준 9 5 5 2 3 2 3" xfId="32309"/>
    <cellStyle name="표준 9 5 5 2 4 6" xfId="32310"/>
    <cellStyle name="표준 9 5 5 2 4 2 3" xfId="32311"/>
    <cellStyle name="표준 9 5 5 2 5 3" xfId="32312"/>
    <cellStyle name="표준 9 5 5 3 2 6" xfId="32313"/>
    <cellStyle name="표준 9 5 5 3 2 2 3" xfId="32314"/>
    <cellStyle name="표준 9 5 5 3 3 6" xfId="32315"/>
    <cellStyle name="표준 9 5 5 3 3 2 3" xfId="32316"/>
    <cellStyle name="표준 9 5 5 3 4 3" xfId="32317"/>
    <cellStyle name="표준 9 5 5 4 6" xfId="32318"/>
    <cellStyle name="표준 9 5 5 4 2 3" xfId="32319"/>
    <cellStyle name="표준 9 5 5 5 6" xfId="32320"/>
    <cellStyle name="표준 9 5 5 5 2 3" xfId="32321"/>
    <cellStyle name="표준 9 5 5 6 3" xfId="32322"/>
    <cellStyle name="표준 9 5 6 2 2 6" xfId="32323"/>
    <cellStyle name="표준 9 5 6 2 2 2 3" xfId="32324"/>
    <cellStyle name="표준 9 5 6 2 3 6" xfId="32325"/>
    <cellStyle name="표준 9 5 6 2 3 2 3" xfId="32326"/>
    <cellStyle name="표준 9 5 6 2 4 3" xfId="32327"/>
    <cellStyle name="표준 9 5 6 3 6" xfId="32328"/>
    <cellStyle name="표준 9 5 6 3 2 3" xfId="32329"/>
    <cellStyle name="표준 9 5 6 4 6" xfId="32330"/>
    <cellStyle name="표준 9 5 6 4 2 3" xfId="32331"/>
    <cellStyle name="표준 9 5 6 5 3" xfId="32332"/>
    <cellStyle name="표준 9 5 7 2 6" xfId="32333"/>
    <cellStyle name="표준 9 5 7 2 2 3" xfId="32334"/>
    <cellStyle name="표준 9 5 7 3 6" xfId="32335"/>
    <cellStyle name="표준 9 5 7 3 2 3" xfId="32336"/>
    <cellStyle name="표준 9 5 7 4 3" xfId="32337"/>
    <cellStyle name="표준 9 5 8 6" xfId="32338"/>
    <cellStyle name="표준 9 5 8 2 3" xfId="32339"/>
    <cellStyle name="표준 9 5 9 6" xfId="32340"/>
    <cellStyle name="표준 9 5 9 2 3" xfId="32341"/>
    <cellStyle name="표준 9 6 10 3" xfId="32342"/>
    <cellStyle name="표준 9 6 2 2 2 2 2 6" xfId="32343"/>
    <cellStyle name="표준 9 6 2 2 2 2 2 2 3" xfId="32344"/>
    <cellStyle name="표준 9 6 2 2 2 2 3 6" xfId="32345"/>
    <cellStyle name="표준 9 6 2 2 2 2 3 2 3" xfId="32346"/>
    <cellStyle name="표준 9 6 2 2 2 2 4 3" xfId="32347"/>
    <cellStyle name="표준 9 6 2 2 2 3 6" xfId="32348"/>
    <cellStyle name="표준 9 6 2 2 2 3 2 3" xfId="32349"/>
    <cellStyle name="표준 9 6 2 2 2 4 6" xfId="32350"/>
    <cellStyle name="표준 9 6 2 2 2 4 2 3" xfId="32351"/>
    <cellStyle name="표준 9 6 2 2 2 5 3" xfId="32352"/>
    <cellStyle name="표준 9 6 2 2 3 2 6" xfId="32353"/>
    <cellStyle name="표준 9 6 2 2 3 2 2 3" xfId="32354"/>
    <cellStyle name="표준 9 6 2 2 3 3 6" xfId="32355"/>
    <cellStyle name="표준 9 6 2 2 3 3 2 3" xfId="32356"/>
    <cellStyle name="표준 9 6 2 2 3 4 3" xfId="32357"/>
    <cellStyle name="표준 9 6 2 2 4 6" xfId="32358"/>
    <cellStyle name="표준 9 6 2 2 4 2 3" xfId="32359"/>
    <cellStyle name="표준 9 6 2 2 5 6" xfId="32360"/>
    <cellStyle name="표준 9 6 2 2 5 2 3" xfId="32361"/>
    <cellStyle name="표준 9 6 2 2 6 3" xfId="32362"/>
    <cellStyle name="표준 9 6 2 3 2 2 6" xfId="32363"/>
    <cellStyle name="표준 9 6 2 3 2 2 2 3" xfId="32364"/>
    <cellStyle name="표준 9 6 2 3 2 3 6" xfId="32365"/>
    <cellStyle name="표준 9 6 2 3 2 3 2 3" xfId="32366"/>
    <cellStyle name="표준 9 6 2 3 2 4 3" xfId="32367"/>
    <cellStyle name="표준 9 6 2 3 3 6" xfId="32368"/>
    <cellStyle name="표준 9 6 2 3 3 2 3" xfId="32369"/>
    <cellStyle name="표준 9 6 2 3 4 6" xfId="32370"/>
    <cellStyle name="표준 9 6 2 3 4 2 3" xfId="32371"/>
    <cellStyle name="표준 9 6 2 3 5 3" xfId="32372"/>
    <cellStyle name="표준 9 6 2 4 2 6" xfId="32373"/>
    <cellStyle name="표준 9 6 2 4 2 2 3" xfId="32374"/>
    <cellStyle name="표준 9 6 2 4 3 6" xfId="32375"/>
    <cellStyle name="표준 9 6 2 4 3 2 3" xfId="32376"/>
    <cellStyle name="표준 9 6 2 4 4 3" xfId="32377"/>
    <cellStyle name="표준 9 6 2 5 6" xfId="32378"/>
    <cellStyle name="표준 9 6 2 5 2 3" xfId="32379"/>
    <cellStyle name="표준 9 6 2 6 6" xfId="32380"/>
    <cellStyle name="표준 9 6 2 6 2 3" xfId="32381"/>
    <cellStyle name="표준 9 6 2 7 3" xfId="32382"/>
    <cellStyle name="표준 9 6 3 2 2 2 2 6" xfId="32383"/>
    <cellStyle name="표준 9 6 3 2 2 2 2 2 3" xfId="32384"/>
    <cellStyle name="표준 9 6 3 2 2 2 3 6" xfId="32385"/>
    <cellStyle name="표준 9 6 3 2 2 2 3 2 3" xfId="32386"/>
    <cellStyle name="표준 9 6 3 2 2 2 4 3" xfId="32387"/>
    <cellStyle name="표준 9 6 3 2 2 3 6" xfId="32388"/>
    <cellStyle name="표준 9 6 3 2 2 3 2 3" xfId="32389"/>
    <cellStyle name="표준 9 6 3 2 2 4 6" xfId="32390"/>
    <cellStyle name="표준 9 6 3 2 2 4 2 3" xfId="32391"/>
    <cellStyle name="표준 9 6 3 2 2 5 3" xfId="32392"/>
    <cellStyle name="표준 9 6 3 2 3 2 6" xfId="32393"/>
    <cellStyle name="표준 9 6 3 2 3 2 2 3" xfId="32394"/>
    <cellStyle name="표준 9 6 3 2 3 3 6" xfId="32395"/>
    <cellStyle name="표준 9 6 3 2 3 3 2 3" xfId="32396"/>
    <cellStyle name="표준 9 6 3 2 3 4 3" xfId="32397"/>
    <cellStyle name="표준 9 6 3 2 4 6" xfId="32398"/>
    <cellStyle name="표준 9 6 3 2 4 2 3" xfId="32399"/>
    <cellStyle name="표준 9 6 3 2 5 6" xfId="32400"/>
    <cellStyle name="표준 9 6 3 2 5 2 3" xfId="32401"/>
    <cellStyle name="표준 9 6 3 2 6 3" xfId="32402"/>
    <cellStyle name="표준 9 6 3 3 2 2 6" xfId="32403"/>
    <cellStyle name="표준 9 6 3 3 2 2 2 3" xfId="32404"/>
    <cellStyle name="표준 9 6 3 3 2 3 6" xfId="32405"/>
    <cellStyle name="표준 9 6 3 3 2 3 2 3" xfId="32406"/>
    <cellStyle name="표준 9 6 3 3 2 4 3" xfId="32407"/>
    <cellStyle name="표준 9 6 3 3 3 6" xfId="32408"/>
    <cellStyle name="표준 9 6 3 3 3 2 3" xfId="32409"/>
    <cellStyle name="표준 9 6 3 3 4 6" xfId="32410"/>
    <cellStyle name="표준 9 6 3 3 4 2 3" xfId="32411"/>
    <cellStyle name="표준 9 6 3 3 5 3" xfId="32412"/>
    <cellStyle name="표준 9 6 3 4 2 6" xfId="32413"/>
    <cellStyle name="표준 9 6 3 4 2 2 3" xfId="32414"/>
    <cellStyle name="표준 9 6 3 4 3 6" xfId="32415"/>
    <cellStyle name="표준 9 6 3 4 3 2 3" xfId="32416"/>
    <cellStyle name="표준 9 6 3 4 4 3" xfId="32417"/>
    <cellStyle name="표준 9 6 3 5 6" xfId="32418"/>
    <cellStyle name="표준 9 6 3 5 2 3" xfId="32419"/>
    <cellStyle name="표준 9 6 3 6 6" xfId="32420"/>
    <cellStyle name="표준 9 6 3 6 2 3" xfId="32421"/>
    <cellStyle name="표준 9 6 3 7 3" xfId="32422"/>
    <cellStyle name="표준 9 6 4 2 2 2 2 6" xfId="32423"/>
    <cellStyle name="표준 9 6 4 2 2 2 2 2 3" xfId="32424"/>
    <cellStyle name="표준 9 6 4 2 2 2 3 6" xfId="32425"/>
    <cellStyle name="표준 9 6 4 2 2 2 3 2 3" xfId="32426"/>
    <cellStyle name="표준 9 6 4 2 2 2 4 3" xfId="32427"/>
    <cellStyle name="표준 9 6 4 2 2 3 6" xfId="32428"/>
    <cellStyle name="표준 9 6 4 2 2 3 2 3" xfId="32429"/>
    <cellStyle name="표준 9 6 4 2 2 4 6" xfId="32430"/>
    <cellStyle name="표준 9 6 4 2 2 4 2 3" xfId="32431"/>
    <cellStyle name="표준 9 6 4 2 2 5 3" xfId="32432"/>
    <cellStyle name="표준 9 6 4 2 3 2 6" xfId="32433"/>
    <cellStyle name="표준 9 6 4 2 3 2 2 3" xfId="32434"/>
    <cellStyle name="표준 9 6 4 2 3 3 6" xfId="32435"/>
    <cellStyle name="표준 9 6 4 2 3 3 2 3" xfId="32436"/>
    <cellStyle name="표준 9 6 4 2 3 4 3" xfId="32437"/>
    <cellStyle name="표준 9 6 4 2 4 6" xfId="32438"/>
    <cellStyle name="표준 9 6 4 2 4 2 3" xfId="32439"/>
    <cellStyle name="표준 9 6 4 2 5 6" xfId="32440"/>
    <cellStyle name="표준 9 6 4 2 5 2 3" xfId="32441"/>
    <cellStyle name="표준 9 6 4 2 6 3" xfId="32442"/>
    <cellStyle name="표준 9 6 4 3 2 2 6" xfId="32443"/>
    <cellStyle name="표준 9 6 4 3 2 2 2 3" xfId="32444"/>
    <cellStyle name="표준 9 6 4 3 2 3 6" xfId="32445"/>
    <cellStyle name="표준 9 6 4 3 2 3 2 3" xfId="32446"/>
    <cellStyle name="표준 9 6 4 3 2 4 3" xfId="32447"/>
    <cellStyle name="표준 9 6 4 3 3 6" xfId="32448"/>
    <cellStyle name="표준 9 6 4 3 3 2 3" xfId="32449"/>
    <cellStyle name="표준 9 6 4 3 4 6" xfId="32450"/>
    <cellStyle name="표준 9 6 4 3 4 2 3" xfId="32451"/>
    <cellStyle name="표준 9 6 4 3 5 3" xfId="32452"/>
    <cellStyle name="표준 9 6 4 4 2 6" xfId="32453"/>
    <cellStyle name="표준 9 6 4 4 2 2 3" xfId="32454"/>
    <cellStyle name="표준 9 6 4 4 3 6" xfId="32455"/>
    <cellStyle name="표준 9 6 4 4 3 2 3" xfId="32456"/>
    <cellStyle name="표준 9 6 4 4 4 3" xfId="32457"/>
    <cellStyle name="표준 9 6 4 5 6" xfId="32458"/>
    <cellStyle name="표준 9 6 4 5 2 3" xfId="32459"/>
    <cellStyle name="표준 9 6 4 6 6" xfId="32460"/>
    <cellStyle name="표준 9 6 4 6 2 3" xfId="32461"/>
    <cellStyle name="표준 9 6 4 7 3" xfId="32462"/>
    <cellStyle name="표준 9 6 5 2 2 2 6" xfId="32463"/>
    <cellStyle name="표준 9 6 5 2 2 2 2 3" xfId="32464"/>
    <cellStyle name="표준 9 6 5 2 2 3 6" xfId="32465"/>
    <cellStyle name="표준 9 6 5 2 2 3 2 3" xfId="32466"/>
    <cellStyle name="표준 9 6 5 2 2 4 3" xfId="32467"/>
    <cellStyle name="표준 9 6 5 2 3 6" xfId="32468"/>
    <cellStyle name="표준 9 6 5 2 3 2 3" xfId="32469"/>
    <cellStyle name="표준 9 6 5 2 4 6" xfId="32470"/>
    <cellStyle name="표준 9 6 5 2 4 2 3" xfId="32471"/>
    <cellStyle name="표준 9 6 5 2 5 3" xfId="32472"/>
    <cellStyle name="표준 9 6 5 3 2 6" xfId="32473"/>
    <cellStyle name="표준 9 6 5 3 2 2 3" xfId="32474"/>
    <cellStyle name="표준 9 6 5 3 3 6" xfId="32475"/>
    <cellStyle name="표준 9 6 5 3 3 2 3" xfId="32476"/>
    <cellStyle name="표준 9 6 5 3 4 3" xfId="32477"/>
    <cellStyle name="표준 9 6 5 4 6" xfId="32478"/>
    <cellStyle name="표준 9 6 5 4 2 3" xfId="32479"/>
    <cellStyle name="표준 9 6 5 5 6" xfId="32480"/>
    <cellStyle name="표준 9 6 5 5 2 3" xfId="32481"/>
    <cellStyle name="표준 9 6 5 6 3" xfId="32482"/>
    <cellStyle name="표준 9 6 6 2 2 6" xfId="32483"/>
    <cellStyle name="표준 9 6 6 2 2 2 3" xfId="32484"/>
    <cellStyle name="표준 9 6 6 2 3 6" xfId="32485"/>
    <cellStyle name="표준 9 6 6 2 3 2 3" xfId="32486"/>
    <cellStyle name="표준 9 6 6 2 4 3" xfId="32487"/>
    <cellStyle name="표준 9 6 6 3 6" xfId="32488"/>
    <cellStyle name="표준 9 6 6 3 2 3" xfId="32489"/>
    <cellStyle name="표준 9 6 6 4 6" xfId="32490"/>
    <cellStyle name="표준 9 6 6 4 2 3" xfId="32491"/>
    <cellStyle name="표준 9 6 6 5 3" xfId="32492"/>
    <cellStyle name="표준 9 6 7 2 6" xfId="32493"/>
    <cellStyle name="표준 9 6 7 2 2 3" xfId="32494"/>
    <cellStyle name="표준 9 6 7 3 6" xfId="32495"/>
    <cellStyle name="표준 9 6 7 3 2 3" xfId="32496"/>
    <cellStyle name="표준 9 6 7 4 3" xfId="32497"/>
    <cellStyle name="표준 9 6 8 6" xfId="32498"/>
    <cellStyle name="표준 9 6 8 2 3" xfId="32499"/>
    <cellStyle name="표준 9 6 9 6" xfId="32500"/>
    <cellStyle name="표준 9 6 9 2 3" xfId="32501"/>
    <cellStyle name="표준 9 7 10 3" xfId="32502"/>
    <cellStyle name="표준 9 7 2 2 2 2 2 6" xfId="32503"/>
    <cellStyle name="표준 9 7 2 2 2 2 2 2 3" xfId="32504"/>
    <cellStyle name="표준 9 7 2 2 2 2 3 6" xfId="32505"/>
    <cellStyle name="표준 9 7 2 2 2 2 3 2 3" xfId="32506"/>
    <cellStyle name="표준 9 7 2 2 2 2 4 3" xfId="32507"/>
    <cellStyle name="표준 9 7 2 2 2 3 6" xfId="32508"/>
    <cellStyle name="표준 9 7 2 2 2 3 2 3" xfId="32509"/>
    <cellStyle name="표준 9 7 2 2 2 4 6" xfId="32510"/>
    <cellStyle name="표준 9 7 2 2 2 4 2 3" xfId="32511"/>
    <cellStyle name="표준 9 7 2 2 2 5 3" xfId="32512"/>
    <cellStyle name="표준 9 7 2 2 3 2 6" xfId="32513"/>
    <cellStyle name="표준 9 7 2 2 3 2 2 3" xfId="32514"/>
    <cellStyle name="표준 9 7 2 2 3 3 6" xfId="32515"/>
    <cellStyle name="표준 9 7 2 2 3 3 2 3" xfId="32516"/>
    <cellStyle name="표준 9 7 2 2 3 4 3" xfId="32517"/>
    <cellStyle name="표준 9 7 2 2 4 6" xfId="32518"/>
    <cellStyle name="표준 9 7 2 2 4 2 3" xfId="32519"/>
    <cellStyle name="표준 9 7 2 2 5 6" xfId="32520"/>
    <cellStyle name="표준 9 7 2 2 5 2 3" xfId="32521"/>
    <cellStyle name="표준 9 7 2 2 6 3" xfId="32522"/>
    <cellStyle name="표준 9 7 2 3 2 2 6" xfId="32523"/>
    <cellStyle name="표준 9 7 2 3 2 2 2 3" xfId="32524"/>
    <cellStyle name="표준 9 7 2 3 2 3 6" xfId="32525"/>
    <cellStyle name="표준 9 7 2 3 2 3 2 3" xfId="32526"/>
    <cellStyle name="표준 9 7 2 3 2 4 3" xfId="32527"/>
    <cellStyle name="표준 9 7 2 3 3 6" xfId="32528"/>
    <cellStyle name="표준 9 7 2 3 3 2 3" xfId="32529"/>
    <cellStyle name="표준 9 7 2 3 4 6" xfId="32530"/>
    <cellStyle name="표준 9 7 2 3 4 2 3" xfId="32531"/>
    <cellStyle name="표준 9 7 2 3 5 3" xfId="32532"/>
    <cellStyle name="표준 9 7 2 4 2 6" xfId="32533"/>
    <cellStyle name="표준 9 7 2 4 2 2 3" xfId="32534"/>
    <cellStyle name="표준 9 7 2 4 3 6" xfId="32535"/>
    <cellStyle name="표준 9 7 2 4 3 2 3" xfId="32536"/>
    <cellStyle name="표준 9 7 2 4 4 3" xfId="32537"/>
    <cellStyle name="표준 9 7 2 5 6" xfId="32538"/>
    <cellStyle name="표준 9 7 2 5 2 3" xfId="32539"/>
    <cellStyle name="표준 9 7 2 6 6" xfId="32540"/>
    <cellStyle name="표준 9 7 2 6 2 3" xfId="32541"/>
    <cellStyle name="표준 9 7 2 7 3" xfId="32542"/>
    <cellStyle name="표준 9 7 3 2 2 2 2 6" xfId="32543"/>
    <cellStyle name="표준 9 7 3 2 2 2 2 2 3" xfId="32544"/>
    <cellStyle name="표준 9 7 3 2 2 2 3 6" xfId="32545"/>
    <cellStyle name="표준 9 7 3 2 2 2 3 2 3" xfId="32546"/>
    <cellStyle name="표준 9 7 3 2 2 2 4 3" xfId="32547"/>
    <cellStyle name="표준 9 7 3 2 2 3 6" xfId="32548"/>
    <cellStyle name="표준 9 7 3 2 2 3 2 3" xfId="32549"/>
    <cellStyle name="표준 9 7 3 2 2 4 6" xfId="32550"/>
    <cellStyle name="표준 9 7 3 2 2 4 2 3" xfId="32551"/>
    <cellStyle name="표준 9 7 3 2 2 5 3" xfId="32552"/>
    <cellStyle name="표준 9 7 3 2 3 2 6" xfId="32553"/>
    <cellStyle name="표준 9 7 3 2 3 2 2 3" xfId="32554"/>
    <cellStyle name="표준 9 7 3 2 3 3 6" xfId="32555"/>
    <cellStyle name="표준 9 7 3 2 3 3 2 3" xfId="32556"/>
    <cellStyle name="표준 9 7 3 2 3 4 3" xfId="32557"/>
    <cellStyle name="표준 9 7 3 2 4 6" xfId="32558"/>
    <cellStyle name="표준 9 7 3 2 4 2 3" xfId="32559"/>
    <cellStyle name="표준 9 7 3 2 5 6" xfId="32560"/>
    <cellStyle name="표준 9 7 3 2 5 2 3" xfId="32561"/>
    <cellStyle name="표준 9 7 3 2 6 3" xfId="32562"/>
    <cellStyle name="표준 9 7 3 3 2 2 6" xfId="32563"/>
    <cellStyle name="표준 9 7 3 3 2 2 2 3" xfId="32564"/>
    <cellStyle name="표준 9 7 3 3 2 3 6" xfId="32565"/>
    <cellStyle name="표준 9 7 3 3 2 3 2 3" xfId="32566"/>
    <cellStyle name="표준 9 7 3 3 2 4 3" xfId="32567"/>
    <cellStyle name="표준 9 7 3 3 3 6" xfId="32568"/>
    <cellStyle name="표준 9 7 3 3 3 2 3" xfId="32569"/>
    <cellStyle name="표준 9 7 3 3 4 6" xfId="32570"/>
    <cellStyle name="표준 9 7 3 3 4 2 3" xfId="32571"/>
    <cellStyle name="표준 9 7 3 3 5 3" xfId="32572"/>
    <cellStyle name="표준 9 7 3 4 2 6" xfId="32573"/>
    <cellStyle name="표준 9 7 3 4 2 2 3" xfId="32574"/>
    <cellStyle name="표준 9 7 3 4 3 6" xfId="32575"/>
    <cellStyle name="표준 9 7 3 4 3 2 3" xfId="32576"/>
    <cellStyle name="표준 9 7 3 4 4 3" xfId="32577"/>
    <cellStyle name="표준 9 7 3 5 6" xfId="32578"/>
    <cellStyle name="표준 9 7 3 5 2 3" xfId="32579"/>
    <cellStyle name="표준 9 7 3 6 6" xfId="32580"/>
    <cellStyle name="표준 9 7 3 6 2 3" xfId="32581"/>
    <cellStyle name="표준 9 7 3 7 3" xfId="32582"/>
    <cellStyle name="표준 9 7 4 2 2 2 2 6" xfId="32583"/>
    <cellStyle name="표준 9 7 4 2 2 2 2 2 3" xfId="32584"/>
    <cellStyle name="표준 9 7 4 2 2 2 3 6" xfId="32585"/>
    <cellStyle name="표준 9 7 4 2 2 2 3 2 3" xfId="32586"/>
    <cellStyle name="표준 9 7 4 2 2 2 4 3" xfId="32587"/>
    <cellStyle name="표준 9 7 4 2 2 3 6" xfId="32588"/>
    <cellStyle name="표준 9 7 4 2 2 3 2 3" xfId="32589"/>
    <cellStyle name="표준 9 7 4 2 2 4 6" xfId="32590"/>
    <cellStyle name="표준 9 7 4 2 2 4 2 3" xfId="32591"/>
    <cellStyle name="표준 9 7 4 2 2 5 3" xfId="32592"/>
    <cellStyle name="표준 9 7 4 2 3 2 6" xfId="32593"/>
    <cellStyle name="표준 9 7 4 2 3 2 2 3" xfId="32594"/>
    <cellStyle name="표준 9 7 4 2 3 3 6" xfId="32595"/>
    <cellStyle name="표준 9 7 4 2 3 3 2 3" xfId="32596"/>
    <cellStyle name="표준 9 7 4 2 3 4 3" xfId="32597"/>
    <cellStyle name="표준 9 7 4 2 4 6" xfId="32598"/>
    <cellStyle name="표준 9 7 4 2 4 2 3" xfId="32599"/>
    <cellStyle name="표준 9 7 4 2 5 6" xfId="32600"/>
    <cellStyle name="표준 9 7 4 2 5 2 3" xfId="32601"/>
    <cellStyle name="표준 9 7 4 2 6 3" xfId="32602"/>
    <cellStyle name="표준 9 7 4 3 2 2 6" xfId="32603"/>
    <cellStyle name="표준 9 7 4 3 2 2 2 3" xfId="32604"/>
    <cellStyle name="표준 9 7 4 3 2 3 6" xfId="32605"/>
    <cellStyle name="표준 9 7 4 3 2 3 2 3" xfId="32606"/>
    <cellStyle name="표준 9 7 4 3 2 4 3" xfId="32607"/>
    <cellStyle name="표준 9 7 4 3 3 6" xfId="32608"/>
    <cellStyle name="표준 9 7 4 3 3 2 3" xfId="32609"/>
    <cellStyle name="표준 9 7 4 3 4 6" xfId="32610"/>
    <cellStyle name="표준 9 7 4 3 4 2 3" xfId="32611"/>
    <cellStyle name="표준 9 7 4 3 5 3" xfId="32612"/>
    <cellStyle name="표준 9 7 4 4 2 6" xfId="32613"/>
    <cellStyle name="표준 9 7 4 4 2 2 3" xfId="32614"/>
    <cellStyle name="표준 9 7 4 4 3 6" xfId="32615"/>
    <cellStyle name="표준 9 7 4 4 3 2 3" xfId="32616"/>
    <cellStyle name="표준 9 7 4 4 4 3" xfId="32617"/>
    <cellStyle name="표준 9 7 4 5 6" xfId="32618"/>
    <cellStyle name="표준 9 7 4 5 2 3" xfId="32619"/>
    <cellStyle name="표준 9 7 4 6 6" xfId="32620"/>
    <cellStyle name="표준 9 7 4 6 2 3" xfId="32621"/>
    <cellStyle name="표준 9 7 4 7 3" xfId="32622"/>
    <cellStyle name="표준 9 7 5 2 2 2 6" xfId="32623"/>
    <cellStyle name="표준 9 7 5 2 2 2 2 3" xfId="32624"/>
    <cellStyle name="표준 9 7 5 2 2 3 6" xfId="32625"/>
    <cellStyle name="표준 9 7 5 2 2 3 2 3" xfId="32626"/>
    <cellStyle name="표준 9 7 5 2 2 4 3" xfId="32627"/>
    <cellStyle name="표준 9 7 5 2 3 6" xfId="32628"/>
    <cellStyle name="표준 9 7 5 2 3 2 3" xfId="32629"/>
    <cellStyle name="표준 9 7 5 2 4 6" xfId="32630"/>
    <cellStyle name="표준 9 7 5 2 4 2 3" xfId="32631"/>
    <cellStyle name="표준 9 7 5 2 5 3" xfId="32632"/>
    <cellStyle name="표준 9 7 5 3 2 6" xfId="32633"/>
    <cellStyle name="표준 9 7 5 3 2 2 3" xfId="32634"/>
    <cellStyle name="표준 9 7 5 3 3 6" xfId="32635"/>
    <cellStyle name="표준 9 7 5 3 3 2 3" xfId="32636"/>
    <cellStyle name="표준 9 7 5 3 4 3" xfId="32637"/>
    <cellStyle name="표준 9 7 5 4 6" xfId="32638"/>
    <cellStyle name="표준 9 7 5 4 2 3" xfId="32639"/>
    <cellStyle name="표준 9 7 5 5 6" xfId="32640"/>
    <cellStyle name="표준 9 7 5 5 2 3" xfId="32641"/>
    <cellStyle name="표준 9 7 5 6 3" xfId="32642"/>
    <cellStyle name="표준 9 7 6 2 2 6" xfId="32643"/>
    <cellStyle name="표준 9 7 6 2 2 2 3" xfId="32644"/>
    <cellStyle name="표준 9 7 6 2 3 6" xfId="32645"/>
    <cellStyle name="표준 9 7 6 2 3 2 3" xfId="32646"/>
    <cellStyle name="표준 9 7 6 2 4 3" xfId="32647"/>
    <cellStyle name="표준 9 7 6 3 6" xfId="32648"/>
    <cellStyle name="표준 9 7 6 3 2 3" xfId="32649"/>
    <cellStyle name="표준 9 7 6 4 6" xfId="32650"/>
    <cellStyle name="표준 9 7 6 4 2 3" xfId="32651"/>
    <cellStyle name="표준 9 7 6 5 3" xfId="32652"/>
    <cellStyle name="표준 9 7 7 2 6" xfId="32653"/>
    <cellStyle name="표준 9 7 7 2 2 3" xfId="32654"/>
    <cellStyle name="표준 9 7 7 3 6" xfId="32655"/>
    <cellStyle name="표준 9 7 7 3 2 3" xfId="32656"/>
    <cellStyle name="표준 9 7 7 4 3" xfId="32657"/>
    <cellStyle name="표준 9 7 8 6" xfId="32658"/>
    <cellStyle name="표준 9 7 8 2 3" xfId="32659"/>
    <cellStyle name="표준 9 7 9 6" xfId="32660"/>
    <cellStyle name="표준 9 7 9 2 3" xfId="32661"/>
    <cellStyle name="표준 9 8 10 3" xfId="32662"/>
    <cellStyle name="표준 9 8 2 2 2 2 2 6" xfId="32663"/>
    <cellStyle name="표준 9 8 2 2 2 2 2 2 3" xfId="32664"/>
    <cellStyle name="표준 9 8 2 2 2 2 3 6" xfId="32665"/>
    <cellStyle name="표준 9 8 2 2 2 2 3 2 3" xfId="32666"/>
    <cellStyle name="표준 9 8 2 2 2 2 4 3" xfId="32667"/>
    <cellStyle name="표준 9 8 2 2 2 3 6" xfId="32668"/>
    <cellStyle name="표준 9 8 2 2 2 3 2 3" xfId="32669"/>
    <cellStyle name="표준 9 8 2 2 2 4 6" xfId="32670"/>
    <cellStyle name="표준 9 8 2 2 2 4 2 3" xfId="32671"/>
    <cellStyle name="표준 9 8 2 2 2 5 3" xfId="32672"/>
    <cellStyle name="표준 9 8 2 2 3 2 6" xfId="32673"/>
    <cellStyle name="표준 9 8 2 2 3 2 2 3" xfId="32674"/>
    <cellStyle name="표준 9 8 2 2 3 3 6" xfId="32675"/>
    <cellStyle name="표준 9 8 2 2 3 3 2 3" xfId="32676"/>
    <cellStyle name="표준 9 8 2 2 3 4 3" xfId="32677"/>
    <cellStyle name="표준 9 8 2 2 4 6" xfId="32678"/>
    <cellStyle name="표준 9 8 2 2 4 2 3" xfId="32679"/>
    <cellStyle name="표준 9 8 2 2 5 6" xfId="32680"/>
    <cellStyle name="표준 9 8 2 2 5 2 3" xfId="32681"/>
    <cellStyle name="표준 9 8 2 2 6 3" xfId="32682"/>
    <cellStyle name="표준 9 8 2 3 2 2 6" xfId="32683"/>
    <cellStyle name="표준 9 8 2 3 2 2 2 3" xfId="32684"/>
    <cellStyle name="표준 9 8 2 3 2 3 6" xfId="32685"/>
    <cellStyle name="표준 9 8 2 3 2 3 2 3" xfId="32686"/>
    <cellStyle name="표준 9 8 2 3 2 4 3" xfId="32687"/>
    <cellStyle name="표준 9 8 2 3 3 6" xfId="32688"/>
    <cellStyle name="표준 9 8 2 3 3 2 3" xfId="32689"/>
    <cellStyle name="표준 9 8 2 3 4 6" xfId="32690"/>
    <cellStyle name="표준 9 8 2 3 4 2 3" xfId="32691"/>
    <cellStyle name="표준 9 8 2 3 5 3" xfId="32692"/>
    <cellStyle name="표준 9 8 2 4 2 6" xfId="32693"/>
    <cellStyle name="표준 9 8 2 4 2 2 3" xfId="32694"/>
    <cellStyle name="표준 9 8 2 4 3 6" xfId="32695"/>
    <cellStyle name="표준 9 8 2 4 3 2 3" xfId="32696"/>
    <cellStyle name="표준 9 8 2 4 4 3" xfId="32697"/>
    <cellStyle name="표준 9 8 2 5 6" xfId="32698"/>
    <cellStyle name="표준 9 8 2 5 2 3" xfId="32699"/>
    <cellStyle name="표준 9 8 2 6 6" xfId="32700"/>
    <cellStyle name="표준 9 8 2 6 2 3" xfId="32701"/>
    <cellStyle name="표준 9 8 2 7 3" xfId="32702"/>
    <cellStyle name="표준 9 8 3 2 2 2 2 6" xfId="32703"/>
    <cellStyle name="표준 9 8 3 2 2 2 2 2 3" xfId="32704"/>
    <cellStyle name="표준 9 8 3 2 2 2 3 6" xfId="32705"/>
    <cellStyle name="표준 9 8 3 2 2 2 3 2 3" xfId="32706"/>
    <cellStyle name="표준 9 8 3 2 2 2 4 3" xfId="32707"/>
    <cellStyle name="표준 9 8 3 2 2 3 6" xfId="32708"/>
    <cellStyle name="표준 9 8 3 2 2 3 2 3" xfId="32709"/>
    <cellStyle name="표준 9 8 3 2 2 4 6" xfId="32710"/>
    <cellStyle name="표준 9 8 3 2 2 4 2 3" xfId="32711"/>
    <cellStyle name="표준 9 8 3 2 2 5 3" xfId="32712"/>
    <cellStyle name="표준 9 8 3 2 3 2 6" xfId="32713"/>
    <cellStyle name="표준 9 8 3 2 3 2 2 3" xfId="32714"/>
    <cellStyle name="표준 9 8 3 2 3 3 6" xfId="32715"/>
    <cellStyle name="표준 9 8 3 2 3 3 2 3" xfId="32716"/>
    <cellStyle name="표준 9 8 3 2 3 4 3" xfId="32717"/>
    <cellStyle name="표준 9 8 3 2 4 6" xfId="32718"/>
    <cellStyle name="표준 9 8 3 2 4 2 3" xfId="32719"/>
    <cellStyle name="표준 9 8 3 2 5 6" xfId="32720"/>
    <cellStyle name="표준 9 8 3 2 5 2 3" xfId="32721"/>
    <cellStyle name="표준 9 8 3 2 6 3" xfId="32722"/>
    <cellStyle name="표준 9 8 3 3 2 2 6" xfId="32723"/>
    <cellStyle name="표준 9 8 3 3 2 2 2 3" xfId="32724"/>
    <cellStyle name="표준 9 8 3 3 2 3 6" xfId="32725"/>
    <cellStyle name="표준 9 8 3 3 2 3 2 3" xfId="32726"/>
    <cellStyle name="표준 9 8 3 3 2 4 3" xfId="32727"/>
    <cellStyle name="표준 9 8 3 3 3 6" xfId="32728"/>
    <cellStyle name="표준 9 8 3 3 3 2 3" xfId="32729"/>
    <cellStyle name="표준 9 8 3 3 4 6" xfId="32730"/>
    <cellStyle name="표준 9 8 3 3 4 2 3" xfId="32731"/>
    <cellStyle name="표준 9 8 3 3 5 3" xfId="32732"/>
    <cellStyle name="표준 9 8 3 4 2 6" xfId="32733"/>
    <cellStyle name="표준 9 8 3 4 2 2 3" xfId="32734"/>
    <cellStyle name="표준 9 8 3 4 3 6" xfId="32735"/>
    <cellStyle name="표준 9 8 3 4 3 2 3" xfId="32736"/>
    <cellStyle name="표준 9 8 3 4 4 3" xfId="32737"/>
    <cellStyle name="표준 9 8 3 5 6" xfId="32738"/>
    <cellStyle name="표준 9 8 3 5 2 3" xfId="32739"/>
    <cellStyle name="표준 9 8 3 6 6" xfId="32740"/>
    <cellStyle name="표준 9 8 3 6 2 3" xfId="32741"/>
    <cellStyle name="표준 9 8 3 7 3" xfId="32742"/>
    <cellStyle name="표준 9 8 4 2 2 2 2 6" xfId="32743"/>
    <cellStyle name="표준 9 8 4 2 2 2 2 2 3" xfId="32744"/>
    <cellStyle name="표준 9 8 4 2 2 2 3 6" xfId="32745"/>
    <cellStyle name="표준 9 8 4 2 2 2 3 2 3" xfId="32746"/>
    <cellStyle name="표준 9 8 4 2 2 2 4 3" xfId="32747"/>
    <cellStyle name="표준 9 8 4 2 2 3 6" xfId="32748"/>
    <cellStyle name="표준 9 8 4 2 2 3 2 3" xfId="32749"/>
    <cellStyle name="표준 9 8 4 2 2 4 6" xfId="32750"/>
    <cellStyle name="표준 9 8 4 2 2 4 2 3" xfId="32751"/>
    <cellStyle name="표준 9 8 4 2 2 5 3" xfId="32752"/>
    <cellStyle name="표준 9 8 4 2 3 2 6" xfId="32753"/>
    <cellStyle name="표준 9 8 4 2 3 2 2 3" xfId="32754"/>
    <cellStyle name="표준 9 8 4 2 3 3 6" xfId="32755"/>
    <cellStyle name="표준 9 8 4 2 3 3 2 3" xfId="32756"/>
    <cellStyle name="표준 9 8 4 2 3 4 3" xfId="32757"/>
    <cellStyle name="표준 9 8 4 2 4 6" xfId="32758"/>
    <cellStyle name="표준 9 8 4 2 4 2 3" xfId="32759"/>
    <cellStyle name="표준 9 8 4 2 5 6" xfId="32760"/>
    <cellStyle name="표준 9 8 4 2 5 2 3" xfId="32761"/>
    <cellStyle name="표준 9 8 4 2 6 3" xfId="32762"/>
    <cellStyle name="표준 9 8 4 3 2 2 6" xfId="32763"/>
    <cellStyle name="표준 9 8 4 3 2 2 2 3" xfId="32764"/>
    <cellStyle name="표준 9 8 4 3 2 3 6" xfId="32765"/>
    <cellStyle name="표준 9 8 4 3 2 3 2 3" xfId="32766"/>
    <cellStyle name="표준 9 8 4 3 2 4 3" xfId="32767"/>
    <cellStyle name="표준 9 8 4 3 3 6" xfId="32768"/>
    <cellStyle name="표준 9 8 4 3 3 2 3" xfId="32769"/>
    <cellStyle name="표준 9 8 4 3 4 6" xfId="32770"/>
    <cellStyle name="표준 9 8 4 3 4 2 3" xfId="32771"/>
    <cellStyle name="표준 9 8 4 3 5 3" xfId="32772"/>
    <cellStyle name="표준 9 8 4 4 2 6" xfId="32773"/>
    <cellStyle name="표준 9 8 4 4 2 2 3" xfId="32774"/>
    <cellStyle name="표준 9 8 4 4 3 6" xfId="32775"/>
    <cellStyle name="표준 9 8 4 4 3 2 3" xfId="32776"/>
    <cellStyle name="표준 9 8 4 4 4 3" xfId="32777"/>
    <cellStyle name="표준 9 8 4 5 6" xfId="32778"/>
    <cellStyle name="표준 9 8 4 5 2 3" xfId="32779"/>
    <cellStyle name="표준 9 8 4 6 6" xfId="32780"/>
    <cellStyle name="표준 9 8 4 6 2 3" xfId="32781"/>
    <cellStyle name="표준 9 8 4 7 3" xfId="32782"/>
    <cellStyle name="표준 9 8 5 2 2 2 6" xfId="32783"/>
    <cellStyle name="표준 9 8 5 2 2 2 2 3" xfId="32784"/>
    <cellStyle name="표준 9 8 5 2 2 3 6" xfId="32785"/>
    <cellStyle name="표준 9 8 5 2 2 3 2 3" xfId="32786"/>
    <cellStyle name="표준 9 8 5 2 2 4 3" xfId="32787"/>
    <cellStyle name="표준 9 8 5 2 3 6" xfId="32788"/>
    <cellStyle name="표준 9 8 5 2 3 2 3" xfId="32789"/>
    <cellStyle name="표준 9 8 5 2 4 6" xfId="32790"/>
    <cellStyle name="표준 9 8 5 2 4 2 3" xfId="32791"/>
    <cellStyle name="표준 9 8 5 2 5 3" xfId="32792"/>
    <cellStyle name="표준 9 8 5 3 2 6" xfId="32793"/>
    <cellStyle name="표준 9 8 5 3 2 2 3" xfId="32794"/>
    <cellStyle name="표준 9 8 5 3 3 6" xfId="32795"/>
    <cellStyle name="표준 9 8 5 3 3 2 3" xfId="32796"/>
    <cellStyle name="표준 9 8 5 3 4 3" xfId="32797"/>
    <cellStyle name="표준 9 8 5 4 6" xfId="32798"/>
    <cellStyle name="표준 9 8 5 4 2 3" xfId="32799"/>
    <cellStyle name="표준 9 8 5 5 6" xfId="32800"/>
    <cellStyle name="표준 9 8 5 5 2 3" xfId="32801"/>
    <cellStyle name="표준 9 8 5 6 3" xfId="32802"/>
    <cellStyle name="표준 9 8 6 2 2 6" xfId="32803"/>
    <cellStyle name="표준 9 8 6 2 2 2 3" xfId="32804"/>
    <cellStyle name="표준 9 8 6 2 3 6" xfId="32805"/>
    <cellStyle name="표준 9 8 6 2 3 2 3" xfId="32806"/>
    <cellStyle name="표준 9 8 6 2 4 3" xfId="32807"/>
    <cellStyle name="표준 9 8 6 3 6" xfId="32808"/>
    <cellStyle name="표준 9 8 6 3 2 3" xfId="32809"/>
    <cellStyle name="표준 9 8 6 4 6" xfId="32810"/>
    <cellStyle name="표준 9 8 6 4 2 3" xfId="32811"/>
    <cellStyle name="표준 9 8 6 5 3" xfId="32812"/>
    <cellStyle name="표준 9 8 7 2 6" xfId="32813"/>
    <cellStyle name="표준 9 8 7 2 2 3" xfId="32814"/>
    <cellStyle name="표준 9 8 7 3 6" xfId="32815"/>
    <cellStyle name="표준 9 8 7 3 2 3" xfId="32816"/>
    <cellStyle name="표준 9 8 7 4 3" xfId="32817"/>
    <cellStyle name="표준 9 8 8 6" xfId="32818"/>
    <cellStyle name="표준 9 8 8 2 3" xfId="32819"/>
    <cellStyle name="표준 9 8 9 6" xfId="32820"/>
    <cellStyle name="표준 9 8 9 2 3" xfId="32821"/>
    <cellStyle name="표준 9 9 2 2 2 2 2 6" xfId="32822"/>
    <cellStyle name="표준 9 9 2 2 2 2 2 2 3" xfId="32823"/>
    <cellStyle name="표준 9 9 2 2 2 2 3 6" xfId="32824"/>
    <cellStyle name="표준 9 9 2 2 2 2 3 2 3" xfId="32825"/>
    <cellStyle name="표준 9 9 2 2 2 2 4 3" xfId="32826"/>
    <cellStyle name="표준 9 9 2 2 2 3 6" xfId="32827"/>
    <cellStyle name="표준 9 9 2 2 2 3 2 3" xfId="32828"/>
    <cellStyle name="표준 9 9 2 2 2 4 6" xfId="32829"/>
    <cellStyle name="표준 9 9 2 2 2 4 2 3" xfId="32830"/>
    <cellStyle name="표준 9 9 2 2 2 5 3" xfId="32831"/>
    <cellStyle name="표준 9 9 2 2 3 2 6" xfId="32832"/>
    <cellStyle name="표준 9 9 2 2 3 2 2 3" xfId="32833"/>
    <cellStyle name="표준 9 9 2 2 3 3 6" xfId="32834"/>
    <cellStyle name="표준 9 9 2 2 3 3 2 3" xfId="32835"/>
    <cellStyle name="표준 9 9 2 2 3 4 3" xfId="32836"/>
    <cellStyle name="표준 9 9 2 2 4 6" xfId="32837"/>
    <cellStyle name="표준 9 9 2 2 4 2 3" xfId="32838"/>
    <cellStyle name="표준 9 9 2 2 5 6" xfId="32839"/>
    <cellStyle name="표준 9 9 2 2 5 2 3" xfId="32840"/>
    <cellStyle name="표준 9 9 2 2 6 3" xfId="32841"/>
    <cellStyle name="표준 9 9 2 3 2 2 6" xfId="32842"/>
    <cellStyle name="표준 9 9 2 3 2 2 2 3" xfId="32843"/>
    <cellStyle name="표준 9 9 2 3 2 3 6" xfId="32844"/>
    <cellStyle name="표준 9 9 2 3 2 3 2 3" xfId="32845"/>
    <cellStyle name="표준 9 9 2 3 2 4 3" xfId="32846"/>
    <cellStyle name="표준 9 9 2 3 3 6" xfId="32847"/>
    <cellStyle name="표준 9 9 2 3 3 2 3" xfId="32848"/>
    <cellStyle name="표준 9 9 2 3 4 6" xfId="32849"/>
    <cellStyle name="표준 9 9 2 3 4 2 3" xfId="32850"/>
    <cellStyle name="표준 9 9 2 3 5 3" xfId="32851"/>
    <cellStyle name="표준 9 9 2 4 2 6" xfId="32852"/>
    <cellStyle name="표준 9 9 2 4 2 2 3" xfId="32853"/>
    <cellStyle name="표준 9 9 2 4 3 6" xfId="32854"/>
    <cellStyle name="표준 9 9 2 4 3 2 3" xfId="32855"/>
    <cellStyle name="표준 9 9 2 4 4 3" xfId="32856"/>
    <cellStyle name="표준 9 9 2 5 6" xfId="32857"/>
    <cellStyle name="표준 9 9 2 5 2 3" xfId="32858"/>
    <cellStyle name="표준 9 9 2 6 6" xfId="32859"/>
    <cellStyle name="표준 9 9 2 6 2 3" xfId="32860"/>
    <cellStyle name="표준 9 9 2 7 3" xfId="32861"/>
    <cellStyle name="표준 9 9 3 2 2 2 2 6" xfId="32862"/>
    <cellStyle name="표준 9 9 3 2 2 2 2 2 3" xfId="32863"/>
    <cellStyle name="표준 9 9 3 2 2 2 3 6" xfId="32864"/>
    <cellStyle name="표준 9 9 3 2 2 2 3 2 3" xfId="32865"/>
    <cellStyle name="표준 9 9 3 2 2 2 4 3" xfId="32866"/>
    <cellStyle name="표준 9 9 3 2 2 3 6" xfId="32867"/>
    <cellStyle name="표준 9 9 3 2 2 3 2 3" xfId="32868"/>
    <cellStyle name="표준 9 9 3 2 2 4 6" xfId="32869"/>
    <cellStyle name="표준 9 9 3 2 2 4 2 3" xfId="32870"/>
    <cellStyle name="표준 9 9 3 2 2 5 3" xfId="32871"/>
    <cellStyle name="표준 9 9 3 2 3 2 6" xfId="32872"/>
    <cellStyle name="표준 9 9 3 2 3 2 2 3" xfId="32873"/>
    <cellStyle name="표준 9 9 3 2 3 3 6" xfId="32874"/>
    <cellStyle name="표준 9 9 3 2 3 3 2 3" xfId="32875"/>
    <cellStyle name="표준 9 9 3 2 3 4 3" xfId="32876"/>
    <cellStyle name="표준 9 9 3 2 4 6" xfId="32877"/>
    <cellStyle name="표준 9 9 3 2 4 2 3" xfId="32878"/>
    <cellStyle name="표준 9 9 3 2 5 6" xfId="32879"/>
    <cellStyle name="표준 9 9 3 2 5 2 3" xfId="32880"/>
    <cellStyle name="표준 9 9 3 2 6 3" xfId="32881"/>
    <cellStyle name="표준 9 9 3 3 2 2 6" xfId="32882"/>
    <cellStyle name="표준 9 9 3 3 2 2 2 3" xfId="32883"/>
    <cellStyle name="표준 9 9 3 3 2 3 6" xfId="32884"/>
    <cellStyle name="표준 9 9 3 3 2 3 2 3" xfId="32885"/>
    <cellStyle name="표준 9 9 3 3 2 4 3" xfId="32886"/>
    <cellStyle name="표준 9 9 3 3 3 6" xfId="32887"/>
    <cellStyle name="표준 9 9 3 3 3 2 3" xfId="32888"/>
    <cellStyle name="표준 9 9 3 3 4 6" xfId="32889"/>
    <cellStyle name="표준 9 9 3 3 4 2 3" xfId="32890"/>
    <cellStyle name="표준 9 9 3 3 5 3" xfId="32891"/>
    <cellStyle name="표준 9 9 3 4 2 6" xfId="32892"/>
    <cellStyle name="표준 9 9 3 4 2 2 3" xfId="32893"/>
    <cellStyle name="표준 9 9 3 4 3 6" xfId="32894"/>
    <cellStyle name="표준 9 9 3 4 3 2 3" xfId="32895"/>
    <cellStyle name="표준 9 9 3 4 4 3" xfId="32896"/>
    <cellStyle name="표준 9 9 3 5 6" xfId="32897"/>
    <cellStyle name="표준 9 9 3 5 2 3" xfId="32898"/>
    <cellStyle name="표준 9 9 3 6 6" xfId="32899"/>
    <cellStyle name="표준 9 9 3 6 2 3" xfId="32900"/>
    <cellStyle name="표준 9 9 3 7 3" xfId="32901"/>
    <cellStyle name="표준 9 9 4 2 2 2 6" xfId="32902"/>
    <cellStyle name="표준 9 9 4 2 2 2 2 3" xfId="32903"/>
    <cellStyle name="표준 9 9 4 2 2 3 6" xfId="32904"/>
    <cellStyle name="표준 9 9 4 2 2 3 2 3" xfId="32905"/>
    <cellStyle name="표준 9 9 4 2 2 4 3" xfId="32906"/>
    <cellStyle name="표준 9 9 4 2 3 6" xfId="32907"/>
    <cellStyle name="표준 9 9 4 2 3 2 3" xfId="32908"/>
    <cellStyle name="표준 9 9 4 2 4 6" xfId="32909"/>
    <cellStyle name="표준 9 9 4 2 4 2 3" xfId="32910"/>
    <cellStyle name="표준 9 9 4 2 5 3" xfId="32911"/>
    <cellStyle name="표준 9 9 4 3 2 6" xfId="32912"/>
    <cellStyle name="표준 9 9 4 3 2 2 3" xfId="32913"/>
    <cellStyle name="표준 9 9 4 3 3 6" xfId="32914"/>
    <cellStyle name="표준 9 9 4 3 3 2 3" xfId="32915"/>
    <cellStyle name="표준 9 9 4 3 4 3" xfId="32916"/>
    <cellStyle name="표준 9 9 4 4 6" xfId="32917"/>
    <cellStyle name="표준 9 9 4 4 2 3" xfId="32918"/>
    <cellStyle name="표준 9 9 4 5 6" xfId="32919"/>
    <cellStyle name="표준 9 9 4 5 2 3" xfId="32920"/>
    <cellStyle name="표준 9 9 4 6 3" xfId="32921"/>
    <cellStyle name="표준 9 9 5 2 2 6" xfId="32922"/>
    <cellStyle name="표준 9 9 5 2 2 2 3" xfId="32923"/>
    <cellStyle name="표준 9 9 5 2 3 6" xfId="32924"/>
    <cellStyle name="표준 9 9 5 2 3 2 3" xfId="32925"/>
    <cellStyle name="표준 9 9 5 2 4 3" xfId="32926"/>
    <cellStyle name="표준 9 9 5 3 6" xfId="32927"/>
    <cellStyle name="표준 9 9 5 3 2 3" xfId="32928"/>
    <cellStyle name="표준 9 9 5 4 6" xfId="32929"/>
    <cellStyle name="표준 9 9 5 4 2 3" xfId="32930"/>
    <cellStyle name="표준 9 9 5 5 3" xfId="32931"/>
    <cellStyle name="표준 9 9 6 2 6" xfId="32932"/>
    <cellStyle name="표준 9 9 6 2 2 3" xfId="32933"/>
    <cellStyle name="표준 9 9 6 3 6" xfId="32934"/>
    <cellStyle name="표준 9 9 6 3 2 3" xfId="32935"/>
    <cellStyle name="표준 9 9 6 4 3" xfId="32936"/>
    <cellStyle name="표준 9 9 7 6" xfId="32937"/>
    <cellStyle name="표준 9 9 7 2 3" xfId="32938"/>
    <cellStyle name="표준 9 9 8 6" xfId="32939"/>
    <cellStyle name="표준 9 9 8 2 3" xfId="32940"/>
    <cellStyle name="표준 9 9 9 3" xfId="32941"/>
    <cellStyle name="표준 33 42" xfId="32942"/>
    <cellStyle name="표준 34 25" xfId="32943"/>
    <cellStyle name="표준 35 24" xfId="32944"/>
    <cellStyle name="표준 36 2" xfId="32945"/>
    <cellStyle name="표준 37 2" xfId="32946"/>
    <cellStyle name="표준 38 2" xfId="32947"/>
    <cellStyle name="표준 40 2" xfId="32948"/>
    <cellStyle name="표준 41 2" xfId="32949"/>
    <cellStyle name="표준 42 2" xfId="32950"/>
    <cellStyle name="표준 39 2" xfId="32951"/>
    <cellStyle name="표준 10 10 2 2 2 2 2 2 2" xfId="32952"/>
    <cellStyle name="표준 43 2" xfId="32953"/>
    <cellStyle name="표준 44 2" xfId="32954"/>
    <cellStyle name="표준 45 2" xfId="32955"/>
    <cellStyle name="표준 46 2" xfId="32956"/>
    <cellStyle name="표준 287 3 3" xfId="32957"/>
    <cellStyle name="쉼표 [0] 2 2 2 2 2 2" xfId="32958"/>
    <cellStyle name="쉼표 [0] 2 2 2 3 3" xfId="32959"/>
    <cellStyle name="쉼표 [0] 2 2 2 3 2 2" xfId="32960"/>
    <cellStyle name="쉼표 [0] 2 2 2 4 2" xfId="32961"/>
    <cellStyle name="쉼표 [0] 2 2 2 5 2" xfId="32962"/>
    <cellStyle name="쉼표 [0] 2 2 3 2 2" xfId="32963"/>
    <cellStyle name="쉼표 [0] 2 2 4 3" xfId="32964"/>
    <cellStyle name="쉼표 [0] 2 2 4 2 2" xfId="32965"/>
    <cellStyle name="쉼표 [0] 2 2 5 2" xfId="32966"/>
    <cellStyle name="쉼표 [0] 2 2 6 2" xfId="32967"/>
    <cellStyle name="쉼표 [0] 2 3 2 2 2 2" xfId="32968"/>
    <cellStyle name="쉼표 [0] 2 3 2 3 3" xfId="32969"/>
    <cellStyle name="쉼표 [0] 2 3 2 3 2 2" xfId="32970"/>
    <cellStyle name="쉼표 [0] 2 3 2 4 2" xfId="32971"/>
    <cellStyle name="쉼표 [0] 2 3 2 5 2" xfId="32972"/>
    <cellStyle name="쉼표 [0] 2 3 3 2 2" xfId="32973"/>
    <cellStyle name="쉼표 [0] 2 3 4 3" xfId="32974"/>
    <cellStyle name="쉼표 [0] 2 3 4 2 2" xfId="32975"/>
    <cellStyle name="쉼표 [0] 2 3 5 2" xfId="32976"/>
    <cellStyle name="쉼표 [0] 2 3 6 2" xfId="32977"/>
    <cellStyle name="통화 [0] 2 2 2 2 2 2" xfId="32978"/>
    <cellStyle name="통화 [0] 2 2 2 3 3" xfId="32979"/>
    <cellStyle name="통화 [0] 2 2 2 3 2 2" xfId="32980"/>
    <cellStyle name="통화 [0] 2 2 2 4 2" xfId="32981"/>
    <cellStyle name="통화 [0] 2 2 2 5 2" xfId="32982"/>
    <cellStyle name="통화 [0] 2 2 3 2 2" xfId="32983"/>
    <cellStyle name="통화 [0] 2 2 4 3" xfId="32984"/>
    <cellStyle name="통화 [0] 2 2 4 2 2" xfId="32985"/>
    <cellStyle name="통화 [0] 2 2 5 2" xfId="32986"/>
    <cellStyle name="통화 [0] 2 2 6 2" xfId="32987"/>
    <cellStyle name="통화 [0] 2 3 2 2 2" xfId="32988"/>
    <cellStyle name="통화 [0] 2 3 3 3" xfId="32989"/>
    <cellStyle name="통화 [0] 2 3 3 2 2" xfId="32990"/>
    <cellStyle name="통화 [0] 2 3 4 2" xfId="32991"/>
    <cellStyle name="통화 [0] 2 3 5 2" xfId="32992"/>
    <cellStyle name="통화 [0] 2 4 2 2" xfId="32993"/>
    <cellStyle name="통화 [0] 2 5 3" xfId="32994"/>
    <cellStyle name="통화 [0] 2 5 2 2" xfId="32995"/>
    <cellStyle name="통화 [0] 2 6 2" xfId="32996"/>
    <cellStyle name="통화 [0] 2 7 2" xfId="32997"/>
    <cellStyle name="표준 10 10 10 2" xfId="32998"/>
    <cellStyle name="표준 10 10 2 2 2 2 3 3" xfId="32999"/>
    <cellStyle name="표준 10 10 2 2 2 2 3 2 2" xfId="33000"/>
    <cellStyle name="표준 10 10 2 2 2 2 4 2" xfId="33001"/>
    <cellStyle name="표준 10 10 2 2 2 2 5 2" xfId="33002"/>
    <cellStyle name="표준 10 10 2 2 2 3 2 2 2" xfId="33003"/>
    <cellStyle name="표준 10 10 2 2 2 3 3 3" xfId="33004"/>
    <cellStyle name="표준 10 10 2 2 2 3 3 2 2" xfId="33005"/>
    <cellStyle name="표준 10 10 2 2 2 3 4 2" xfId="33006"/>
    <cellStyle name="표준 10 10 2 2 2 3 5 2" xfId="33007"/>
    <cellStyle name="표준 10 10 2 2 2 4 2 2" xfId="33008"/>
    <cellStyle name="표준 10 10 2 2 2 5 3" xfId="33009"/>
    <cellStyle name="표준 10 10 2 2 2 5 2 2" xfId="33010"/>
    <cellStyle name="표준 10 10 2 2 2 6 2" xfId="33011"/>
    <cellStyle name="표준 10 10 2 2 2 7 2" xfId="33012"/>
    <cellStyle name="표준 10 10 2 2 3 2 2 2" xfId="33013"/>
    <cellStyle name="표준 10 10 2 2 3 3 3" xfId="33014"/>
    <cellStyle name="표준 10 10 2 2 3 3 2 2" xfId="33015"/>
    <cellStyle name="표준 10 10 2 2 3 4 2" xfId="33016"/>
    <cellStyle name="표준 10 10 2 2 3 5 2" xfId="33017"/>
    <cellStyle name="표준 10 10 2 2 4 2 2 2" xfId="33018"/>
    <cellStyle name="표준 10 10 2 2 4 3 3" xfId="33019"/>
    <cellStyle name="표준 10 10 2 2 4 3 2 2" xfId="33020"/>
    <cellStyle name="표준 10 10 2 2 4 4 2" xfId="33021"/>
    <cellStyle name="표준 10 10 2 2 4 5 2" xfId="33022"/>
    <cellStyle name="표준 10 10 2 2 5 2 2" xfId="33023"/>
    <cellStyle name="표준 10 10 2 2 6 3" xfId="33024"/>
    <cellStyle name="표준 10 10 2 2 6 2 2" xfId="33025"/>
    <cellStyle name="표준 10 10 2 2 7 2" xfId="33026"/>
    <cellStyle name="표준 10 10 2 2 8 2" xfId="33027"/>
    <cellStyle name="표준 10 10 2 3 2 2 2 2" xfId="33028"/>
    <cellStyle name="표준 10 10 2 3 2 3 3" xfId="33029"/>
    <cellStyle name="표준 10 10 2 3 2 3 2 2" xfId="33030"/>
    <cellStyle name="표준 10 10 2 3 2 4 2" xfId="33031"/>
    <cellStyle name="표준 10 10 2 3 2 5 2" xfId="33032"/>
    <cellStyle name="표준 10 10 2 3 3 2 2 2" xfId="33033"/>
    <cellStyle name="표준 10 10 2 3 3 3 3" xfId="33034"/>
    <cellStyle name="표준 10 10 2 3 3 3 2 2" xfId="33035"/>
    <cellStyle name="표준 10 10 2 3 3 4 2" xfId="33036"/>
    <cellStyle name="표준 10 10 2 3 3 5 2" xfId="33037"/>
    <cellStyle name="표준 10 10 2 3 4 2 2" xfId="33038"/>
    <cellStyle name="표준 10 10 2 3 5 3" xfId="33039"/>
    <cellStyle name="표준 10 10 2 3 5 2 2" xfId="33040"/>
    <cellStyle name="표준 10 10 2 3 6 2" xfId="33041"/>
    <cellStyle name="표준 10 10 2 3 7 2" xfId="33042"/>
    <cellStyle name="표준 10 10 2 4 2 2 2" xfId="33043"/>
    <cellStyle name="표준 10 10 2 4 3 3" xfId="33044"/>
    <cellStyle name="표준 10 10 2 4 3 2 2" xfId="33045"/>
    <cellStyle name="표준 10 10 2 4 4 2" xfId="33046"/>
    <cellStyle name="표준 10 10 2 4 5 2" xfId="33047"/>
    <cellStyle name="표준 10 10 2 5 2 2 2" xfId="33048"/>
    <cellStyle name="표준 10 10 2 5 3 3" xfId="33049"/>
    <cellStyle name="표준 10 10 2 5 3 2 2" xfId="33050"/>
    <cellStyle name="표준 10 10 2 5 4 2" xfId="33051"/>
    <cellStyle name="표준 10 10 2 5 5 2" xfId="33052"/>
    <cellStyle name="표준 10 10 2 6 2 2" xfId="33053"/>
    <cellStyle name="표준 10 10 2 7 3" xfId="33054"/>
    <cellStyle name="표준 10 10 2 7 2 2" xfId="33055"/>
    <cellStyle name="표준 10 10 2 8 2" xfId="33056"/>
    <cellStyle name="표준 10 10 2 9 2" xfId="33057"/>
    <cellStyle name="표준 10 10 3 2 2 2 2 2" xfId="33058"/>
    <cellStyle name="표준 10 10 3 2 2 3 3" xfId="33059"/>
    <cellStyle name="표준 10 10 3 2 2 3 2 2" xfId="33060"/>
    <cellStyle name="표준 10 10 3 2 2 4 2" xfId="33061"/>
    <cellStyle name="표준 10 10 3 2 2 5 2" xfId="33062"/>
    <cellStyle name="표준 10 10 3 2 3 2 2 2" xfId="33063"/>
    <cellStyle name="표준 10 10 3 2 3 3 3" xfId="33064"/>
    <cellStyle name="표준 10 10 3 2 3 3 2 2" xfId="33065"/>
    <cellStyle name="표준 10 10 3 2 3 4 2" xfId="33066"/>
    <cellStyle name="표준 10 10 3 2 3 5 2" xfId="33067"/>
    <cellStyle name="표준 10 10 3 2 4 2 2" xfId="33068"/>
    <cellStyle name="표준 10 10 3 2 5 3" xfId="33069"/>
    <cellStyle name="표준 10 10 3 2 5 2 2" xfId="33070"/>
    <cellStyle name="표준 10 10 3 2 6 2" xfId="33071"/>
    <cellStyle name="표준 10 10 3 2 7 2" xfId="33072"/>
    <cellStyle name="표준 10 10 3 3 2 2 2" xfId="33073"/>
    <cellStyle name="표준 10 10 3 3 3 3" xfId="33074"/>
    <cellStyle name="표준 10 10 3 3 3 2 2" xfId="33075"/>
    <cellStyle name="표준 10 10 3 3 4 2" xfId="33076"/>
    <cellStyle name="표준 10 10 3 3 5 2" xfId="33077"/>
    <cellStyle name="표준 10 10 3 4 2 2 2" xfId="33078"/>
    <cellStyle name="표준 10 10 3 4 3 3" xfId="33079"/>
    <cellStyle name="표준 10 10 3 4 3 2 2" xfId="33080"/>
    <cellStyle name="표준 10 10 3 4 4 2" xfId="33081"/>
    <cellStyle name="표준 10 10 3 4 5 2" xfId="33082"/>
    <cellStyle name="표준 10 10 3 5 2 2" xfId="33083"/>
    <cellStyle name="표준 10 10 3 6 3" xfId="33084"/>
    <cellStyle name="표준 10 10 3 6 2 2" xfId="33085"/>
    <cellStyle name="표준 10 10 3 7 2" xfId="33086"/>
    <cellStyle name="표준 10 10 3 8 2" xfId="33087"/>
    <cellStyle name="표준 10 10 4 2 2 2 2" xfId="33088"/>
    <cellStyle name="표준 10 10 4 2 3 3" xfId="33089"/>
    <cellStyle name="표준 10 10 4 2 3 2 2" xfId="33090"/>
    <cellStyle name="표준 10 10 4 2 4 2" xfId="33091"/>
    <cellStyle name="표준 10 10 4 2 5 2" xfId="33092"/>
    <cellStyle name="표준 10 10 4 3 2 2 2" xfId="33093"/>
    <cellStyle name="표준 10 10 4 3 3 3" xfId="33094"/>
    <cellStyle name="표준 10 10 4 3 3 2 2" xfId="33095"/>
    <cellStyle name="표준 10 10 4 3 4 2" xfId="33096"/>
    <cellStyle name="표준 10 10 4 3 5 2" xfId="33097"/>
    <cellStyle name="표준 10 10 4 4 2 2" xfId="33098"/>
    <cellStyle name="표준 10 10 4 5 3" xfId="33099"/>
    <cellStyle name="표준 10 10 4 5 2 2" xfId="33100"/>
    <cellStyle name="표준 10 10 4 6 2" xfId="33101"/>
    <cellStyle name="표준 10 10 4 7 2" xfId="33102"/>
    <cellStyle name="표준 10 10 5 2 2 2" xfId="33103"/>
    <cellStyle name="표준 10 10 5 3 3" xfId="33104"/>
    <cellStyle name="표준 10 10 5 3 2 2" xfId="33105"/>
    <cellStyle name="표준 10 10 5 4 2" xfId="33106"/>
    <cellStyle name="표준 10 10 5 5 2" xfId="33107"/>
    <cellStyle name="표준 10 10 6 2 2 2" xfId="33108"/>
    <cellStyle name="표준 10 10 6 3 3" xfId="33109"/>
    <cellStyle name="표준 10 10 6 3 2 2" xfId="33110"/>
    <cellStyle name="표준 10 10 6 4 2" xfId="33111"/>
    <cellStyle name="표준 10 10 6 5 2" xfId="33112"/>
    <cellStyle name="표준 10 10 7 2 2" xfId="33113"/>
    <cellStyle name="표준 10 10 8 3" xfId="33114"/>
    <cellStyle name="표준 10 10 8 2 2" xfId="33115"/>
    <cellStyle name="표준 10 10 9 2" xfId="33116"/>
    <cellStyle name="표준 10 11 10 2" xfId="33117"/>
    <cellStyle name="표준 10 11 2 2 2 2 2 2 2" xfId="33118"/>
    <cellStyle name="표준 10 11 2 2 2 2 3 3" xfId="33119"/>
    <cellStyle name="표준 10 11 2 2 2 2 3 2 2" xfId="33120"/>
    <cellStyle name="표준 10 11 2 2 2 2 4 2" xfId="33121"/>
    <cellStyle name="표준 10 11 2 2 2 2 5 2" xfId="33122"/>
    <cellStyle name="표준 10 11 2 2 2 3 2 2 2" xfId="33123"/>
    <cellStyle name="표준 10 11 2 2 2 3 3 3" xfId="33124"/>
    <cellStyle name="표준 10 11 2 2 2 3 3 2 2" xfId="33125"/>
    <cellStyle name="표준 10 11 2 2 2 3 4 2" xfId="33126"/>
    <cellStyle name="표준 10 11 2 2 2 3 5 2" xfId="33127"/>
    <cellStyle name="표준 10 11 2 2 2 4 2 2" xfId="33128"/>
    <cellStyle name="표준 10 11 2 2 2 5 3" xfId="33129"/>
    <cellStyle name="표준 10 11 2 2 2 5 2 2" xfId="33130"/>
    <cellStyle name="표준 10 11 2 2 2 6 2" xfId="33131"/>
    <cellStyle name="표준 10 11 2 2 2 7 2" xfId="33132"/>
    <cellStyle name="표준 10 11 2 2 3 2 2 2" xfId="33133"/>
    <cellStyle name="표준 10 11 2 2 3 3 3" xfId="33134"/>
    <cellStyle name="표준 10 11 2 2 3 3 2 2" xfId="33135"/>
    <cellStyle name="표준 10 11 2 2 3 4 2" xfId="33136"/>
    <cellStyle name="표준 10 11 2 2 3 5 2" xfId="33137"/>
    <cellStyle name="표준 10 11 2 2 4 2 2 2" xfId="33138"/>
    <cellStyle name="표준 10 11 2 2 4 3 3" xfId="33139"/>
    <cellStyle name="표준 10 11 2 2 4 3 2 2" xfId="33140"/>
    <cellStyle name="표준 10 11 2 2 4 4 2" xfId="33141"/>
    <cellStyle name="표준 10 11 2 2 4 5 2" xfId="33142"/>
    <cellStyle name="표준 10 11 2 2 5 2 2" xfId="33143"/>
    <cellStyle name="표준 10 11 2 2 6 3" xfId="33144"/>
    <cellStyle name="표준 10 11 2 2 6 2 2" xfId="33145"/>
    <cellStyle name="표준 10 11 2 2 7 2" xfId="33146"/>
    <cellStyle name="표준 10 11 2 2 8 2" xfId="33147"/>
    <cellStyle name="표준 10 11 2 3 2 2 2 2" xfId="33148"/>
    <cellStyle name="표준 10 11 2 3 2 3 3" xfId="33149"/>
    <cellStyle name="표준 10 11 2 3 2 3 2 2" xfId="33150"/>
    <cellStyle name="표준 10 11 2 3 2 4 2" xfId="33151"/>
    <cellStyle name="표준 10 11 2 3 2 5 2" xfId="33152"/>
    <cellStyle name="표준 10 11 2 3 3 2 2 2" xfId="33153"/>
    <cellStyle name="표준 10 11 2 3 3 3 3" xfId="33154"/>
    <cellStyle name="표준 10 11 2 3 3 3 2 2" xfId="33155"/>
    <cellStyle name="표준 10 11 2 3 3 4 2" xfId="33156"/>
    <cellStyle name="표준 10 11 2 3 3 5 2" xfId="33157"/>
    <cellStyle name="표준 10 11 2 3 4 2 2" xfId="33158"/>
    <cellStyle name="표준 10 11 2 3 5 3" xfId="33159"/>
    <cellStyle name="표준 10 11 2 3 5 2 2" xfId="33160"/>
    <cellStyle name="표준 10 11 2 3 6 2" xfId="33161"/>
    <cellStyle name="표준 10 11 2 3 7 2" xfId="33162"/>
    <cellStyle name="표준 10 11 2 4 2 2 2" xfId="33163"/>
    <cellStyle name="표준 10 11 2 4 3 3" xfId="33164"/>
    <cellStyle name="표준 10 11 2 4 3 2 2" xfId="33165"/>
    <cellStyle name="표준 10 11 2 4 4 2" xfId="33166"/>
    <cellStyle name="표준 10 11 2 4 5 2" xfId="33167"/>
    <cellStyle name="표준 10 11 2 5 2 2 2" xfId="33168"/>
    <cellStyle name="표준 10 11 2 5 3 3" xfId="33169"/>
    <cellStyle name="표준 10 11 2 5 3 2 2" xfId="33170"/>
    <cellStyle name="표준 10 11 2 5 4 2" xfId="33171"/>
    <cellStyle name="표준 10 11 2 5 5 2" xfId="33172"/>
    <cellStyle name="표준 10 11 2 6 2 2" xfId="33173"/>
    <cellStyle name="표준 10 11 2 7 3" xfId="33174"/>
    <cellStyle name="표준 10 11 2 7 2 2" xfId="33175"/>
    <cellStyle name="표준 10 11 2 8 2" xfId="33176"/>
    <cellStyle name="표준 10 11 2 9 2" xfId="33177"/>
    <cellStyle name="표준 10 11 3 2 2 2 2 2" xfId="33178"/>
    <cellStyle name="표준 10 11 3 2 2 3 3" xfId="33179"/>
    <cellStyle name="표준 10 11 3 2 2 3 2 2" xfId="33180"/>
    <cellStyle name="표준 10 11 3 2 2 4 2" xfId="33181"/>
    <cellStyle name="표준 10 11 3 2 2 5 2" xfId="33182"/>
    <cellStyle name="표준 10 11 3 2 3 2 2 2" xfId="33183"/>
    <cellStyle name="표준 10 11 3 2 3 3 3" xfId="33184"/>
    <cellStyle name="표준 10 11 3 2 3 3 2 2" xfId="33185"/>
    <cellStyle name="표준 10 11 3 2 3 4 2" xfId="33186"/>
    <cellStyle name="표준 10 11 3 2 3 5 2" xfId="33187"/>
    <cellStyle name="표준 10 11 3 2 4 2 2" xfId="33188"/>
    <cellStyle name="표준 10 11 3 2 5 3" xfId="33189"/>
    <cellStyle name="표준 10 11 3 2 5 2 2" xfId="33190"/>
    <cellStyle name="표준 10 11 3 2 6 2" xfId="33191"/>
    <cellStyle name="표준 10 11 3 2 7 2" xfId="33192"/>
    <cellStyle name="표준 10 11 3 3 2 2 2" xfId="33193"/>
    <cellStyle name="표준 10 11 3 3 3 3" xfId="33194"/>
    <cellStyle name="표준 10 11 3 3 3 2 2" xfId="33195"/>
    <cellStyle name="표준 10 11 3 3 4 2" xfId="33196"/>
    <cellStyle name="표준 10 11 3 3 5 2" xfId="33197"/>
    <cellStyle name="표준 10 11 3 4 2 2 2" xfId="33198"/>
    <cellStyle name="표준 10 11 3 4 3 3" xfId="33199"/>
    <cellStyle name="표준 10 11 3 4 3 2 2" xfId="33200"/>
    <cellStyle name="표준 10 11 3 4 4 2" xfId="33201"/>
    <cellStyle name="표준 10 11 3 4 5 2" xfId="33202"/>
    <cellStyle name="표준 10 11 3 5 2 2" xfId="33203"/>
    <cellStyle name="표준 10 11 3 6 3" xfId="33204"/>
    <cellStyle name="표준 10 11 3 6 2 2" xfId="33205"/>
    <cellStyle name="표준 10 11 3 7 2" xfId="33206"/>
    <cellStyle name="표준 10 11 3 8 2" xfId="33207"/>
    <cellStyle name="표준 10 11 4 2 2 2 2" xfId="33208"/>
    <cellStyle name="표준 10 11 4 2 3 3" xfId="33209"/>
    <cellStyle name="표준 10 11 4 2 3 2 2" xfId="33210"/>
    <cellStyle name="표준 10 11 4 2 4 2" xfId="33211"/>
    <cellStyle name="표준 10 11 4 2 5 2" xfId="33212"/>
    <cellStyle name="표준 10 11 4 3 2 2 2" xfId="33213"/>
    <cellStyle name="표준 10 11 4 3 3 3" xfId="33214"/>
    <cellStyle name="표준 10 11 4 3 3 2 2" xfId="33215"/>
    <cellStyle name="표준 10 11 4 3 4 2" xfId="33216"/>
    <cellStyle name="표준 10 11 4 3 5 2" xfId="33217"/>
    <cellStyle name="표준 10 11 4 4 2 2" xfId="33218"/>
    <cellStyle name="표준 10 11 4 5 3" xfId="33219"/>
    <cellStyle name="표준 10 11 4 5 2 2" xfId="33220"/>
    <cellStyle name="표준 10 11 4 6 2" xfId="33221"/>
    <cellStyle name="표준 10 11 4 7 2" xfId="33222"/>
    <cellStyle name="표준 10 11 5 2 2 2" xfId="33223"/>
    <cellStyle name="표준 10 11 5 3 3" xfId="33224"/>
    <cellStyle name="표준 10 11 5 3 2 2" xfId="33225"/>
    <cellStyle name="표준 10 11 5 4 2" xfId="33226"/>
    <cellStyle name="표준 10 11 5 5 2" xfId="33227"/>
    <cellStyle name="표준 10 11 6 2 2 2" xfId="33228"/>
    <cellStyle name="표준 10 11 6 3 3" xfId="33229"/>
    <cellStyle name="표준 10 11 6 3 2 2" xfId="33230"/>
    <cellStyle name="표준 10 11 6 4 2" xfId="33231"/>
    <cellStyle name="표준 10 11 6 5 2" xfId="33232"/>
    <cellStyle name="표준 10 11 7 2 2" xfId="33233"/>
    <cellStyle name="표준 10 11 8 3" xfId="33234"/>
    <cellStyle name="표준 10 11 8 2 2" xfId="33235"/>
    <cellStyle name="표준 10 11 9 2" xfId="33236"/>
    <cellStyle name="표준 10 12 10 2" xfId="33237"/>
    <cellStyle name="표준 10 12 2 2 2 2 2 2 2" xfId="33238"/>
    <cellStyle name="표준 10 12 2 2 2 2 3 3" xfId="33239"/>
    <cellStyle name="표준 10 12 2 2 2 2 3 2 2" xfId="33240"/>
    <cellStyle name="표준 10 12 2 2 2 2 4 2" xfId="33241"/>
    <cellStyle name="표준 10 12 2 2 2 2 5 2" xfId="33242"/>
    <cellStyle name="표준 10 12 2 2 2 3 2 2 2" xfId="33243"/>
    <cellStyle name="표준 10 12 2 2 2 3 3 3" xfId="33244"/>
    <cellStyle name="표준 10 12 2 2 2 3 3 2 2" xfId="33245"/>
    <cellStyle name="표준 10 12 2 2 2 3 4 2" xfId="33246"/>
    <cellStyle name="표준 10 12 2 2 2 3 5 2" xfId="33247"/>
    <cellStyle name="표준 10 12 2 2 2 4 2 2" xfId="33248"/>
    <cellStyle name="표준 10 12 2 2 2 5 3" xfId="33249"/>
    <cellStyle name="표준 10 12 2 2 2 5 2 2" xfId="33250"/>
    <cellStyle name="표준 10 12 2 2 2 6 2" xfId="33251"/>
    <cellStyle name="표준 10 12 2 2 2 7 2" xfId="33252"/>
    <cellStyle name="표준 10 12 2 2 3 2 2 2" xfId="33253"/>
    <cellStyle name="표준 10 12 2 2 3 3 3" xfId="33254"/>
    <cellStyle name="표준 10 12 2 2 3 3 2 2" xfId="33255"/>
    <cellStyle name="표준 10 12 2 2 3 4 2" xfId="33256"/>
    <cellStyle name="표준 10 12 2 2 3 5 2" xfId="33257"/>
    <cellStyle name="표준 10 12 2 2 4 2 2 2" xfId="33258"/>
    <cellStyle name="표준 10 12 2 2 4 3 3" xfId="33259"/>
    <cellStyle name="표준 10 12 2 2 4 3 2 2" xfId="33260"/>
    <cellStyle name="표준 10 12 2 2 4 4 2" xfId="33261"/>
    <cellStyle name="표준 10 12 2 2 4 5 2" xfId="33262"/>
    <cellStyle name="표준 10 12 2 2 5 2 2" xfId="33263"/>
    <cellStyle name="표준 10 12 2 2 6 3" xfId="33264"/>
    <cellStyle name="표준 10 12 2 2 6 2 2" xfId="33265"/>
    <cellStyle name="표준 10 12 2 2 7 2" xfId="33266"/>
    <cellStyle name="표준 10 12 2 2 8 2" xfId="33267"/>
    <cellStyle name="표준 10 12 2 3 2 2 2 2" xfId="33268"/>
    <cellStyle name="표준 10 12 2 3 2 3 3" xfId="33269"/>
    <cellStyle name="표준 10 12 2 3 2 3 2 2" xfId="33270"/>
    <cellStyle name="표준 10 12 2 3 2 4 2" xfId="33271"/>
    <cellStyle name="표준 10 12 2 3 2 5 2" xfId="33272"/>
    <cellStyle name="표준 10 12 2 3 3 2 2 2" xfId="33273"/>
    <cellStyle name="표준 10 12 2 3 3 3 3" xfId="33274"/>
    <cellStyle name="표준 10 12 2 3 3 3 2 2" xfId="33275"/>
    <cellStyle name="표준 10 12 2 3 3 4 2" xfId="33276"/>
    <cellStyle name="표준 10 12 2 3 3 5 2" xfId="33277"/>
    <cellStyle name="표준 10 12 2 3 4 2 2" xfId="33278"/>
    <cellStyle name="표준 10 12 2 3 5 3" xfId="33279"/>
    <cellStyle name="표준 10 12 2 3 5 2 2" xfId="33280"/>
    <cellStyle name="표준 10 12 2 3 6 2" xfId="33281"/>
    <cellStyle name="표준 10 12 2 3 7 2" xfId="33282"/>
    <cellStyle name="표준 10 12 2 4 2 2 2" xfId="33283"/>
    <cellStyle name="표준 10 12 2 4 3 3" xfId="33284"/>
    <cellStyle name="표준 10 12 2 4 3 2 2" xfId="33285"/>
    <cellStyle name="표준 10 12 2 4 4 2" xfId="33286"/>
    <cellStyle name="표준 10 12 2 4 5 2" xfId="33287"/>
    <cellStyle name="표준 10 12 2 5 2 2 2" xfId="33288"/>
    <cellStyle name="표준 10 12 2 5 3 3" xfId="33289"/>
    <cellStyle name="표준 10 12 2 5 3 2 2" xfId="33290"/>
    <cellStyle name="표준 10 12 2 5 4 2" xfId="33291"/>
    <cellStyle name="표준 10 12 2 5 5 2" xfId="33292"/>
    <cellStyle name="표준 10 12 2 6 2 2" xfId="33293"/>
    <cellStyle name="표준 10 12 2 7 3" xfId="33294"/>
    <cellStyle name="표준 10 12 2 7 2 2" xfId="33295"/>
    <cellStyle name="표준 10 12 2 8 2" xfId="33296"/>
    <cellStyle name="표준 10 12 2 9 2" xfId="33297"/>
    <cellStyle name="표준 10 12 3 2 2 2 2 2" xfId="33298"/>
    <cellStyle name="표준 10 12 3 2 2 3 3" xfId="33299"/>
    <cellStyle name="표준 10 12 3 2 2 3 2 2" xfId="33300"/>
    <cellStyle name="표준 10 12 3 2 2 4 2" xfId="33301"/>
    <cellStyle name="표준 10 12 3 2 2 5 2" xfId="33302"/>
    <cellStyle name="표준 10 12 3 2 3 2 2 2" xfId="33303"/>
    <cellStyle name="표준 10 12 3 2 3 3 3" xfId="33304"/>
    <cellStyle name="표준 10 12 3 2 3 3 2 2" xfId="33305"/>
    <cellStyle name="표준 10 12 3 2 3 4 2" xfId="33306"/>
    <cellStyle name="표준 10 12 3 2 3 5 2" xfId="33307"/>
    <cellStyle name="표준 10 12 3 2 4 2 2" xfId="33308"/>
    <cellStyle name="표준 10 12 3 2 5 3" xfId="33309"/>
    <cellStyle name="표준 10 12 3 2 5 2 2" xfId="33310"/>
    <cellStyle name="표준 10 12 3 2 6 2" xfId="33311"/>
    <cellStyle name="표준 10 12 3 2 7 2" xfId="33312"/>
    <cellStyle name="표준 10 12 3 3 2 2 2" xfId="33313"/>
    <cellStyle name="표준 10 12 3 3 3 3" xfId="33314"/>
    <cellStyle name="표준 10 12 3 3 3 2 2" xfId="33315"/>
    <cellStyle name="표준 10 12 3 3 4 2" xfId="33316"/>
    <cellStyle name="표준 10 12 3 3 5 2" xfId="33317"/>
    <cellStyle name="표준 10 12 3 4 2 2 2" xfId="33318"/>
    <cellStyle name="표준 10 12 3 4 3 3" xfId="33319"/>
    <cellStyle name="표준 10 12 3 4 3 2 2" xfId="33320"/>
    <cellStyle name="표준 10 12 3 4 4 2" xfId="33321"/>
    <cellStyle name="표준 10 12 3 4 5 2" xfId="33322"/>
    <cellStyle name="표준 10 12 3 5 2 2" xfId="33323"/>
    <cellStyle name="표준 10 12 3 6 3" xfId="33324"/>
    <cellStyle name="표준 10 12 3 6 2 2" xfId="33325"/>
    <cellStyle name="표준 10 12 3 7 2" xfId="33326"/>
    <cellStyle name="표준 10 12 3 8 2" xfId="33327"/>
    <cellStyle name="표준 10 12 4 2 2 2 2" xfId="33328"/>
    <cellStyle name="표준 10 12 4 2 3 3" xfId="33329"/>
    <cellStyle name="표준 10 12 4 2 3 2 2" xfId="33330"/>
    <cellStyle name="표준 10 12 4 2 4 2" xfId="33331"/>
    <cellStyle name="표준 10 12 4 2 5 2" xfId="33332"/>
    <cellStyle name="표준 10 12 4 3 2 2 2" xfId="33333"/>
    <cellStyle name="표준 10 12 4 3 3 3" xfId="33334"/>
    <cellStyle name="표준 10 12 4 3 3 2 2" xfId="33335"/>
    <cellStyle name="표준 10 12 4 3 4 2" xfId="33336"/>
    <cellStyle name="표준 10 12 4 3 5 2" xfId="33337"/>
    <cellStyle name="표준 10 12 4 4 2 2" xfId="33338"/>
    <cellStyle name="표준 10 12 4 5 3" xfId="33339"/>
    <cellStyle name="표준 10 12 4 5 2 2" xfId="33340"/>
    <cellStyle name="표준 10 12 4 6 2" xfId="33341"/>
    <cellStyle name="표준 10 12 4 7 2" xfId="33342"/>
    <cellStyle name="표준 10 12 5 2 2 2" xfId="33343"/>
    <cellStyle name="표준 10 12 5 3 3" xfId="33344"/>
    <cellStyle name="표준 10 12 5 3 2 2" xfId="33345"/>
    <cellStyle name="표준 10 12 5 4 2" xfId="33346"/>
    <cellStyle name="표준 10 12 5 5 2" xfId="33347"/>
    <cellStyle name="표준 10 12 6 2 2 2" xfId="33348"/>
    <cellStyle name="표준 10 12 6 3 3" xfId="33349"/>
    <cellStyle name="표준 10 12 6 3 2 2" xfId="33350"/>
    <cellStyle name="표준 10 12 6 4 2" xfId="33351"/>
    <cellStyle name="표준 10 12 6 5 2" xfId="33352"/>
    <cellStyle name="표준 10 12 7 2 2" xfId="33353"/>
    <cellStyle name="표준 10 12 8 3" xfId="33354"/>
    <cellStyle name="표준 10 12 8 2 2" xfId="33355"/>
    <cellStyle name="표준 10 12 9 2" xfId="33356"/>
    <cellStyle name="표준 10 14 2 2 2 2 2 2" xfId="33357"/>
    <cellStyle name="표준 10 14 2 2 2 3 3" xfId="33358"/>
    <cellStyle name="표준 10 14 2 2 2 3 2 2" xfId="33359"/>
    <cellStyle name="표준 10 14 2 2 2 4 2" xfId="33360"/>
    <cellStyle name="표준 10 14 2 2 2 5 2" xfId="33361"/>
    <cellStyle name="표준 10 14 2 2 3 2 2 2" xfId="33362"/>
    <cellStyle name="표준 10 14 2 2 3 3 3" xfId="33363"/>
    <cellStyle name="표준 10 14 2 2 3 3 2 2" xfId="33364"/>
    <cellStyle name="표준 10 14 2 2 3 4 2" xfId="33365"/>
    <cellStyle name="표준 10 14 2 2 3 5 2" xfId="33366"/>
    <cellStyle name="표준 10 14 2 2 4 2 2" xfId="33367"/>
    <cellStyle name="표준 10 14 2 2 5 3" xfId="33368"/>
    <cellStyle name="표준 10 14 2 2 5 2 2" xfId="33369"/>
    <cellStyle name="표준 10 14 2 2 6 2" xfId="33370"/>
    <cellStyle name="표준 10 14 2 2 7 2" xfId="33371"/>
    <cellStyle name="표준 10 14 2 3 2 2 2" xfId="33372"/>
    <cellStyle name="표준 10 14 2 3 3 3" xfId="33373"/>
    <cellStyle name="표준 10 14 2 3 3 2 2" xfId="33374"/>
    <cellStyle name="표준 10 14 2 3 4 2" xfId="33375"/>
    <cellStyle name="표준 10 14 2 3 5 2" xfId="33376"/>
    <cellStyle name="표준 10 14 2 4 2 2 2" xfId="33377"/>
    <cellStyle name="표준 10 14 2 4 3 3" xfId="33378"/>
    <cellStyle name="표준 10 14 2 4 3 2 2" xfId="33379"/>
    <cellStyle name="표준 10 14 2 4 4 2" xfId="33380"/>
    <cellStyle name="표준 10 14 2 4 5 2" xfId="33381"/>
    <cellStyle name="표준 10 14 2 5 2 2" xfId="33382"/>
    <cellStyle name="표준 10 14 2 6 3" xfId="33383"/>
    <cellStyle name="표준 10 14 2 6 2 2" xfId="33384"/>
    <cellStyle name="표준 10 14 2 7 2" xfId="33385"/>
    <cellStyle name="표준 10 14 2 8 2" xfId="33386"/>
    <cellStyle name="표준 10 14 3 2 2 2 2" xfId="33387"/>
    <cellStyle name="표준 10 14 3 2 3 3" xfId="33388"/>
    <cellStyle name="표준 10 14 3 2 3 2 2" xfId="33389"/>
    <cellStyle name="표준 10 14 3 2 4 2" xfId="33390"/>
    <cellStyle name="표준 10 14 3 2 5 2" xfId="33391"/>
    <cellStyle name="표준 10 14 3 3 2 2 2" xfId="33392"/>
    <cellStyle name="표준 10 14 3 3 3 3" xfId="33393"/>
    <cellStyle name="표준 10 14 3 3 3 2 2" xfId="33394"/>
    <cellStyle name="표준 10 14 3 3 4 2" xfId="33395"/>
    <cellStyle name="표준 10 14 3 3 5 2" xfId="33396"/>
    <cellStyle name="표준 10 14 3 4 2 2" xfId="33397"/>
    <cellStyle name="표준 10 14 3 5 3" xfId="33398"/>
    <cellStyle name="표준 10 14 3 5 2 2" xfId="33399"/>
    <cellStyle name="표준 10 14 3 6 2" xfId="33400"/>
    <cellStyle name="표준 10 14 3 7 2" xfId="33401"/>
    <cellStyle name="표준 10 14 4 2 2 2" xfId="33402"/>
    <cellStyle name="표준 10 14 4 3 3" xfId="33403"/>
    <cellStyle name="표준 10 14 4 3 2 2" xfId="33404"/>
    <cellStyle name="표준 10 14 4 4 2" xfId="33405"/>
    <cellStyle name="표준 10 14 4 5 2" xfId="33406"/>
    <cellStyle name="표준 10 14 5 2 2 2" xfId="33407"/>
    <cellStyle name="표준 10 14 5 3 3" xfId="33408"/>
    <cellStyle name="표준 10 14 5 3 2 2" xfId="33409"/>
    <cellStyle name="표준 10 14 5 4 2" xfId="33410"/>
    <cellStyle name="표준 10 14 5 5 2" xfId="33411"/>
    <cellStyle name="표준 10 14 6 2 2" xfId="33412"/>
    <cellStyle name="표준 10 14 7 3" xfId="33413"/>
    <cellStyle name="표준 10 14 7 2 2" xfId="33414"/>
    <cellStyle name="표준 10 14 8 2" xfId="33415"/>
    <cellStyle name="표준 10 14 9 2" xfId="33416"/>
    <cellStyle name="표준 10 15 2 2 2 2 2" xfId="33417"/>
    <cellStyle name="표준 10 15 2 2 3 3" xfId="33418"/>
    <cellStyle name="표준 10 15 2 2 3 2 2" xfId="33419"/>
    <cellStyle name="표준 10 15 2 2 4 2" xfId="33420"/>
    <cellStyle name="표준 10 15 2 2 5 2" xfId="33421"/>
    <cellStyle name="표준 10 15 2 3 2 2 2" xfId="33422"/>
    <cellStyle name="표준 10 15 2 3 3 3" xfId="33423"/>
    <cellStyle name="표준 10 15 2 3 3 2 2" xfId="33424"/>
    <cellStyle name="표준 10 15 2 3 4 2" xfId="33425"/>
    <cellStyle name="표준 10 15 2 3 5 2" xfId="33426"/>
    <cellStyle name="표준 10 15 2 4 2 2" xfId="33427"/>
    <cellStyle name="표준 10 15 2 5 3" xfId="33428"/>
    <cellStyle name="표준 10 15 2 5 2 2" xfId="33429"/>
    <cellStyle name="표준 10 15 2 6 2" xfId="33430"/>
    <cellStyle name="표준 10 15 2 7 2" xfId="33431"/>
    <cellStyle name="표준 10 15 3 2 2 2" xfId="33432"/>
    <cellStyle name="표준 10 15 3 3 3" xfId="33433"/>
    <cellStyle name="표준 10 15 3 3 2 2" xfId="33434"/>
    <cellStyle name="표준 10 15 3 4 2" xfId="33435"/>
    <cellStyle name="표준 10 15 3 5 2" xfId="33436"/>
    <cellStyle name="표준 10 15 4 2 2 2" xfId="33437"/>
    <cellStyle name="표준 10 15 4 3 3" xfId="33438"/>
    <cellStyle name="표준 10 15 4 3 2 2" xfId="33439"/>
    <cellStyle name="표준 10 15 4 4 2" xfId="33440"/>
    <cellStyle name="표준 10 15 4 5 2" xfId="33441"/>
    <cellStyle name="표준 10 15 5 2 2" xfId="33442"/>
    <cellStyle name="표준 10 15 6 3" xfId="33443"/>
    <cellStyle name="표준 10 15 6 2 2" xfId="33444"/>
    <cellStyle name="표준 10 15 7 2" xfId="33445"/>
    <cellStyle name="표준 10 15 8 2" xfId="33446"/>
    <cellStyle name="표준 10 16 2 2 2 2" xfId="33447"/>
    <cellStyle name="표준 10 16 2 3 3" xfId="33448"/>
    <cellStyle name="표준 10 16 2 3 2 2" xfId="33449"/>
    <cellStyle name="표준 10 16 2 4 2" xfId="33450"/>
    <cellStyle name="표준 10 16 2 5 2" xfId="33451"/>
    <cellStyle name="표준 10 16 3 2 2 2" xfId="33452"/>
    <cellStyle name="표준 10 16 3 3 3" xfId="33453"/>
    <cellStyle name="표준 10 16 3 3 2 2" xfId="33454"/>
    <cellStyle name="표준 10 16 3 4 2" xfId="33455"/>
    <cellStyle name="표준 10 16 3 5 2" xfId="33456"/>
    <cellStyle name="표준 10 16 4 2 2" xfId="33457"/>
    <cellStyle name="표준 10 16 5 3" xfId="33458"/>
    <cellStyle name="표준 10 16 5 2 2" xfId="33459"/>
    <cellStyle name="표준 10 16 6 2" xfId="33460"/>
    <cellStyle name="표준 10 16 7 2" xfId="33461"/>
    <cellStyle name="표준 10 17 2 2 2" xfId="33462"/>
    <cellStyle name="표준 10 17 3 3" xfId="33463"/>
    <cellStyle name="표준 10 17 3 2 2" xfId="33464"/>
    <cellStyle name="표준 10 17 4 2" xfId="33465"/>
    <cellStyle name="표준 10 17 5 2" xfId="33466"/>
    <cellStyle name="표준 10 18 2 2 2" xfId="33467"/>
    <cellStyle name="표준 10 18 3 3" xfId="33468"/>
    <cellStyle name="표준 10 18 3 2 2" xfId="33469"/>
    <cellStyle name="표준 10 18 4 2" xfId="33470"/>
    <cellStyle name="표준 10 18 5 2" xfId="33471"/>
    <cellStyle name="표준 10 19 2 2" xfId="33472"/>
    <cellStyle name="표준 10 2 10 2 2" xfId="33473"/>
    <cellStyle name="표준 10 2 11 3" xfId="33474"/>
    <cellStyle name="표준 10 2 11 2 2" xfId="33475"/>
    <cellStyle name="표준 10 2 12 2" xfId="33476"/>
    <cellStyle name="표준 10 2 13 2" xfId="33477"/>
    <cellStyle name="표준 10 2 2 10 2" xfId="33478"/>
    <cellStyle name="표준 10 2 2 2 2 2 2 2 2 2" xfId="33479"/>
    <cellStyle name="표준 10 2 2 2 2 2 2 3 3" xfId="33480"/>
    <cellStyle name="표준 10 2 2 2 2 2 2 3 2 2" xfId="33481"/>
    <cellStyle name="표준 10 2 2 2 2 2 2 4 2" xfId="33482"/>
    <cellStyle name="표준 10 2 2 2 2 2 2 5 2" xfId="33483"/>
    <cellStyle name="표준 10 2 2 2 2 2 3 2 2 2" xfId="33484"/>
    <cellStyle name="표준 10 2 2 2 2 2 3 3 3" xfId="33485"/>
    <cellStyle name="표준 10 2 2 2 2 2 3 3 2 2" xfId="33486"/>
    <cellStyle name="표준 10 2 2 2 2 2 3 4 2" xfId="33487"/>
    <cellStyle name="표준 10 2 2 2 2 2 3 5 2" xfId="33488"/>
    <cellStyle name="표준 10 2 2 2 2 2 4 2 2" xfId="33489"/>
    <cellStyle name="표준 10 2 2 2 2 2 5 3" xfId="33490"/>
    <cellStyle name="표준 10 2 2 2 2 2 5 2 2" xfId="33491"/>
    <cellStyle name="표준 10 2 2 2 2 2 6 2" xfId="33492"/>
    <cellStyle name="표준 10 2 2 2 2 2 7 2" xfId="33493"/>
    <cellStyle name="표준 10 2 2 2 2 3 2 2 2" xfId="33494"/>
    <cellStyle name="표준 10 2 2 2 2 3 3 3" xfId="33495"/>
    <cellStyle name="표준 10 2 2 2 2 3 3 2 2" xfId="33496"/>
    <cellStyle name="표준 10 2 2 2 2 3 4 2" xfId="33497"/>
    <cellStyle name="표준 10 2 2 2 2 3 5 2" xfId="33498"/>
    <cellStyle name="표준 10 2 2 2 2 4 2 2 2" xfId="33499"/>
    <cellStyle name="표준 10 2 2 2 2 4 3 3" xfId="33500"/>
    <cellStyle name="표준 10 2 2 2 2 4 3 2 2" xfId="33501"/>
    <cellStyle name="표준 10 2 2 2 2 4 4 2" xfId="33502"/>
    <cellStyle name="표준 10 2 2 2 2 4 5 2" xfId="33503"/>
    <cellStyle name="표준 10 2 2 2 2 5 2 2" xfId="33504"/>
    <cellStyle name="표준 10 2 2 2 2 6 3" xfId="33505"/>
    <cellStyle name="표준 10 2 2 2 2 6 2 2" xfId="33506"/>
    <cellStyle name="표준 10 2 2 2 2 7 2" xfId="33507"/>
    <cellStyle name="표준 10 2 2 2 2 8 2" xfId="33508"/>
    <cellStyle name="표준 10 2 2 2 3 2 2 2 2" xfId="33509"/>
    <cellStyle name="표준 10 2 2 2 3 2 3 3" xfId="33510"/>
    <cellStyle name="표준 10 2 2 2 3 2 3 2 2" xfId="33511"/>
    <cellStyle name="표준 10 2 2 2 3 2 4 2" xfId="33512"/>
    <cellStyle name="표준 10 2 2 2 3 2 5 2" xfId="33513"/>
    <cellStyle name="표준 10 2 2 2 3 3 2 2 2" xfId="33514"/>
    <cellStyle name="표준 10 2 2 2 3 3 3 3" xfId="33515"/>
    <cellStyle name="표준 10 2 2 2 3 3 3 2 2" xfId="33516"/>
    <cellStyle name="표준 10 2 2 2 3 3 4 2" xfId="33517"/>
    <cellStyle name="표준 10 2 2 2 3 3 5 2" xfId="33518"/>
    <cellStyle name="표준 10 2 2 2 3 4 2 2" xfId="33519"/>
    <cellStyle name="표준 10 2 2 2 3 5 3" xfId="33520"/>
    <cellStyle name="표준 10 2 2 2 3 5 2 2" xfId="33521"/>
    <cellStyle name="표준 10 2 2 2 3 6 2" xfId="33522"/>
    <cellStyle name="표준 10 2 2 2 3 7 2" xfId="33523"/>
    <cellStyle name="표준 10 2 2 2 4 2 2 2" xfId="33524"/>
    <cellStyle name="표준 10 2 2 2 4 3 3" xfId="33525"/>
    <cellStyle name="표준 10 2 2 2 4 3 2 2" xfId="33526"/>
    <cellStyle name="표준 10 2 2 2 4 4 2" xfId="33527"/>
    <cellStyle name="표준 10 2 2 2 4 5 2" xfId="33528"/>
    <cellStyle name="표준 10 2 2 2 5 2 2 2" xfId="33529"/>
    <cellStyle name="표준 10 2 2 2 5 3 3" xfId="33530"/>
    <cellStyle name="표준 10 2 2 2 5 3 2 2" xfId="33531"/>
    <cellStyle name="표준 10 2 2 2 5 4 2" xfId="33532"/>
    <cellStyle name="표준 10 2 2 2 5 5 2" xfId="33533"/>
    <cellStyle name="표준 10 2 2 2 6 2 2" xfId="33534"/>
    <cellStyle name="표준 10 2 2 2 7 3" xfId="33535"/>
    <cellStyle name="표준 10 2 2 2 7 2 2" xfId="33536"/>
    <cellStyle name="표준 10 2 2 2 8 2" xfId="33537"/>
    <cellStyle name="표준 10 2 2 2 9 2" xfId="33538"/>
    <cellStyle name="표준 10 2 2 3 2 2 2 2 2" xfId="33539"/>
    <cellStyle name="표준 10 2 2 3 2 2 3 3" xfId="33540"/>
    <cellStyle name="표준 10 2 2 3 2 2 3 2 2" xfId="33541"/>
    <cellStyle name="표준 10 2 2 3 2 2 4 2" xfId="33542"/>
    <cellStyle name="표준 10 2 2 3 2 2 5 2" xfId="33543"/>
    <cellStyle name="표준 10 2 2 3 2 3 2 2 2" xfId="33544"/>
    <cellStyle name="표준 10 2 2 3 2 3 3 3" xfId="33545"/>
    <cellStyle name="표준 10 2 2 3 2 3 3 2 2" xfId="33546"/>
    <cellStyle name="표준 10 2 2 3 2 3 4 2" xfId="33547"/>
    <cellStyle name="표준 10 2 2 3 2 3 5 2" xfId="33548"/>
    <cellStyle name="표준 10 2 2 3 2 4 2 2" xfId="33549"/>
    <cellStyle name="표준 10 2 2 3 2 5 3" xfId="33550"/>
    <cellStyle name="표준 10 2 2 3 2 5 2 2" xfId="33551"/>
    <cellStyle name="표준 10 2 2 3 2 6 2" xfId="33552"/>
    <cellStyle name="표준 10 2 2 3 2 7 2" xfId="33553"/>
    <cellStyle name="표준 10 2 2 3 3 2 2 2" xfId="33554"/>
    <cellStyle name="표준 10 2 2 3 3 3 3" xfId="33555"/>
    <cellStyle name="표준 10 2 2 3 3 3 2 2" xfId="33556"/>
    <cellStyle name="표준 10 2 2 3 3 4 2" xfId="33557"/>
    <cellStyle name="표준 10 2 2 3 3 5 2" xfId="33558"/>
    <cellStyle name="표준 10 2 2 3 4 2 2 2" xfId="33559"/>
    <cellStyle name="표준 10 2 2 3 4 3 3" xfId="33560"/>
    <cellStyle name="표준 10 2 2 3 4 3 2 2" xfId="33561"/>
    <cellStyle name="표준 10 2 2 3 4 4 2" xfId="33562"/>
    <cellStyle name="표준 10 2 2 3 4 5 2" xfId="33563"/>
    <cellStyle name="표준 10 2 2 3 5 2 2" xfId="33564"/>
    <cellStyle name="표준 10 2 2 3 6 3" xfId="33565"/>
    <cellStyle name="표준 10 2 2 3 6 2 2" xfId="33566"/>
    <cellStyle name="표준 10 2 2 3 7 2" xfId="33567"/>
    <cellStyle name="표준 10 2 2 3 8 2" xfId="33568"/>
    <cellStyle name="표준 10 2 2 4 2 2 2 2" xfId="33569"/>
    <cellStyle name="표준 10 2 2 4 2 3 3" xfId="33570"/>
    <cellStyle name="표준 10 2 2 4 2 3 2 2" xfId="33571"/>
    <cellStyle name="표준 10 2 2 4 2 4 2" xfId="33572"/>
    <cellStyle name="표준 10 2 2 4 2 5 2" xfId="33573"/>
    <cellStyle name="표준 10 2 2 4 3 2 2 2" xfId="33574"/>
    <cellStyle name="표준 10 2 2 4 3 3 3" xfId="33575"/>
    <cellStyle name="표준 10 2 2 4 3 3 2 2" xfId="33576"/>
    <cellStyle name="표준 10 2 2 4 3 4 2" xfId="33577"/>
    <cellStyle name="표준 10 2 2 4 3 5 2" xfId="33578"/>
    <cellStyle name="표준 10 2 2 4 4 2 2" xfId="33579"/>
    <cellStyle name="표준 10 2 2 4 5 3" xfId="33580"/>
    <cellStyle name="표준 10 2 2 4 5 2 2" xfId="33581"/>
    <cellStyle name="표준 10 2 2 4 6 2" xfId="33582"/>
    <cellStyle name="표준 10 2 2 4 7 2" xfId="33583"/>
    <cellStyle name="표준 10 2 2 5 2 2 2" xfId="33584"/>
    <cellStyle name="표준 10 2 2 5 3 3" xfId="33585"/>
    <cellStyle name="표준 10 2 2 5 3 2 2" xfId="33586"/>
    <cellStyle name="표준 10 2 2 5 4 2" xfId="33587"/>
    <cellStyle name="표준 10 2 2 5 5 2" xfId="33588"/>
    <cellStyle name="표준 10 2 2 6 2 2 2" xfId="33589"/>
    <cellStyle name="표준 10 2 2 6 3 3" xfId="33590"/>
    <cellStyle name="표준 10 2 2 6 3 2 2" xfId="33591"/>
    <cellStyle name="표준 10 2 2 6 4 2" xfId="33592"/>
    <cellStyle name="표준 10 2 2 6 5 2" xfId="33593"/>
    <cellStyle name="표준 10 2 2 7 2 2" xfId="33594"/>
    <cellStyle name="표준 10 2 2 8 3" xfId="33595"/>
    <cellStyle name="표준 10 2 2 8 2 2" xfId="33596"/>
    <cellStyle name="표준 10 2 2 9 2" xfId="33597"/>
    <cellStyle name="표준 10 2 3 10 2" xfId="33598"/>
    <cellStyle name="표준 10 2 3 2 2 2 2 2 2 2" xfId="33599"/>
    <cellStyle name="표준 10 2 3 2 2 2 2 3 3" xfId="33600"/>
    <cellStyle name="표준 10 2 3 2 2 2 2 3 2 2" xfId="33601"/>
    <cellStyle name="표준 10 2 3 2 2 2 2 4 2" xfId="33602"/>
    <cellStyle name="표준 10 2 3 2 2 2 2 5 2" xfId="33603"/>
    <cellStyle name="표준 10 2 3 2 2 2 3 2 2 2" xfId="33604"/>
    <cellStyle name="표준 10 2 3 2 2 2 3 3 3" xfId="33605"/>
    <cellStyle name="표준 10 2 3 2 2 2 3 3 2 2" xfId="33606"/>
    <cellStyle name="표준 10 2 3 2 2 2 3 4 2" xfId="33607"/>
    <cellStyle name="표준 10 2 3 2 2 2 3 5 2" xfId="33608"/>
    <cellStyle name="표준 10 2 3 2 2 2 4 2 2" xfId="33609"/>
    <cellStyle name="표준 10 2 3 2 2 2 5 3" xfId="33610"/>
    <cellStyle name="표준 10 2 3 2 2 2 5 2 2" xfId="33611"/>
    <cellStyle name="표준 10 2 3 2 2 2 6 2" xfId="33612"/>
    <cellStyle name="표준 10 2 3 2 2 2 7 2" xfId="33613"/>
    <cellStyle name="표준 10 2 3 2 2 3 2 2 2" xfId="33614"/>
    <cellStyle name="표준 10 2 3 2 2 3 3 3" xfId="33615"/>
    <cellStyle name="표준 10 2 3 2 2 3 3 2 2" xfId="33616"/>
    <cellStyle name="표준 10 2 3 2 2 3 4 2" xfId="33617"/>
    <cellStyle name="표준 10 2 3 2 2 3 5 2" xfId="33618"/>
    <cellStyle name="표준 10 2 3 2 2 4 2 2 2" xfId="33619"/>
    <cellStyle name="표준 10 2 3 2 2 4 3 3" xfId="33620"/>
    <cellStyle name="표준 10 2 3 2 2 4 3 2 2" xfId="33621"/>
    <cellStyle name="표준 10 2 3 2 2 4 4 2" xfId="33622"/>
    <cellStyle name="표준 10 2 3 2 2 4 5 2" xfId="33623"/>
    <cellStyle name="표준 10 2 3 2 2 5 2 2" xfId="33624"/>
    <cellStyle name="표준 10 2 3 2 2 6 3" xfId="33625"/>
    <cellStyle name="표준 10 2 3 2 2 6 2 2" xfId="33626"/>
    <cellStyle name="표준 10 2 3 2 2 7 2" xfId="33627"/>
    <cellStyle name="표준 10 2 3 2 2 8 2" xfId="33628"/>
    <cellStyle name="표준 10 2 3 2 3 2 2 2 2" xfId="33629"/>
    <cellStyle name="표준 10 2 3 2 3 2 3 3" xfId="33630"/>
    <cellStyle name="표준 10 2 3 2 3 2 3 2 2" xfId="33631"/>
    <cellStyle name="표준 10 2 3 2 3 2 4 2" xfId="33632"/>
    <cellStyle name="표준 10 2 3 2 3 2 5 2" xfId="33633"/>
    <cellStyle name="표준 10 2 3 2 3 3 2 2 2" xfId="33634"/>
    <cellStyle name="표준 10 2 3 2 3 3 3 3" xfId="33635"/>
    <cellStyle name="표준 10 2 3 2 3 3 3 2 2" xfId="33636"/>
    <cellStyle name="표준 10 2 3 2 3 3 4 2" xfId="33637"/>
    <cellStyle name="표준 10 2 3 2 3 3 5 2" xfId="33638"/>
    <cellStyle name="표준 10 2 3 2 3 4 2 2" xfId="33639"/>
    <cellStyle name="표준 10 2 3 2 3 5 3" xfId="33640"/>
    <cellStyle name="표준 10 2 3 2 3 5 2 2" xfId="33641"/>
    <cellStyle name="표준 10 2 3 2 3 6 2" xfId="33642"/>
    <cellStyle name="표준 10 2 3 2 3 7 2" xfId="33643"/>
    <cellStyle name="표준 10 2 3 2 4 2 2 2" xfId="33644"/>
    <cellStyle name="표준 10 2 3 2 4 3 3" xfId="33645"/>
    <cellStyle name="표준 10 2 3 2 4 3 2 2" xfId="33646"/>
    <cellStyle name="표준 10 2 3 2 4 4 2" xfId="33647"/>
    <cellStyle name="표준 10 2 3 2 4 5 2" xfId="33648"/>
    <cellStyle name="표준 10 2 3 2 5 2 2 2" xfId="33649"/>
    <cellStyle name="표준 10 2 3 2 5 3 3" xfId="33650"/>
    <cellStyle name="표준 10 2 3 2 5 3 2 2" xfId="33651"/>
    <cellStyle name="표준 10 2 3 2 5 4 2" xfId="33652"/>
    <cellStyle name="표준 10 2 3 2 5 5 2" xfId="33653"/>
    <cellStyle name="표준 10 2 3 2 6 2 2" xfId="33654"/>
    <cellStyle name="표준 10 2 3 2 7 3" xfId="33655"/>
    <cellStyle name="표준 10 2 3 2 7 2 2" xfId="33656"/>
    <cellStyle name="표준 10 2 3 2 8 2" xfId="33657"/>
    <cellStyle name="표준 10 2 3 2 9 2" xfId="33658"/>
    <cellStyle name="표준 10 2 3 3 2 2 2 2 2" xfId="33659"/>
    <cellStyle name="표준 10 2 3 3 2 2 3 3" xfId="33660"/>
    <cellStyle name="표준 10 2 3 3 2 2 3 2 2" xfId="33661"/>
    <cellStyle name="표준 10 2 3 3 2 2 4 2" xfId="33662"/>
    <cellStyle name="표준 10 2 3 3 2 2 5 2" xfId="33663"/>
    <cellStyle name="표준 10 2 3 3 2 3 2 2 2" xfId="33664"/>
    <cellStyle name="표준 10 2 3 3 2 3 3 3" xfId="33665"/>
    <cellStyle name="표준 10 2 3 3 2 3 3 2 2" xfId="33666"/>
    <cellStyle name="표준 10 2 3 3 2 3 4 2" xfId="33667"/>
    <cellStyle name="표준 10 2 3 3 2 3 5 2" xfId="33668"/>
    <cellStyle name="표준 10 2 3 3 2 4 2 2" xfId="33669"/>
    <cellStyle name="표준 10 2 3 3 2 5 3" xfId="33670"/>
    <cellStyle name="표준 10 2 3 3 2 5 2 2" xfId="33671"/>
    <cellStyle name="표준 10 2 3 3 2 6 2" xfId="33672"/>
    <cellStyle name="표준 10 2 3 3 2 7 2" xfId="33673"/>
    <cellStyle name="표준 10 2 3 3 3 2 2 2" xfId="33674"/>
    <cellStyle name="표준 10 2 3 3 3 3 3" xfId="33675"/>
    <cellStyle name="표준 10 2 3 3 3 3 2 2" xfId="33676"/>
    <cellStyle name="표준 10 2 3 3 3 4 2" xfId="33677"/>
    <cellStyle name="표준 10 2 3 3 3 5 2" xfId="33678"/>
    <cellStyle name="표준 10 2 3 3 4 2 2 2" xfId="33679"/>
    <cellStyle name="표준 10 2 3 3 4 3 3" xfId="33680"/>
    <cellStyle name="표준 10 2 3 3 4 3 2 2" xfId="33681"/>
    <cellStyle name="표준 10 2 3 3 4 4 2" xfId="33682"/>
    <cellStyle name="표준 10 2 3 3 4 5 2" xfId="33683"/>
    <cellStyle name="표준 10 2 3 3 5 2 2" xfId="33684"/>
    <cellStyle name="표준 10 2 3 3 6 3" xfId="33685"/>
    <cellStyle name="표준 10 2 3 3 6 2 2" xfId="33686"/>
    <cellStyle name="표준 10 2 3 3 7 2" xfId="33687"/>
    <cellStyle name="표준 10 2 3 3 8 2" xfId="33688"/>
    <cellStyle name="표준 10 2 3 4 2 2 2 2" xfId="33689"/>
    <cellStyle name="표준 10 2 3 4 2 3 3" xfId="33690"/>
    <cellStyle name="표준 10 2 3 4 2 3 2 2" xfId="33691"/>
    <cellStyle name="표준 10 2 3 4 2 4 2" xfId="33692"/>
    <cellStyle name="표준 10 2 3 4 2 5 2" xfId="33693"/>
    <cellStyle name="표준 10 2 3 4 3 2 2 2" xfId="33694"/>
    <cellStyle name="표준 10 2 3 4 3 3 3" xfId="33695"/>
    <cellStyle name="표준 10 2 3 4 3 3 2 2" xfId="33696"/>
    <cellStyle name="표준 10 2 3 4 3 4 2" xfId="33697"/>
    <cellStyle name="표준 10 2 3 4 3 5 2" xfId="33698"/>
    <cellStyle name="표준 10 2 3 4 4 2 2" xfId="33699"/>
    <cellStyle name="표준 10 2 3 4 5 3" xfId="33700"/>
    <cellStyle name="표준 10 2 3 4 5 2 2" xfId="33701"/>
    <cellStyle name="표준 10 2 3 4 6 2" xfId="33702"/>
    <cellStyle name="표준 10 2 3 4 7 2" xfId="33703"/>
    <cellStyle name="표준 10 2 3 5 2 2 2" xfId="33704"/>
    <cellStyle name="표준 10 2 3 5 3 3" xfId="33705"/>
    <cellStyle name="표준 10 2 3 5 3 2 2" xfId="33706"/>
    <cellStyle name="표준 10 2 3 5 4 2" xfId="33707"/>
    <cellStyle name="표준 10 2 3 5 5 2" xfId="33708"/>
    <cellStyle name="표준 10 2 3 6 2 2 2" xfId="33709"/>
    <cellStyle name="표준 10 2 3 6 3 3" xfId="33710"/>
    <cellStyle name="표준 10 2 3 6 3 2 2" xfId="33711"/>
    <cellStyle name="표준 10 2 3 6 4 2" xfId="33712"/>
    <cellStyle name="표준 10 2 3 6 5 2" xfId="33713"/>
    <cellStyle name="표준 10 2 3 7 2 2" xfId="33714"/>
    <cellStyle name="표준 10 2 3 8 3" xfId="33715"/>
    <cellStyle name="표준 10 2 3 8 2 2" xfId="33716"/>
    <cellStyle name="표준 10 2 3 9 2" xfId="33717"/>
    <cellStyle name="표준 10 2 4 10 2" xfId="33718"/>
    <cellStyle name="표준 10 2 4 2 2 2 2 2 2 2" xfId="33719"/>
    <cellStyle name="표준 10 2 4 2 2 2 2 3 3" xfId="33720"/>
    <cellStyle name="표준 10 2 4 2 2 2 2 3 2 2" xfId="33721"/>
    <cellStyle name="표준 10 2 4 2 2 2 2 4 2" xfId="33722"/>
    <cellStyle name="표준 10 2 4 2 2 2 2 5 2" xfId="33723"/>
    <cellStyle name="표준 10 2 4 2 2 2 3 2 2 2" xfId="33724"/>
    <cellStyle name="표준 10 2 4 2 2 2 3 3 3" xfId="33725"/>
    <cellStyle name="표준 10 2 4 2 2 2 3 3 2 2" xfId="33726"/>
    <cellStyle name="표준 10 2 4 2 2 2 3 4 2" xfId="33727"/>
    <cellStyle name="표준 10 2 4 2 2 2 3 5 2" xfId="33728"/>
    <cellStyle name="표준 10 2 4 2 2 2 4 2 2" xfId="33729"/>
    <cellStyle name="표준 10 2 4 2 2 2 5 3" xfId="33730"/>
    <cellStyle name="표준 10 2 4 2 2 2 5 2 2" xfId="33731"/>
    <cellStyle name="표준 10 2 4 2 2 2 6 2" xfId="33732"/>
    <cellStyle name="표준 10 2 4 2 2 2 7 2" xfId="33733"/>
    <cellStyle name="표준 10 2 4 2 2 3 2 2 2" xfId="33734"/>
    <cellStyle name="표준 10 2 4 2 2 3 3 3" xfId="33735"/>
    <cellStyle name="표준 10 2 4 2 2 3 3 2 2" xfId="33736"/>
    <cellStyle name="표준 10 2 4 2 2 3 4 2" xfId="33737"/>
    <cellStyle name="표준 10 2 4 2 2 3 5 2" xfId="33738"/>
    <cellStyle name="표준 10 2 4 2 2 4 2 2 2" xfId="33739"/>
    <cellStyle name="표준 10 2 4 2 2 4 3 3" xfId="33740"/>
    <cellStyle name="표준 10 2 4 2 2 4 3 2 2" xfId="33741"/>
    <cellStyle name="표준 10 2 4 2 2 4 4 2" xfId="33742"/>
    <cellStyle name="표준 10 2 4 2 2 4 5 2" xfId="33743"/>
    <cellStyle name="표준 10 2 4 2 2 5 2 2" xfId="33744"/>
    <cellStyle name="표준 10 2 4 2 2 6 3" xfId="33745"/>
    <cellStyle name="표준 10 2 4 2 2 6 2 2" xfId="33746"/>
    <cellStyle name="표준 10 2 4 2 2 7 2" xfId="33747"/>
    <cellStyle name="표준 10 2 4 2 2 8 2" xfId="33748"/>
    <cellStyle name="표준 10 2 4 2 3 2 2 2 2" xfId="33749"/>
    <cellStyle name="표준 10 2 4 2 3 2 3 3" xfId="33750"/>
    <cellStyle name="표준 10 2 4 2 3 2 3 2 2" xfId="33751"/>
    <cellStyle name="표준 10 2 4 2 3 2 4 2" xfId="33752"/>
    <cellStyle name="표준 10 2 4 2 3 2 5 2" xfId="33753"/>
    <cellStyle name="표준 10 2 4 2 3 3 2 2 2" xfId="33754"/>
    <cellStyle name="표준 10 2 4 2 3 3 3 3" xfId="33755"/>
    <cellStyle name="표준 10 2 4 2 3 3 3 2 2" xfId="33756"/>
    <cellStyle name="표준 10 2 4 2 3 3 4 2" xfId="33757"/>
    <cellStyle name="표준 10 2 4 2 3 3 5 2" xfId="33758"/>
    <cellStyle name="표준 10 2 4 2 3 4 2 2" xfId="33759"/>
    <cellStyle name="표준 10 2 4 2 3 5 3" xfId="33760"/>
    <cellStyle name="표준 10 2 4 2 3 5 2 2" xfId="33761"/>
    <cellStyle name="표준 10 2 4 2 3 6 2" xfId="33762"/>
    <cellStyle name="표준 10 2 4 2 3 7 2" xfId="33763"/>
    <cellStyle name="표준 10 2 4 2 4 2 2 2" xfId="33764"/>
    <cellStyle name="표준 10 2 4 2 4 3 3" xfId="33765"/>
    <cellStyle name="표준 10 2 4 2 4 3 2 2" xfId="33766"/>
    <cellStyle name="표준 10 2 4 2 4 4 2" xfId="33767"/>
    <cellStyle name="표준 10 2 4 2 4 5 2" xfId="33768"/>
    <cellStyle name="표준 10 2 4 2 5 2 2 2" xfId="33769"/>
    <cellStyle name="표준 10 2 4 2 5 3 3" xfId="33770"/>
    <cellStyle name="표준 10 2 4 2 5 3 2 2" xfId="33771"/>
    <cellStyle name="표준 10 2 4 2 5 4 2" xfId="33772"/>
    <cellStyle name="표준 10 2 4 2 5 5 2" xfId="33773"/>
    <cellStyle name="표준 10 2 4 2 6 2 2" xfId="33774"/>
    <cellStyle name="표준 10 2 4 2 7 3" xfId="33775"/>
    <cellStyle name="표준 10 2 4 2 7 2 2" xfId="33776"/>
    <cellStyle name="표준 10 2 4 2 8 2" xfId="33777"/>
    <cellStyle name="표준 10 2 4 2 9 2" xfId="33778"/>
    <cellStyle name="표준 10 2 4 3 2 2 2 2 2" xfId="33779"/>
    <cellStyle name="표준 10 2 4 3 2 2 3 3" xfId="33780"/>
    <cellStyle name="표준 10 2 4 3 2 2 3 2 2" xfId="33781"/>
    <cellStyle name="표준 10 2 4 3 2 2 4 2" xfId="33782"/>
    <cellStyle name="표준 10 2 4 3 2 2 5 2" xfId="33783"/>
    <cellStyle name="표준 10 2 4 3 2 3 2 2 2" xfId="33784"/>
    <cellStyle name="표준 10 2 4 3 2 3 3 3" xfId="33785"/>
    <cellStyle name="표준 10 2 4 3 2 3 3 2 2" xfId="33786"/>
    <cellStyle name="표준 10 2 4 3 2 3 4 2" xfId="33787"/>
    <cellStyle name="표준 10 2 4 3 2 3 5 2" xfId="33788"/>
    <cellStyle name="표준 10 2 4 3 2 4 2 2" xfId="33789"/>
    <cellStyle name="표준 10 2 4 3 2 5 3" xfId="33790"/>
    <cellStyle name="표준 10 2 4 3 2 5 2 2" xfId="33791"/>
    <cellStyle name="표준 10 2 4 3 2 6 2" xfId="33792"/>
    <cellStyle name="표준 10 2 4 3 2 7 2" xfId="33793"/>
    <cellStyle name="표준 10 2 4 3 3 2 2 2" xfId="33794"/>
    <cellStyle name="표준 10 2 4 3 3 3 3" xfId="33795"/>
    <cellStyle name="표준 10 2 4 3 3 3 2 2" xfId="33796"/>
    <cellStyle name="표준 10 2 4 3 3 4 2" xfId="33797"/>
    <cellStyle name="표준 10 2 4 3 3 5 2" xfId="33798"/>
    <cellStyle name="표준 10 2 4 3 4 2 2 2" xfId="33799"/>
    <cellStyle name="표준 10 2 4 3 4 3 3" xfId="33800"/>
    <cellStyle name="표준 10 2 4 3 4 3 2 2" xfId="33801"/>
    <cellStyle name="표준 10 2 4 3 4 4 2" xfId="33802"/>
    <cellStyle name="표준 10 2 4 3 4 5 2" xfId="33803"/>
    <cellStyle name="표준 10 2 4 3 5 2 2" xfId="33804"/>
    <cellStyle name="표준 10 2 4 3 6 3" xfId="33805"/>
    <cellStyle name="표준 10 2 4 3 6 2 2" xfId="33806"/>
    <cellStyle name="표준 10 2 4 3 7 2" xfId="33807"/>
    <cellStyle name="표준 10 2 4 3 8 2" xfId="33808"/>
    <cellStyle name="표준 10 2 4 4 2 2 2 2" xfId="33809"/>
    <cellStyle name="표준 10 2 4 4 2 3 3" xfId="33810"/>
    <cellStyle name="표준 10 2 4 4 2 3 2 2" xfId="33811"/>
    <cellStyle name="표준 10 2 4 4 2 4 2" xfId="33812"/>
    <cellStyle name="표준 10 2 4 4 2 5 2" xfId="33813"/>
    <cellStyle name="표준 10 2 4 4 3 2 2 2" xfId="33814"/>
    <cellStyle name="표준 10 2 4 4 3 3 3" xfId="33815"/>
    <cellStyle name="표준 10 2 4 4 3 3 2 2" xfId="33816"/>
    <cellStyle name="표준 10 2 4 4 3 4 2" xfId="33817"/>
    <cellStyle name="표준 10 2 4 4 3 5 2" xfId="33818"/>
    <cellStyle name="표준 10 2 4 4 4 2 2" xfId="33819"/>
    <cellStyle name="표준 10 2 4 4 5 3" xfId="33820"/>
    <cellStyle name="표준 10 2 4 4 5 2 2" xfId="33821"/>
    <cellStyle name="표준 10 2 4 4 6 2" xfId="33822"/>
    <cellStyle name="표준 10 2 4 4 7 2" xfId="33823"/>
    <cellStyle name="표준 10 2 4 5 2 2 2" xfId="33824"/>
    <cellStyle name="표준 10 2 4 5 3 3" xfId="33825"/>
    <cellStyle name="표준 10 2 4 5 3 2 2" xfId="33826"/>
    <cellStyle name="표준 10 2 4 5 4 2" xfId="33827"/>
    <cellStyle name="표준 10 2 4 5 5 2" xfId="33828"/>
    <cellStyle name="표준 10 2 4 6 2 2 2" xfId="33829"/>
    <cellStyle name="표준 10 2 4 6 3 3" xfId="33830"/>
    <cellStyle name="표준 10 2 4 6 3 2 2" xfId="33831"/>
    <cellStyle name="표준 10 2 4 6 4 2" xfId="33832"/>
    <cellStyle name="표준 10 2 4 6 5 2" xfId="33833"/>
    <cellStyle name="표준 10 2 4 7 2 2" xfId="33834"/>
    <cellStyle name="표준 10 2 4 8 3" xfId="33835"/>
    <cellStyle name="표준 10 2 4 8 2 2" xfId="33836"/>
    <cellStyle name="표준 10 2 4 9 2" xfId="33837"/>
    <cellStyle name="표준 10 2 5 2 2 2 2 2 2" xfId="33838"/>
    <cellStyle name="표준 10 2 5 2 2 2 3 3" xfId="33839"/>
    <cellStyle name="표준 10 2 5 2 2 2 3 2 2" xfId="33840"/>
    <cellStyle name="표준 10 2 5 2 2 2 4 2" xfId="33841"/>
    <cellStyle name="표준 10 2 5 2 2 2 5 2" xfId="33842"/>
    <cellStyle name="표준 10 2 5 2 2 3 2 2 2" xfId="33843"/>
    <cellStyle name="표준 10 2 5 2 2 3 3 3" xfId="33844"/>
    <cellStyle name="표준 10 2 5 2 2 3 3 2 2" xfId="33845"/>
    <cellStyle name="표준 10 2 5 2 2 3 4 2" xfId="33846"/>
    <cellStyle name="표준 10 2 5 2 2 3 5 2" xfId="33847"/>
    <cellStyle name="표준 10 2 5 2 2 4 2 2" xfId="33848"/>
    <cellStyle name="표준 10 2 5 2 2 5 3" xfId="33849"/>
    <cellStyle name="표준 10 2 5 2 2 5 2 2" xfId="33850"/>
    <cellStyle name="표준 10 2 5 2 2 6 2" xfId="33851"/>
    <cellStyle name="표준 10 2 5 2 2 7 2" xfId="33852"/>
    <cellStyle name="표준 10 2 5 2 3 2 2 2" xfId="33853"/>
    <cellStyle name="표준 10 2 5 2 3 3 3" xfId="33854"/>
    <cellStyle name="표준 10 2 5 2 3 3 2 2" xfId="33855"/>
    <cellStyle name="표준 10 2 5 2 3 4 2" xfId="33856"/>
    <cellStyle name="표준 10 2 5 2 3 5 2" xfId="33857"/>
    <cellStyle name="표준 10 2 5 2 4 2 2 2" xfId="33858"/>
    <cellStyle name="표준 10 2 5 2 4 3 3" xfId="33859"/>
    <cellStyle name="표준 10 2 5 2 4 3 2 2" xfId="33860"/>
    <cellStyle name="표준 10 2 5 2 4 4 2" xfId="33861"/>
    <cellStyle name="표준 10 2 5 2 4 5 2" xfId="33862"/>
    <cellStyle name="표준 10 2 5 2 5 2 2" xfId="33863"/>
    <cellStyle name="표준 10 2 5 2 6 3" xfId="33864"/>
    <cellStyle name="표준 10 2 5 2 6 2 2" xfId="33865"/>
    <cellStyle name="표준 10 2 5 2 7 2" xfId="33866"/>
    <cellStyle name="표준 10 2 5 2 8 2" xfId="33867"/>
    <cellStyle name="표준 10 2 5 3 2 2 2 2" xfId="33868"/>
    <cellStyle name="표준 10 2 5 3 2 3 3" xfId="33869"/>
    <cellStyle name="표준 10 2 5 3 2 3 2 2" xfId="33870"/>
    <cellStyle name="표준 10 2 5 3 2 4 2" xfId="33871"/>
    <cellStyle name="표준 10 2 5 3 2 5 2" xfId="33872"/>
    <cellStyle name="표준 10 2 5 3 3 2 2 2" xfId="33873"/>
    <cellStyle name="표준 10 2 5 3 3 3 3" xfId="33874"/>
    <cellStyle name="표준 10 2 5 3 3 3 2 2" xfId="33875"/>
    <cellStyle name="표준 10 2 5 3 3 4 2" xfId="33876"/>
    <cellStyle name="표준 10 2 5 3 3 5 2" xfId="33877"/>
    <cellStyle name="표준 10 2 5 3 4 2 2" xfId="33878"/>
    <cellStyle name="표준 10 2 5 3 5 3" xfId="33879"/>
    <cellStyle name="표준 10 2 5 3 5 2 2" xfId="33880"/>
    <cellStyle name="표준 10 2 5 3 6 2" xfId="33881"/>
    <cellStyle name="표준 10 2 5 3 7 2" xfId="33882"/>
    <cellStyle name="표준 10 2 5 4 2 2 2" xfId="33883"/>
    <cellStyle name="표준 10 2 5 4 3 3" xfId="33884"/>
    <cellStyle name="표준 10 2 5 4 3 2 2" xfId="33885"/>
    <cellStyle name="표준 10 2 5 4 4 2" xfId="33886"/>
    <cellStyle name="표준 10 2 5 4 5 2" xfId="33887"/>
    <cellStyle name="표준 10 2 5 5 2 2 2" xfId="33888"/>
    <cellStyle name="표준 10 2 5 5 3 3" xfId="33889"/>
    <cellStyle name="표준 10 2 5 5 3 2 2" xfId="33890"/>
    <cellStyle name="표준 10 2 5 5 4 2" xfId="33891"/>
    <cellStyle name="표준 10 2 5 5 5 2" xfId="33892"/>
    <cellStyle name="표준 10 2 5 6 2 2" xfId="33893"/>
    <cellStyle name="표준 10 2 5 7 3" xfId="33894"/>
    <cellStyle name="표준 10 2 5 7 2 2" xfId="33895"/>
    <cellStyle name="표준 10 2 5 8 2" xfId="33896"/>
    <cellStyle name="표준 10 2 5 9 2" xfId="33897"/>
    <cellStyle name="표준 10 2 6 2 2 2 2 2" xfId="33898"/>
    <cellStyle name="표준 10 2 6 2 2 3 3" xfId="33899"/>
    <cellStyle name="표준 10 2 6 2 2 3 2 2" xfId="33900"/>
    <cellStyle name="표준 10 2 6 2 2 4 2" xfId="33901"/>
    <cellStyle name="표준 10 2 6 2 2 5 2" xfId="33902"/>
    <cellStyle name="표준 10 2 6 2 3 2 2 2" xfId="33903"/>
    <cellStyle name="표준 10 2 6 2 3 3 3" xfId="33904"/>
    <cellStyle name="표준 10 2 6 2 3 3 2 2" xfId="33905"/>
    <cellStyle name="표준 10 2 6 2 3 4 2" xfId="33906"/>
    <cellStyle name="표준 10 2 6 2 3 5 2" xfId="33907"/>
    <cellStyle name="표준 10 2 6 2 4 2 2" xfId="33908"/>
    <cellStyle name="표준 10 2 6 2 5 3" xfId="33909"/>
    <cellStyle name="표준 10 2 6 2 5 2 2" xfId="33910"/>
    <cellStyle name="표준 10 2 6 2 6 2" xfId="33911"/>
    <cellStyle name="표준 10 2 6 2 7 2" xfId="33912"/>
    <cellStyle name="표준 10 2 6 3 2 2 2" xfId="33913"/>
    <cellStyle name="표준 10 2 6 3 3 3" xfId="33914"/>
    <cellStyle name="표준 10 2 6 3 3 2 2" xfId="33915"/>
    <cellStyle name="표준 10 2 6 3 4 2" xfId="33916"/>
    <cellStyle name="표준 10 2 6 3 5 2" xfId="33917"/>
    <cellStyle name="표준 10 2 6 4 2 2 2" xfId="33918"/>
    <cellStyle name="표준 10 2 6 4 3 3" xfId="33919"/>
    <cellStyle name="표준 10 2 6 4 3 2 2" xfId="33920"/>
    <cellStyle name="표준 10 2 6 4 4 2" xfId="33921"/>
    <cellStyle name="표준 10 2 6 4 5 2" xfId="33922"/>
    <cellStyle name="표준 10 2 6 5 2 2" xfId="33923"/>
    <cellStyle name="표준 10 2 6 6 3" xfId="33924"/>
    <cellStyle name="표준 10 2 6 6 2 2" xfId="33925"/>
    <cellStyle name="표준 10 2 6 7 2" xfId="33926"/>
    <cellStyle name="표준 10 2 6 8 2" xfId="33927"/>
    <cellStyle name="표준 10 2 7 2 2 2 2" xfId="33928"/>
    <cellStyle name="표준 10 2 7 2 3 3" xfId="33929"/>
    <cellStyle name="표준 10 2 7 2 3 2 2" xfId="33930"/>
    <cellStyle name="표준 10 2 7 2 4 2" xfId="33931"/>
    <cellStyle name="표준 10 2 7 2 5 2" xfId="33932"/>
    <cellStyle name="표준 10 2 7 3 2 2 2" xfId="33933"/>
    <cellStyle name="표준 10 2 7 3 3 3" xfId="33934"/>
    <cellStyle name="표준 10 2 7 3 3 2 2" xfId="33935"/>
    <cellStyle name="표준 10 2 7 3 4 2" xfId="33936"/>
    <cellStyle name="표준 10 2 7 3 5 2" xfId="33937"/>
    <cellStyle name="표준 10 2 7 4 2 2" xfId="33938"/>
    <cellStyle name="표준 10 2 7 5 3" xfId="33939"/>
    <cellStyle name="표준 10 2 7 5 2 2" xfId="33940"/>
    <cellStyle name="표준 10 2 7 6 2" xfId="33941"/>
    <cellStyle name="표준 10 2 7 7 2" xfId="33942"/>
    <cellStyle name="표준 10 2 8 2 2 2" xfId="33943"/>
    <cellStyle name="표준 10 2 8 3 3" xfId="33944"/>
    <cellStyle name="표준 10 2 8 3 2 2" xfId="33945"/>
    <cellStyle name="표준 10 2 8 4 2" xfId="33946"/>
    <cellStyle name="표준 10 2 8 5 2" xfId="33947"/>
    <cellStyle name="표준 10 2 9 2 2 2" xfId="33948"/>
    <cellStyle name="표준 10 2 9 3 3" xfId="33949"/>
    <cellStyle name="표준 10 2 9 3 2 2" xfId="33950"/>
    <cellStyle name="표준 10 2 9 4 2" xfId="33951"/>
    <cellStyle name="표준 10 2 9 5 2" xfId="33952"/>
    <cellStyle name="표준 10 20 3" xfId="33953"/>
    <cellStyle name="표준 10 20 2 2" xfId="33954"/>
    <cellStyle name="표준 10 21 2" xfId="33955"/>
    <cellStyle name="표준 10 22 2" xfId="33956"/>
    <cellStyle name="표준 10 4 10 2 2" xfId="33957"/>
    <cellStyle name="표준 10 4 11 3" xfId="33958"/>
    <cellStyle name="표준 10 4 11 2 2" xfId="33959"/>
    <cellStyle name="표준 10 4 12 2" xfId="33960"/>
    <cellStyle name="표준 10 4 13 2" xfId="33961"/>
    <cellStyle name="표준 10 4 2 10 2" xfId="33962"/>
    <cellStyle name="표준 10 4 2 2 2 2 2 2 2 2" xfId="33963"/>
    <cellStyle name="표준 10 4 2 2 2 2 2 3 3" xfId="33964"/>
    <cellStyle name="표준 10 4 2 2 2 2 2 3 2 2" xfId="33965"/>
    <cellStyle name="표준 10 4 2 2 2 2 2 4 2" xfId="33966"/>
    <cellStyle name="표준 10 4 2 2 2 2 2 5 2" xfId="33967"/>
    <cellStyle name="표준 10 4 2 2 2 2 3 2 2 2" xfId="33968"/>
    <cellStyle name="표준 10 4 2 2 2 2 3 3 3" xfId="33969"/>
    <cellStyle name="표준 10 4 2 2 2 2 3 3 2 2" xfId="33970"/>
    <cellStyle name="표준 10 4 2 2 2 2 3 4 2" xfId="33971"/>
    <cellStyle name="표준 10 4 2 2 2 2 3 5 2" xfId="33972"/>
    <cellStyle name="표준 10 4 2 2 2 2 4 2 2" xfId="33973"/>
    <cellStyle name="표준 10 4 2 2 2 2 5 3" xfId="33974"/>
    <cellStyle name="표준 10 4 2 2 2 2 5 2 2" xfId="33975"/>
    <cellStyle name="표준 10 4 2 2 2 2 6 2" xfId="33976"/>
    <cellStyle name="표준 10 4 2 2 2 2 7 2" xfId="33977"/>
    <cellStyle name="표준 10 4 2 2 2 3 2 2 2" xfId="33978"/>
    <cellStyle name="표준 10 4 2 2 2 3 3 3" xfId="33979"/>
    <cellStyle name="표준 10 4 2 2 2 3 3 2 2" xfId="33980"/>
    <cellStyle name="표준 10 4 2 2 2 3 4 2" xfId="33981"/>
    <cellStyle name="표준 10 4 2 2 2 3 5 2" xfId="33982"/>
    <cellStyle name="표준 10 4 2 2 2 4 2 2 2" xfId="33983"/>
    <cellStyle name="표준 10 4 2 2 2 4 3 3" xfId="33984"/>
    <cellStyle name="표준 10 4 2 2 2 4 3 2 2" xfId="33985"/>
    <cellStyle name="표준 10 4 2 2 2 4 4 2" xfId="33986"/>
    <cellStyle name="표준 10 4 2 2 2 4 5 2" xfId="33987"/>
    <cellStyle name="표준 10 4 2 2 2 5 2 2" xfId="33988"/>
    <cellStyle name="표준 10 4 2 2 2 6 3" xfId="33989"/>
    <cellStyle name="표준 10 4 2 2 2 6 2 2" xfId="33990"/>
    <cellStyle name="표준 10 4 2 2 2 7 2" xfId="33991"/>
    <cellStyle name="표준 10 4 2 2 2 8 2" xfId="33992"/>
    <cellStyle name="표준 10 4 2 2 3 2 2 2 2" xfId="33993"/>
    <cellStyle name="표준 10 4 2 2 3 2 3 3" xfId="33994"/>
    <cellStyle name="표준 10 4 2 2 3 2 3 2 2" xfId="33995"/>
    <cellStyle name="표준 10 4 2 2 3 2 4 2" xfId="33996"/>
    <cellStyle name="표준 10 4 2 2 3 2 5 2" xfId="33997"/>
    <cellStyle name="표준 10 4 2 2 3 3 2 2 2" xfId="33998"/>
    <cellStyle name="표준 10 4 2 2 3 3 3 3" xfId="33999"/>
    <cellStyle name="표준 10 4 2 2 3 3 3 2 2" xfId="34000"/>
    <cellStyle name="표준 10 4 2 2 3 3 4 2" xfId="34001"/>
    <cellStyle name="표준 10 4 2 2 3 3 5 2" xfId="34002"/>
    <cellStyle name="표준 10 4 2 2 3 4 2 2" xfId="34003"/>
    <cellStyle name="표준 10 4 2 2 3 5 3" xfId="34004"/>
    <cellStyle name="표준 10 4 2 2 3 5 2 2" xfId="34005"/>
    <cellStyle name="표준 10 4 2 2 3 6 2" xfId="34006"/>
    <cellStyle name="표준 10 4 2 2 3 7 2" xfId="34007"/>
    <cellStyle name="표준 10 4 2 2 4 2 2 2" xfId="34008"/>
    <cellStyle name="표준 10 4 2 2 4 3 3" xfId="34009"/>
    <cellStyle name="표준 10 4 2 2 4 3 2 2" xfId="34010"/>
    <cellStyle name="표준 10 4 2 2 4 4 2" xfId="34011"/>
    <cellStyle name="표준 10 4 2 2 4 5 2" xfId="34012"/>
    <cellStyle name="표준 10 4 2 2 5 2 2 2" xfId="34013"/>
    <cellStyle name="표준 10 4 2 2 5 3 3" xfId="34014"/>
    <cellStyle name="표준 10 4 2 2 5 3 2 2" xfId="34015"/>
    <cellStyle name="표준 10 4 2 2 5 4 2" xfId="34016"/>
    <cellStyle name="표준 10 4 2 2 5 5 2" xfId="34017"/>
    <cellStyle name="표준 10 4 2 2 6 2 2" xfId="34018"/>
    <cellStyle name="표준 10 4 2 2 7 3" xfId="34019"/>
    <cellStyle name="표준 10 4 2 2 7 2 2" xfId="34020"/>
    <cellStyle name="표준 10 4 2 2 8 2" xfId="34021"/>
    <cellStyle name="표준 10 4 2 2 9 2" xfId="34022"/>
    <cellStyle name="표준 10 4 2 3 2 2 2 2 2" xfId="34023"/>
    <cellStyle name="표준 10 4 2 3 2 2 3 3" xfId="34024"/>
    <cellStyle name="표준 10 4 2 3 2 2 3 2 2" xfId="34025"/>
    <cellStyle name="표준 10 4 2 3 2 2 4 2" xfId="34026"/>
    <cellStyle name="표준 10 4 2 3 2 2 5 2" xfId="34027"/>
    <cellStyle name="표준 10 4 2 3 2 3 2 2 2" xfId="34028"/>
    <cellStyle name="표준 10 4 2 3 2 3 3 3" xfId="34029"/>
    <cellStyle name="표준 10 4 2 3 2 3 3 2 2" xfId="34030"/>
    <cellStyle name="표준 10 4 2 3 2 3 4 2" xfId="34031"/>
    <cellStyle name="표준 10 4 2 3 2 3 5 2" xfId="34032"/>
    <cellStyle name="표준 10 4 2 3 2 4 2 2" xfId="34033"/>
    <cellStyle name="표준 10 4 2 3 2 5 3" xfId="34034"/>
    <cellStyle name="표준 10 4 2 3 2 5 2 2" xfId="34035"/>
    <cellStyle name="표준 10 4 2 3 2 6 2" xfId="34036"/>
    <cellStyle name="표준 10 4 2 3 2 7 2" xfId="34037"/>
    <cellStyle name="표준 10 4 2 3 3 2 2 2" xfId="34038"/>
    <cellStyle name="표준 10 4 2 3 3 3 3" xfId="34039"/>
    <cellStyle name="표준 10 4 2 3 3 3 2 2" xfId="34040"/>
    <cellStyle name="표준 10 4 2 3 3 4 2" xfId="34041"/>
    <cellStyle name="표준 10 4 2 3 3 5 2" xfId="34042"/>
    <cellStyle name="표준 10 4 2 3 4 2 2 2" xfId="34043"/>
    <cellStyle name="표준 10 4 2 3 4 3 3" xfId="34044"/>
    <cellStyle name="표준 10 4 2 3 4 3 2 2" xfId="34045"/>
    <cellStyle name="표준 10 4 2 3 4 4 2" xfId="34046"/>
    <cellStyle name="표준 10 4 2 3 4 5 2" xfId="34047"/>
    <cellStyle name="표준 10 4 2 3 5 2 2" xfId="34048"/>
    <cellStyle name="표준 10 4 2 3 6 3" xfId="34049"/>
    <cellStyle name="표준 10 4 2 3 6 2 2" xfId="34050"/>
    <cellStyle name="표준 10 4 2 3 7 2" xfId="34051"/>
    <cellStyle name="표준 10 4 2 3 8 2" xfId="34052"/>
    <cellStyle name="표준 10 4 2 4 2 2 2 2" xfId="34053"/>
    <cellStyle name="표준 10 4 2 4 2 3 3" xfId="34054"/>
    <cellStyle name="표준 10 4 2 4 2 3 2 2" xfId="34055"/>
    <cellStyle name="표준 10 4 2 4 2 4 2" xfId="34056"/>
    <cellStyle name="표준 10 4 2 4 2 5 2" xfId="34057"/>
    <cellStyle name="표준 10 4 2 4 3 2 2 2" xfId="34058"/>
    <cellStyle name="표준 10 4 2 4 3 3 3" xfId="34059"/>
    <cellStyle name="표준 10 4 2 4 3 3 2 2" xfId="34060"/>
    <cellStyle name="표준 10 4 2 4 3 4 2" xfId="34061"/>
    <cellStyle name="표준 10 4 2 4 3 5 2" xfId="34062"/>
    <cellStyle name="표준 10 4 2 4 4 2 2" xfId="34063"/>
    <cellStyle name="표준 10 4 2 4 5 3" xfId="34064"/>
    <cellStyle name="표준 10 4 2 4 5 2 2" xfId="34065"/>
    <cellStyle name="표준 10 4 2 4 6 2" xfId="34066"/>
    <cellStyle name="표준 10 4 2 4 7 2" xfId="34067"/>
    <cellStyle name="표준 10 4 2 5 2 2 2" xfId="34068"/>
    <cellStyle name="표준 10 4 2 5 3 3" xfId="34069"/>
    <cellStyle name="표준 10 4 2 5 3 2 2" xfId="34070"/>
    <cellStyle name="표준 10 4 2 5 4 2" xfId="34071"/>
    <cellStyle name="표준 10 4 2 5 5 2" xfId="34072"/>
    <cellStyle name="표준 10 4 2 6 2 2 2" xfId="34073"/>
    <cellStyle name="표준 10 4 2 6 3 3" xfId="34074"/>
    <cellStyle name="표준 10 4 2 6 3 2 2" xfId="34075"/>
    <cellStyle name="표준 10 4 2 6 4 2" xfId="34076"/>
    <cellStyle name="표준 10 4 2 6 5 2" xfId="34077"/>
    <cellStyle name="표준 10 4 2 7 2 2" xfId="34078"/>
    <cellStyle name="표준 10 4 2 8 3" xfId="34079"/>
    <cellStyle name="표준 10 4 2 8 2 2" xfId="34080"/>
    <cellStyle name="표준 10 4 2 9 2" xfId="34081"/>
    <cellStyle name="표준 10 4 3 10 2" xfId="34082"/>
    <cellStyle name="표준 10 4 3 2 2 2 2 2 2 2" xfId="34083"/>
    <cellStyle name="표준 10 4 3 2 2 2 2 3 3" xfId="34084"/>
    <cellStyle name="표준 10 4 3 2 2 2 2 3 2 2" xfId="34085"/>
    <cellStyle name="표준 10 4 3 2 2 2 2 4 2" xfId="34086"/>
    <cellStyle name="표준 10 4 3 2 2 2 2 5 2" xfId="34087"/>
    <cellStyle name="표준 10 4 3 2 2 2 3 2 2 2" xfId="34088"/>
    <cellStyle name="표준 10 4 3 2 2 2 3 3 3" xfId="34089"/>
    <cellStyle name="표준 10 4 3 2 2 2 3 3 2 2" xfId="34090"/>
    <cellStyle name="표준 10 4 3 2 2 2 3 4 2" xfId="34091"/>
    <cellStyle name="표준 10 4 3 2 2 2 3 5 2" xfId="34092"/>
    <cellStyle name="표준 10 4 3 2 2 2 4 2 2" xfId="34093"/>
    <cellStyle name="표준 10 4 3 2 2 2 5 3" xfId="34094"/>
    <cellStyle name="표준 10 4 3 2 2 2 5 2 2" xfId="34095"/>
    <cellStyle name="표준 10 4 3 2 2 2 6 2" xfId="34096"/>
    <cellStyle name="표준 10 4 3 2 2 2 7 2" xfId="34097"/>
    <cellStyle name="표준 10 4 3 2 2 3 2 2 2" xfId="34098"/>
    <cellStyle name="표준 10 4 3 2 2 3 3 3" xfId="34099"/>
    <cellStyle name="표준 10 4 3 2 2 3 3 2 2" xfId="34100"/>
    <cellStyle name="표준 10 4 3 2 2 3 4 2" xfId="34101"/>
    <cellStyle name="표준 10 4 3 2 2 3 5 2" xfId="34102"/>
    <cellStyle name="표준 10 4 3 2 2 4 2 2 2" xfId="34103"/>
    <cellStyle name="표준 10 4 3 2 2 4 3 3" xfId="34104"/>
    <cellStyle name="표준 10 4 3 2 2 4 3 2 2" xfId="34105"/>
    <cellStyle name="표준 10 4 3 2 2 4 4 2" xfId="34106"/>
    <cellStyle name="표준 10 4 3 2 2 4 5 2" xfId="34107"/>
    <cellStyle name="표준 10 4 3 2 2 5 2 2" xfId="34108"/>
    <cellStyle name="표준 10 4 3 2 2 6 3" xfId="34109"/>
    <cellStyle name="표준 10 4 3 2 2 6 2 2" xfId="34110"/>
    <cellStyle name="표준 10 4 3 2 2 7 2" xfId="34111"/>
    <cellStyle name="표준 10 4 3 2 2 8 2" xfId="34112"/>
    <cellStyle name="표준 10 4 3 2 3 2 2 2 2" xfId="34113"/>
    <cellStyle name="표준 10 4 3 2 3 2 3 3" xfId="34114"/>
    <cellStyle name="표준 10 4 3 2 3 2 3 2 2" xfId="34115"/>
    <cellStyle name="표준 10 4 3 2 3 2 4 2" xfId="34116"/>
    <cellStyle name="표준 10 4 3 2 3 2 5 2" xfId="34117"/>
    <cellStyle name="표준 10 4 3 2 3 3 2 2 2" xfId="34118"/>
    <cellStyle name="표준 10 4 3 2 3 3 3 3" xfId="34119"/>
    <cellStyle name="표준 10 4 3 2 3 3 3 2 2" xfId="34120"/>
    <cellStyle name="표준 10 4 3 2 3 3 4 2" xfId="34121"/>
    <cellStyle name="표준 10 4 3 2 3 3 5 2" xfId="34122"/>
    <cellStyle name="표준 10 4 3 2 3 4 2 2" xfId="34123"/>
    <cellStyle name="표준 10 4 3 2 3 5 3" xfId="34124"/>
    <cellStyle name="표준 10 4 3 2 3 5 2 2" xfId="34125"/>
    <cellStyle name="표준 10 4 3 2 3 6 2" xfId="34126"/>
    <cellStyle name="표준 10 4 3 2 3 7 2" xfId="34127"/>
    <cellStyle name="표준 10 4 3 2 4 2 2 2" xfId="34128"/>
    <cellStyle name="표준 10 4 3 2 4 3 3" xfId="34129"/>
    <cellStyle name="표준 10 4 3 2 4 3 2 2" xfId="34130"/>
    <cellStyle name="표준 10 4 3 2 4 4 2" xfId="34131"/>
    <cellStyle name="표준 10 4 3 2 4 5 2" xfId="34132"/>
    <cellStyle name="표준 10 4 3 2 5 2 2 2" xfId="34133"/>
    <cellStyle name="표준 10 4 3 2 5 3 3" xfId="34134"/>
    <cellStyle name="표준 10 4 3 2 5 3 2 2" xfId="34135"/>
    <cellStyle name="표준 10 4 3 2 5 4 2" xfId="34136"/>
    <cellStyle name="표준 10 4 3 2 5 5 2" xfId="34137"/>
    <cellStyle name="표준 10 4 3 2 6 2 2" xfId="34138"/>
    <cellStyle name="표준 10 4 3 2 7 3" xfId="34139"/>
    <cellStyle name="표준 10 4 3 2 7 2 2" xfId="34140"/>
    <cellStyle name="표준 10 4 3 2 8 2" xfId="34141"/>
    <cellStyle name="표준 10 4 3 2 9 2" xfId="34142"/>
    <cellStyle name="표준 10 4 3 3 2 2 2 2 2" xfId="34143"/>
    <cellStyle name="표준 10 4 3 3 2 2 3 3" xfId="34144"/>
    <cellStyle name="표준 10 4 3 3 2 2 3 2 2" xfId="34145"/>
    <cellStyle name="표준 10 4 3 3 2 2 4 2" xfId="34146"/>
    <cellStyle name="표준 10 4 3 3 2 2 5 2" xfId="34147"/>
    <cellStyle name="표준 10 4 3 3 2 3 2 2 2" xfId="34148"/>
    <cellStyle name="표준 10 4 3 3 2 3 3 3" xfId="34149"/>
    <cellStyle name="표준 10 4 3 3 2 3 3 2 2" xfId="34150"/>
    <cellStyle name="표준 10 4 3 3 2 3 4 2" xfId="34151"/>
    <cellStyle name="표준 10 4 3 3 2 3 5 2" xfId="34152"/>
    <cellStyle name="표준 10 4 3 3 2 4 2 2" xfId="34153"/>
    <cellStyle name="표준 10 4 3 3 2 5 3" xfId="34154"/>
    <cellStyle name="표준 10 4 3 3 2 5 2 2" xfId="34155"/>
    <cellStyle name="표준 10 4 3 3 2 6 2" xfId="34156"/>
    <cellStyle name="표준 10 4 3 3 2 7 2" xfId="34157"/>
    <cellStyle name="표준 10 4 3 3 3 2 2 2" xfId="34158"/>
    <cellStyle name="표준 10 4 3 3 3 3 3" xfId="34159"/>
    <cellStyle name="표준 10 4 3 3 3 3 2 2" xfId="34160"/>
    <cellStyle name="표준 10 4 3 3 3 4 2" xfId="34161"/>
    <cellStyle name="표준 10 4 3 3 3 5 2" xfId="34162"/>
    <cellStyle name="표준 10 4 3 3 4 2 2 2" xfId="34163"/>
    <cellStyle name="표준 10 4 3 3 4 3 3" xfId="34164"/>
    <cellStyle name="표준 10 4 3 3 4 3 2 2" xfId="34165"/>
    <cellStyle name="표준 10 4 3 3 4 4 2" xfId="34166"/>
    <cellStyle name="표준 10 4 3 3 4 5 2" xfId="34167"/>
    <cellStyle name="표준 10 4 3 3 5 2 2" xfId="34168"/>
    <cellStyle name="표준 10 4 3 3 6 3" xfId="34169"/>
    <cellStyle name="표준 10 4 3 3 6 2 2" xfId="34170"/>
    <cellStyle name="표준 10 4 3 3 7 2" xfId="34171"/>
    <cellStyle name="표준 10 4 3 3 8 2" xfId="34172"/>
    <cellStyle name="표준 10 4 3 4 2 2 2 2" xfId="34173"/>
    <cellStyle name="표준 10 4 3 4 2 3 3" xfId="34174"/>
    <cellStyle name="표준 10 4 3 4 2 3 2 2" xfId="34175"/>
    <cellStyle name="표준 10 4 3 4 2 4 2" xfId="34176"/>
    <cellStyle name="표준 10 4 3 4 2 5 2" xfId="34177"/>
    <cellStyle name="표준 10 4 3 4 3 2 2 2" xfId="34178"/>
    <cellStyle name="표준 10 4 3 4 3 3 3" xfId="34179"/>
    <cellStyle name="표준 10 4 3 4 3 3 2 2" xfId="34180"/>
    <cellStyle name="표준 10 4 3 4 3 4 2" xfId="34181"/>
    <cellStyle name="표준 10 4 3 4 3 5 2" xfId="34182"/>
    <cellStyle name="표준 10 4 3 4 4 2 2" xfId="34183"/>
    <cellStyle name="표준 10 4 3 4 5 3" xfId="34184"/>
    <cellStyle name="표준 10 4 3 4 5 2 2" xfId="34185"/>
    <cellStyle name="표준 10 4 3 4 6 2" xfId="34186"/>
    <cellStyle name="표준 10 4 3 4 7 2" xfId="34187"/>
    <cellStyle name="표준 10 4 3 5 2 2 2" xfId="34188"/>
    <cellStyle name="표준 10 4 3 5 3 3" xfId="34189"/>
    <cellStyle name="표준 10 4 3 5 3 2 2" xfId="34190"/>
    <cellStyle name="표준 10 4 3 5 4 2" xfId="34191"/>
    <cellStyle name="표준 10 4 3 5 5 2" xfId="34192"/>
    <cellStyle name="표준 10 4 3 6 2 2 2" xfId="34193"/>
    <cellStyle name="표준 10 4 3 6 3 3" xfId="34194"/>
    <cellStyle name="표준 10 4 3 6 3 2 2" xfId="34195"/>
    <cellStyle name="표준 10 4 3 6 4 2" xfId="34196"/>
    <cellStyle name="표준 10 4 3 6 5 2" xfId="34197"/>
    <cellStyle name="표준 10 4 3 7 2 2" xfId="34198"/>
    <cellStyle name="표준 10 4 3 8 3" xfId="34199"/>
    <cellStyle name="표준 10 4 3 8 2 2" xfId="34200"/>
    <cellStyle name="표준 10 4 3 9 2" xfId="34201"/>
    <cellStyle name="표준 10 4 4 10 2" xfId="34202"/>
    <cellStyle name="표준 10 4 4 2 2 2 2 2 2 2" xfId="34203"/>
    <cellStyle name="표준 10 4 4 2 2 2 2 3 3" xfId="34204"/>
    <cellStyle name="표준 10 4 4 2 2 2 2 3 2 2" xfId="34205"/>
    <cellStyle name="표준 10 4 4 2 2 2 2 4 2" xfId="34206"/>
    <cellStyle name="표준 10 4 4 2 2 2 2 5 2" xfId="34207"/>
    <cellStyle name="표준 10 4 4 2 2 2 3 2 2 2" xfId="34208"/>
    <cellStyle name="표준 10 4 4 2 2 2 3 3 3" xfId="34209"/>
    <cellStyle name="표준 10 4 4 2 2 2 3 3 2 2" xfId="34210"/>
    <cellStyle name="표준 10 4 4 2 2 2 3 4 2" xfId="34211"/>
    <cellStyle name="표준 10 4 4 2 2 2 3 5 2" xfId="34212"/>
    <cellStyle name="표준 10 4 4 2 2 2 4 2 2" xfId="34213"/>
    <cellStyle name="표준 10 4 4 2 2 2 5 3" xfId="34214"/>
    <cellStyle name="표준 10 4 4 2 2 2 5 2 2" xfId="34215"/>
    <cellStyle name="표준 10 4 4 2 2 2 6 2" xfId="34216"/>
    <cellStyle name="표준 10 4 4 2 2 2 7 2" xfId="34217"/>
    <cellStyle name="표준 10 4 4 2 2 3 2 2 2" xfId="34218"/>
    <cellStyle name="표준 10 4 4 2 2 3 3 3" xfId="34219"/>
    <cellStyle name="표준 10 4 4 2 2 3 3 2 2" xfId="34220"/>
    <cellStyle name="표준 10 4 4 2 2 3 4 2" xfId="34221"/>
    <cellStyle name="표준 10 4 4 2 2 3 5 2" xfId="34222"/>
    <cellStyle name="표준 10 4 4 2 2 4 2 2 2" xfId="34223"/>
    <cellStyle name="표준 10 4 4 2 2 4 3 3" xfId="34224"/>
    <cellStyle name="표준 10 4 4 2 2 4 3 2 2" xfId="34225"/>
    <cellStyle name="표준 10 4 4 2 2 4 4 2" xfId="34226"/>
    <cellStyle name="표준 10 4 4 2 2 4 5 2" xfId="34227"/>
    <cellStyle name="표준 10 4 4 2 2 5 2 2" xfId="34228"/>
    <cellStyle name="표준 10 4 4 2 2 6 3" xfId="34229"/>
    <cellStyle name="표준 10 4 4 2 2 6 2 2" xfId="34230"/>
    <cellStyle name="표준 10 4 4 2 2 7 2" xfId="34231"/>
    <cellStyle name="표준 10 4 4 2 2 8 2" xfId="34232"/>
    <cellStyle name="표준 10 4 4 2 3 2 2 2 2" xfId="34233"/>
    <cellStyle name="표준 10 4 4 2 3 2 3 3" xfId="34234"/>
    <cellStyle name="표준 10 4 4 2 3 2 3 2 2" xfId="34235"/>
    <cellStyle name="표준 10 4 4 2 3 2 4 2" xfId="34236"/>
    <cellStyle name="표준 10 4 4 2 3 2 5 2" xfId="34237"/>
    <cellStyle name="표준 10 4 4 2 3 3 2 2 2" xfId="34238"/>
    <cellStyle name="표준 10 4 4 2 3 3 3 3" xfId="34239"/>
    <cellStyle name="표준 10 4 4 2 3 3 3 2 2" xfId="34240"/>
    <cellStyle name="표준 10 4 4 2 3 3 4 2" xfId="34241"/>
    <cellStyle name="표준 10 4 4 2 3 3 5 2" xfId="34242"/>
    <cellStyle name="표준 10 4 4 2 3 4 2 2" xfId="34243"/>
    <cellStyle name="표준 10 4 4 2 3 5 3" xfId="34244"/>
    <cellStyle name="표준 10 4 4 2 3 5 2 2" xfId="34245"/>
    <cellStyle name="표준 10 4 4 2 3 6 2" xfId="34246"/>
    <cellStyle name="표준 10 4 4 2 3 7 2" xfId="34247"/>
    <cellStyle name="표준 10 4 4 2 4 2 2 2" xfId="34248"/>
    <cellStyle name="표준 10 4 4 2 4 3 3" xfId="34249"/>
    <cellStyle name="표준 10 4 4 2 4 3 2 2" xfId="34250"/>
    <cellStyle name="표준 10 4 4 2 4 4 2" xfId="34251"/>
    <cellStyle name="표준 10 4 4 2 4 5 2" xfId="34252"/>
    <cellStyle name="표준 10 4 4 2 5 2 2 2" xfId="34253"/>
    <cellStyle name="표준 10 4 4 2 5 3 3" xfId="34254"/>
    <cellStyle name="표준 10 4 4 2 5 3 2 2" xfId="34255"/>
    <cellStyle name="표준 10 4 4 2 5 4 2" xfId="34256"/>
    <cellStyle name="표준 10 4 4 2 5 5 2" xfId="34257"/>
    <cellStyle name="표준 10 4 4 2 6 2 2" xfId="34258"/>
    <cellStyle name="표준 10 4 4 2 7 3" xfId="34259"/>
    <cellStyle name="표준 10 4 4 2 7 2 2" xfId="34260"/>
    <cellStyle name="표준 10 4 4 2 8 2" xfId="34261"/>
    <cellStyle name="표준 10 4 4 2 9 2" xfId="34262"/>
    <cellStyle name="표준 10 4 4 3 2 2 2 2 2" xfId="34263"/>
    <cellStyle name="표준 10 4 4 3 2 2 3 3" xfId="34264"/>
    <cellStyle name="표준 10 4 4 3 2 2 3 2 2" xfId="34265"/>
    <cellStyle name="표준 10 4 4 3 2 2 4 2" xfId="34266"/>
    <cellStyle name="표준 10 4 4 3 2 2 5 2" xfId="34267"/>
    <cellStyle name="표준 10 4 4 3 2 3 2 2 2" xfId="34268"/>
    <cellStyle name="표준 10 4 4 3 2 3 3 3" xfId="34269"/>
    <cellStyle name="표준 10 4 4 3 2 3 3 2 2" xfId="34270"/>
    <cellStyle name="표준 10 4 4 3 2 3 4 2" xfId="34271"/>
    <cellStyle name="표준 10 4 4 3 2 3 5 2" xfId="34272"/>
    <cellStyle name="표준 10 4 4 3 2 4 2 2" xfId="34273"/>
    <cellStyle name="표준 10 4 4 3 2 5 3" xfId="34274"/>
    <cellStyle name="표준 10 4 4 3 2 5 2 2" xfId="34275"/>
    <cellStyle name="표준 10 4 4 3 2 6 2" xfId="34276"/>
    <cellStyle name="표준 10 4 4 3 2 7 2" xfId="34277"/>
    <cellStyle name="표준 10 4 4 3 3 2 2 2" xfId="34278"/>
    <cellStyle name="표준 10 4 4 3 3 3 3" xfId="34279"/>
    <cellStyle name="표준 10 4 4 3 3 3 2 2" xfId="34280"/>
    <cellStyle name="표준 10 4 4 3 3 4 2" xfId="34281"/>
    <cellStyle name="표준 10 4 4 3 3 5 2" xfId="34282"/>
    <cellStyle name="표준 10 4 4 3 4 2 2 2" xfId="34283"/>
    <cellStyle name="표준 10 4 4 3 4 3 3" xfId="34284"/>
    <cellStyle name="표준 10 4 4 3 4 3 2 2" xfId="34285"/>
    <cellStyle name="표준 10 4 4 3 4 4 2" xfId="34286"/>
    <cellStyle name="표준 10 4 4 3 4 5 2" xfId="34287"/>
    <cellStyle name="표준 10 4 4 3 5 2 2" xfId="34288"/>
    <cellStyle name="표준 10 4 4 3 6 3" xfId="34289"/>
    <cellStyle name="표준 10 4 4 3 6 2 2" xfId="34290"/>
    <cellStyle name="표준 10 4 4 3 7 2" xfId="34291"/>
    <cellStyle name="표준 10 4 4 3 8 2" xfId="34292"/>
    <cellStyle name="표준 10 4 4 4 2 2 2 2" xfId="34293"/>
    <cellStyle name="표준 10 4 4 4 2 3 3" xfId="34294"/>
    <cellStyle name="표준 10 4 4 4 2 3 2 2" xfId="34295"/>
    <cellStyle name="표준 10 4 4 4 2 4 2" xfId="34296"/>
    <cellStyle name="표준 10 4 4 4 2 5 2" xfId="34297"/>
    <cellStyle name="표준 10 4 4 4 3 2 2 2" xfId="34298"/>
    <cellStyle name="표준 10 4 4 4 3 3 3" xfId="34299"/>
    <cellStyle name="표준 10 4 4 4 3 3 2 2" xfId="34300"/>
    <cellStyle name="표준 10 4 4 4 3 4 2" xfId="34301"/>
    <cellStyle name="표준 10 4 4 4 3 5 2" xfId="34302"/>
    <cellStyle name="표준 10 4 4 4 4 2 2" xfId="34303"/>
    <cellStyle name="표준 10 4 4 4 5 3" xfId="34304"/>
    <cellStyle name="표준 10 4 4 4 5 2 2" xfId="34305"/>
    <cellStyle name="표준 10 4 4 4 6 2" xfId="34306"/>
    <cellStyle name="표준 10 4 4 4 7 2" xfId="34307"/>
    <cellStyle name="표준 10 4 4 5 2 2 2" xfId="34308"/>
    <cellStyle name="표준 10 4 4 5 3 3" xfId="34309"/>
    <cellStyle name="표준 10 4 4 5 3 2 2" xfId="34310"/>
    <cellStyle name="표준 10 4 4 5 4 2" xfId="34311"/>
    <cellStyle name="표준 10 4 4 5 5 2" xfId="34312"/>
    <cellStyle name="표준 10 4 4 6 2 2 2" xfId="34313"/>
    <cellStyle name="표준 10 4 4 6 3 3" xfId="34314"/>
    <cellStyle name="표준 10 4 4 6 3 2 2" xfId="34315"/>
    <cellStyle name="표준 10 4 4 6 4 2" xfId="34316"/>
    <cellStyle name="표준 10 4 4 6 5 2" xfId="34317"/>
    <cellStyle name="표준 10 4 4 7 2 2" xfId="34318"/>
    <cellStyle name="표준 10 4 4 8 3" xfId="34319"/>
    <cellStyle name="표준 10 4 4 8 2 2" xfId="34320"/>
    <cellStyle name="표준 10 4 4 9 2" xfId="34321"/>
    <cellStyle name="표준 10 4 5 2 2 2 2 2 2" xfId="34322"/>
    <cellStyle name="표준 10 4 5 2 2 2 3 3" xfId="34323"/>
    <cellStyle name="표준 10 4 5 2 2 2 3 2 2" xfId="34324"/>
    <cellStyle name="표준 10 4 5 2 2 2 4 2" xfId="34325"/>
    <cellStyle name="표준 10 4 5 2 2 2 5 2" xfId="34326"/>
    <cellStyle name="표준 10 4 5 2 2 3 2 2 2" xfId="34327"/>
    <cellStyle name="표준 10 4 5 2 2 3 3 3" xfId="34328"/>
    <cellStyle name="표준 10 4 5 2 2 3 3 2 2" xfId="34329"/>
    <cellStyle name="표준 10 4 5 2 2 3 4 2" xfId="34330"/>
    <cellStyle name="표준 10 4 5 2 2 3 5 2" xfId="34331"/>
    <cellStyle name="표준 10 4 5 2 2 4 2 2" xfId="34332"/>
    <cellStyle name="표준 10 4 5 2 2 5 3" xfId="34333"/>
    <cellStyle name="표준 10 4 5 2 2 5 2 2" xfId="34334"/>
    <cellStyle name="표준 10 4 5 2 2 6 2" xfId="34335"/>
    <cellStyle name="표준 10 4 5 2 2 7 2" xfId="34336"/>
    <cellStyle name="표준 10 4 5 2 3 2 2 2" xfId="34337"/>
    <cellStyle name="표준 10 4 5 2 3 3 3" xfId="34338"/>
    <cellStyle name="표준 10 4 5 2 3 3 2 2" xfId="34339"/>
    <cellStyle name="표준 10 4 5 2 3 4 2" xfId="34340"/>
    <cellStyle name="표준 10 4 5 2 3 5 2" xfId="34341"/>
    <cellStyle name="표준 10 4 5 2 4 2 2 2" xfId="34342"/>
    <cellStyle name="표준 10 4 5 2 4 3 3" xfId="34343"/>
    <cellStyle name="표준 10 4 5 2 4 3 2 2" xfId="34344"/>
    <cellStyle name="표준 10 4 5 2 4 4 2" xfId="34345"/>
    <cellStyle name="표준 10 4 5 2 4 5 2" xfId="34346"/>
    <cellStyle name="표준 10 4 5 2 5 2 2" xfId="34347"/>
    <cellStyle name="표준 10 4 5 2 6 3" xfId="34348"/>
    <cellStyle name="표준 10 4 5 2 6 2 2" xfId="34349"/>
    <cellStyle name="표준 10 4 5 2 7 2" xfId="34350"/>
    <cellStyle name="표준 10 4 5 2 8 2" xfId="34351"/>
    <cellStyle name="표준 10 4 5 3 2 2 2 2" xfId="34352"/>
    <cellStyle name="표준 10 4 5 3 2 3 3" xfId="34353"/>
    <cellStyle name="표준 10 4 5 3 2 3 2 2" xfId="34354"/>
    <cellStyle name="표준 10 4 5 3 2 4 2" xfId="34355"/>
    <cellStyle name="표준 10 4 5 3 2 5 2" xfId="34356"/>
    <cellStyle name="표준 10 4 5 3 3 2 2 2" xfId="34357"/>
    <cellStyle name="표준 10 4 5 3 3 3 3" xfId="34358"/>
    <cellStyle name="표준 10 4 5 3 3 3 2 2" xfId="34359"/>
    <cellStyle name="표준 10 4 5 3 3 4 2" xfId="34360"/>
    <cellStyle name="표준 10 4 5 3 3 5 2" xfId="34361"/>
    <cellStyle name="표준 10 4 5 3 4 2 2" xfId="34362"/>
    <cellStyle name="표준 10 4 5 3 5 3" xfId="34363"/>
    <cellStyle name="표준 10 4 5 3 5 2 2" xfId="34364"/>
    <cellStyle name="표준 10 4 5 3 6 2" xfId="34365"/>
    <cellStyle name="표준 10 4 5 3 7 2" xfId="34366"/>
    <cellStyle name="표준 10 4 5 4 2 2 2" xfId="34367"/>
    <cellStyle name="표준 10 4 5 4 3 3" xfId="34368"/>
    <cellStyle name="표준 10 4 5 4 3 2 2" xfId="34369"/>
    <cellStyle name="표준 10 4 5 4 4 2" xfId="34370"/>
    <cellStyle name="표준 10 4 5 4 5 2" xfId="34371"/>
    <cellStyle name="표준 10 4 5 5 2 2 2" xfId="34372"/>
    <cellStyle name="표준 10 4 5 5 3 3" xfId="34373"/>
    <cellStyle name="표준 10 4 5 5 3 2 2" xfId="34374"/>
    <cellStyle name="표준 10 4 5 5 4 2" xfId="34375"/>
    <cellStyle name="표준 10 4 5 5 5 2" xfId="34376"/>
    <cellStyle name="표준 10 4 5 6 2 2" xfId="34377"/>
    <cellStyle name="표준 10 4 5 7 3" xfId="34378"/>
    <cellStyle name="표준 10 4 5 7 2 2" xfId="34379"/>
    <cellStyle name="표준 10 4 5 8 2" xfId="34380"/>
    <cellStyle name="표준 10 4 5 9 2" xfId="34381"/>
    <cellStyle name="표준 10 4 6 2 2 2 2 2" xfId="34382"/>
    <cellStyle name="표준 10 4 6 2 2 3 3" xfId="34383"/>
    <cellStyle name="표준 10 4 6 2 2 3 2 2" xfId="34384"/>
    <cellStyle name="표준 10 4 6 2 2 4 2" xfId="34385"/>
    <cellStyle name="표준 10 4 6 2 2 5 2" xfId="34386"/>
    <cellStyle name="표준 10 4 6 2 3 2 2 2" xfId="34387"/>
    <cellStyle name="표준 10 4 6 2 3 3 3" xfId="34388"/>
    <cellStyle name="표준 10 4 6 2 3 3 2 2" xfId="34389"/>
    <cellStyle name="표준 10 4 6 2 3 4 2" xfId="34390"/>
    <cellStyle name="표준 10 4 6 2 3 5 2" xfId="34391"/>
    <cellStyle name="표준 10 4 6 2 4 2 2" xfId="34392"/>
    <cellStyle name="표준 10 4 6 2 5 3" xfId="34393"/>
    <cellStyle name="표준 10 4 6 2 5 2 2" xfId="34394"/>
    <cellStyle name="표준 10 4 6 2 6 2" xfId="34395"/>
    <cellStyle name="표준 10 4 6 2 7 2" xfId="34396"/>
    <cellStyle name="표준 10 4 6 3 2 2 2" xfId="34397"/>
    <cellStyle name="표준 10 4 6 3 3 3" xfId="34398"/>
    <cellStyle name="표준 10 4 6 3 3 2 2" xfId="34399"/>
    <cellStyle name="표준 10 4 6 3 4 2" xfId="34400"/>
    <cellStyle name="표준 10 4 6 3 5 2" xfId="34401"/>
    <cellStyle name="표준 10 4 6 4 2 2 2" xfId="34402"/>
    <cellStyle name="표준 10 4 6 4 3 3" xfId="34403"/>
    <cellStyle name="표준 10 4 6 4 3 2 2" xfId="34404"/>
    <cellStyle name="표준 10 4 6 4 4 2" xfId="34405"/>
    <cellStyle name="표준 10 4 6 4 5 2" xfId="34406"/>
    <cellStyle name="표준 10 4 6 5 2 2" xfId="34407"/>
    <cellStyle name="표준 10 4 6 6 3" xfId="34408"/>
    <cellStyle name="표준 10 4 6 6 2 2" xfId="34409"/>
    <cellStyle name="표준 10 4 6 7 2" xfId="34410"/>
    <cellStyle name="표준 10 4 6 8 2" xfId="34411"/>
    <cellStyle name="표준 10 4 7 2 2 2 2" xfId="34412"/>
    <cellStyle name="표준 10 4 7 2 3 3" xfId="34413"/>
    <cellStyle name="표준 10 4 7 2 3 2 2" xfId="34414"/>
    <cellStyle name="표준 10 4 7 2 4 2" xfId="34415"/>
    <cellStyle name="표준 10 4 7 2 5 2" xfId="34416"/>
    <cellStyle name="표준 10 4 7 3 2 2 2" xfId="34417"/>
    <cellStyle name="표준 10 4 7 3 3 3" xfId="34418"/>
    <cellStyle name="표준 10 4 7 3 3 2 2" xfId="34419"/>
    <cellStyle name="표준 10 4 7 3 4 2" xfId="34420"/>
    <cellStyle name="표준 10 4 7 3 5 2" xfId="34421"/>
    <cellStyle name="표준 10 4 7 4 2 2" xfId="34422"/>
    <cellStyle name="표준 10 4 7 5 3" xfId="34423"/>
    <cellStyle name="표준 10 4 7 5 2 2" xfId="34424"/>
    <cellStyle name="표준 10 4 7 6 2" xfId="34425"/>
    <cellStyle name="표준 10 4 7 7 2" xfId="34426"/>
    <cellStyle name="표준 10 4 8 2 2 2" xfId="34427"/>
    <cellStyle name="표준 10 4 8 3 3" xfId="34428"/>
    <cellStyle name="표준 10 4 8 3 2 2" xfId="34429"/>
    <cellStyle name="표준 10 4 8 4 2" xfId="34430"/>
    <cellStyle name="표준 10 4 8 5 2" xfId="34431"/>
    <cellStyle name="표준 10 4 9 2 2 2" xfId="34432"/>
    <cellStyle name="표준 10 4 9 3 3" xfId="34433"/>
    <cellStyle name="표준 10 4 9 3 2 2" xfId="34434"/>
    <cellStyle name="표준 10 4 9 4 2" xfId="34435"/>
    <cellStyle name="표준 10 4 9 5 2" xfId="34436"/>
    <cellStyle name="표준 10 5 10 2 2" xfId="34437"/>
    <cellStyle name="표준 10 5 11 3" xfId="34438"/>
    <cellStyle name="표준 10 5 11 2 2" xfId="34439"/>
    <cellStyle name="표준 10 5 12 2" xfId="34440"/>
    <cellStyle name="표준 10 5 13 2" xfId="34441"/>
    <cellStyle name="표준 10 5 2 10 2" xfId="34442"/>
    <cellStyle name="표준 10 5 2 2 2 2 2 2 2 2" xfId="34443"/>
    <cellStyle name="표준 10 5 2 2 2 2 2 3 3" xfId="34444"/>
    <cellStyle name="표준 10 5 2 2 2 2 2 3 2 2" xfId="34445"/>
    <cellStyle name="표준 10 5 2 2 2 2 2 4 2" xfId="34446"/>
    <cellStyle name="표준 10 5 2 2 2 2 2 5 2" xfId="34447"/>
    <cellStyle name="표준 10 5 2 2 2 2 3 2 2 2" xfId="34448"/>
    <cellStyle name="표준 10 5 2 2 2 2 3 3 3" xfId="34449"/>
    <cellStyle name="표준 10 5 2 2 2 2 3 3 2 2" xfId="34450"/>
    <cellStyle name="표준 10 5 2 2 2 2 3 4 2" xfId="34451"/>
    <cellStyle name="표준 10 5 2 2 2 2 3 5 2" xfId="34452"/>
    <cellStyle name="표준 10 5 2 2 2 2 4 2 2" xfId="34453"/>
    <cellStyle name="표준 10 5 2 2 2 2 5 3" xfId="34454"/>
    <cellStyle name="표준 10 5 2 2 2 2 5 2 2" xfId="34455"/>
    <cellStyle name="표준 10 5 2 2 2 2 6 2" xfId="34456"/>
    <cellStyle name="표준 10 5 2 2 2 2 7 2" xfId="34457"/>
    <cellStyle name="표준 10 5 2 2 2 3 2 2 2" xfId="34458"/>
    <cellStyle name="표준 10 5 2 2 2 3 3 3" xfId="34459"/>
    <cellStyle name="표준 10 5 2 2 2 3 3 2 2" xfId="34460"/>
    <cellStyle name="표준 10 5 2 2 2 3 4 2" xfId="34461"/>
    <cellStyle name="표준 10 5 2 2 2 3 5 2" xfId="34462"/>
    <cellStyle name="표준 10 5 2 2 2 4 2 2 2" xfId="34463"/>
    <cellStyle name="표준 10 5 2 2 2 4 3 3" xfId="34464"/>
    <cellStyle name="표준 10 5 2 2 2 4 3 2 2" xfId="34465"/>
    <cellStyle name="표준 10 5 2 2 2 4 4 2" xfId="34466"/>
    <cellStyle name="표준 10 5 2 2 2 4 5 2" xfId="34467"/>
    <cellStyle name="표준 10 5 2 2 2 5 2 2" xfId="34468"/>
    <cellStyle name="표준 10 5 2 2 2 6 3" xfId="34469"/>
    <cellStyle name="표준 10 5 2 2 2 6 2 2" xfId="34470"/>
    <cellStyle name="표준 10 5 2 2 2 7 2" xfId="34471"/>
    <cellStyle name="표준 10 5 2 2 2 8 2" xfId="34472"/>
    <cellStyle name="표준 10 5 2 2 3 2 2 2 2" xfId="34473"/>
    <cellStyle name="표준 10 5 2 2 3 2 3 3" xfId="34474"/>
    <cellStyle name="표준 10 5 2 2 3 2 3 2 2" xfId="34475"/>
    <cellStyle name="표준 10 5 2 2 3 2 4 2" xfId="34476"/>
    <cellStyle name="표준 10 5 2 2 3 2 5 2" xfId="34477"/>
    <cellStyle name="표준 10 5 2 2 3 3 2 2 2" xfId="34478"/>
    <cellStyle name="표준 10 5 2 2 3 3 3 3" xfId="34479"/>
    <cellStyle name="표준 10 5 2 2 3 3 3 2 2" xfId="34480"/>
    <cellStyle name="표준 10 5 2 2 3 3 4 2" xfId="34481"/>
    <cellStyle name="표준 10 5 2 2 3 3 5 2" xfId="34482"/>
    <cellStyle name="표준 10 5 2 2 3 4 2 2" xfId="34483"/>
    <cellStyle name="표준 10 5 2 2 3 5 3" xfId="34484"/>
    <cellStyle name="표준 10 5 2 2 3 5 2 2" xfId="34485"/>
    <cellStyle name="표준 10 5 2 2 3 6 2" xfId="34486"/>
    <cellStyle name="표준 10 5 2 2 3 7 2" xfId="34487"/>
    <cellStyle name="표준 10 5 2 2 4 2 2 2" xfId="34488"/>
    <cellStyle name="표준 10 5 2 2 4 3 3" xfId="34489"/>
    <cellStyle name="표준 10 5 2 2 4 3 2 2" xfId="34490"/>
    <cellStyle name="표준 10 5 2 2 4 4 2" xfId="34491"/>
    <cellStyle name="표준 10 5 2 2 4 5 2" xfId="34492"/>
    <cellStyle name="표준 10 5 2 2 5 2 2 2" xfId="34493"/>
    <cellStyle name="표준 10 5 2 2 5 3 3" xfId="34494"/>
    <cellStyle name="표준 10 5 2 2 5 3 2 2" xfId="34495"/>
    <cellStyle name="표준 10 5 2 2 5 4 2" xfId="34496"/>
    <cellStyle name="표준 10 5 2 2 5 5 2" xfId="34497"/>
    <cellStyle name="표준 10 5 2 2 6 2 2" xfId="34498"/>
    <cellStyle name="표준 10 5 2 2 7 3" xfId="34499"/>
    <cellStyle name="표준 10 5 2 2 7 2 2" xfId="34500"/>
    <cellStyle name="표준 10 5 2 2 8 2" xfId="34501"/>
    <cellStyle name="표준 10 5 2 2 9 2" xfId="34502"/>
    <cellStyle name="표준 10 5 2 3 2 2 2 2 2" xfId="34503"/>
    <cellStyle name="표준 10 5 2 3 2 2 3 3" xfId="34504"/>
    <cellStyle name="표준 10 5 2 3 2 2 3 2 2" xfId="34505"/>
    <cellStyle name="표준 10 5 2 3 2 2 4 2" xfId="34506"/>
    <cellStyle name="표준 10 5 2 3 2 2 5 2" xfId="34507"/>
    <cellStyle name="표준 10 5 2 3 2 3 2 2 2" xfId="34508"/>
    <cellStyle name="표준 10 5 2 3 2 3 3 3" xfId="34509"/>
    <cellStyle name="표준 10 5 2 3 2 3 3 2 2" xfId="34510"/>
    <cellStyle name="표준 10 5 2 3 2 3 4 2" xfId="34511"/>
    <cellStyle name="표준 10 5 2 3 2 3 5 2" xfId="34512"/>
    <cellStyle name="표준 10 5 2 3 2 4 2 2" xfId="34513"/>
    <cellStyle name="표준 10 5 2 3 2 5 3" xfId="34514"/>
    <cellStyle name="표준 10 5 2 3 2 5 2 2" xfId="34515"/>
    <cellStyle name="표준 10 5 2 3 2 6 2" xfId="34516"/>
    <cellStyle name="표준 10 5 2 3 2 7 2" xfId="34517"/>
    <cellStyle name="표준 10 5 2 3 3 2 2 2" xfId="34518"/>
    <cellStyle name="표준 10 5 2 3 3 3 3" xfId="34519"/>
    <cellStyle name="표준 10 5 2 3 3 3 2 2" xfId="34520"/>
    <cellStyle name="표준 10 5 2 3 3 4 2" xfId="34521"/>
    <cellStyle name="표준 10 5 2 3 3 5 2" xfId="34522"/>
    <cellStyle name="표준 10 5 2 3 4 2 2 2" xfId="34523"/>
    <cellStyle name="표준 10 5 2 3 4 3 3" xfId="34524"/>
    <cellStyle name="표준 10 5 2 3 4 3 2 2" xfId="34525"/>
    <cellStyle name="표준 10 5 2 3 4 4 2" xfId="34526"/>
    <cellStyle name="표준 10 5 2 3 4 5 2" xfId="34527"/>
    <cellStyle name="표준 10 5 2 3 5 2 2" xfId="34528"/>
    <cellStyle name="표준 10 5 2 3 6 3" xfId="34529"/>
    <cellStyle name="표준 10 5 2 3 6 2 2" xfId="34530"/>
    <cellStyle name="표준 10 5 2 3 7 2" xfId="34531"/>
    <cellStyle name="표준 10 5 2 3 8 2" xfId="34532"/>
    <cellStyle name="표준 10 5 2 4 2 2 2 2" xfId="34533"/>
    <cellStyle name="표준 10 5 2 4 2 3 3" xfId="34534"/>
    <cellStyle name="표준 10 5 2 4 2 3 2 2" xfId="34535"/>
    <cellStyle name="표준 10 5 2 4 2 4 2" xfId="34536"/>
    <cellStyle name="표준 10 5 2 4 2 5 2" xfId="34537"/>
    <cellStyle name="표준 10 5 2 4 3 2 2 2" xfId="34538"/>
    <cellStyle name="표준 10 5 2 4 3 3 3" xfId="34539"/>
    <cellStyle name="표준 10 5 2 4 3 3 2 2" xfId="34540"/>
    <cellStyle name="표준 10 5 2 4 3 4 2" xfId="34541"/>
    <cellStyle name="표준 10 5 2 4 3 5 2" xfId="34542"/>
    <cellStyle name="표준 10 5 2 4 4 2 2" xfId="34543"/>
    <cellStyle name="표준 10 5 2 4 5 3" xfId="34544"/>
    <cellStyle name="표준 10 5 2 4 5 2 2" xfId="34545"/>
    <cellStyle name="표준 10 5 2 4 6 2" xfId="34546"/>
    <cellStyle name="표준 10 5 2 4 7 2" xfId="34547"/>
    <cellStyle name="표준 10 5 2 5 2 2 2" xfId="34548"/>
    <cellStyle name="표준 10 5 2 5 3 3" xfId="34549"/>
    <cellStyle name="표준 10 5 2 5 3 2 2" xfId="34550"/>
    <cellStyle name="표준 10 5 2 5 4 2" xfId="34551"/>
    <cellStyle name="표준 10 5 2 5 5 2" xfId="34552"/>
    <cellStyle name="표준 10 5 2 6 2 2 2" xfId="34553"/>
    <cellStyle name="표준 10 5 2 6 3 3" xfId="34554"/>
    <cellStyle name="표준 10 5 2 6 3 2 2" xfId="34555"/>
    <cellStyle name="표준 10 5 2 6 4 2" xfId="34556"/>
    <cellStyle name="표준 10 5 2 6 5 2" xfId="34557"/>
    <cellStyle name="표준 10 5 2 7 2 2" xfId="34558"/>
    <cellStyle name="표준 10 5 2 8 3" xfId="34559"/>
    <cellStyle name="표준 10 5 2 8 2 2" xfId="34560"/>
    <cellStyle name="표준 10 5 2 9 2" xfId="34561"/>
    <cellStyle name="표준 10 5 3 10 2" xfId="34562"/>
    <cellStyle name="표준 10 5 3 2 2 2 2 2 2 2" xfId="34563"/>
    <cellStyle name="표준 10 5 3 2 2 2 2 3 3" xfId="34564"/>
    <cellStyle name="표준 10 5 3 2 2 2 2 3 2 2" xfId="34565"/>
    <cellStyle name="표준 10 5 3 2 2 2 2 4 2" xfId="34566"/>
    <cellStyle name="표준 10 5 3 2 2 2 2 5 2" xfId="34567"/>
    <cellStyle name="표준 10 5 3 2 2 2 3 2 2 2" xfId="34568"/>
    <cellStyle name="표준 10 5 3 2 2 2 3 3 3" xfId="34569"/>
    <cellStyle name="표준 10 5 3 2 2 2 3 3 2 2" xfId="34570"/>
    <cellStyle name="표준 10 5 3 2 2 2 3 4 2" xfId="34571"/>
    <cellStyle name="표준 10 5 3 2 2 2 3 5 2" xfId="34572"/>
    <cellStyle name="표준 10 5 3 2 2 2 4 2 2" xfId="34573"/>
    <cellStyle name="표준 10 5 3 2 2 2 5 3" xfId="34574"/>
    <cellStyle name="표준 10 5 3 2 2 2 5 2 2" xfId="34575"/>
    <cellStyle name="표준 10 5 3 2 2 2 6 2" xfId="34576"/>
    <cellStyle name="표준 10 5 3 2 2 2 7 2" xfId="34577"/>
    <cellStyle name="표준 10 5 3 2 2 3 2 2 2" xfId="34578"/>
    <cellStyle name="표준 10 5 3 2 2 3 3 3" xfId="34579"/>
    <cellStyle name="표준 10 5 3 2 2 3 3 2 2" xfId="34580"/>
    <cellStyle name="표준 10 5 3 2 2 3 4 2" xfId="34581"/>
    <cellStyle name="표준 10 5 3 2 2 3 5 2" xfId="34582"/>
    <cellStyle name="표준 10 5 3 2 2 4 2 2 2" xfId="34583"/>
    <cellStyle name="표준 10 5 3 2 2 4 3 3" xfId="34584"/>
    <cellStyle name="표준 10 5 3 2 2 4 3 2 2" xfId="34585"/>
    <cellStyle name="표준 10 5 3 2 2 4 4 2" xfId="34586"/>
    <cellStyle name="표준 10 5 3 2 2 4 5 2" xfId="34587"/>
    <cellStyle name="표준 10 5 3 2 2 5 2 2" xfId="34588"/>
    <cellStyle name="표준 10 5 3 2 2 6 3" xfId="34589"/>
    <cellStyle name="표준 10 5 3 2 2 6 2 2" xfId="34590"/>
    <cellStyle name="표준 10 5 3 2 2 7 2" xfId="34591"/>
    <cellStyle name="표준 10 5 3 2 2 8 2" xfId="34592"/>
    <cellStyle name="표준 10 5 3 2 3 2 2 2 2" xfId="34593"/>
    <cellStyle name="표준 10 5 3 2 3 2 3 3" xfId="34594"/>
    <cellStyle name="표준 10 5 3 2 3 2 3 2 2" xfId="34595"/>
    <cellStyle name="표준 10 5 3 2 3 2 4 2" xfId="34596"/>
    <cellStyle name="표준 10 5 3 2 3 2 5 2" xfId="34597"/>
    <cellStyle name="표준 10 5 3 2 3 3 2 2 2" xfId="34598"/>
    <cellStyle name="표준 10 5 3 2 3 3 3 3" xfId="34599"/>
    <cellStyle name="표준 10 5 3 2 3 3 3 2 2" xfId="34600"/>
    <cellStyle name="표준 10 5 3 2 3 3 4 2" xfId="34601"/>
    <cellStyle name="표준 10 5 3 2 3 3 5 2" xfId="34602"/>
    <cellStyle name="표준 10 5 3 2 3 4 2 2" xfId="34603"/>
    <cellStyle name="표준 10 5 3 2 3 5 3" xfId="34604"/>
    <cellStyle name="표준 10 5 3 2 3 5 2 2" xfId="34605"/>
    <cellStyle name="표준 10 5 3 2 3 6 2" xfId="34606"/>
    <cellStyle name="표준 10 5 3 2 3 7 2" xfId="34607"/>
    <cellStyle name="표준 10 5 3 2 4 2 2 2" xfId="34608"/>
    <cellStyle name="표준 10 5 3 2 4 3 3" xfId="34609"/>
    <cellStyle name="표준 10 5 3 2 4 3 2 2" xfId="34610"/>
    <cellStyle name="표준 10 5 3 2 4 4 2" xfId="34611"/>
    <cellStyle name="표준 10 5 3 2 4 5 2" xfId="34612"/>
    <cellStyle name="표준 10 5 3 2 5 2 2 2" xfId="34613"/>
    <cellStyle name="표준 10 5 3 2 5 3 3" xfId="34614"/>
    <cellStyle name="표준 10 5 3 2 5 3 2 2" xfId="34615"/>
    <cellStyle name="표준 10 5 3 2 5 4 2" xfId="34616"/>
    <cellStyle name="표준 10 5 3 2 5 5 2" xfId="34617"/>
    <cellStyle name="표준 10 5 3 2 6 2 2" xfId="34618"/>
    <cellStyle name="표준 10 5 3 2 7 3" xfId="34619"/>
    <cellStyle name="표준 10 5 3 2 7 2 2" xfId="34620"/>
    <cellStyle name="표준 10 5 3 2 8 2" xfId="34621"/>
    <cellStyle name="표준 10 5 3 2 9 2" xfId="34622"/>
    <cellStyle name="표준 10 5 3 3 2 2 2 2 2" xfId="34623"/>
    <cellStyle name="표준 10 5 3 3 2 2 3 3" xfId="34624"/>
    <cellStyle name="표준 10 5 3 3 2 2 3 2 2" xfId="34625"/>
    <cellStyle name="표준 10 5 3 3 2 2 4 2" xfId="34626"/>
    <cellStyle name="표준 10 5 3 3 2 2 5 2" xfId="34627"/>
    <cellStyle name="표준 10 5 3 3 2 3 2 2 2" xfId="34628"/>
    <cellStyle name="표준 10 5 3 3 2 3 3 3" xfId="34629"/>
    <cellStyle name="표준 10 5 3 3 2 3 3 2 2" xfId="34630"/>
    <cellStyle name="표준 10 5 3 3 2 3 4 2" xfId="34631"/>
    <cellStyle name="표준 10 5 3 3 2 3 5 2" xfId="34632"/>
    <cellStyle name="표준 10 5 3 3 2 4 2 2" xfId="34633"/>
    <cellStyle name="표준 10 5 3 3 2 5 3" xfId="34634"/>
    <cellStyle name="표준 10 5 3 3 2 5 2 2" xfId="34635"/>
    <cellStyle name="표준 10 5 3 3 2 6 2" xfId="34636"/>
    <cellStyle name="표준 10 5 3 3 2 7 2" xfId="34637"/>
    <cellStyle name="표준 10 5 3 3 3 2 2 2" xfId="34638"/>
    <cellStyle name="표준 10 5 3 3 3 3 3" xfId="34639"/>
    <cellStyle name="표준 10 5 3 3 3 3 2 2" xfId="34640"/>
    <cellStyle name="표준 10 5 3 3 3 4 2" xfId="34641"/>
    <cellStyle name="표준 10 5 3 3 3 5 2" xfId="34642"/>
    <cellStyle name="표준 10 5 3 3 4 2 2 2" xfId="34643"/>
    <cellStyle name="표준 10 5 3 3 4 3 3" xfId="34644"/>
    <cellStyle name="표준 10 5 3 3 4 3 2 2" xfId="34645"/>
    <cellStyle name="표준 10 5 3 3 4 4 2" xfId="34646"/>
    <cellStyle name="표준 10 5 3 3 4 5 2" xfId="34647"/>
    <cellStyle name="표준 10 5 3 3 5 2 2" xfId="34648"/>
    <cellStyle name="표준 10 5 3 3 6 3" xfId="34649"/>
    <cellStyle name="표준 10 5 3 3 6 2 2" xfId="34650"/>
    <cellStyle name="표준 10 5 3 3 7 2" xfId="34651"/>
    <cellStyle name="표준 10 5 3 3 8 2" xfId="34652"/>
    <cellStyle name="표준 10 5 3 4 2 2 2 2" xfId="34653"/>
    <cellStyle name="표준 10 5 3 4 2 3 3" xfId="34654"/>
    <cellStyle name="표준 10 5 3 4 2 3 2 2" xfId="34655"/>
    <cellStyle name="표준 10 5 3 4 2 4 2" xfId="34656"/>
    <cellStyle name="표준 10 5 3 4 2 5 2" xfId="34657"/>
    <cellStyle name="표준 10 5 3 4 3 2 2 2" xfId="34658"/>
    <cellStyle name="표준 10 5 3 4 3 3 3" xfId="34659"/>
    <cellStyle name="표준 10 5 3 4 3 3 2 2" xfId="34660"/>
    <cellStyle name="표준 10 5 3 4 3 4 2" xfId="34661"/>
    <cellStyle name="표준 10 5 3 4 3 5 2" xfId="34662"/>
    <cellStyle name="표준 10 5 3 4 4 2 2" xfId="34663"/>
    <cellStyle name="표준 10 5 3 4 5 3" xfId="34664"/>
    <cellStyle name="표준 10 5 3 4 5 2 2" xfId="34665"/>
    <cellStyle name="표준 10 5 3 4 6 2" xfId="34666"/>
    <cellStyle name="표준 10 5 3 4 7 2" xfId="34667"/>
    <cellStyle name="표준 10 5 3 5 2 2 2" xfId="34668"/>
    <cellStyle name="표준 10 5 3 5 3 3" xfId="34669"/>
    <cellStyle name="표준 10 5 3 5 3 2 2" xfId="34670"/>
    <cellStyle name="표준 10 5 3 5 4 2" xfId="34671"/>
    <cellStyle name="표준 10 5 3 5 5 2" xfId="34672"/>
    <cellStyle name="표준 10 5 3 6 2 2 2" xfId="34673"/>
    <cellStyle name="표준 10 5 3 6 3 3" xfId="34674"/>
    <cellStyle name="표준 10 5 3 6 3 2 2" xfId="34675"/>
    <cellStyle name="표준 10 5 3 6 4 2" xfId="34676"/>
    <cellStyle name="표준 10 5 3 6 5 2" xfId="34677"/>
    <cellStyle name="표준 10 5 3 7 2 2" xfId="34678"/>
    <cellStyle name="표준 10 5 3 8 3" xfId="34679"/>
    <cellStyle name="표준 10 5 3 8 2 2" xfId="34680"/>
    <cellStyle name="표준 10 5 3 9 2" xfId="34681"/>
    <cellStyle name="표준 10 5 4 10 2" xfId="34682"/>
    <cellStyle name="표준 10 5 4 2 2 2 2 2 2 2" xfId="34683"/>
    <cellStyle name="표준 10 5 4 2 2 2 2 3 3" xfId="34684"/>
    <cellStyle name="표준 10 5 4 2 2 2 2 3 2 2" xfId="34685"/>
    <cellStyle name="표준 10 5 4 2 2 2 2 4 2" xfId="34686"/>
    <cellStyle name="표준 10 5 4 2 2 2 2 5 2" xfId="34687"/>
    <cellStyle name="표준 10 5 4 2 2 2 3 2 2 2" xfId="34688"/>
    <cellStyle name="표준 10 5 4 2 2 2 3 3 3" xfId="34689"/>
    <cellStyle name="표준 10 5 4 2 2 2 3 3 2 2" xfId="34690"/>
    <cellStyle name="표준 10 5 4 2 2 2 3 4 2" xfId="34691"/>
    <cellStyle name="표준 10 5 4 2 2 2 3 5 2" xfId="34692"/>
    <cellStyle name="표준 10 5 4 2 2 2 4 2 2" xfId="34693"/>
    <cellStyle name="표준 10 5 4 2 2 2 5 3" xfId="34694"/>
    <cellStyle name="표준 10 5 4 2 2 2 5 2 2" xfId="34695"/>
    <cellStyle name="표준 10 5 4 2 2 2 6 2" xfId="34696"/>
    <cellStyle name="표준 10 5 4 2 2 2 7 2" xfId="34697"/>
    <cellStyle name="표준 10 5 4 2 2 3 2 2 2" xfId="34698"/>
    <cellStyle name="표준 10 5 4 2 2 3 3 3" xfId="34699"/>
    <cellStyle name="표준 10 5 4 2 2 3 3 2 2" xfId="34700"/>
    <cellStyle name="표준 10 5 4 2 2 3 4 2" xfId="34701"/>
    <cellStyle name="표준 10 5 4 2 2 3 5 2" xfId="34702"/>
    <cellStyle name="표준 10 5 4 2 2 4 2 2 2" xfId="34703"/>
    <cellStyle name="표준 10 5 4 2 2 4 3 3" xfId="34704"/>
    <cellStyle name="표준 10 5 4 2 2 4 3 2 2" xfId="34705"/>
    <cellStyle name="표준 10 5 4 2 2 4 4 2" xfId="34706"/>
    <cellStyle name="표준 10 5 4 2 2 4 5 2" xfId="34707"/>
    <cellStyle name="표준 10 5 4 2 2 5 2 2" xfId="34708"/>
    <cellStyle name="표준 10 5 4 2 2 6 3" xfId="34709"/>
    <cellStyle name="표준 10 5 4 2 2 6 2 2" xfId="34710"/>
    <cellStyle name="표준 10 5 4 2 2 7 2" xfId="34711"/>
    <cellStyle name="표준 10 5 4 2 2 8 2" xfId="34712"/>
    <cellStyle name="표준 10 5 4 2 3 2 2 2 2" xfId="34713"/>
    <cellStyle name="표준 10 5 4 2 3 2 3 3" xfId="34714"/>
    <cellStyle name="표준 10 5 4 2 3 2 3 2 2" xfId="34715"/>
    <cellStyle name="표준 10 5 4 2 3 2 4 2" xfId="34716"/>
    <cellStyle name="표준 10 5 4 2 3 2 5 2" xfId="34717"/>
    <cellStyle name="표준 10 5 4 2 3 3 2 2 2" xfId="34718"/>
    <cellStyle name="표준 10 5 4 2 3 3 3 3" xfId="34719"/>
    <cellStyle name="표준 10 5 4 2 3 3 3 2 2" xfId="34720"/>
    <cellStyle name="표준 10 5 4 2 3 3 4 2" xfId="34721"/>
    <cellStyle name="표준 10 5 4 2 3 3 5 2" xfId="34722"/>
    <cellStyle name="표준 10 5 4 2 3 4 2 2" xfId="34723"/>
    <cellStyle name="표준 10 5 4 2 3 5 3" xfId="34724"/>
    <cellStyle name="표준 10 5 4 2 3 5 2 2" xfId="34725"/>
    <cellStyle name="표준 10 5 4 2 3 6 2" xfId="34726"/>
    <cellStyle name="표준 10 5 4 2 3 7 2" xfId="34727"/>
    <cellStyle name="표준 10 5 4 2 4 2 2 2" xfId="34728"/>
    <cellStyle name="표준 10 5 4 2 4 3 3" xfId="34729"/>
    <cellStyle name="표준 10 5 4 2 4 3 2 2" xfId="34730"/>
    <cellStyle name="표준 10 5 4 2 4 4 2" xfId="34731"/>
    <cellStyle name="표준 10 5 4 2 4 5 2" xfId="34732"/>
    <cellStyle name="표준 10 5 4 2 5 2 2 2" xfId="34733"/>
    <cellStyle name="표준 10 5 4 2 5 3 3" xfId="34734"/>
    <cellStyle name="표준 10 5 4 2 5 3 2 2" xfId="34735"/>
    <cellStyle name="표준 10 5 4 2 5 4 2" xfId="34736"/>
    <cellStyle name="표준 10 5 4 2 5 5 2" xfId="34737"/>
    <cellStyle name="표준 10 5 4 2 6 2 2" xfId="34738"/>
    <cellStyle name="표준 10 5 4 2 7 3" xfId="34739"/>
    <cellStyle name="표준 10 5 4 2 7 2 2" xfId="34740"/>
    <cellStyle name="표준 10 5 4 2 8 2" xfId="34741"/>
    <cellStyle name="표준 10 5 4 2 9 2" xfId="34742"/>
    <cellStyle name="표준 10 5 4 3 2 2 2 2 2" xfId="34743"/>
    <cellStyle name="표준 10 5 4 3 2 2 3 3" xfId="34744"/>
    <cellStyle name="표준 10 5 4 3 2 2 3 2 2" xfId="34745"/>
    <cellStyle name="표준 10 5 4 3 2 2 4 2" xfId="34746"/>
    <cellStyle name="표준 10 5 4 3 2 2 5 2" xfId="34747"/>
    <cellStyle name="표준 10 5 4 3 2 3 2 2 2" xfId="34748"/>
    <cellStyle name="표준 10 5 4 3 2 3 3 3" xfId="34749"/>
    <cellStyle name="표준 10 5 4 3 2 3 3 2 2" xfId="34750"/>
    <cellStyle name="표준 10 5 4 3 2 3 4 2" xfId="34751"/>
    <cellStyle name="표준 10 5 4 3 2 3 5 2" xfId="34752"/>
    <cellStyle name="표준 10 5 4 3 2 4 2 2" xfId="34753"/>
    <cellStyle name="표준 10 5 4 3 2 5 3" xfId="34754"/>
    <cellStyle name="표준 10 5 4 3 2 5 2 2" xfId="34755"/>
    <cellStyle name="표준 10 5 4 3 2 6 2" xfId="34756"/>
    <cellStyle name="표준 10 5 4 3 2 7 2" xfId="34757"/>
    <cellStyle name="표준 10 5 4 3 3 2 2 2" xfId="34758"/>
    <cellStyle name="표준 10 5 4 3 3 3 3" xfId="34759"/>
    <cellStyle name="표준 10 5 4 3 3 3 2 2" xfId="34760"/>
    <cellStyle name="표준 10 5 4 3 3 4 2" xfId="34761"/>
    <cellStyle name="표준 10 5 4 3 3 5 2" xfId="34762"/>
    <cellStyle name="표준 10 5 4 3 4 2 2 2" xfId="34763"/>
    <cellStyle name="표준 10 5 4 3 4 3 3" xfId="34764"/>
    <cellStyle name="표준 10 5 4 3 4 3 2 2" xfId="34765"/>
    <cellStyle name="표준 10 5 4 3 4 4 2" xfId="34766"/>
    <cellStyle name="표준 10 5 4 3 4 5 2" xfId="34767"/>
    <cellStyle name="표준 10 5 4 3 5 2 2" xfId="34768"/>
    <cellStyle name="표준 10 5 4 3 6 3" xfId="34769"/>
    <cellStyle name="표준 10 5 4 3 6 2 2" xfId="34770"/>
    <cellStyle name="표준 10 5 4 3 7 2" xfId="34771"/>
    <cellStyle name="표준 10 5 4 3 8 2" xfId="34772"/>
    <cellStyle name="표준 10 5 4 4 2 2 2 2" xfId="34773"/>
    <cellStyle name="표준 10 5 4 4 2 3 3" xfId="34774"/>
    <cellStyle name="표준 10 5 4 4 2 3 2 2" xfId="34775"/>
    <cellStyle name="표준 10 5 4 4 2 4 2" xfId="34776"/>
    <cellStyle name="표준 10 5 4 4 2 5 2" xfId="34777"/>
    <cellStyle name="표준 10 5 4 4 3 2 2 2" xfId="34778"/>
    <cellStyle name="표준 10 5 4 4 3 3 3" xfId="34779"/>
    <cellStyle name="표준 10 5 4 4 3 3 2 2" xfId="34780"/>
    <cellStyle name="표준 10 5 4 4 3 4 2" xfId="34781"/>
    <cellStyle name="표준 10 5 4 4 3 5 2" xfId="34782"/>
    <cellStyle name="표준 10 5 4 4 4 2 2" xfId="34783"/>
    <cellStyle name="표준 10 5 4 4 5 3" xfId="34784"/>
    <cellStyle name="표준 10 5 4 4 5 2 2" xfId="34785"/>
    <cellStyle name="표준 10 5 4 4 6 2" xfId="34786"/>
    <cellStyle name="표준 10 5 4 4 7 2" xfId="34787"/>
    <cellStyle name="표준 10 5 4 5 2 2 2" xfId="34788"/>
    <cellStyle name="표준 10 5 4 5 3 3" xfId="34789"/>
    <cellStyle name="표준 10 5 4 5 3 2 2" xfId="34790"/>
    <cellStyle name="표준 10 5 4 5 4 2" xfId="34791"/>
    <cellStyle name="표준 10 5 4 5 5 2" xfId="34792"/>
    <cellStyle name="표준 10 5 4 6 2 2 2" xfId="34793"/>
    <cellStyle name="표준 10 5 4 6 3 3" xfId="34794"/>
    <cellStyle name="표준 10 5 4 6 3 2 2" xfId="34795"/>
    <cellStyle name="표준 10 5 4 6 4 2" xfId="34796"/>
    <cellStyle name="표준 10 5 4 6 5 2" xfId="34797"/>
    <cellStyle name="표준 10 5 4 7 2 2" xfId="34798"/>
    <cellStyle name="표준 10 5 4 8 3" xfId="34799"/>
    <cellStyle name="표준 10 5 4 8 2 2" xfId="34800"/>
    <cellStyle name="표준 10 5 4 9 2" xfId="34801"/>
    <cellStyle name="표준 10 5 5 2 2 2 2 2 2" xfId="34802"/>
    <cellStyle name="표준 10 5 5 2 2 2 3 3" xfId="34803"/>
    <cellStyle name="표준 10 5 5 2 2 2 3 2 2" xfId="34804"/>
    <cellStyle name="표준 10 5 5 2 2 2 4 2" xfId="34805"/>
    <cellStyle name="표준 10 5 5 2 2 2 5 2" xfId="34806"/>
    <cellStyle name="표준 10 5 5 2 2 3 2 2 2" xfId="34807"/>
    <cellStyle name="표준 10 5 5 2 2 3 3 3" xfId="34808"/>
    <cellStyle name="표준 10 5 5 2 2 3 3 2 2" xfId="34809"/>
    <cellStyle name="표준 10 5 5 2 2 3 4 2" xfId="34810"/>
    <cellStyle name="표준 10 5 5 2 2 3 5 2" xfId="34811"/>
    <cellStyle name="표준 10 5 5 2 2 4 2 2" xfId="34812"/>
    <cellStyle name="표준 10 5 5 2 2 5 3" xfId="34813"/>
    <cellStyle name="표준 10 5 5 2 2 5 2 2" xfId="34814"/>
    <cellStyle name="표준 10 5 5 2 2 6 2" xfId="34815"/>
    <cellStyle name="표준 10 5 5 2 2 7 2" xfId="34816"/>
    <cellStyle name="표준 10 5 5 2 3 2 2 2" xfId="34817"/>
    <cellStyle name="표준 10 5 5 2 3 3 3" xfId="34818"/>
    <cellStyle name="표준 10 5 5 2 3 3 2 2" xfId="34819"/>
    <cellStyle name="표준 10 5 5 2 3 4 2" xfId="34820"/>
    <cellStyle name="표준 10 5 5 2 3 5 2" xfId="34821"/>
    <cellStyle name="표준 10 5 5 2 4 2 2 2" xfId="34822"/>
    <cellStyle name="표준 10 5 5 2 4 3 3" xfId="34823"/>
    <cellStyle name="표준 10 5 5 2 4 3 2 2" xfId="34824"/>
    <cellStyle name="표준 10 5 5 2 4 4 2" xfId="34825"/>
    <cellStyle name="표준 10 5 5 2 4 5 2" xfId="34826"/>
    <cellStyle name="표준 10 5 5 2 5 2 2" xfId="34827"/>
    <cellStyle name="표준 10 5 5 2 6 3" xfId="34828"/>
    <cellStyle name="표준 10 5 5 2 6 2 2" xfId="34829"/>
    <cellStyle name="표준 10 5 5 2 7 2" xfId="34830"/>
    <cellStyle name="표준 10 5 5 2 8 2" xfId="34831"/>
    <cellStyle name="표준 10 5 5 3 2 2 2 2" xfId="34832"/>
    <cellStyle name="표준 10 5 5 3 2 3 3" xfId="34833"/>
    <cellStyle name="표준 10 5 5 3 2 3 2 2" xfId="34834"/>
    <cellStyle name="표준 10 5 5 3 2 4 2" xfId="34835"/>
    <cellStyle name="표준 10 5 5 3 2 5 2" xfId="34836"/>
    <cellStyle name="표준 10 5 5 3 3 2 2 2" xfId="34837"/>
    <cellStyle name="표준 10 5 5 3 3 3 3" xfId="34838"/>
    <cellStyle name="표준 10 5 5 3 3 3 2 2" xfId="34839"/>
    <cellStyle name="표준 10 5 5 3 3 4 2" xfId="34840"/>
    <cellStyle name="표준 10 5 5 3 3 5 2" xfId="34841"/>
    <cellStyle name="표준 10 5 5 3 4 2 2" xfId="34842"/>
    <cellStyle name="표준 10 5 5 3 5 3" xfId="34843"/>
    <cellStyle name="표준 10 5 5 3 5 2 2" xfId="34844"/>
    <cellStyle name="표준 10 5 5 3 6 2" xfId="34845"/>
    <cellStyle name="표준 10 5 5 3 7 2" xfId="34846"/>
    <cellStyle name="표준 10 5 5 4 2 2 2" xfId="34847"/>
    <cellStyle name="표준 10 5 5 4 3 3" xfId="34848"/>
    <cellStyle name="표준 10 5 5 4 3 2 2" xfId="34849"/>
    <cellStyle name="표준 10 5 5 4 4 2" xfId="34850"/>
    <cellStyle name="표준 10 5 5 4 5 2" xfId="34851"/>
    <cellStyle name="표준 10 5 5 5 2 2 2" xfId="34852"/>
    <cellStyle name="표준 10 5 5 5 3 3" xfId="34853"/>
    <cellStyle name="표준 10 5 5 5 3 2 2" xfId="34854"/>
    <cellStyle name="표준 10 5 5 5 4 2" xfId="34855"/>
    <cellStyle name="표준 10 5 5 5 5 2" xfId="34856"/>
    <cellStyle name="표준 10 5 5 6 2 2" xfId="34857"/>
    <cellStyle name="표준 10 5 5 7 3" xfId="34858"/>
    <cellStyle name="표준 10 5 5 7 2 2" xfId="34859"/>
    <cellStyle name="표준 10 5 5 8 2" xfId="34860"/>
    <cellStyle name="표준 10 5 5 9 2" xfId="34861"/>
    <cellStyle name="표준 10 5 6 2 2 2 2 2" xfId="34862"/>
    <cellStyle name="표준 10 5 6 2 2 3 3" xfId="34863"/>
    <cellStyle name="표준 10 5 6 2 2 3 2 2" xfId="34864"/>
    <cellStyle name="표준 10 5 6 2 2 4 2" xfId="34865"/>
    <cellStyle name="표준 10 5 6 2 2 5 2" xfId="34866"/>
    <cellStyle name="표준 10 5 6 2 3 2 2 2" xfId="34867"/>
    <cellStyle name="표준 10 5 6 2 3 3 3" xfId="34868"/>
    <cellStyle name="표준 10 5 6 2 3 3 2 2" xfId="34869"/>
    <cellStyle name="표준 10 5 6 2 3 4 2" xfId="34870"/>
    <cellStyle name="표준 10 5 6 2 3 5 2" xfId="34871"/>
    <cellStyle name="표준 10 5 6 2 4 2 2" xfId="34872"/>
    <cellStyle name="표준 10 5 6 2 5 3" xfId="34873"/>
    <cellStyle name="표준 10 5 6 2 5 2 2" xfId="34874"/>
    <cellStyle name="표준 10 5 6 2 6 2" xfId="34875"/>
    <cellStyle name="표준 10 5 6 2 7 2" xfId="34876"/>
    <cellStyle name="표준 10 5 6 3 2 2 2" xfId="34877"/>
    <cellStyle name="표준 10 5 6 3 3 3" xfId="34878"/>
    <cellStyle name="표준 10 5 6 3 3 2 2" xfId="34879"/>
    <cellStyle name="표준 10 5 6 3 4 2" xfId="34880"/>
    <cellStyle name="표준 10 5 6 3 5 2" xfId="34881"/>
    <cellStyle name="표준 10 5 6 4 2 2 2" xfId="34882"/>
    <cellStyle name="표준 10 5 6 4 3 3" xfId="34883"/>
    <cellStyle name="표준 10 5 6 4 3 2 2" xfId="34884"/>
    <cellStyle name="표준 10 5 6 4 4 2" xfId="34885"/>
    <cellStyle name="표준 10 5 6 4 5 2" xfId="34886"/>
    <cellStyle name="표준 10 5 6 5 2 2" xfId="34887"/>
    <cellStyle name="표준 10 5 6 6 3" xfId="34888"/>
    <cellStyle name="표준 10 5 6 6 2 2" xfId="34889"/>
    <cellStyle name="표준 10 5 6 7 2" xfId="34890"/>
    <cellStyle name="표준 10 5 6 8 2" xfId="34891"/>
    <cellStyle name="표준 10 5 7 2 2 2 2" xfId="34892"/>
    <cellStyle name="표준 10 5 7 2 3 3" xfId="34893"/>
    <cellStyle name="표준 10 5 7 2 3 2 2" xfId="34894"/>
    <cellStyle name="표준 10 5 7 2 4 2" xfId="34895"/>
    <cellStyle name="표준 10 5 7 2 5 2" xfId="34896"/>
    <cellStyle name="표준 10 5 7 3 2 2 2" xfId="34897"/>
    <cellStyle name="표준 10 5 7 3 3 3" xfId="34898"/>
    <cellStyle name="표준 10 5 7 3 3 2 2" xfId="34899"/>
    <cellStyle name="표준 10 5 7 3 4 2" xfId="34900"/>
    <cellStyle name="표준 10 5 7 3 5 2" xfId="34901"/>
    <cellStyle name="표준 10 5 7 4 2 2" xfId="34902"/>
    <cellStyle name="표준 10 5 7 5 3" xfId="34903"/>
    <cellStyle name="표준 10 5 7 5 2 2" xfId="34904"/>
    <cellStyle name="표준 10 5 7 6 2" xfId="34905"/>
    <cellStyle name="표준 10 5 7 7 2" xfId="34906"/>
    <cellStyle name="표준 10 5 8 2 2 2" xfId="34907"/>
    <cellStyle name="표준 10 5 8 3 3" xfId="34908"/>
    <cellStyle name="표준 10 5 8 3 2 2" xfId="34909"/>
    <cellStyle name="표준 10 5 8 4 2" xfId="34910"/>
    <cellStyle name="표준 10 5 8 5 2" xfId="34911"/>
    <cellStyle name="표준 10 5 9 2 2 2" xfId="34912"/>
    <cellStyle name="표준 10 5 9 3 3" xfId="34913"/>
    <cellStyle name="표준 10 5 9 3 2 2" xfId="34914"/>
    <cellStyle name="표준 10 5 9 4 2" xfId="34915"/>
    <cellStyle name="표준 10 5 9 5 2" xfId="34916"/>
    <cellStyle name="표준 10 6 10 2 2" xfId="34917"/>
    <cellStyle name="표준 10 6 11 3" xfId="34918"/>
    <cellStyle name="표준 10 6 11 2 2" xfId="34919"/>
    <cellStyle name="표준 10 6 12 2" xfId="34920"/>
    <cellStyle name="표준 10 6 13 2" xfId="34921"/>
    <cellStyle name="표준 10 6 2 10 2" xfId="34922"/>
    <cellStyle name="표준 10 6 2 2 2 2 2 2 2 2" xfId="34923"/>
    <cellStyle name="표준 10 6 2 2 2 2 2 3 3" xfId="34924"/>
    <cellStyle name="표준 10 6 2 2 2 2 2 3 2 2" xfId="34925"/>
    <cellStyle name="표준 10 6 2 2 2 2 2 4 2" xfId="34926"/>
    <cellStyle name="표준 10 6 2 2 2 2 2 5 2" xfId="34927"/>
    <cellStyle name="표준 10 6 2 2 2 2 3 2 2 2" xfId="34928"/>
    <cellStyle name="표준 10 6 2 2 2 2 3 3 3" xfId="34929"/>
    <cellStyle name="표준 10 6 2 2 2 2 3 3 2 2" xfId="34930"/>
    <cellStyle name="표준 10 6 2 2 2 2 3 4 2" xfId="34931"/>
    <cellStyle name="표준 10 6 2 2 2 2 3 5 2" xfId="34932"/>
    <cellStyle name="표준 10 6 2 2 2 2 4 2 2" xfId="34933"/>
    <cellStyle name="표준 10 6 2 2 2 2 5 3" xfId="34934"/>
    <cellStyle name="표준 10 6 2 2 2 2 5 2 2" xfId="34935"/>
    <cellStyle name="표준 10 6 2 2 2 2 6 2" xfId="34936"/>
    <cellStyle name="표준 10 6 2 2 2 2 7 2" xfId="34937"/>
    <cellStyle name="표준 10 6 2 2 2 3 2 2 2" xfId="34938"/>
    <cellStyle name="표준 10 6 2 2 2 3 3 3" xfId="34939"/>
    <cellStyle name="표준 10 6 2 2 2 3 3 2 2" xfId="34940"/>
    <cellStyle name="표준 10 6 2 2 2 3 4 2" xfId="34941"/>
    <cellStyle name="표준 10 6 2 2 2 3 5 2" xfId="34942"/>
    <cellStyle name="표준 10 6 2 2 2 4 2 2 2" xfId="34943"/>
    <cellStyle name="표준 10 6 2 2 2 4 3 3" xfId="34944"/>
    <cellStyle name="표준 10 6 2 2 2 4 3 2 2" xfId="34945"/>
    <cellStyle name="표준 10 6 2 2 2 4 4 2" xfId="34946"/>
    <cellStyle name="표준 10 6 2 2 2 4 5 2" xfId="34947"/>
    <cellStyle name="표준 10 6 2 2 2 5 2 2" xfId="34948"/>
    <cellStyle name="표준 10 6 2 2 2 6 3" xfId="34949"/>
    <cellStyle name="표준 10 6 2 2 2 6 2 2" xfId="34950"/>
    <cellStyle name="표준 10 6 2 2 2 7 2" xfId="34951"/>
    <cellStyle name="표준 10 6 2 2 2 8 2" xfId="34952"/>
    <cellStyle name="표준 10 6 2 2 3 2 2 2 2" xfId="34953"/>
    <cellStyle name="표준 10 6 2 2 3 2 3 3" xfId="34954"/>
    <cellStyle name="표준 10 6 2 2 3 2 3 2 2" xfId="34955"/>
    <cellStyle name="표준 10 6 2 2 3 2 4 2" xfId="34956"/>
    <cellStyle name="표준 10 6 2 2 3 2 5 2" xfId="34957"/>
    <cellStyle name="표준 10 6 2 2 3 3 2 2 2" xfId="34958"/>
    <cellStyle name="표준 10 6 2 2 3 3 3 3" xfId="34959"/>
    <cellStyle name="표준 10 6 2 2 3 3 3 2 2" xfId="34960"/>
    <cellStyle name="표준 10 6 2 2 3 3 4 2" xfId="34961"/>
    <cellStyle name="표준 10 6 2 2 3 3 5 2" xfId="34962"/>
    <cellStyle name="표준 10 6 2 2 3 4 2 2" xfId="34963"/>
    <cellStyle name="표준 10 6 2 2 3 5 3" xfId="34964"/>
    <cellStyle name="표준 10 6 2 2 3 5 2 2" xfId="34965"/>
    <cellStyle name="표준 10 6 2 2 3 6 2" xfId="34966"/>
    <cellStyle name="표준 10 6 2 2 3 7 2" xfId="34967"/>
    <cellStyle name="표준 10 6 2 2 4 2 2 2" xfId="34968"/>
    <cellStyle name="표준 10 6 2 2 4 3 3" xfId="34969"/>
    <cellStyle name="표준 10 6 2 2 4 3 2 2" xfId="34970"/>
    <cellStyle name="표준 10 6 2 2 4 4 2" xfId="34971"/>
    <cellStyle name="표준 10 6 2 2 4 5 2" xfId="34972"/>
    <cellStyle name="표준 10 6 2 2 5 2 2 2" xfId="34973"/>
    <cellStyle name="표준 10 6 2 2 5 3 3" xfId="34974"/>
    <cellStyle name="표준 10 6 2 2 5 3 2 2" xfId="34975"/>
    <cellStyle name="표준 10 6 2 2 5 4 2" xfId="34976"/>
    <cellStyle name="표준 10 6 2 2 5 5 2" xfId="34977"/>
    <cellStyle name="표준 10 6 2 2 6 2 2" xfId="34978"/>
    <cellStyle name="표준 10 6 2 2 7 3" xfId="34979"/>
    <cellStyle name="표준 10 6 2 2 7 2 2" xfId="34980"/>
    <cellStyle name="표준 10 6 2 2 8 2" xfId="34981"/>
    <cellStyle name="표준 10 6 2 2 9 2" xfId="34982"/>
    <cellStyle name="표준 10 6 2 3 2 2 2 2 2" xfId="34983"/>
    <cellStyle name="표준 10 6 2 3 2 2 3 3" xfId="34984"/>
    <cellStyle name="표준 10 6 2 3 2 2 3 2 2" xfId="34985"/>
    <cellStyle name="표준 10 6 2 3 2 2 4 2" xfId="34986"/>
    <cellStyle name="표준 10 6 2 3 2 2 5 2" xfId="34987"/>
    <cellStyle name="표준 10 6 2 3 2 3 2 2 2" xfId="34988"/>
    <cellStyle name="표준 10 6 2 3 2 3 3 3" xfId="34989"/>
    <cellStyle name="표준 10 6 2 3 2 3 3 2 2" xfId="34990"/>
    <cellStyle name="표준 10 6 2 3 2 3 4 2" xfId="34991"/>
    <cellStyle name="표준 10 6 2 3 2 3 5 2" xfId="34992"/>
    <cellStyle name="표준 10 6 2 3 2 4 2 2" xfId="34993"/>
    <cellStyle name="표준 10 6 2 3 2 5 3" xfId="34994"/>
    <cellStyle name="표준 10 6 2 3 2 5 2 2" xfId="34995"/>
    <cellStyle name="표준 10 6 2 3 2 6 2" xfId="34996"/>
    <cellStyle name="표준 10 6 2 3 2 7 2" xfId="34997"/>
    <cellStyle name="표준 10 6 2 3 3 2 2 2" xfId="34998"/>
    <cellStyle name="표준 10 6 2 3 3 3 3" xfId="34999"/>
    <cellStyle name="표준 10 6 2 3 3 3 2 2" xfId="35000"/>
    <cellStyle name="표준 10 6 2 3 3 4 2" xfId="35001"/>
    <cellStyle name="표준 10 6 2 3 3 5 2" xfId="35002"/>
    <cellStyle name="표준 10 6 2 3 4 2 2 2" xfId="35003"/>
    <cellStyle name="표준 10 6 2 3 4 3 3" xfId="35004"/>
    <cellStyle name="표준 10 6 2 3 4 3 2 2" xfId="35005"/>
    <cellStyle name="표준 10 6 2 3 4 4 2" xfId="35006"/>
    <cellStyle name="표준 10 6 2 3 4 5 2" xfId="35007"/>
    <cellStyle name="표준 10 6 2 3 5 2 2" xfId="35008"/>
    <cellStyle name="표준 10 6 2 3 6 3" xfId="35009"/>
    <cellStyle name="표준 10 6 2 3 6 2 2" xfId="35010"/>
    <cellStyle name="표준 10 6 2 3 7 2" xfId="35011"/>
    <cellStyle name="표준 10 6 2 3 8 2" xfId="35012"/>
    <cellStyle name="표준 10 6 2 4 2 2 2 2" xfId="35013"/>
    <cellStyle name="표준 10 6 2 4 2 3 3" xfId="35014"/>
    <cellStyle name="표준 10 6 2 4 2 3 2 2" xfId="35015"/>
    <cellStyle name="표준 10 6 2 4 2 4 2" xfId="35016"/>
    <cellStyle name="표준 10 6 2 4 2 5 2" xfId="35017"/>
    <cellStyle name="표준 10 6 2 4 3 2 2 2" xfId="35018"/>
    <cellStyle name="표준 10 6 2 4 3 3 3" xfId="35019"/>
    <cellStyle name="표준 10 6 2 4 3 3 2 2" xfId="35020"/>
    <cellStyle name="표준 10 6 2 4 3 4 2" xfId="35021"/>
    <cellStyle name="표준 10 6 2 4 3 5 2" xfId="35022"/>
    <cellStyle name="표준 10 6 2 4 4 2 2" xfId="35023"/>
    <cellStyle name="표준 10 6 2 4 5 3" xfId="35024"/>
    <cellStyle name="표준 10 6 2 4 5 2 2" xfId="35025"/>
    <cellStyle name="표준 10 6 2 4 6 2" xfId="35026"/>
    <cellStyle name="표준 10 6 2 4 7 2" xfId="35027"/>
    <cellStyle name="표준 10 6 2 5 2 2 2" xfId="35028"/>
    <cellStyle name="표준 10 6 2 5 3 3" xfId="35029"/>
    <cellStyle name="표준 10 6 2 5 3 2 2" xfId="35030"/>
    <cellStyle name="표준 10 6 2 5 4 2" xfId="35031"/>
    <cellStyle name="표준 10 6 2 5 5 2" xfId="35032"/>
    <cellStyle name="표준 10 6 2 6 2 2 2" xfId="35033"/>
    <cellStyle name="표준 10 6 2 6 3 3" xfId="35034"/>
    <cellStyle name="표준 10 6 2 6 3 2 2" xfId="35035"/>
    <cellStyle name="표준 10 6 2 6 4 2" xfId="35036"/>
    <cellStyle name="표준 10 6 2 6 5 2" xfId="35037"/>
    <cellStyle name="표준 10 6 2 7 2 2" xfId="35038"/>
    <cellStyle name="표준 10 6 2 8 3" xfId="35039"/>
    <cellStyle name="표준 10 6 2 8 2 2" xfId="35040"/>
    <cellStyle name="표준 10 6 2 9 2" xfId="35041"/>
    <cellStyle name="표준 10 6 3 10 2" xfId="35042"/>
    <cellStyle name="표준 10 6 3 2 2 2 2 2 2 2" xfId="35043"/>
    <cellStyle name="표준 10 6 3 2 2 2 2 3 3" xfId="35044"/>
    <cellStyle name="표준 10 6 3 2 2 2 2 3 2 2" xfId="35045"/>
    <cellStyle name="표준 10 6 3 2 2 2 2 4 2" xfId="35046"/>
    <cellStyle name="표준 10 6 3 2 2 2 2 5 2" xfId="35047"/>
    <cellStyle name="표준 10 6 3 2 2 2 3 2 2 2" xfId="35048"/>
    <cellStyle name="표준 10 6 3 2 2 2 3 3 3" xfId="35049"/>
    <cellStyle name="표준 10 6 3 2 2 2 3 3 2 2" xfId="35050"/>
    <cellStyle name="표준 10 6 3 2 2 2 3 4 2" xfId="35051"/>
    <cellStyle name="표준 10 6 3 2 2 2 3 5 2" xfId="35052"/>
    <cellStyle name="표준 10 6 3 2 2 2 4 2 2" xfId="35053"/>
    <cellStyle name="표준 10 6 3 2 2 2 5 3" xfId="35054"/>
    <cellStyle name="표준 10 6 3 2 2 2 5 2 2" xfId="35055"/>
    <cellStyle name="표준 10 6 3 2 2 2 6 2" xfId="35056"/>
    <cellStyle name="표준 10 6 3 2 2 2 7 2" xfId="35057"/>
    <cellStyle name="표준 10 6 3 2 2 3 2 2 2" xfId="35058"/>
    <cellStyle name="표준 10 6 3 2 2 3 3 3" xfId="35059"/>
    <cellStyle name="표준 10 6 3 2 2 3 3 2 2" xfId="35060"/>
    <cellStyle name="표준 10 6 3 2 2 3 4 2" xfId="35061"/>
    <cellStyle name="표준 10 6 3 2 2 3 5 2" xfId="35062"/>
    <cellStyle name="표준 10 6 3 2 2 4 2 2 2" xfId="35063"/>
    <cellStyle name="표준 10 6 3 2 2 4 3 3" xfId="35064"/>
    <cellStyle name="표준 10 6 3 2 2 4 3 2 2" xfId="35065"/>
    <cellStyle name="표준 10 6 3 2 2 4 4 2" xfId="35066"/>
    <cellStyle name="표준 10 6 3 2 2 4 5 2" xfId="35067"/>
    <cellStyle name="표준 10 6 3 2 2 5 2 2" xfId="35068"/>
    <cellStyle name="표준 10 6 3 2 2 6 3" xfId="35069"/>
    <cellStyle name="표준 10 6 3 2 2 6 2 2" xfId="35070"/>
    <cellStyle name="표준 10 6 3 2 2 7 2" xfId="35071"/>
    <cellStyle name="표준 10 6 3 2 2 8 2" xfId="35072"/>
    <cellStyle name="표준 10 6 3 2 3 2 2 2 2" xfId="35073"/>
    <cellStyle name="표준 10 6 3 2 3 2 3 3" xfId="35074"/>
    <cellStyle name="표준 10 6 3 2 3 2 3 2 2" xfId="35075"/>
    <cellStyle name="표준 10 6 3 2 3 2 4 2" xfId="35076"/>
    <cellStyle name="표준 10 6 3 2 3 2 5 2" xfId="35077"/>
    <cellStyle name="표준 10 6 3 2 3 3 2 2 2" xfId="35078"/>
    <cellStyle name="표준 10 6 3 2 3 3 3 3" xfId="35079"/>
    <cellStyle name="표준 10 6 3 2 3 3 3 2 2" xfId="35080"/>
    <cellStyle name="표준 10 6 3 2 3 3 4 2" xfId="35081"/>
    <cellStyle name="표준 10 6 3 2 3 3 5 2" xfId="35082"/>
    <cellStyle name="표준 10 6 3 2 3 4 2 2" xfId="35083"/>
    <cellStyle name="표준 10 6 3 2 3 5 3" xfId="35084"/>
    <cellStyle name="표준 10 6 3 2 3 5 2 2" xfId="35085"/>
    <cellStyle name="표준 10 6 3 2 3 6 2" xfId="35086"/>
    <cellStyle name="표준 10 6 3 2 3 7 2" xfId="35087"/>
    <cellStyle name="표준 10 6 3 2 4 2 2 2" xfId="35088"/>
    <cellStyle name="표준 10 6 3 2 4 3 3" xfId="35089"/>
    <cellStyle name="표준 10 6 3 2 4 3 2 2" xfId="35090"/>
    <cellStyle name="표준 10 6 3 2 4 4 2" xfId="35091"/>
    <cellStyle name="표준 10 6 3 2 4 5 2" xfId="35092"/>
    <cellStyle name="표준 10 6 3 2 5 2 2 2" xfId="35093"/>
    <cellStyle name="표준 10 6 3 2 5 3 3" xfId="35094"/>
    <cellStyle name="표준 10 6 3 2 5 3 2 2" xfId="35095"/>
    <cellStyle name="표준 10 6 3 2 5 4 2" xfId="35096"/>
    <cellStyle name="표준 10 6 3 2 5 5 2" xfId="35097"/>
    <cellStyle name="표준 10 6 3 2 6 2 2" xfId="35098"/>
    <cellStyle name="표준 10 6 3 2 7 3" xfId="35099"/>
    <cellStyle name="표준 10 6 3 2 7 2 2" xfId="35100"/>
    <cellStyle name="표준 10 6 3 2 8 2" xfId="35101"/>
    <cellStyle name="표준 10 6 3 2 9 2" xfId="35102"/>
    <cellStyle name="표준 10 6 3 3 2 2 2 2 2" xfId="35103"/>
    <cellStyle name="표준 10 6 3 3 2 2 3 3" xfId="35104"/>
    <cellStyle name="표준 10 6 3 3 2 2 3 2 2" xfId="35105"/>
    <cellStyle name="표준 10 6 3 3 2 2 4 2" xfId="35106"/>
    <cellStyle name="표준 10 6 3 3 2 2 5 2" xfId="35107"/>
    <cellStyle name="표준 10 6 3 3 2 3 2 2 2" xfId="35108"/>
    <cellStyle name="표준 10 6 3 3 2 3 3 3" xfId="35109"/>
    <cellStyle name="표준 10 6 3 3 2 3 3 2 2" xfId="35110"/>
    <cellStyle name="표준 10 6 3 3 2 3 4 2" xfId="35111"/>
    <cellStyle name="표준 10 6 3 3 2 3 5 2" xfId="35112"/>
    <cellStyle name="표준 10 6 3 3 2 4 2 2" xfId="35113"/>
    <cellStyle name="표준 10 6 3 3 2 5 3" xfId="35114"/>
    <cellStyle name="표준 10 6 3 3 2 5 2 2" xfId="35115"/>
    <cellStyle name="표준 10 6 3 3 2 6 2" xfId="35116"/>
    <cellStyle name="표준 10 6 3 3 2 7 2" xfId="35117"/>
    <cellStyle name="표준 10 6 3 3 3 2 2 2" xfId="35118"/>
    <cellStyle name="표준 10 6 3 3 3 3 3" xfId="35119"/>
    <cellStyle name="표준 10 6 3 3 3 3 2 2" xfId="35120"/>
    <cellStyle name="표준 10 6 3 3 3 4 2" xfId="35121"/>
    <cellStyle name="표준 10 6 3 3 3 5 2" xfId="35122"/>
    <cellStyle name="표준 10 6 3 3 4 2 2 2" xfId="35123"/>
    <cellStyle name="표준 10 6 3 3 4 3 3" xfId="35124"/>
    <cellStyle name="표준 10 6 3 3 4 3 2 2" xfId="35125"/>
    <cellStyle name="표준 10 6 3 3 4 4 2" xfId="35126"/>
    <cellStyle name="표준 10 6 3 3 4 5 2" xfId="35127"/>
    <cellStyle name="표준 10 6 3 3 5 2 2" xfId="35128"/>
    <cellStyle name="표준 10 6 3 3 6 3" xfId="35129"/>
    <cellStyle name="표준 10 6 3 3 6 2 2" xfId="35130"/>
    <cellStyle name="표준 10 6 3 3 7 2" xfId="35131"/>
    <cellStyle name="표준 10 6 3 3 8 2" xfId="35132"/>
    <cellStyle name="표준 10 6 3 4 2 2 2 2" xfId="35133"/>
    <cellStyle name="표준 10 6 3 4 2 3 3" xfId="35134"/>
    <cellStyle name="표준 10 6 3 4 2 3 2 2" xfId="35135"/>
    <cellStyle name="표준 10 6 3 4 2 4 2" xfId="35136"/>
    <cellStyle name="표준 10 6 3 4 2 5 2" xfId="35137"/>
    <cellStyle name="표준 10 6 3 4 3 2 2 2" xfId="35138"/>
    <cellStyle name="표준 10 6 3 4 3 3 3" xfId="35139"/>
    <cellStyle name="표준 10 6 3 4 3 3 2 2" xfId="35140"/>
    <cellStyle name="표준 10 6 3 4 3 4 2" xfId="35141"/>
    <cellStyle name="표준 10 6 3 4 3 5 2" xfId="35142"/>
    <cellStyle name="표준 10 6 3 4 4 2 2" xfId="35143"/>
    <cellStyle name="표준 10 6 3 4 5 3" xfId="35144"/>
    <cellStyle name="표준 10 6 3 4 5 2 2" xfId="35145"/>
    <cellStyle name="표준 10 6 3 4 6 2" xfId="35146"/>
    <cellStyle name="표준 10 6 3 4 7 2" xfId="35147"/>
    <cellStyle name="표준 10 6 3 5 2 2 2" xfId="35148"/>
    <cellStyle name="표준 10 6 3 5 3 3" xfId="35149"/>
    <cellStyle name="표준 10 6 3 5 3 2 2" xfId="35150"/>
    <cellStyle name="표준 10 6 3 5 4 2" xfId="35151"/>
    <cellStyle name="표준 10 6 3 5 5 2" xfId="35152"/>
    <cellStyle name="표준 10 6 3 6 2 2 2" xfId="35153"/>
    <cellStyle name="표준 10 6 3 6 3 3" xfId="35154"/>
    <cellStyle name="표준 10 6 3 6 3 2 2" xfId="35155"/>
    <cellStyle name="표준 10 6 3 6 4 2" xfId="35156"/>
    <cellStyle name="표준 10 6 3 6 5 2" xfId="35157"/>
    <cellStyle name="표준 10 6 3 7 2 2" xfId="35158"/>
    <cellStyle name="표준 10 6 3 8 3" xfId="35159"/>
    <cellStyle name="표준 10 6 3 8 2 2" xfId="35160"/>
    <cellStyle name="표준 10 6 3 9 2" xfId="35161"/>
    <cellStyle name="표준 10 6 4 10 2" xfId="35162"/>
    <cellStyle name="표준 10 6 4 2 2 2 2 2 2 2" xfId="35163"/>
    <cellStyle name="표준 10 6 4 2 2 2 2 3 3" xfId="35164"/>
    <cellStyle name="표준 10 6 4 2 2 2 2 3 2 2" xfId="35165"/>
    <cellStyle name="표준 10 6 4 2 2 2 2 4 2" xfId="35166"/>
    <cellStyle name="표준 10 6 4 2 2 2 2 5 2" xfId="35167"/>
    <cellStyle name="표준 10 6 4 2 2 2 3 2 2 2" xfId="35168"/>
    <cellStyle name="표준 10 6 4 2 2 2 3 3 3" xfId="35169"/>
    <cellStyle name="표준 10 6 4 2 2 2 3 3 2 2" xfId="35170"/>
    <cellStyle name="표준 10 6 4 2 2 2 3 4 2" xfId="35171"/>
    <cellStyle name="표준 10 6 4 2 2 2 3 5 2" xfId="35172"/>
    <cellStyle name="표준 10 6 4 2 2 2 4 2 2" xfId="35173"/>
    <cellStyle name="표준 10 6 4 2 2 2 5 3" xfId="35174"/>
    <cellStyle name="표준 10 6 4 2 2 2 5 2 2" xfId="35175"/>
    <cellStyle name="표준 10 6 4 2 2 2 6 2" xfId="35176"/>
    <cellStyle name="표준 10 6 4 2 2 2 7 2" xfId="35177"/>
    <cellStyle name="표준 10 6 4 2 2 3 2 2 2" xfId="35178"/>
    <cellStyle name="표준 10 6 4 2 2 3 3 3" xfId="35179"/>
    <cellStyle name="표준 10 6 4 2 2 3 3 2 2" xfId="35180"/>
    <cellStyle name="표준 10 6 4 2 2 3 4 2" xfId="35181"/>
    <cellStyle name="표준 10 6 4 2 2 3 5 2" xfId="35182"/>
    <cellStyle name="표준 10 6 4 2 2 4 2 2 2" xfId="35183"/>
    <cellStyle name="표준 10 6 4 2 2 4 3 3" xfId="35184"/>
    <cellStyle name="표준 10 6 4 2 2 4 3 2 2" xfId="35185"/>
    <cellStyle name="표준 10 6 4 2 2 4 4 2" xfId="35186"/>
    <cellStyle name="표준 10 6 4 2 2 4 5 2" xfId="35187"/>
    <cellStyle name="표준 10 6 4 2 2 5 2 2" xfId="35188"/>
    <cellStyle name="표준 10 6 4 2 2 6 3" xfId="35189"/>
    <cellStyle name="표준 10 6 4 2 2 6 2 2" xfId="35190"/>
    <cellStyle name="표준 10 6 4 2 2 7 2" xfId="35191"/>
    <cellStyle name="표준 10 6 4 2 2 8 2" xfId="35192"/>
    <cellStyle name="표준 10 6 4 2 3 2 2 2 2" xfId="35193"/>
    <cellStyle name="표준 10 6 4 2 3 2 3 3" xfId="35194"/>
    <cellStyle name="표준 10 6 4 2 3 2 3 2 2" xfId="35195"/>
    <cellStyle name="표준 10 6 4 2 3 2 4 2" xfId="35196"/>
    <cellStyle name="표준 10 6 4 2 3 2 5 2" xfId="35197"/>
    <cellStyle name="표준 10 6 4 2 3 3 2 2 2" xfId="35198"/>
    <cellStyle name="표준 10 6 4 2 3 3 3 3" xfId="35199"/>
    <cellStyle name="표준 10 6 4 2 3 3 3 2 2" xfId="35200"/>
    <cellStyle name="표준 10 6 4 2 3 3 4 2" xfId="35201"/>
    <cellStyle name="표준 10 6 4 2 3 3 5 2" xfId="35202"/>
    <cellStyle name="표준 10 6 4 2 3 4 2 2" xfId="35203"/>
    <cellStyle name="표준 10 6 4 2 3 5 3" xfId="35204"/>
    <cellStyle name="표준 10 6 4 2 3 5 2 2" xfId="35205"/>
    <cellStyle name="표준 10 6 4 2 3 6 2" xfId="35206"/>
    <cellStyle name="표준 10 6 4 2 3 7 2" xfId="35207"/>
    <cellStyle name="표준 10 6 4 2 4 2 2 2" xfId="35208"/>
    <cellStyle name="표준 10 6 4 2 4 3 3" xfId="35209"/>
    <cellStyle name="표준 10 6 4 2 4 3 2 2" xfId="35210"/>
    <cellStyle name="표준 10 6 4 2 4 4 2" xfId="35211"/>
    <cellStyle name="표준 10 6 4 2 4 5 2" xfId="35212"/>
    <cellStyle name="표준 10 6 4 2 5 2 2 2" xfId="35213"/>
    <cellStyle name="표준 10 6 4 2 5 3 3" xfId="35214"/>
    <cellStyle name="표준 10 6 4 2 5 3 2 2" xfId="35215"/>
    <cellStyle name="표준 10 6 4 2 5 4 2" xfId="35216"/>
    <cellStyle name="표준 10 6 4 2 5 5 2" xfId="35217"/>
    <cellStyle name="표준 10 6 4 2 6 2 2" xfId="35218"/>
    <cellStyle name="표준 10 6 4 2 7 3" xfId="35219"/>
    <cellStyle name="표준 10 6 4 2 7 2 2" xfId="35220"/>
    <cellStyle name="표준 10 6 4 2 8 2" xfId="35221"/>
    <cellStyle name="표준 10 6 4 2 9 2" xfId="35222"/>
    <cellStyle name="표준 10 6 4 3 2 2 2 2 2" xfId="35223"/>
    <cellStyle name="표준 10 6 4 3 2 2 3 3" xfId="35224"/>
    <cellStyle name="표준 10 6 4 3 2 2 3 2 2" xfId="35225"/>
    <cellStyle name="표준 10 6 4 3 2 2 4 2" xfId="35226"/>
    <cellStyle name="표준 10 6 4 3 2 2 5 2" xfId="35227"/>
    <cellStyle name="표준 10 6 4 3 2 3 2 2 2" xfId="35228"/>
    <cellStyle name="표준 10 6 4 3 2 3 3 3" xfId="35229"/>
    <cellStyle name="표준 10 6 4 3 2 3 3 2 2" xfId="35230"/>
    <cellStyle name="표준 10 6 4 3 2 3 4 2" xfId="35231"/>
    <cellStyle name="표준 10 6 4 3 2 3 5 2" xfId="35232"/>
    <cellStyle name="표준 10 6 4 3 2 4 2 2" xfId="35233"/>
    <cellStyle name="표준 10 6 4 3 2 5 3" xfId="35234"/>
    <cellStyle name="표준 10 6 4 3 2 5 2 2" xfId="35235"/>
    <cellStyle name="표준 10 6 4 3 2 6 2" xfId="35236"/>
    <cellStyle name="표준 10 6 4 3 2 7 2" xfId="35237"/>
    <cellStyle name="표준 10 6 4 3 3 2 2 2" xfId="35238"/>
    <cellStyle name="표준 10 6 4 3 3 3 3" xfId="35239"/>
    <cellStyle name="표준 10 6 4 3 3 3 2 2" xfId="35240"/>
    <cellStyle name="표준 10 6 4 3 3 4 2" xfId="35241"/>
    <cellStyle name="표준 10 6 4 3 3 5 2" xfId="35242"/>
    <cellStyle name="표준 10 6 4 3 4 2 2 2" xfId="35243"/>
    <cellStyle name="표준 10 6 4 3 4 3 3" xfId="35244"/>
    <cellStyle name="표준 10 6 4 3 4 3 2 2" xfId="35245"/>
    <cellStyle name="표준 10 6 4 3 4 4 2" xfId="35246"/>
    <cellStyle name="표준 10 6 4 3 4 5 2" xfId="35247"/>
    <cellStyle name="표준 10 6 4 3 5 2 2" xfId="35248"/>
    <cellStyle name="표준 10 6 4 3 6 3" xfId="35249"/>
    <cellStyle name="표준 10 6 4 3 6 2 2" xfId="35250"/>
    <cellStyle name="표준 10 6 4 3 7 2" xfId="35251"/>
    <cellStyle name="표준 10 6 4 3 8 2" xfId="35252"/>
    <cellStyle name="표준 10 6 4 4 2 2 2 2" xfId="35253"/>
    <cellStyle name="표준 10 6 4 4 2 3 3" xfId="35254"/>
    <cellStyle name="표준 10 6 4 4 2 3 2 2" xfId="35255"/>
    <cellStyle name="표준 10 6 4 4 2 4 2" xfId="35256"/>
    <cellStyle name="표준 10 6 4 4 2 5 2" xfId="35257"/>
    <cellStyle name="표준 10 6 4 4 3 2 2 2" xfId="35258"/>
    <cellStyle name="표준 10 6 4 4 3 3 3" xfId="35259"/>
    <cellStyle name="표준 10 6 4 4 3 3 2 2" xfId="35260"/>
    <cellStyle name="표준 10 6 4 4 3 4 2" xfId="35261"/>
    <cellStyle name="표준 10 6 4 4 3 5 2" xfId="35262"/>
    <cellStyle name="표준 10 6 4 4 4 2 2" xfId="35263"/>
    <cellStyle name="표준 10 6 4 4 5 3" xfId="35264"/>
    <cellStyle name="표준 10 6 4 4 5 2 2" xfId="35265"/>
    <cellStyle name="표준 10 6 4 4 6 2" xfId="35266"/>
    <cellStyle name="표준 10 6 4 4 7 2" xfId="35267"/>
    <cellStyle name="표준 10 6 4 5 2 2 2" xfId="35268"/>
    <cellStyle name="표준 10 6 4 5 3 3" xfId="35269"/>
    <cellStyle name="표준 10 6 4 5 3 2 2" xfId="35270"/>
    <cellStyle name="표준 10 6 4 5 4 2" xfId="35271"/>
    <cellStyle name="표준 10 6 4 5 5 2" xfId="35272"/>
    <cellStyle name="표준 10 6 4 6 2 2 2" xfId="35273"/>
    <cellStyle name="표준 10 6 4 6 3 3" xfId="35274"/>
    <cellStyle name="표준 10 6 4 6 3 2 2" xfId="35275"/>
    <cellStyle name="표준 10 6 4 6 4 2" xfId="35276"/>
    <cellStyle name="표준 10 6 4 6 5 2" xfId="35277"/>
    <cellStyle name="표준 10 6 4 7 2 2" xfId="35278"/>
    <cellStyle name="표준 10 6 4 8 3" xfId="35279"/>
    <cellStyle name="표준 10 6 4 8 2 2" xfId="35280"/>
    <cellStyle name="표준 10 6 4 9 2" xfId="35281"/>
    <cellStyle name="표준 10 6 5 2 2 2 2 2 2" xfId="35282"/>
    <cellStyle name="표준 10 6 5 2 2 2 3 3" xfId="35283"/>
    <cellStyle name="표준 10 6 5 2 2 2 3 2 2" xfId="35284"/>
    <cellStyle name="표준 10 6 5 2 2 2 4 2" xfId="35285"/>
    <cellStyle name="표준 10 6 5 2 2 2 5 2" xfId="35286"/>
    <cellStyle name="표준 10 6 5 2 2 3 2 2 2" xfId="35287"/>
    <cellStyle name="표준 10 6 5 2 2 3 3 3" xfId="35288"/>
    <cellStyle name="표준 10 6 5 2 2 3 3 2 2" xfId="35289"/>
    <cellStyle name="표준 10 6 5 2 2 3 4 2" xfId="35290"/>
    <cellStyle name="표준 10 6 5 2 2 3 5 2" xfId="35291"/>
    <cellStyle name="표준 10 6 5 2 2 4 2 2" xfId="35292"/>
    <cellStyle name="표준 10 6 5 2 2 5 3" xfId="35293"/>
    <cellStyle name="표준 10 6 5 2 2 5 2 2" xfId="35294"/>
    <cellStyle name="표준 10 6 5 2 2 6 2" xfId="35295"/>
    <cellStyle name="표준 10 6 5 2 2 7 2" xfId="35296"/>
    <cellStyle name="표준 10 6 5 2 3 2 2 2" xfId="35297"/>
    <cellStyle name="표준 10 6 5 2 3 3 3" xfId="35298"/>
    <cellStyle name="표준 10 6 5 2 3 3 2 2" xfId="35299"/>
    <cellStyle name="표준 10 6 5 2 3 4 2" xfId="35300"/>
    <cellStyle name="표준 10 6 5 2 3 5 2" xfId="35301"/>
    <cellStyle name="표준 10 6 5 2 4 2 2 2" xfId="35302"/>
    <cellStyle name="표준 10 6 5 2 4 3 3" xfId="35303"/>
    <cellStyle name="표준 10 6 5 2 4 3 2 2" xfId="35304"/>
    <cellStyle name="표준 10 6 5 2 4 4 2" xfId="35305"/>
    <cellStyle name="표준 10 6 5 2 4 5 2" xfId="35306"/>
    <cellStyle name="표준 10 6 5 2 5 2 2" xfId="35307"/>
    <cellStyle name="표준 10 6 5 2 6 3" xfId="35308"/>
    <cellStyle name="표준 10 6 5 2 6 2 2" xfId="35309"/>
    <cellStyle name="표준 10 6 5 2 7 2" xfId="35310"/>
    <cellStyle name="표준 10 6 5 2 8 2" xfId="35311"/>
    <cellStyle name="표준 10 6 5 3 2 2 2 2" xfId="35312"/>
    <cellStyle name="표준 10 6 5 3 2 3 3" xfId="35313"/>
    <cellStyle name="표준 10 6 5 3 2 3 2 2" xfId="35314"/>
    <cellStyle name="표준 10 6 5 3 2 4 2" xfId="35315"/>
    <cellStyle name="표준 10 6 5 3 2 5 2" xfId="35316"/>
    <cellStyle name="표준 10 6 5 3 3 2 2 2" xfId="35317"/>
    <cellStyle name="표준 10 6 5 3 3 3 3" xfId="35318"/>
    <cellStyle name="표준 10 6 5 3 3 3 2 2" xfId="35319"/>
    <cellStyle name="표준 10 6 5 3 3 4 2" xfId="35320"/>
    <cellStyle name="표준 10 6 5 3 3 5 2" xfId="35321"/>
    <cellStyle name="표준 10 6 5 3 4 2 2" xfId="35322"/>
    <cellStyle name="표준 10 6 5 3 5 3" xfId="35323"/>
    <cellStyle name="표준 10 6 5 3 5 2 2" xfId="35324"/>
    <cellStyle name="표준 10 6 5 3 6 2" xfId="35325"/>
    <cellStyle name="표준 10 6 5 3 7 2" xfId="35326"/>
    <cellStyle name="표준 10 6 5 4 2 2 2" xfId="35327"/>
    <cellStyle name="표준 10 6 5 4 3 3" xfId="35328"/>
    <cellStyle name="표준 10 6 5 4 3 2 2" xfId="35329"/>
    <cellStyle name="표준 10 6 5 4 4 2" xfId="35330"/>
    <cellStyle name="표준 10 6 5 4 5 2" xfId="35331"/>
    <cellStyle name="표준 10 6 5 5 2 2 2" xfId="35332"/>
    <cellStyle name="표준 10 6 5 5 3 3" xfId="35333"/>
    <cellStyle name="표준 10 6 5 5 3 2 2" xfId="35334"/>
    <cellStyle name="표준 10 6 5 5 4 2" xfId="35335"/>
    <cellStyle name="표준 10 6 5 5 5 2" xfId="35336"/>
    <cellStyle name="표준 10 6 5 6 2 2" xfId="35337"/>
    <cellStyle name="표준 10 6 5 7 3" xfId="35338"/>
    <cellStyle name="표준 10 6 5 7 2 2" xfId="35339"/>
    <cellStyle name="표준 10 6 5 8 2" xfId="35340"/>
    <cellStyle name="표준 10 6 5 9 2" xfId="35341"/>
    <cellStyle name="표준 10 6 6 2 2 2 2 2" xfId="35342"/>
    <cellStyle name="표준 10 6 6 2 2 3 3" xfId="35343"/>
    <cellStyle name="표준 10 6 6 2 2 3 2 2" xfId="35344"/>
    <cellStyle name="표준 10 6 6 2 2 4 2" xfId="35345"/>
    <cellStyle name="표준 10 6 6 2 2 5 2" xfId="35346"/>
    <cellStyle name="표준 10 6 6 2 3 2 2 2" xfId="35347"/>
    <cellStyle name="표준 10 6 6 2 3 3 3" xfId="35348"/>
    <cellStyle name="표준 10 6 6 2 3 3 2 2" xfId="35349"/>
    <cellStyle name="표준 10 6 6 2 3 4 2" xfId="35350"/>
    <cellStyle name="표준 10 6 6 2 3 5 2" xfId="35351"/>
    <cellStyle name="표준 10 6 6 2 4 2 2" xfId="35352"/>
    <cellStyle name="표준 10 6 6 2 5 3" xfId="35353"/>
    <cellStyle name="표준 10 6 6 2 5 2 2" xfId="35354"/>
    <cellStyle name="표준 10 6 6 2 6 2" xfId="35355"/>
    <cellStyle name="표준 10 6 6 2 7 2" xfId="35356"/>
    <cellStyle name="표준 10 6 6 3 2 2 2" xfId="35357"/>
    <cellStyle name="표준 10 6 6 3 3 3" xfId="35358"/>
    <cellStyle name="표준 10 6 6 3 3 2 2" xfId="35359"/>
    <cellStyle name="표준 10 6 6 3 4 2" xfId="35360"/>
    <cellStyle name="표준 10 6 6 3 5 2" xfId="35361"/>
    <cellStyle name="표준 10 6 6 4 2 2 2" xfId="35362"/>
    <cellStyle name="표준 10 6 6 4 3 3" xfId="35363"/>
    <cellStyle name="표준 10 6 6 4 3 2 2" xfId="35364"/>
    <cellStyle name="표준 10 6 6 4 4 2" xfId="35365"/>
    <cellStyle name="표준 10 6 6 4 5 2" xfId="35366"/>
    <cellStyle name="표준 10 6 6 5 2 2" xfId="35367"/>
    <cellStyle name="표준 10 6 6 6 3" xfId="35368"/>
    <cellStyle name="표준 10 6 6 6 2 2" xfId="35369"/>
    <cellStyle name="표준 10 6 6 7 2" xfId="35370"/>
    <cellStyle name="표준 10 6 6 8 2" xfId="35371"/>
    <cellStyle name="표준 10 6 7 2 2 2 2" xfId="35372"/>
    <cellStyle name="표준 10 6 7 2 3 3" xfId="35373"/>
    <cellStyle name="표준 10 6 7 2 3 2 2" xfId="35374"/>
    <cellStyle name="표준 10 6 7 2 4 2" xfId="35375"/>
    <cellStyle name="표준 10 6 7 2 5 2" xfId="35376"/>
    <cellStyle name="표준 10 6 7 3 2 2 2" xfId="35377"/>
    <cellStyle name="표준 10 6 7 3 3 3" xfId="35378"/>
    <cellStyle name="표준 10 6 7 3 3 2 2" xfId="35379"/>
    <cellStyle name="표준 10 6 7 3 4 2" xfId="35380"/>
    <cellStyle name="표준 10 6 7 3 5 2" xfId="35381"/>
    <cellStyle name="표준 10 6 7 4 2 2" xfId="35382"/>
    <cellStyle name="표준 10 6 7 5 3" xfId="35383"/>
    <cellStyle name="표준 10 6 7 5 2 2" xfId="35384"/>
    <cellStyle name="표준 10 6 7 6 2" xfId="35385"/>
    <cellStyle name="표준 10 6 7 7 2" xfId="35386"/>
    <cellStyle name="표준 10 6 8 2 2 2" xfId="35387"/>
    <cellStyle name="표준 10 6 8 3 3" xfId="35388"/>
    <cellStyle name="표준 10 6 8 3 2 2" xfId="35389"/>
    <cellStyle name="표준 10 6 8 4 2" xfId="35390"/>
    <cellStyle name="표준 10 6 8 5 2" xfId="35391"/>
    <cellStyle name="표준 10 6 9 2 2 2" xfId="35392"/>
    <cellStyle name="표준 10 6 9 3 3" xfId="35393"/>
    <cellStyle name="표준 10 6 9 3 2 2" xfId="35394"/>
    <cellStyle name="표준 10 6 9 4 2" xfId="35395"/>
    <cellStyle name="표준 10 6 9 5 2" xfId="35396"/>
    <cellStyle name="표준 10 7 10 2 2" xfId="35397"/>
    <cellStyle name="표준 10 7 11 3" xfId="35398"/>
    <cellStyle name="표준 10 7 11 2 2" xfId="35399"/>
    <cellStyle name="표준 10 7 12 2" xfId="35400"/>
    <cellStyle name="표준 10 7 13 2" xfId="35401"/>
    <cellStyle name="표준 10 7 2 10 2" xfId="35402"/>
    <cellStyle name="표준 10 7 2 2 2 2 2 2 2 2" xfId="35403"/>
    <cellStyle name="표준 10 7 2 2 2 2 2 3 3" xfId="35404"/>
    <cellStyle name="표준 10 7 2 2 2 2 2 3 2 2" xfId="35405"/>
    <cellStyle name="표준 10 7 2 2 2 2 2 4 2" xfId="35406"/>
    <cellStyle name="표준 10 7 2 2 2 2 2 5 2" xfId="35407"/>
    <cellStyle name="표준 10 7 2 2 2 2 3 2 2 2" xfId="35408"/>
    <cellStyle name="표준 10 7 2 2 2 2 3 3 3" xfId="35409"/>
    <cellStyle name="표준 10 7 2 2 2 2 3 3 2 2" xfId="35410"/>
    <cellStyle name="표준 10 7 2 2 2 2 3 4 2" xfId="35411"/>
    <cellStyle name="표준 10 7 2 2 2 2 3 5 2" xfId="35412"/>
    <cellStyle name="표준 10 7 2 2 2 2 4 2 2" xfId="35413"/>
    <cellStyle name="표준 10 7 2 2 2 2 5 3" xfId="35414"/>
    <cellStyle name="표준 10 7 2 2 2 2 5 2 2" xfId="35415"/>
    <cellStyle name="표준 10 7 2 2 2 2 6 2" xfId="35416"/>
    <cellStyle name="표준 10 7 2 2 2 2 7 2" xfId="35417"/>
    <cellStyle name="표준 10 7 2 2 2 3 2 2 2" xfId="35418"/>
    <cellStyle name="표준 10 7 2 2 2 3 3 3" xfId="35419"/>
    <cellStyle name="표준 10 7 2 2 2 3 3 2 2" xfId="35420"/>
    <cellStyle name="표준 10 7 2 2 2 3 4 2" xfId="35421"/>
    <cellStyle name="표준 10 7 2 2 2 3 5 2" xfId="35422"/>
    <cellStyle name="표준 10 7 2 2 2 4 2 2 2" xfId="35423"/>
    <cellStyle name="표준 10 7 2 2 2 4 3 3" xfId="35424"/>
    <cellStyle name="표준 10 7 2 2 2 4 3 2 2" xfId="35425"/>
    <cellStyle name="표준 10 7 2 2 2 4 4 2" xfId="35426"/>
    <cellStyle name="표준 10 7 2 2 2 4 5 2" xfId="35427"/>
    <cellStyle name="표준 10 7 2 2 2 5 2 2" xfId="35428"/>
    <cellStyle name="표준 10 7 2 2 2 6 3" xfId="35429"/>
    <cellStyle name="표준 10 7 2 2 2 6 2 2" xfId="35430"/>
    <cellStyle name="표준 10 7 2 2 2 7 2" xfId="35431"/>
    <cellStyle name="표준 10 7 2 2 2 8 2" xfId="35432"/>
    <cellStyle name="표준 10 7 2 2 3 2 2 2 2" xfId="35433"/>
    <cellStyle name="표준 10 7 2 2 3 2 3 3" xfId="35434"/>
    <cellStyle name="표준 10 7 2 2 3 2 3 2 2" xfId="35435"/>
    <cellStyle name="표준 10 7 2 2 3 2 4 2" xfId="35436"/>
    <cellStyle name="표준 10 7 2 2 3 2 5 2" xfId="35437"/>
    <cellStyle name="표준 10 7 2 2 3 3 2 2 2" xfId="35438"/>
    <cellStyle name="표준 10 7 2 2 3 3 3 3" xfId="35439"/>
    <cellStyle name="표준 10 7 2 2 3 3 3 2 2" xfId="35440"/>
    <cellStyle name="표준 10 7 2 2 3 3 4 2" xfId="35441"/>
    <cellStyle name="표준 10 7 2 2 3 3 5 2" xfId="35442"/>
    <cellStyle name="표준 10 7 2 2 3 4 2 2" xfId="35443"/>
    <cellStyle name="표준 10 7 2 2 3 5 3" xfId="35444"/>
    <cellStyle name="표준 10 7 2 2 3 5 2 2" xfId="35445"/>
    <cellStyle name="표준 10 7 2 2 3 6 2" xfId="35446"/>
    <cellStyle name="표준 10 7 2 2 3 7 2" xfId="35447"/>
    <cellStyle name="표준 10 7 2 2 4 2 2 2" xfId="35448"/>
    <cellStyle name="표준 10 7 2 2 4 3 3" xfId="35449"/>
    <cellStyle name="표준 10 7 2 2 4 3 2 2" xfId="35450"/>
    <cellStyle name="표준 10 7 2 2 4 4 2" xfId="35451"/>
    <cellStyle name="표준 10 7 2 2 4 5 2" xfId="35452"/>
    <cellStyle name="표준 10 7 2 2 5 2 2 2" xfId="35453"/>
    <cellStyle name="표준 10 7 2 2 5 3 3" xfId="35454"/>
    <cellStyle name="표준 10 7 2 2 5 3 2 2" xfId="35455"/>
    <cellStyle name="표준 10 7 2 2 5 4 2" xfId="35456"/>
    <cellStyle name="표준 10 7 2 2 5 5 2" xfId="35457"/>
    <cellStyle name="표준 10 7 2 2 6 2 2" xfId="35458"/>
    <cellStyle name="표준 10 7 2 2 7 3" xfId="35459"/>
    <cellStyle name="표준 10 7 2 2 7 2 2" xfId="35460"/>
    <cellStyle name="표준 10 7 2 2 8 2" xfId="35461"/>
    <cellStyle name="표준 10 7 2 2 9 2" xfId="35462"/>
    <cellStyle name="표준 10 7 2 3 2 2 2 2 2" xfId="35463"/>
    <cellStyle name="표준 10 7 2 3 2 2 3 3" xfId="35464"/>
    <cellStyle name="표준 10 7 2 3 2 2 3 2 2" xfId="35465"/>
    <cellStyle name="표준 10 7 2 3 2 2 4 2" xfId="35466"/>
    <cellStyle name="표준 10 7 2 3 2 2 5 2" xfId="35467"/>
    <cellStyle name="표준 10 7 2 3 2 3 2 2 2" xfId="35468"/>
    <cellStyle name="표준 10 7 2 3 2 3 3 3" xfId="35469"/>
    <cellStyle name="표준 10 7 2 3 2 3 3 2 2" xfId="35470"/>
    <cellStyle name="표준 10 7 2 3 2 3 4 2" xfId="35471"/>
    <cellStyle name="표준 10 7 2 3 2 3 5 2" xfId="35472"/>
    <cellStyle name="표준 10 7 2 3 2 4 2 2" xfId="35473"/>
    <cellStyle name="표준 10 7 2 3 2 5 3" xfId="35474"/>
    <cellStyle name="표준 10 7 2 3 2 5 2 2" xfId="35475"/>
    <cellStyle name="표준 10 7 2 3 2 6 2" xfId="35476"/>
    <cellStyle name="표준 10 7 2 3 2 7 2" xfId="35477"/>
    <cellStyle name="표준 10 7 2 3 3 2 2 2" xfId="35478"/>
    <cellStyle name="표준 10 7 2 3 3 3 3" xfId="35479"/>
    <cellStyle name="표준 10 7 2 3 3 3 2 2" xfId="35480"/>
    <cellStyle name="표준 10 7 2 3 3 4 2" xfId="35481"/>
    <cellStyle name="표준 10 7 2 3 3 5 2" xfId="35482"/>
    <cellStyle name="표준 10 7 2 3 4 2 2 2" xfId="35483"/>
    <cellStyle name="표준 10 7 2 3 4 3 3" xfId="35484"/>
    <cellStyle name="표준 10 7 2 3 4 3 2 2" xfId="35485"/>
    <cellStyle name="표준 10 7 2 3 4 4 2" xfId="35486"/>
    <cellStyle name="표준 10 7 2 3 4 5 2" xfId="35487"/>
    <cellStyle name="표준 10 7 2 3 5 2 2" xfId="35488"/>
    <cellStyle name="표준 10 7 2 3 6 3" xfId="35489"/>
    <cellStyle name="표준 10 7 2 3 6 2 2" xfId="35490"/>
    <cellStyle name="표준 10 7 2 3 7 2" xfId="35491"/>
    <cellStyle name="표준 10 7 2 3 8 2" xfId="35492"/>
    <cellStyle name="표준 10 7 2 4 2 2 2 2" xfId="35493"/>
    <cellStyle name="표준 10 7 2 4 2 3 3" xfId="35494"/>
    <cellStyle name="표준 10 7 2 4 2 3 2 2" xfId="35495"/>
    <cellStyle name="표준 10 7 2 4 2 4 2" xfId="35496"/>
    <cellStyle name="표준 10 7 2 4 2 5 2" xfId="35497"/>
    <cellStyle name="표준 10 7 2 4 3 2 2 2" xfId="35498"/>
    <cellStyle name="표준 10 7 2 4 3 3 3" xfId="35499"/>
    <cellStyle name="표준 10 7 2 4 3 3 2 2" xfId="35500"/>
    <cellStyle name="표준 10 7 2 4 3 4 2" xfId="35501"/>
    <cellStyle name="표준 10 7 2 4 3 5 2" xfId="35502"/>
    <cellStyle name="표준 10 7 2 4 4 2 2" xfId="35503"/>
    <cellStyle name="표준 10 7 2 4 5 3" xfId="35504"/>
    <cellStyle name="표준 10 7 2 4 5 2 2" xfId="35505"/>
    <cellStyle name="표준 10 7 2 4 6 2" xfId="35506"/>
    <cellStyle name="표준 10 7 2 4 7 2" xfId="35507"/>
    <cellStyle name="표준 10 7 2 5 2 2 2" xfId="35508"/>
    <cellStyle name="표준 10 7 2 5 3 3" xfId="35509"/>
    <cellStyle name="표준 10 7 2 5 3 2 2" xfId="35510"/>
    <cellStyle name="표준 10 7 2 5 4 2" xfId="35511"/>
    <cellStyle name="표준 10 7 2 5 5 2" xfId="35512"/>
    <cellStyle name="표준 10 7 2 6 2 2 2" xfId="35513"/>
    <cellStyle name="표준 10 7 2 6 3 3" xfId="35514"/>
    <cellStyle name="표준 10 7 2 6 3 2 2" xfId="35515"/>
    <cellStyle name="표준 10 7 2 6 4 2" xfId="35516"/>
    <cellStyle name="표준 10 7 2 6 5 2" xfId="35517"/>
    <cellStyle name="표준 10 7 2 7 2 2" xfId="35518"/>
    <cellStyle name="표준 10 7 2 8 3" xfId="35519"/>
    <cellStyle name="표준 10 7 2 8 2 2" xfId="35520"/>
    <cellStyle name="표준 10 7 2 9 2" xfId="35521"/>
    <cellStyle name="표준 10 7 3 10 2" xfId="35522"/>
    <cellStyle name="표준 10 7 3 2 2 2 2 2 2 2" xfId="35523"/>
    <cellStyle name="표준 10 7 3 2 2 2 2 3 3" xfId="35524"/>
    <cellStyle name="표준 10 7 3 2 2 2 2 3 2 2" xfId="35525"/>
    <cellStyle name="표준 10 7 3 2 2 2 2 4 2" xfId="35526"/>
    <cellStyle name="표준 10 7 3 2 2 2 2 5 2" xfId="35527"/>
    <cellStyle name="표준 10 7 3 2 2 2 3 2 2 2" xfId="35528"/>
    <cellStyle name="표준 10 7 3 2 2 2 3 3 3" xfId="35529"/>
    <cellStyle name="표준 10 7 3 2 2 2 3 3 2 2" xfId="35530"/>
    <cellStyle name="표준 10 7 3 2 2 2 3 4 2" xfId="35531"/>
    <cellStyle name="표준 10 7 3 2 2 2 3 5 2" xfId="35532"/>
    <cellStyle name="표준 10 7 3 2 2 2 4 2 2" xfId="35533"/>
    <cellStyle name="표준 10 7 3 2 2 2 5 3" xfId="35534"/>
    <cellStyle name="표준 10 7 3 2 2 2 5 2 2" xfId="35535"/>
    <cellStyle name="표준 10 7 3 2 2 2 6 2" xfId="35536"/>
    <cellStyle name="표준 10 7 3 2 2 2 7 2" xfId="35537"/>
    <cellStyle name="표준 10 7 3 2 2 3 2 2 2" xfId="35538"/>
    <cellStyle name="표준 10 7 3 2 2 3 3 3" xfId="35539"/>
    <cellStyle name="표준 10 7 3 2 2 3 3 2 2" xfId="35540"/>
    <cellStyle name="표준 10 7 3 2 2 3 4 2" xfId="35541"/>
    <cellStyle name="표준 10 7 3 2 2 3 5 2" xfId="35542"/>
    <cellStyle name="표준 10 7 3 2 2 4 2 2 2" xfId="35543"/>
    <cellStyle name="표준 10 7 3 2 2 4 3 3" xfId="35544"/>
    <cellStyle name="표준 10 7 3 2 2 4 3 2 2" xfId="35545"/>
    <cellStyle name="표준 10 7 3 2 2 4 4 2" xfId="35546"/>
    <cellStyle name="표준 10 7 3 2 2 4 5 2" xfId="35547"/>
    <cellStyle name="표준 10 7 3 2 2 5 2 2" xfId="35548"/>
    <cellStyle name="표준 10 7 3 2 2 6 3" xfId="35549"/>
    <cellStyle name="표준 10 7 3 2 2 6 2 2" xfId="35550"/>
    <cellStyle name="표준 10 7 3 2 2 7 2" xfId="35551"/>
    <cellStyle name="표준 10 7 3 2 2 8 2" xfId="35552"/>
    <cellStyle name="표준 10 7 3 2 3 2 2 2 2" xfId="35553"/>
    <cellStyle name="표준 10 7 3 2 3 2 3 3" xfId="35554"/>
    <cellStyle name="표준 10 7 3 2 3 2 3 2 2" xfId="35555"/>
    <cellStyle name="표준 10 7 3 2 3 2 4 2" xfId="35556"/>
    <cellStyle name="표준 10 7 3 2 3 2 5 2" xfId="35557"/>
    <cellStyle name="표준 10 7 3 2 3 3 2 2 2" xfId="35558"/>
    <cellStyle name="표준 10 7 3 2 3 3 3 3" xfId="35559"/>
    <cellStyle name="표준 10 7 3 2 3 3 3 2 2" xfId="35560"/>
    <cellStyle name="표준 10 7 3 2 3 3 4 2" xfId="35561"/>
    <cellStyle name="표준 10 7 3 2 3 3 5 2" xfId="35562"/>
    <cellStyle name="표준 10 7 3 2 3 4 2 2" xfId="35563"/>
    <cellStyle name="표준 10 7 3 2 3 5 3" xfId="35564"/>
    <cellStyle name="표준 10 7 3 2 3 5 2 2" xfId="35565"/>
    <cellStyle name="표준 10 7 3 2 3 6 2" xfId="35566"/>
    <cellStyle name="표준 10 7 3 2 3 7 2" xfId="35567"/>
    <cellStyle name="표준 10 7 3 2 4 2 2 2" xfId="35568"/>
    <cellStyle name="표준 10 7 3 2 4 3 3" xfId="35569"/>
    <cellStyle name="표준 10 7 3 2 4 3 2 2" xfId="35570"/>
    <cellStyle name="표준 10 7 3 2 4 4 2" xfId="35571"/>
    <cellStyle name="표준 10 7 3 2 4 5 2" xfId="35572"/>
    <cellStyle name="표준 10 7 3 2 5 2 2 2" xfId="35573"/>
    <cellStyle name="표준 10 7 3 2 5 3 3" xfId="35574"/>
    <cellStyle name="표준 10 7 3 2 5 3 2 2" xfId="35575"/>
    <cellStyle name="표준 10 7 3 2 5 4 2" xfId="35576"/>
    <cellStyle name="표준 10 7 3 2 5 5 2" xfId="35577"/>
    <cellStyle name="표준 10 7 3 2 6 2 2" xfId="35578"/>
    <cellStyle name="표준 10 7 3 2 7 3" xfId="35579"/>
    <cellStyle name="표준 10 7 3 2 7 2 2" xfId="35580"/>
    <cellStyle name="표준 10 7 3 2 8 2" xfId="35581"/>
    <cellStyle name="표준 10 7 3 2 9 2" xfId="35582"/>
    <cellStyle name="표준 10 7 3 3 2 2 2 2 2" xfId="35583"/>
    <cellStyle name="표준 10 7 3 3 2 2 3 3" xfId="35584"/>
    <cellStyle name="표준 10 7 3 3 2 2 3 2 2" xfId="35585"/>
    <cellStyle name="표준 10 7 3 3 2 2 4 2" xfId="35586"/>
    <cellStyle name="표준 10 7 3 3 2 2 5 2" xfId="35587"/>
    <cellStyle name="표준 10 7 3 3 2 3 2 2 2" xfId="35588"/>
    <cellStyle name="표준 10 7 3 3 2 3 3 3" xfId="35589"/>
    <cellStyle name="표준 10 7 3 3 2 3 3 2 2" xfId="35590"/>
    <cellStyle name="표준 10 7 3 3 2 3 4 2" xfId="35591"/>
    <cellStyle name="표준 10 7 3 3 2 3 5 2" xfId="35592"/>
    <cellStyle name="표준 10 7 3 3 2 4 2 2" xfId="35593"/>
    <cellStyle name="표준 10 7 3 3 2 5 3" xfId="35594"/>
    <cellStyle name="표준 10 7 3 3 2 5 2 2" xfId="35595"/>
    <cellStyle name="표준 10 7 3 3 2 6 2" xfId="35596"/>
    <cellStyle name="표준 10 7 3 3 2 7 2" xfId="35597"/>
    <cellStyle name="표준 10 7 3 3 3 2 2 2" xfId="35598"/>
    <cellStyle name="표준 10 7 3 3 3 3 3" xfId="35599"/>
    <cellStyle name="표준 10 7 3 3 3 3 2 2" xfId="35600"/>
    <cellStyle name="표준 10 7 3 3 3 4 2" xfId="35601"/>
    <cellStyle name="표준 10 7 3 3 3 5 2" xfId="35602"/>
    <cellStyle name="표준 10 7 3 3 4 2 2 2" xfId="35603"/>
    <cellStyle name="표준 10 7 3 3 4 3 3" xfId="35604"/>
    <cellStyle name="표준 10 7 3 3 4 3 2 2" xfId="35605"/>
    <cellStyle name="표준 10 7 3 3 4 4 2" xfId="35606"/>
    <cellStyle name="표준 10 7 3 3 4 5 2" xfId="35607"/>
    <cellStyle name="표준 10 7 3 3 5 2 2" xfId="35608"/>
    <cellStyle name="표준 10 7 3 3 6 3" xfId="35609"/>
    <cellStyle name="표준 10 7 3 3 6 2 2" xfId="35610"/>
    <cellStyle name="표준 10 7 3 3 7 2" xfId="35611"/>
    <cellStyle name="표준 10 7 3 3 8 2" xfId="35612"/>
    <cellStyle name="표준 10 7 3 4 2 2 2 2" xfId="35613"/>
    <cellStyle name="표준 10 7 3 4 2 3 3" xfId="35614"/>
    <cellStyle name="표준 10 7 3 4 2 3 2 2" xfId="35615"/>
    <cellStyle name="표준 10 7 3 4 2 4 2" xfId="35616"/>
    <cellStyle name="표준 10 7 3 4 2 5 2" xfId="35617"/>
    <cellStyle name="표준 10 7 3 4 3 2 2 2" xfId="35618"/>
    <cellStyle name="표준 10 7 3 4 3 3 3" xfId="35619"/>
    <cellStyle name="표준 10 7 3 4 3 3 2 2" xfId="35620"/>
    <cellStyle name="표준 10 7 3 4 3 4 2" xfId="35621"/>
    <cellStyle name="표준 10 7 3 4 3 5 2" xfId="35622"/>
    <cellStyle name="표준 10 7 3 4 4 2 2" xfId="35623"/>
    <cellStyle name="표준 10 7 3 4 5 3" xfId="35624"/>
    <cellStyle name="표준 10 7 3 4 5 2 2" xfId="35625"/>
    <cellStyle name="표준 10 7 3 4 6 2" xfId="35626"/>
    <cellStyle name="표준 10 7 3 4 7 2" xfId="35627"/>
    <cellStyle name="표준 10 7 3 5 2 2 2" xfId="35628"/>
    <cellStyle name="표준 10 7 3 5 3 3" xfId="35629"/>
    <cellStyle name="표준 10 7 3 5 3 2 2" xfId="35630"/>
    <cellStyle name="표준 10 7 3 5 4 2" xfId="35631"/>
    <cellStyle name="표준 10 7 3 5 5 2" xfId="35632"/>
    <cellStyle name="표준 10 7 3 6 2 2 2" xfId="35633"/>
    <cellStyle name="표준 10 7 3 6 3 3" xfId="35634"/>
    <cellStyle name="표준 10 7 3 6 3 2 2" xfId="35635"/>
    <cellStyle name="표준 10 7 3 6 4 2" xfId="35636"/>
    <cellStyle name="표준 10 7 3 6 5 2" xfId="35637"/>
    <cellStyle name="표준 10 7 3 7 2 2" xfId="35638"/>
    <cellStyle name="표준 10 7 3 8 3" xfId="35639"/>
    <cellStyle name="표준 10 7 3 8 2 2" xfId="35640"/>
    <cellStyle name="표준 10 7 3 9 2" xfId="35641"/>
    <cellStyle name="표준 10 7 4 10 2" xfId="35642"/>
    <cellStyle name="표준 10 7 4 2 2 2 2 2 2 2" xfId="35643"/>
    <cellStyle name="표준 10 7 4 2 2 2 2 3 3" xfId="35644"/>
    <cellStyle name="표준 10 7 4 2 2 2 2 3 2 2" xfId="35645"/>
    <cellStyle name="표준 10 7 4 2 2 2 2 4 2" xfId="35646"/>
    <cellStyle name="표준 10 7 4 2 2 2 2 5 2" xfId="35647"/>
    <cellStyle name="표준 10 7 4 2 2 2 3 2 2 2" xfId="35648"/>
    <cellStyle name="표준 10 7 4 2 2 2 3 3 3" xfId="35649"/>
    <cellStyle name="표준 10 7 4 2 2 2 3 3 2 2" xfId="35650"/>
    <cellStyle name="표준 10 7 4 2 2 2 3 4 2" xfId="35651"/>
    <cellStyle name="표준 10 7 4 2 2 2 3 5 2" xfId="35652"/>
    <cellStyle name="표준 10 7 4 2 2 2 4 2 2" xfId="35653"/>
    <cellStyle name="표준 10 7 4 2 2 2 5 3" xfId="35654"/>
    <cellStyle name="표준 10 7 4 2 2 2 5 2 2" xfId="35655"/>
    <cellStyle name="표준 10 7 4 2 2 2 6 2" xfId="35656"/>
    <cellStyle name="표준 10 7 4 2 2 2 7 2" xfId="35657"/>
    <cellStyle name="표준 10 7 4 2 2 3 2 2 2" xfId="35658"/>
    <cellStyle name="표준 10 7 4 2 2 3 3 3" xfId="35659"/>
    <cellStyle name="표준 10 7 4 2 2 3 3 2 2" xfId="35660"/>
    <cellStyle name="표준 10 7 4 2 2 3 4 2" xfId="35661"/>
    <cellStyle name="표준 10 7 4 2 2 3 5 2" xfId="35662"/>
    <cellStyle name="표준 10 7 4 2 2 4 2 2 2" xfId="35663"/>
    <cellStyle name="표준 10 7 4 2 2 4 3 3" xfId="35664"/>
    <cellStyle name="표준 10 7 4 2 2 4 3 2 2" xfId="35665"/>
    <cellStyle name="표준 10 7 4 2 2 4 4 2" xfId="35666"/>
    <cellStyle name="표준 10 7 4 2 2 4 5 2" xfId="35667"/>
    <cellStyle name="표준 10 7 4 2 2 5 2 2" xfId="35668"/>
    <cellStyle name="표준 10 7 4 2 2 6 3" xfId="35669"/>
    <cellStyle name="표준 10 7 4 2 2 6 2 2" xfId="35670"/>
    <cellStyle name="표준 10 7 4 2 2 7 2" xfId="35671"/>
    <cellStyle name="표준 10 7 4 2 2 8 2" xfId="35672"/>
    <cellStyle name="표준 10 7 4 2 3 2 2 2 2" xfId="35673"/>
    <cellStyle name="표준 10 7 4 2 3 2 3 3" xfId="35674"/>
    <cellStyle name="표준 10 7 4 2 3 2 3 2 2" xfId="35675"/>
    <cellStyle name="표준 10 7 4 2 3 2 4 2" xfId="35676"/>
    <cellStyle name="표준 10 7 4 2 3 2 5 2" xfId="35677"/>
    <cellStyle name="표준 10 7 4 2 3 3 2 2 2" xfId="35678"/>
    <cellStyle name="표준 10 7 4 2 3 3 3 3" xfId="35679"/>
    <cellStyle name="표준 10 7 4 2 3 3 3 2 2" xfId="35680"/>
    <cellStyle name="표준 10 7 4 2 3 3 4 2" xfId="35681"/>
    <cellStyle name="표준 10 7 4 2 3 3 5 2" xfId="35682"/>
    <cellStyle name="표준 10 7 4 2 3 4 2 2" xfId="35683"/>
    <cellStyle name="표준 10 7 4 2 3 5 3" xfId="35684"/>
    <cellStyle name="표준 10 7 4 2 3 5 2 2" xfId="35685"/>
    <cellStyle name="표준 10 7 4 2 3 6 2" xfId="35686"/>
    <cellStyle name="표준 10 7 4 2 3 7 2" xfId="35687"/>
    <cellStyle name="표준 10 7 4 2 4 2 2 2" xfId="35688"/>
    <cellStyle name="표준 10 7 4 2 4 3 3" xfId="35689"/>
    <cellStyle name="표준 10 7 4 2 4 3 2 2" xfId="35690"/>
    <cellStyle name="표준 10 7 4 2 4 4 2" xfId="35691"/>
    <cellStyle name="표준 10 7 4 2 4 5 2" xfId="35692"/>
    <cellStyle name="표준 10 7 4 2 5 2 2 2" xfId="35693"/>
    <cellStyle name="표준 10 7 4 2 5 3 3" xfId="35694"/>
    <cellStyle name="표준 10 7 4 2 5 3 2 2" xfId="35695"/>
    <cellStyle name="표준 10 7 4 2 5 4 2" xfId="35696"/>
    <cellStyle name="표준 10 7 4 2 5 5 2" xfId="35697"/>
    <cellStyle name="표준 10 7 4 2 6 2 2" xfId="35698"/>
    <cellStyle name="표준 10 7 4 2 7 3" xfId="35699"/>
    <cellStyle name="표준 10 7 4 2 7 2 2" xfId="35700"/>
    <cellStyle name="표준 10 7 4 2 8 2" xfId="35701"/>
    <cellStyle name="표준 10 7 4 2 9 2" xfId="35702"/>
    <cellStyle name="표준 10 7 4 3 2 2 2 2 2" xfId="35703"/>
    <cellStyle name="표준 10 7 4 3 2 2 3 3" xfId="35704"/>
    <cellStyle name="표준 10 7 4 3 2 2 3 2 2" xfId="35705"/>
    <cellStyle name="표준 10 7 4 3 2 2 4 2" xfId="35706"/>
    <cellStyle name="표준 10 7 4 3 2 2 5 2" xfId="35707"/>
    <cellStyle name="표준 10 7 4 3 2 3 2 2 2" xfId="35708"/>
    <cellStyle name="표준 10 7 4 3 2 3 3 3" xfId="35709"/>
    <cellStyle name="표준 10 7 4 3 2 3 3 2 2" xfId="35710"/>
    <cellStyle name="표준 10 7 4 3 2 3 4 2" xfId="35711"/>
    <cellStyle name="표준 10 7 4 3 2 3 5 2" xfId="35712"/>
    <cellStyle name="표준 10 7 4 3 2 4 2 2" xfId="35713"/>
    <cellStyle name="표준 10 7 4 3 2 5 3" xfId="35714"/>
    <cellStyle name="표준 10 7 4 3 2 5 2 2" xfId="35715"/>
    <cellStyle name="표준 10 7 4 3 2 6 2" xfId="35716"/>
    <cellStyle name="표준 10 7 4 3 2 7 2" xfId="35717"/>
    <cellStyle name="표준 10 7 4 3 3 2 2 2" xfId="35718"/>
    <cellStyle name="표준 10 7 4 3 3 3 3" xfId="35719"/>
    <cellStyle name="표준 10 7 4 3 3 3 2 2" xfId="35720"/>
    <cellStyle name="표준 10 7 4 3 3 4 2" xfId="35721"/>
    <cellStyle name="표준 10 7 4 3 3 5 2" xfId="35722"/>
    <cellStyle name="표준 10 7 4 3 4 2 2 2" xfId="35723"/>
    <cellStyle name="표준 10 7 4 3 4 3 3" xfId="35724"/>
    <cellStyle name="표준 10 7 4 3 4 3 2 2" xfId="35725"/>
    <cellStyle name="표준 10 7 4 3 4 4 2" xfId="35726"/>
    <cellStyle name="표준 10 7 4 3 4 5 2" xfId="35727"/>
    <cellStyle name="표준 10 7 4 3 5 2 2" xfId="35728"/>
    <cellStyle name="표준 10 7 4 3 6 3" xfId="35729"/>
    <cellStyle name="표준 10 7 4 3 6 2 2" xfId="35730"/>
    <cellStyle name="표준 10 7 4 3 7 2" xfId="35731"/>
    <cellStyle name="표준 10 7 4 3 8 2" xfId="35732"/>
    <cellStyle name="표준 10 7 4 4 2 2 2 2" xfId="35733"/>
    <cellStyle name="표준 10 7 4 4 2 3 3" xfId="35734"/>
    <cellStyle name="표준 10 7 4 4 2 3 2 2" xfId="35735"/>
    <cellStyle name="표준 10 7 4 4 2 4 2" xfId="35736"/>
    <cellStyle name="표준 10 7 4 4 2 5 2" xfId="35737"/>
    <cellStyle name="표준 10 7 4 4 3 2 2 2" xfId="35738"/>
    <cellStyle name="표준 10 7 4 4 3 3 3" xfId="35739"/>
    <cellStyle name="표준 10 7 4 4 3 3 2 2" xfId="35740"/>
    <cellStyle name="표준 10 7 4 4 3 4 2" xfId="35741"/>
    <cellStyle name="표준 10 7 4 4 3 5 2" xfId="35742"/>
    <cellStyle name="표준 10 7 4 4 4 2 2" xfId="35743"/>
    <cellStyle name="표준 10 7 4 4 5 3" xfId="35744"/>
    <cellStyle name="표준 10 7 4 4 5 2 2" xfId="35745"/>
    <cellStyle name="표준 10 7 4 4 6 2" xfId="35746"/>
    <cellStyle name="표준 10 7 4 4 7 2" xfId="35747"/>
    <cellStyle name="표준 10 7 4 5 2 2 2" xfId="35748"/>
    <cellStyle name="표준 10 7 4 5 3 3" xfId="35749"/>
    <cellStyle name="표준 10 7 4 5 3 2 2" xfId="35750"/>
    <cellStyle name="표준 10 7 4 5 4 2" xfId="35751"/>
    <cellStyle name="표준 10 7 4 5 5 2" xfId="35752"/>
    <cellStyle name="표준 10 7 4 6 2 2 2" xfId="35753"/>
    <cellStyle name="표준 10 7 4 6 3 3" xfId="35754"/>
    <cellStyle name="표준 10 7 4 6 3 2 2" xfId="35755"/>
    <cellStyle name="표준 10 7 4 6 4 2" xfId="35756"/>
    <cellStyle name="표준 10 7 4 6 5 2" xfId="35757"/>
    <cellStyle name="표준 10 7 4 7 2 2" xfId="35758"/>
    <cellStyle name="표준 10 7 4 8 3" xfId="35759"/>
    <cellStyle name="표준 10 7 4 8 2 2" xfId="35760"/>
    <cellStyle name="표준 10 7 4 9 2" xfId="35761"/>
    <cellStyle name="표준 10 7 5 2 2 2 2 2 2" xfId="35762"/>
    <cellStyle name="표준 10 7 5 2 2 2 3 3" xfId="35763"/>
    <cellStyle name="표준 10 7 5 2 2 2 3 2 2" xfId="35764"/>
    <cellStyle name="표준 10 7 5 2 2 2 4 2" xfId="35765"/>
    <cellStyle name="표준 10 7 5 2 2 2 5 2" xfId="35766"/>
    <cellStyle name="표준 10 7 5 2 2 3 2 2 2" xfId="35767"/>
    <cellStyle name="표준 10 7 5 2 2 3 3 3" xfId="35768"/>
    <cellStyle name="표준 10 7 5 2 2 3 3 2 2" xfId="35769"/>
    <cellStyle name="표준 10 7 5 2 2 3 4 2" xfId="35770"/>
    <cellStyle name="표준 10 7 5 2 2 3 5 2" xfId="35771"/>
    <cellStyle name="표준 10 7 5 2 2 4 2 2" xfId="35772"/>
    <cellStyle name="표준 10 7 5 2 2 5 3" xfId="35773"/>
    <cellStyle name="표준 10 7 5 2 2 5 2 2" xfId="35774"/>
    <cellStyle name="표준 10 7 5 2 2 6 2" xfId="35775"/>
    <cellStyle name="표준 10 7 5 2 2 7 2" xfId="35776"/>
    <cellStyle name="표준 10 7 5 2 3 2 2 2" xfId="35777"/>
    <cellStyle name="표준 10 7 5 2 3 3 3" xfId="35778"/>
    <cellStyle name="표준 10 7 5 2 3 3 2 2" xfId="35779"/>
    <cellStyle name="표준 10 7 5 2 3 4 2" xfId="35780"/>
    <cellStyle name="표준 10 7 5 2 3 5 2" xfId="35781"/>
    <cellStyle name="표준 10 7 5 2 4 2 2 2" xfId="35782"/>
    <cellStyle name="표준 10 7 5 2 4 3 3" xfId="35783"/>
    <cellStyle name="표준 10 7 5 2 4 3 2 2" xfId="35784"/>
    <cellStyle name="표준 10 7 5 2 4 4 2" xfId="35785"/>
    <cellStyle name="표준 10 7 5 2 4 5 2" xfId="35786"/>
    <cellStyle name="표준 10 7 5 2 5 2 2" xfId="35787"/>
    <cellStyle name="표준 10 7 5 2 6 3" xfId="35788"/>
    <cellStyle name="표준 10 7 5 2 6 2 2" xfId="35789"/>
    <cellStyle name="표준 10 7 5 2 7 2" xfId="35790"/>
    <cellStyle name="표준 10 7 5 2 8 2" xfId="35791"/>
    <cellStyle name="표준 10 7 5 3 2 2 2 2" xfId="35792"/>
    <cellStyle name="표준 10 7 5 3 2 3 3" xfId="35793"/>
    <cellStyle name="표준 10 7 5 3 2 3 2 2" xfId="35794"/>
    <cellStyle name="표준 10 7 5 3 2 4 2" xfId="35795"/>
    <cellStyle name="표준 10 7 5 3 2 5 2" xfId="35796"/>
    <cellStyle name="표준 10 7 5 3 3 2 2 2" xfId="35797"/>
    <cellStyle name="표준 10 7 5 3 3 3 3" xfId="35798"/>
    <cellStyle name="표준 10 7 5 3 3 3 2 2" xfId="35799"/>
    <cellStyle name="표준 10 7 5 3 3 4 2" xfId="35800"/>
    <cellStyle name="표준 10 7 5 3 3 5 2" xfId="35801"/>
    <cellStyle name="표준 10 7 5 3 4 2 2" xfId="35802"/>
    <cellStyle name="표준 10 7 5 3 5 3" xfId="35803"/>
    <cellStyle name="표준 10 7 5 3 5 2 2" xfId="35804"/>
    <cellStyle name="표준 10 7 5 3 6 2" xfId="35805"/>
    <cellStyle name="표준 10 7 5 3 7 2" xfId="35806"/>
    <cellStyle name="표준 10 7 5 4 2 2 2" xfId="35807"/>
    <cellStyle name="표준 10 7 5 4 3 3" xfId="35808"/>
    <cellStyle name="표준 10 7 5 4 3 2 2" xfId="35809"/>
    <cellStyle name="표준 10 7 5 4 4 2" xfId="35810"/>
    <cellStyle name="표준 10 7 5 4 5 2" xfId="35811"/>
    <cellStyle name="표준 10 7 5 5 2 2 2" xfId="35812"/>
    <cellStyle name="표준 10 7 5 5 3 3" xfId="35813"/>
    <cellStyle name="표준 10 7 5 5 3 2 2" xfId="35814"/>
    <cellStyle name="표준 10 7 5 5 4 2" xfId="35815"/>
    <cellStyle name="표준 10 7 5 5 5 2" xfId="35816"/>
    <cellStyle name="표준 10 7 5 6 2 2" xfId="35817"/>
    <cellStyle name="표준 10 7 5 7 3" xfId="35818"/>
    <cellStyle name="표준 10 7 5 7 2 2" xfId="35819"/>
    <cellStyle name="표준 10 7 5 8 2" xfId="35820"/>
    <cellStyle name="표준 10 7 5 9 2" xfId="35821"/>
    <cellStyle name="표준 10 7 6 2 2 2 2 2" xfId="35822"/>
    <cellStyle name="표준 10 7 6 2 2 3 3" xfId="35823"/>
    <cellStyle name="표준 10 7 6 2 2 3 2 2" xfId="35824"/>
    <cellStyle name="표준 10 7 6 2 2 4 2" xfId="35825"/>
    <cellStyle name="표준 10 7 6 2 2 5 2" xfId="35826"/>
    <cellStyle name="표준 10 7 6 2 3 2 2 2" xfId="35827"/>
    <cellStyle name="표준 10 7 6 2 3 3 3" xfId="35828"/>
    <cellStyle name="표준 10 7 6 2 3 3 2 2" xfId="35829"/>
    <cellStyle name="표준 10 7 6 2 3 4 2" xfId="35830"/>
    <cellStyle name="표준 10 7 6 2 3 5 2" xfId="35831"/>
    <cellStyle name="표준 10 7 6 2 4 2 2" xfId="35832"/>
    <cellStyle name="표준 10 7 6 2 5 3" xfId="35833"/>
    <cellStyle name="표준 10 7 6 2 5 2 2" xfId="35834"/>
    <cellStyle name="표준 10 7 6 2 6 2" xfId="35835"/>
    <cellStyle name="표준 10 7 6 2 7 2" xfId="35836"/>
    <cellStyle name="표준 10 7 6 3 2 2 2" xfId="35837"/>
    <cellStyle name="표준 10 7 6 3 3 3" xfId="35838"/>
    <cellStyle name="표준 10 7 6 3 3 2 2" xfId="35839"/>
    <cellStyle name="표준 10 7 6 3 4 2" xfId="35840"/>
    <cellStyle name="표준 10 7 6 3 5 2" xfId="35841"/>
    <cellStyle name="표준 10 7 6 4 2 2 2" xfId="35842"/>
    <cellStyle name="표준 10 7 6 4 3 3" xfId="35843"/>
    <cellStyle name="표준 10 7 6 4 3 2 2" xfId="35844"/>
    <cellStyle name="표준 10 7 6 4 4 2" xfId="35845"/>
    <cellStyle name="표준 10 7 6 4 5 2" xfId="35846"/>
    <cellStyle name="표준 10 7 6 5 2 2" xfId="35847"/>
    <cellStyle name="표준 10 7 6 6 3" xfId="35848"/>
    <cellStyle name="표준 10 7 6 6 2 2" xfId="35849"/>
    <cellStyle name="표준 10 7 6 7 2" xfId="35850"/>
    <cellStyle name="표준 10 7 6 8 2" xfId="35851"/>
    <cellStyle name="표준 10 7 7 2 2 2 2" xfId="35852"/>
    <cellStyle name="표준 10 7 7 2 3 3" xfId="35853"/>
    <cellStyle name="표준 10 7 7 2 3 2 2" xfId="35854"/>
    <cellStyle name="표준 10 7 7 2 4 2" xfId="35855"/>
    <cellStyle name="표준 10 7 7 2 5 2" xfId="35856"/>
    <cellStyle name="표준 10 7 7 3 2 2 2" xfId="35857"/>
    <cellStyle name="표준 10 7 7 3 3 3" xfId="35858"/>
    <cellStyle name="표준 10 7 7 3 3 2 2" xfId="35859"/>
    <cellStyle name="표준 10 7 7 3 4 2" xfId="35860"/>
    <cellStyle name="표준 10 7 7 3 5 2" xfId="35861"/>
    <cellStyle name="표준 10 7 7 4 2 2" xfId="35862"/>
    <cellStyle name="표준 10 7 7 5 3" xfId="35863"/>
    <cellStyle name="표준 10 7 7 5 2 2" xfId="35864"/>
    <cellStyle name="표준 10 7 7 6 2" xfId="35865"/>
    <cellStyle name="표준 10 7 7 7 2" xfId="35866"/>
    <cellStyle name="표준 10 7 8 2 2 2" xfId="35867"/>
    <cellStyle name="표준 10 7 8 3 3" xfId="35868"/>
    <cellStyle name="표준 10 7 8 3 2 2" xfId="35869"/>
    <cellStyle name="표준 10 7 8 4 2" xfId="35870"/>
    <cellStyle name="표준 10 7 8 5 2" xfId="35871"/>
    <cellStyle name="표준 10 7 9 2 2 2" xfId="35872"/>
    <cellStyle name="표준 10 7 9 3 3" xfId="35873"/>
    <cellStyle name="표준 10 7 9 3 2 2" xfId="35874"/>
    <cellStyle name="표준 10 7 9 4 2" xfId="35875"/>
    <cellStyle name="표준 10 7 9 5 2" xfId="35876"/>
    <cellStyle name="표준 10 8 10 2 2" xfId="35877"/>
    <cellStyle name="표준 10 8 11 3" xfId="35878"/>
    <cellStyle name="표준 10 8 11 2 2" xfId="35879"/>
    <cellStyle name="표준 10 8 12 2" xfId="35880"/>
    <cellStyle name="표준 10 8 13 2" xfId="35881"/>
    <cellStyle name="표준 10 8 2 10 2" xfId="35882"/>
    <cellStyle name="표준 10 8 2 2 2 2 2 2 2 2" xfId="35883"/>
    <cellStyle name="표준 10 8 2 2 2 2 2 3 3" xfId="35884"/>
    <cellStyle name="표준 10 8 2 2 2 2 2 3 2 2" xfId="35885"/>
    <cellStyle name="표준 10 8 2 2 2 2 2 4 2" xfId="35886"/>
    <cellStyle name="표준 10 8 2 2 2 2 2 5 2" xfId="35887"/>
    <cellStyle name="표준 10 8 2 2 2 2 3 2 2 2" xfId="35888"/>
    <cellStyle name="표준 10 8 2 2 2 2 3 3 3" xfId="35889"/>
    <cellStyle name="표준 10 8 2 2 2 2 3 3 2 2" xfId="35890"/>
    <cellStyle name="표준 10 8 2 2 2 2 3 4 2" xfId="35891"/>
    <cellStyle name="표준 10 8 2 2 2 2 3 5 2" xfId="35892"/>
    <cellStyle name="표준 10 8 2 2 2 2 4 2 2" xfId="35893"/>
    <cellStyle name="표준 10 8 2 2 2 2 5 3" xfId="35894"/>
    <cellStyle name="표준 10 8 2 2 2 2 5 2 2" xfId="35895"/>
    <cellStyle name="표준 10 8 2 2 2 2 6 2" xfId="35896"/>
    <cellStyle name="표준 10 8 2 2 2 2 7 2" xfId="35897"/>
    <cellStyle name="표준 10 8 2 2 2 3 2 2 2" xfId="35898"/>
    <cellStyle name="표준 10 8 2 2 2 3 3 3" xfId="35899"/>
    <cellStyle name="표준 10 8 2 2 2 3 3 2 2" xfId="35900"/>
    <cellStyle name="표준 10 8 2 2 2 3 4 2" xfId="35901"/>
    <cellStyle name="표준 10 8 2 2 2 3 5 2" xfId="35902"/>
    <cellStyle name="표준 10 8 2 2 2 4 2 2 2" xfId="35903"/>
    <cellStyle name="표준 10 8 2 2 2 4 3 3" xfId="35904"/>
    <cellStyle name="표준 10 8 2 2 2 4 3 2 2" xfId="35905"/>
    <cellStyle name="표준 10 8 2 2 2 4 4 2" xfId="35906"/>
    <cellStyle name="표준 10 8 2 2 2 4 5 2" xfId="35907"/>
    <cellStyle name="표준 10 8 2 2 2 5 2 2" xfId="35908"/>
    <cellStyle name="표준 10 8 2 2 2 6 3" xfId="35909"/>
    <cellStyle name="표준 10 8 2 2 2 6 2 2" xfId="35910"/>
    <cellStyle name="표준 10 8 2 2 2 7 2" xfId="35911"/>
    <cellStyle name="표준 10 8 2 2 2 8 2" xfId="35912"/>
    <cellStyle name="표준 10 8 2 2 3 2 2 2 2" xfId="35913"/>
    <cellStyle name="표준 10 8 2 2 3 2 3 3" xfId="35914"/>
    <cellStyle name="표준 10 8 2 2 3 2 3 2 2" xfId="35915"/>
    <cellStyle name="표준 10 8 2 2 3 2 4 2" xfId="35916"/>
    <cellStyle name="표준 10 8 2 2 3 2 5 2" xfId="35917"/>
    <cellStyle name="표준 10 8 2 2 3 3 2 2 2" xfId="35918"/>
    <cellStyle name="표준 10 8 2 2 3 3 3 3" xfId="35919"/>
    <cellStyle name="표준 10 8 2 2 3 3 3 2 2" xfId="35920"/>
    <cellStyle name="표준 10 8 2 2 3 3 4 2" xfId="35921"/>
    <cellStyle name="표준 10 8 2 2 3 3 5 2" xfId="35922"/>
    <cellStyle name="표준 10 8 2 2 3 4 2 2" xfId="35923"/>
    <cellStyle name="표준 10 8 2 2 3 5 3" xfId="35924"/>
    <cellStyle name="표준 10 8 2 2 3 5 2 2" xfId="35925"/>
    <cellStyle name="표준 10 8 2 2 3 6 2" xfId="35926"/>
    <cellStyle name="표준 10 8 2 2 3 7 2" xfId="35927"/>
    <cellStyle name="표준 10 8 2 2 4 2 2 2" xfId="35928"/>
    <cellStyle name="표준 10 8 2 2 4 3 3" xfId="35929"/>
    <cellStyle name="표준 10 8 2 2 4 3 2 2" xfId="35930"/>
    <cellStyle name="표준 10 8 2 2 4 4 2" xfId="35931"/>
    <cellStyle name="표준 10 8 2 2 4 5 2" xfId="35932"/>
    <cellStyle name="표준 10 8 2 2 5 2 2 2" xfId="35933"/>
    <cellStyle name="표준 10 8 2 2 5 3 3" xfId="35934"/>
    <cellStyle name="표준 10 8 2 2 5 3 2 2" xfId="35935"/>
    <cellStyle name="표준 10 8 2 2 5 4 2" xfId="35936"/>
    <cellStyle name="표준 10 8 2 2 5 5 2" xfId="35937"/>
    <cellStyle name="표준 10 8 2 2 6 2 2" xfId="35938"/>
    <cellStyle name="표준 10 8 2 2 7 3" xfId="35939"/>
    <cellStyle name="표준 10 8 2 2 7 2 2" xfId="35940"/>
    <cellStyle name="표준 10 8 2 2 8 2" xfId="35941"/>
    <cellStyle name="표준 10 8 2 2 9 2" xfId="35942"/>
    <cellStyle name="표준 10 8 2 3 2 2 2 2 2" xfId="35943"/>
    <cellStyle name="표준 10 8 2 3 2 2 3 3" xfId="35944"/>
    <cellStyle name="표준 10 8 2 3 2 2 3 2 2" xfId="35945"/>
    <cellStyle name="표준 10 8 2 3 2 2 4 2" xfId="35946"/>
    <cellStyle name="표준 10 8 2 3 2 2 5 2" xfId="35947"/>
    <cellStyle name="표준 10 8 2 3 2 3 2 2 2" xfId="35948"/>
    <cellStyle name="표준 10 8 2 3 2 3 3 3" xfId="35949"/>
    <cellStyle name="표준 10 8 2 3 2 3 3 2 2" xfId="35950"/>
    <cellStyle name="표준 10 8 2 3 2 3 4 2" xfId="35951"/>
    <cellStyle name="표준 10 8 2 3 2 3 5 2" xfId="35952"/>
    <cellStyle name="표준 10 8 2 3 2 4 2 2" xfId="35953"/>
    <cellStyle name="표준 10 8 2 3 2 5 3" xfId="35954"/>
    <cellStyle name="표준 10 8 2 3 2 5 2 2" xfId="35955"/>
    <cellStyle name="표준 10 8 2 3 2 6 2" xfId="35956"/>
    <cellStyle name="표준 10 8 2 3 2 7 2" xfId="35957"/>
    <cellStyle name="표준 10 8 2 3 3 2 2 2" xfId="35958"/>
    <cellStyle name="표준 10 8 2 3 3 3 3" xfId="35959"/>
    <cellStyle name="표준 10 8 2 3 3 3 2 2" xfId="35960"/>
    <cellStyle name="표준 10 8 2 3 3 4 2" xfId="35961"/>
    <cellStyle name="표준 10 8 2 3 3 5 2" xfId="35962"/>
    <cellStyle name="표준 10 8 2 3 4 2 2 2" xfId="35963"/>
    <cellStyle name="표준 10 8 2 3 4 3 3" xfId="35964"/>
    <cellStyle name="표준 10 8 2 3 4 3 2 2" xfId="35965"/>
    <cellStyle name="표준 10 8 2 3 4 4 2" xfId="35966"/>
    <cellStyle name="표준 10 8 2 3 4 5 2" xfId="35967"/>
    <cellStyle name="표준 10 8 2 3 5 2 2" xfId="35968"/>
    <cellStyle name="표준 10 8 2 3 6 3" xfId="35969"/>
    <cellStyle name="표준 10 8 2 3 6 2 2" xfId="35970"/>
    <cellStyle name="표준 10 8 2 3 7 2" xfId="35971"/>
    <cellStyle name="표준 10 8 2 3 8 2" xfId="35972"/>
    <cellStyle name="표준 10 8 2 4 2 2 2 2" xfId="35973"/>
    <cellStyle name="표준 10 8 2 4 2 3 3" xfId="35974"/>
    <cellStyle name="표준 10 8 2 4 2 3 2 2" xfId="35975"/>
    <cellStyle name="표준 10 8 2 4 2 4 2" xfId="35976"/>
    <cellStyle name="표준 10 8 2 4 2 5 2" xfId="35977"/>
    <cellStyle name="표준 10 8 2 4 3 2 2 2" xfId="35978"/>
    <cellStyle name="표준 10 8 2 4 3 3 3" xfId="35979"/>
    <cellStyle name="표준 10 8 2 4 3 3 2 2" xfId="35980"/>
    <cellStyle name="표준 10 8 2 4 3 4 2" xfId="35981"/>
    <cellStyle name="표준 10 8 2 4 3 5 2" xfId="35982"/>
    <cellStyle name="표준 10 8 2 4 4 2 2" xfId="35983"/>
    <cellStyle name="표준 10 8 2 4 5 3" xfId="35984"/>
    <cellStyle name="표준 10 8 2 4 5 2 2" xfId="35985"/>
    <cellStyle name="표준 10 8 2 4 6 2" xfId="35986"/>
    <cellStyle name="표준 10 8 2 4 7 2" xfId="35987"/>
    <cellStyle name="표준 10 8 2 5 2 2 2" xfId="35988"/>
    <cellStyle name="표준 10 8 2 5 3 3" xfId="35989"/>
    <cellStyle name="표준 10 8 2 5 3 2 2" xfId="35990"/>
    <cellStyle name="표준 10 8 2 5 4 2" xfId="35991"/>
    <cellStyle name="표준 10 8 2 5 5 2" xfId="35992"/>
    <cellStyle name="표준 10 8 2 6 2 2 2" xfId="35993"/>
    <cellStyle name="표준 10 8 2 6 3 3" xfId="35994"/>
    <cellStyle name="표준 10 8 2 6 3 2 2" xfId="35995"/>
    <cellStyle name="표준 10 8 2 6 4 2" xfId="35996"/>
    <cellStyle name="표준 10 8 2 6 5 2" xfId="35997"/>
    <cellStyle name="표준 10 8 2 7 2 2" xfId="35998"/>
    <cellStyle name="표준 10 8 2 8 3" xfId="35999"/>
    <cellStyle name="표준 10 8 2 8 2 2" xfId="36000"/>
    <cellStyle name="표준 10 8 2 9 2" xfId="36001"/>
    <cellStyle name="표준 10 8 3 10 2" xfId="36002"/>
    <cellStyle name="표준 10 8 3 2 2 2 2 2 2 2" xfId="36003"/>
    <cellStyle name="표준 10 8 3 2 2 2 2 3 3" xfId="36004"/>
    <cellStyle name="표준 10 8 3 2 2 2 2 3 2 2" xfId="36005"/>
    <cellStyle name="표준 10 8 3 2 2 2 2 4 2" xfId="36006"/>
    <cellStyle name="표준 10 8 3 2 2 2 2 5 2" xfId="36007"/>
    <cellStyle name="표준 10 8 3 2 2 2 3 2 2 2" xfId="36008"/>
    <cellStyle name="표준 10 8 3 2 2 2 3 3 3" xfId="36009"/>
    <cellStyle name="표준 10 8 3 2 2 2 3 3 2 2" xfId="36010"/>
    <cellStyle name="표준 10 8 3 2 2 2 3 4 2" xfId="36011"/>
    <cellStyle name="표준 10 8 3 2 2 2 3 5 2" xfId="36012"/>
    <cellStyle name="표준 10 8 3 2 2 2 4 2 2" xfId="36013"/>
    <cellStyle name="표준 10 8 3 2 2 2 5 3" xfId="36014"/>
    <cellStyle name="표준 10 8 3 2 2 2 5 2 2" xfId="36015"/>
    <cellStyle name="표준 10 8 3 2 2 2 6 2" xfId="36016"/>
    <cellStyle name="표준 10 8 3 2 2 2 7 2" xfId="36017"/>
    <cellStyle name="표준 10 8 3 2 2 3 2 2 2" xfId="36018"/>
    <cellStyle name="표준 10 8 3 2 2 3 3 3" xfId="36019"/>
    <cellStyle name="표준 10 8 3 2 2 3 3 2 2" xfId="36020"/>
    <cellStyle name="표준 10 8 3 2 2 3 4 2" xfId="36021"/>
    <cellStyle name="표준 10 8 3 2 2 3 5 2" xfId="36022"/>
    <cellStyle name="표준 10 8 3 2 2 4 2 2 2" xfId="36023"/>
    <cellStyle name="표준 10 8 3 2 2 4 3 3" xfId="36024"/>
    <cellStyle name="표준 10 8 3 2 2 4 3 2 2" xfId="36025"/>
    <cellStyle name="표준 10 8 3 2 2 4 4 2" xfId="36026"/>
    <cellStyle name="표준 10 8 3 2 2 4 5 2" xfId="36027"/>
    <cellStyle name="표준 10 8 3 2 2 5 2 2" xfId="36028"/>
    <cellStyle name="표준 10 8 3 2 2 6 3" xfId="36029"/>
    <cellStyle name="표준 10 8 3 2 2 6 2 2" xfId="36030"/>
    <cellStyle name="표준 10 8 3 2 2 7 2" xfId="36031"/>
    <cellStyle name="표준 10 8 3 2 2 8 2" xfId="36032"/>
    <cellStyle name="표준 10 8 3 2 3 2 2 2 2" xfId="36033"/>
    <cellStyle name="표준 10 8 3 2 3 2 3 3" xfId="36034"/>
    <cellStyle name="표준 10 8 3 2 3 2 3 2 2" xfId="36035"/>
    <cellStyle name="표준 10 8 3 2 3 2 4 2" xfId="36036"/>
    <cellStyle name="표준 10 8 3 2 3 2 5 2" xfId="36037"/>
    <cellStyle name="표준 10 8 3 2 3 3 2 2 2" xfId="36038"/>
    <cellStyle name="표준 10 8 3 2 3 3 3 3" xfId="36039"/>
    <cellStyle name="표준 10 8 3 2 3 3 3 2 2" xfId="36040"/>
    <cellStyle name="표준 10 8 3 2 3 3 4 2" xfId="36041"/>
    <cellStyle name="표준 10 8 3 2 3 3 5 2" xfId="36042"/>
    <cellStyle name="표준 10 8 3 2 3 4 2 2" xfId="36043"/>
    <cellStyle name="표준 10 8 3 2 3 5 3" xfId="36044"/>
    <cellStyle name="표준 10 8 3 2 3 5 2 2" xfId="36045"/>
    <cellStyle name="표준 10 8 3 2 3 6 2" xfId="36046"/>
    <cellStyle name="표준 10 8 3 2 3 7 2" xfId="36047"/>
    <cellStyle name="표준 10 8 3 2 4 2 2 2" xfId="36048"/>
    <cellStyle name="표준 10 8 3 2 4 3 3" xfId="36049"/>
    <cellStyle name="표준 10 8 3 2 4 3 2 2" xfId="36050"/>
    <cellStyle name="표준 10 8 3 2 4 4 2" xfId="36051"/>
    <cellStyle name="표준 10 8 3 2 4 5 2" xfId="36052"/>
    <cellStyle name="표준 10 8 3 2 5 2 2 2" xfId="36053"/>
    <cellStyle name="표준 10 8 3 2 5 3 3" xfId="36054"/>
    <cellStyle name="표준 10 8 3 2 5 3 2 2" xfId="36055"/>
    <cellStyle name="표준 10 8 3 2 5 4 2" xfId="36056"/>
    <cellStyle name="표준 10 8 3 2 5 5 2" xfId="36057"/>
    <cellStyle name="표준 10 8 3 2 6 2 2" xfId="36058"/>
    <cellStyle name="표준 10 8 3 2 7 3" xfId="36059"/>
    <cellStyle name="표준 10 8 3 2 7 2 2" xfId="36060"/>
    <cellStyle name="표준 10 8 3 2 8 2" xfId="36061"/>
    <cellStyle name="표준 10 8 3 2 9 2" xfId="36062"/>
    <cellStyle name="표준 10 8 3 3 2 2 2 2 2" xfId="36063"/>
    <cellStyle name="표준 10 8 3 3 2 2 3 3" xfId="36064"/>
    <cellStyle name="표준 10 8 3 3 2 2 3 2 2" xfId="36065"/>
    <cellStyle name="표준 10 8 3 3 2 2 4 2" xfId="36066"/>
    <cellStyle name="표준 10 8 3 3 2 2 5 2" xfId="36067"/>
    <cellStyle name="표준 10 8 3 3 2 3 2 2 2" xfId="36068"/>
    <cellStyle name="표준 10 8 3 3 2 3 3 3" xfId="36069"/>
    <cellStyle name="표준 10 8 3 3 2 3 3 2 2" xfId="36070"/>
    <cellStyle name="표준 10 8 3 3 2 3 4 2" xfId="36071"/>
    <cellStyle name="표준 10 8 3 3 2 3 5 2" xfId="36072"/>
    <cellStyle name="표준 10 8 3 3 2 4 2 2" xfId="36073"/>
    <cellStyle name="표준 10 8 3 3 2 5 3" xfId="36074"/>
    <cellStyle name="표준 10 8 3 3 2 5 2 2" xfId="36075"/>
    <cellStyle name="표준 10 8 3 3 2 6 2" xfId="36076"/>
    <cellStyle name="표준 10 8 3 3 2 7 2" xfId="36077"/>
    <cellStyle name="표준 10 8 3 3 3 2 2 2" xfId="36078"/>
    <cellStyle name="표준 10 8 3 3 3 3 3" xfId="36079"/>
    <cellStyle name="표준 10 8 3 3 3 3 2 2" xfId="36080"/>
    <cellStyle name="표준 10 8 3 3 3 4 2" xfId="36081"/>
    <cellStyle name="표준 10 8 3 3 3 5 2" xfId="36082"/>
    <cellStyle name="표준 10 8 3 3 4 2 2 2" xfId="36083"/>
    <cellStyle name="표준 10 8 3 3 4 3 3" xfId="36084"/>
    <cellStyle name="표준 10 8 3 3 4 3 2 2" xfId="36085"/>
    <cellStyle name="표준 10 8 3 3 4 4 2" xfId="36086"/>
    <cellStyle name="표준 10 8 3 3 4 5 2" xfId="36087"/>
    <cellStyle name="표준 10 8 3 3 5 2 2" xfId="36088"/>
    <cellStyle name="표준 10 8 3 3 6 3" xfId="36089"/>
    <cellStyle name="표준 10 8 3 3 6 2 2" xfId="36090"/>
    <cellStyle name="표준 10 8 3 3 7 2" xfId="36091"/>
    <cellStyle name="표준 10 8 3 3 8 2" xfId="36092"/>
    <cellStyle name="표준 10 8 3 4 2 2 2 2" xfId="36093"/>
    <cellStyle name="표준 10 8 3 4 2 3 3" xfId="36094"/>
    <cellStyle name="표준 10 8 3 4 2 3 2 2" xfId="36095"/>
    <cellStyle name="표준 10 8 3 4 2 4 2" xfId="36096"/>
    <cellStyle name="표준 10 8 3 4 2 5 2" xfId="36097"/>
    <cellStyle name="표준 10 8 3 4 3 2 2 2" xfId="36098"/>
    <cellStyle name="표준 10 8 3 4 3 3 3" xfId="36099"/>
    <cellStyle name="표준 10 8 3 4 3 3 2 2" xfId="36100"/>
    <cellStyle name="표준 10 8 3 4 3 4 2" xfId="36101"/>
    <cellStyle name="표준 10 8 3 4 3 5 2" xfId="36102"/>
    <cellStyle name="표준 10 8 3 4 4 2 2" xfId="36103"/>
    <cellStyle name="표준 10 8 3 4 5 3" xfId="36104"/>
    <cellStyle name="표준 10 8 3 4 5 2 2" xfId="36105"/>
    <cellStyle name="표준 10 8 3 4 6 2" xfId="36106"/>
    <cellStyle name="표준 10 8 3 4 7 2" xfId="36107"/>
    <cellStyle name="표준 10 8 3 5 2 2 2" xfId="36108"/>
    <cellStyle name="표준 10 8 3 5 3 3" xfId="36109"/>
    <cellStyle name="표준 10 8 3 5 3 2 2" xfId="36110"/>
    <cellStyle name="표준 10 8 3 5 4 2" xfId="36111"/>
    <cellStyle name="표준 10 8 3 5 5 2" xfId="36112"/>
    <cellStyle name="표준 10 8 3 6 2 2 2" xfId="36113"/>
    <cellStyle name="표준 10 8 3 6 3 3" xfId="36114"/>
    <cellStyle name="표준 10 8 3 6 3 2 2" xfId="36115"/>
    <cellStyle name="표준 10 8 3 6 4 2" xfId="36116"/>
    <cellStyle name="표준 10 8 3 6 5 2" xfId="36117"/>
    <cellStyle name="표준 10 8 3 7 2 2" xfId="36118"/>
    <cellStyle name="표준 10 8 3 8 3" xfId="36119"/>
    <cellStyle name="표준 10 8 3 8 2 2" xfId="36120"/>
    <cellStyle name="표준 10 8 3 9 2" xfId="36121"/>
    <cellStyle name="표준 10 8 4 10 2" xfId="36122"/>
    <cellStyle name="표준 10 8 4 2 2 2 2 2 2 2" xfId="36123"/>
    <cellStyle name="표준 10 8 4 2 2 2 2 3 3" xfId="36124"/>
    <cellStyle name="표준 10 8 4 2 2 2 2 3 2 2" xfId="36125"/>
    <cellStyle name="표준 10 8 4 2 2 2 2 4 2" xfId="36126"/>
    <cellStyle name="표준 10 8 4 2 2 2 2 5 2" xfId="36127"/>
    <cellStyle name="표준 10 8 4 2 2 2 3 2 2 2" xfId="36128"/>
    <cellStyle name="표준 10 8 4 2 2 2 3 3 3" xfId="36129"/>
    <cellStyle name="표준 10 8 4 2 2 2 3 3 2 2" xfId="36130"/>
    <cellStyle name="표준 10 8 4 2 2 2 3 4 2" xfId="36131"/>
    <cellStyle name="표준 10 8 4 2 2 2 3 5 2" xfId="36132"/>
    <cellStyle name="표준 10 8 4 2 2 2 4 2 2" xfId="36133"/>
    <cellStyle name="표준 10 8 4 2 2 2 5 3" xfId="36134"/>
    <cellStyle name="표준 10 8 4 2 2 2 5 2 2" xfId="36135"/>
    <cellStyle name="표준 10 8 4 2 2 2 6 2" xfId="36136"/>
    <cellStyle name="표준 10 8 4 2 2 2 7 2" xfId="36137"/>
    <cellStyle name="표준 10 8 4 2 2 3 2 2 2" xfId="36138"/>
    <cellStyle name="표준 10 8 4 2 2 3 3 3" xfId="36139"/>
    <cellStyle name="표준 10 8 4 2 2 3 3 2 2" xfId="36140"/>
    <cellStyle name="표준 10 8 4 2 2 3 4 2" xfId="36141"/>
    <cellStyle name="표준 10 8 4 2 2 3 5 2" xfId="36142"/>
    <cellStyle name="표준 10 8 4 2 2 4 2 2 2" xfId="36143"/>
    <cellStyle name="표준 10 8 4 2 2 4 3 3" xfId="36144"/>
    <cellStyle name="표준 10 8 4 2 2 4 3 2 2" xfId="36145"/>
    <cellStyle name="표준 10 8 4 2 2 4 4 2" xfId="36146"/>
    <cellStyle name="표준 10 8 4 2 2 4 5 2" xfId="36147"/>
    <cellStyle name="표준 10 8 4 2 2 5 2 2" xfId="36148"/>
    <cellStyle name="표준 10 8 4 2 2 6 3" xfId="36149"/>
    <cellStyle name="표준 10 8 4 2 2 6 2 2" xfId="36150"/>
    <cellStyle name="표준 10 8 4 2 2 7 2" xfId="36151"/>
    <cellStyle name="표준 10 8 4 2 2 8 2" xfId="36152"/>
    <cellStyle name="표준 10 8 4 2 3 2 2 2 2" xfId="36153"/>
    <cellStyle name="표준 10 8 4 2 3 2 3 3" xfId="36154"/>
    <cellStyle name="표준 10 8 4 2 3 2 3 2 2" xfId="36155"/>
    <cellStyle name="표준 10 8 4 2 3 2 4 2" xfId="36156"/>
    <cellStyle name="표준 10 8 4 2 3 2 5 2" xfId="36157"/>
    <cellStyle name="표준 10 8 4 2 3 3 2 2 2" xfId="36158"/>
    <cellStyle name="표준 10 8 4 2 3 3 3 3" xfId="36159"/>
    <cellStyle name="표준 10 8 4 2 3 3 3 2 2" xfId="36160"/>
    <cellStyle name="표준 10 8 4 2 3 3 4 2" xfId="36161"/>
    <cellStyle name="표준 10 8 4 2 3 3 5 2" xfId="36162"/>
    <cellStyle name="표준 10 8 4 2 3 4 2 2" xfId="36163"/>
    <cellStyle name="표준 10 8 4 2 3 5 3" xfId="36164"/>
    <cellStyle name="표준 10 8 4 2 3 5 2 2" xfId="36165"/>
    <cellStyle name="표준 10 8 4 2 3 6 2" xfId="36166"/>
    <cellStyle name="표준 10 8 4 2 3 7 2" xfId="36167"/>
    <cellStyle name="표준 10 8 4 2 4 2 2 2" xfId="36168"/>
    <cellStyle name="표준 10 8 4 2 4 3 3" xfId="36169"/>
    <cellStyle name="표준 10 8 4 2 4 3 2 2" xfId="36170"/>
    <cellStyle name="표준 10 8 4 2 4 4 2" xfId="36171"/>
    <cellStyle name="표준 10 8 4 2 4 5 2" xfId="36172"/>
    <cellStyle name="표준 10 8 4 2 5 2 2 2" xfId="36173"/>
    <cellStyle name="표준 10 8 4 2 5 3 3" xfId="36174"/>
    <cellStyle name="표준 10 8 4 2 5 3 2 2" xfId="36175"/>
    <cellStyle name="표준 10 8 4 2 5 4 2" xfId="36176"/>
    <cellStyle name="표준 10 8 4 2 5 5 2" xfId="36177"/>
    <cellStyle name="표준 10 8 4 2 6 2 2" xfId="36178"/>
    <cellStyle name="표준 10 8 4 2 7 3" xfId="36179"/>
    <cellStyle name="표준 10 8 4 2 7 2 2" xfId="36180"/>
    <cellStyle name="표준 10 8 4 2 8 2" xfId="36181"/>
    <cellStyle name="표준 10 8 4 2 9 2" xfId="36182"/>
    <cellStyle name="표준 10 8 4 3 2 2 2 2 2" xfId="36183"/>
    <cellStyle name="표준 10 8 4 3 2 2 3 3" xfId="36184"/>
    <cellStyle name="표준 10 8 4 3 2 2 3 2 2" xfId="36185"/>
    <cellStyle name="표준 10 8 4 3 2 2 4 2" xfId="36186"/>
    <cellStyle name="표준 10 8 4 3 2 2 5 2" xfId="36187"/>
    <cellStyle name="표준 10 8 4 3 2 3 2 2 2" xfId="36188"/>
    <cellStyle name="표준 10 8 4 3 2 3 3 3" xfId="36189"/>
    <cellStyle name="표준 10 8 4 3 2 3 3 2 2" xfId="36190"/>
    <cellStyle name="표준 10 8 4 3 2 3 4 2" xfId="36191"/>
    <cellStyle name="표준 10 8 4 3 2 3 5 2" xfId="36192"/>
    <cellStyle name="표준 10 8 4 3 2 4 2 2" xfId="36193"/>
    <cellStyle name="표준 10 8 4 3 2 5 3" xfId="36194"/>
    <cellStyle name="표준 10 8 4 3 2 5 2 2" xfId="36195"/>
    <cellStyle name="표준 10 8 4 3 2 6 2" xfId="36196"/>
    <cellStyle name="표준 10 8 4 3 2 7 2" xfId="36197"/>
    <cellStyle name="표준 10 8 4 3 3 2 2 2" xfId="36198"/>
    <cellStyle name="표준 10 8 4 3 3 3 3" xfId="36199"/>
    <cellStyle name="표준 10 8 4 3 3 3 2 2" xfId="36200"/>
    <cellStyle name="표준 10 8 4 3 3 4 2" xfId="36201"/>
    <cellStyle name="표준 10 8 4 3 3 5 2" xfId="36202"/>
    <cellStyle name="표준 10 8 4 3 4 2 2 2" xfId="36203"/>
    <cellStyle name="표준 10 8 4 3 4 3 3" xfId="36204"/>
    <cellStyle name="표준 10 8 4 3 4 3 2 2" xfId="36205"/>
    <cellStyle name="표준 10 8 4 3 4 4 2" xfId="36206"/>
    <cellStyle name="표준 10 8 4 3 4 5 2" xfId="36207"/>
    <cellStyle name="표준 10 8 4 3 5 2 2" xfId="36208"/>
    <cellStyle name="표준 10 8 4 3 6 3" xfId="36209"/>
    <cellStyle name="표준 10 8 4 3 6 2 2" xfId="36210"/>
    <cellStyle name="표준 10 8 4 3 7 2" xfId="36211"/>
    <cellStyle name="표준 10 8 4 3 8 2" xfId="36212"/>
    <cellStyle name="표준 10 8 4 4 2 2 2 2" xfId="36213"/>
    <cellStyle name="표준 10 8 4 4 2 3 3" xfId="36214"/>
    <cellStyle name="표준 10 8 4 4 2 3 2 2" xfId="36215"/>
    <cellStyle name="표준 10 8 4 4 2 4 2" xfId="36216"/>
    <cellStyle name="표준 10 8 4 4 2 5 2" xfId="36217"/>
    <cellStyle name="표준 10 8 4 4 3 2 2 2" xfId="36218"/>
    <cellStyle name="표준 10 8 4 4 3 3 3" xfId="36219"/>
    <cellStyle name="표준 10 8 4 4 3 3 2 2" xfId="36220"/>
    <cellStyle name="표준 10 8 4 4 3 4 2" xfId="36221"/>
    <cellStyle name="표준 10 8 4 4 3 5 2" xfId="36222"/>
    <cellStyle name="표준 10 8 4 4 4 2 2" xfId="36223"/>
    <cellStyle name="표준 10 8 4 4 5 3" xfId="36224"/>
    <cellStyle name="표준 10 8 4 4 5 2 2" xfId="36225"/>
    <cellStyle name="표준 10 8 4 4 6 2" xfId="36226"/>
    <cellStyle name="표준 10 8 4 4 7 2" xfId="36227"/>
    <cellStyle name="표준 10 8 4 5 2 2 2" xfId="36228"/>
    <cellStyle name="표준 10 8 4 5 3 3" xfId="36229"/>
    <cellStyle name="표준 10 8 4 5 3 2 2" xfId="36230"/>
    <cellStyle name="표준 10 8 4 5 4 2" xfId="36231"/>
    <cellStyle name="표준 10 8 4 5 5 2" xfId="36232"/>
    <cellStyle name="표준 10 8 4 6 2 2 2" xfId="36233"/>
    <cellStyle name="표준 10 8 4 6 3 3" xfId="36234"/>
    <cellStyle name="표준 10 8 4 6 3 2 2" xfId="36235"/>
    <cellStyle name="표준 10 8 4 6 4 2" xfId="36236"/>
    <cellStyle name="표준 10 8 4 6 5 2" xfId="36237"/>
    <cellStyle name="표준 10 8 4 7 2 2" xfId="36238"/>
    <cellStyle name="표준 10 8 4 8 3" xfId="36239"/>
    <cellStyle name="표준 10 8 4 8 2 2" xfId="36240"/>
    <cellStyle name="표준 10 8 4 9 2" xfId="36241"/>
    <cellStyle name="표준 10 8 5 2 2 2 2 2 2" xfId="36242"/>
    <cellStyle name="표준 10 8 5 2 2 2 3 3" xfId="36243"/>
    <cellStyle name="표준 10 8 5 2 2 2 3 2 2" xfId="36244"/>
    <cellStyle name="표준 10 8 5 2 2 2 4 2" xfId="36245"/>
    <cellStyle name="표준 10 8 5 2 2 2 5 2" xfId="36246"/>
    <cellStyle name="표준 10 8 5 2 2 3 2 2 2" xfId="36247"/>
    <cellStyle name="표준 10 8 5 2 2 3 3 3" xfId="36248"/>
    <cellStyle name="표준 10 8 5 2 2 3 3 2 2" xfId="36249"/>
    <cellStyle name="표준 10 8 5 2 2 3 4 2" xfId="36250"/>
    <cellStyle name="표준 10 8 5 2 2 3 5 2" xfId="36251"/>
    <cellStyle name="표준 10 8 5 2 2 4 2 2" xfId="36252"/>
    <cellStyle name="표준 10 8 5 2 2 5 3" xfId="36253"/>
    <cellStyle name="표준 10 8 5 2 2 5 2 2" xfId="36254"/>
    <cellStyle name="표준 10 8 5 2 2 6 2" xfId="36255"/>
    <cellStyle name="표준 10 8 5 2 2 7 2" xfId="36256"/>
    <cellStyle name="표준 10 8 5 2 3 2 2 2" xfId="36257"/>
    <cellStyle name="표준 10 8 5 2 3 3 3" xfId="36258"/>
    <cellStyle name="표준 10 8 5 2 3 3 2 2" xfId="36259"/>
    <cellStyle name="표준 10 8 5 2 3 4 2" xfId="36260"/>
    <cellStyle name="표준 10 8 5 2 3 5 2" xfId="36261"/>
    <cellStyle name="표준 10 8 5 2 4 2 2 2" xfId="36262"/>
    <cellStyle name="표준 10 8 5 2 4 3 3" xfId="36263"/>
    <cellStyle name="표준 10 8 5 2 4 3 2 2" xfId="36264"/>
    <cellStyle name="표준 10 8 5 2 4 4 2" xfId="36265"/>
    <cellStyle name="표준 10 8 5 2 4 5 2" xfId="36266"/>
    <cellStyle name="표준 10 8 5 2 5 2 2" xfId="36267"/>
    <cellStyle name="표준 10 8 5 2 6 3" xfId="36268"/>
    <cellStyle name="표준 10 8 5 2 6 2 2" xfId="36269"/>
    <cellStyle name="표준 10 8 5 2 7 2" xfId="36270"/>
    <cellStyle name="표준 10 8 5 2 8 2" xfId="36271"/>
    <cellStyle name="표준 10 8 5 3 2 2 2 2" xfId="36272"/>
    <cellStyle name="표준 10 8 5 3 2 3 3" xfId="36273"/>
    <cellStyle name="표준 10 8 5 3 2 3 2 2" xfId="36274"/>
    <cellStyle name="표준 10 8 5 3 2 4 2" xfId="36275"/>
    <cellStyle name="표준 10 8 5 3 2 5 2" xfId="36276"/>
    <cellStyle name="표준 10 8 5 3 3 2 2 2" xfId="36277"/>
    <cellStyle name="표준 10 8 5 3 3 3 3" xfId="36278"/>
    <cellStyle name="표준 10 8 5 3 3 3 2 2" xfId="36279"/>
    <cellStyle name="표준 10 8 5 3 3 4 2" xfId="36280"/>
    <cellStyle name="표준 10 8 5 3 3 5 2" xfId="36281"/>
    <cellStyle name="표준 10 8 5 3 4 2 2" xfId="36282"/>
    <cellStyle name="표준 10 8 5 3 5 3" xfId="36283"/>
    <cellStyle name="표준 10 8 5 3 5 2 2" xfId="36284"/>
    <cellStyle name="표준 10 8 5 3 6 2" xfId="36285"/>
    <cellStyle name="표준 10 8 5 3 7 2" xfId="36286"/>
    <cellStyle name="표준 10 8 5 4 2 2 2" xfId="36287"/>
    <cellStyle name="표준 10 8 5 4 3 3" xfId="36288"/>
    <cellStyle name="표준 10 8 5 4 3 2 2" xfId="36289"/>
    <cellStyle name="표준 10 8 5 4 4 2" xfId="36290"/>
    <cellStyle name="표준 10 8 5 4 5 2" xfId="36291"/>
    <cellStyle name="표준 10 8 5 5 2 2 2" xfId="36292"/>
    <cellStyle name="표준 10 8 5 5 3 3" xfId="36293"/>
    <cellStyle name="표준 10 8 5 5 3 2 2" xfId="36294"/>
    <cellStyle name="표준 10 8 5 5 4 2" xfId="36295"/>
    <cellStyle name="표준 10 8 5 5 5 2" xfId="36296"/>
    <cellStyle name="표준 10 8 5 6 2 2" xfId="36297"/>
    <cellStyle name="표준 10 8 5 7 3" xfId="36298"/>
    <cellStyle name="표준 10 8 5 7 2 2" xfId="36299"/>
    <cellStyle name="표준 10 8 5 8 2" xfId="36300"/>
    <cellStyle name="표준 10 8 5 9 2" xfId="36301"/>
    <cellStyle name="표준 10 8 6 2 2 2 2 2" xfId="36302"/>
    <cellStyle name="표준 10 8 6 2 2 3 3" xfId="36303"/>
    <cellStyle name="표준 10 8 6 2 2 3 2 2" xfId="36304"/>
    <cellStyle name="표준 10 8 6 2 2 4 2" xfId="36305"/>
    <cellStyle name="표준 10 8 6 2 2 5 2" xfId="36306"/>
    <cellStyle name="표준 10 8 6 2 3 2 2 2" xfId="36307"/>
    <cellStyle name="표준 10 8 6 2 3 3 3" xfId="36308"/>
    <cellStyle name="표준 10 8 6 2 3 3 2 2" xfId="36309"/>
    <cellStyle name="표준 10 8 6 2 3 4 2" xfId="36310"/>
    <cellStyle name="표준 10 8 6 2 3 5 2" xfId="36311"/>
    <cellStyle name="표준 10 8 6 2 4 2 2" xfId="36312"/>
    <cellStyle name="표준 10 8 6 2 5 3" xfId="36313"/>
    <cellStyle name="표준 10 8 6 2 5 2 2" xfId="36314"/>
    <cellStyle name="표준 10 8 6 2 6 2" xfId="36315"/>
    <cellStyle name="표준 10 8 6 2 7 2" xfId="36316"/>
    <cellStyle name="표준 10 8 6 3 2 2 2" xfId="36317"/>
    <cellStyle name="표준 10 8 6 3 3 3" xfId="36318"/>
    <cellStyle name="표준 10 8 6 3 3 2 2" xfId="36319"/>
    <cellStyle name="표준 10 8 6 3 4 2" xfId="36320"/>
    <cellStyle name="표준 10 8 6 3 5 2" xfId="36321"/>
    <cellStyle name="표준 10 8 6 4 2 2 2" xfId="36322"/>
    <cellStyle name="표준 10 8 6 4 3 3" xfId="36323"/>
    <cellStyle name="표준 10 8 6 4 3 2 2" xfId="36324"/>
    <cellStyle name="표준 10 8 6 4 4 2" xfId="36325"/>
    <cellStyle name="표준 10 8 6 4 5 2" xfId="36326"/>
    <cellStyle name="표준 10 8 6 5 2 2" xfId="36327"/>
    <cellStyle name="표준 10 8 6 6 3" xfId="36328"/>
    <cellStyle name="표준 10 8 6 6 2 2" xfId="36329"/>
    <cellStyle name="표준 10 8 6 7 2" xfId="36330"/>
    <cellStyle name="표준 10 8 6 8 2" xfId="36331"/>
    <cellStyle name="표준 10 8 7 2 2 2 2" xfId="36332"/>
    <cellStyle name="표준 10 8 7 2 3 3" xfId="36333"/>
    <cellStyle name="표준 10 8 7 2 3 2 2" xfId="36334"/>
    <cellStyle name="표준 10 8 7 2 4 2" xfId="36335"/>
    <cellStyle name="표준 10 8 7 2 5 2" xfId="36336"/>
    <cellStyle name="표준 10 8 7 3 2 2 2" xfId="36337"/>
    <cellStyle name="표준 10 8 7 3 3 3" xfId="36338"/>
    <cellStyle name="표준 10 8 7 3 3 2 2" xfId="36339"/>
    <cellStyle name="표준 10 8 7 3 4 2" xfId="36340"/>
    <cellStyle name="표준 10 8 7 3 5 2" xfId="36341"/>
    <cellStyle name="표준 10 8 7 4 2 2" xfId="36342"/>
    <cellStyle name="표준 10 8 7 5 3" xfId="36343"/>
    <cellStyle name="표준 10 8 7 5 2 2" xfId="36344"/>
    <cellStyle name="표준 10 8 7 6 2" xfId="36345"/>
    <cellStyle name="표준 10 8 7 7 2" xfId="36346"/>
    <cellStyle name="표준 10 8 8 2 2 2" xfId="36347"/>
    <cellStyle name="표준 10 8 8 3 3" xfId="36348"/>
    <cellStyle name="표준 10 8 8 3 2 2" xfId="36349"/>
    <cellStyle name="표준 10 8 8 4 2" xfId="36350"/>
    <cellStyle name="표준 10 8 8 5 2" xfId="36351"/>
    <cellStyle name="표준 10 8 9 2 2 2" xfId="36352"/>
    <cellStyle name="표준 10 8 9 3 3" xfId="36353"/>
    <cellStyle name="표준 10 8 9 3 2 2" xfId="36354"/>
    <cellStyle name="표준 10 8 9 4 2" xfId="36355"/>
    <cellStyle name="표준 10 8 9 5 2" xfId="36356"/>
    <cellStyle name="표준 10 9 10 3" xfId="36357"/>
    <cellStyle name="표준 10 9 10 2 2" xfId="36358"/>
    <cellStyle name="표준 10 9 11 2" xfId="36359"/>
    <cellStyle name="표준 10 9 12 2" xfId="36360"/>
    <cellStyle name="표준 10 9 2 10 2" xfId="36361"/>
    <cellStyle name="표준 10 9 2 2 2 2 2 2 2 2" xfId="36362"/>
    <cellStyle name="표준 10 9 2 2 2 2 2 3 3" xfId="36363"/>
    <cellStyle name="표준 10 9 2 2 2 2 2 3 2 2" xfId="36364"/>
    <cellStyle name="표준 10 9 2 2 2 2 2 4 2" xfId="36365"/>
    <cellStyle name="표준 10 9 2 2 2 2 2 5 2" xfId="36366"/>
    <cellStyle name="표준 10 9 2 2 2 2 3 2 2 2" xfId="36367"/>
    <cellStyle name="표준 10 9 2 2 2 2 3 3 3" xfId="36368"/>
    <cellStyle name="표준 10 9 2 2 2 2 3 3 2 2" xfId="36369"/>
    <cellStyle name="표준 10 9 2 2 2 2 3 4 2" xfId="36370"/>
    <cellStyle name="표준 10 9 2 2 2 2 3 5 2" xfId="36371"/>
    <cellStyle name="표준 10 9 2 2 2 2 4 2 2" xfId="36372"/>
    <cellStyle name="표준 10 9 2 2 2 2 5 3" xfId="36373"/>
    <cellStyle name="표준 10 9 2 2 2 2 5 2 2" xfId="36374"/>
    <cellStyle name="표준 10 9 2 2 2 2 6 2" xfId="36375"/>
    <cellStyle name="표준 10 9 2 2 2 2 7 2" xfId="36376"/>
    <cellStyle name="표준 10 9 2 2 2 3 2 2 2" xfId="36377"/>
    <cellStyle name="표준 10 9 2 2 2 3 3 3" xfId="36378"/>
    <cellStyle name="표준 10 9 2 2 2 3 3 2 2" xfId="36379"/>
    <cellStyle name="표준 10 9 2 2 2 3 4 2" xfId="36380"/>
    <cellStyle name="표준 10 9 2 2 2 3 5 2" xfId="36381"/>
    <cellStyle name="표준 10 9 2 2 2 4 2 2 2" xfId="36382"/>
    <cellStyle name="표준 10 9 2 2 2 4 3 3" xfId="36383"/>
    <cellStyle name="표준 10 9 2 2 2 4 3 2 2" xfId="36384"/>
    <cellStyle name="표준 10 9 2 2 2 4 4 2" xfId="36385"/>
    <cellStyle name="표준 10 9 2 2 2 4 5 2" xfId="36386"/>
    <cellStyle name="표준 10 9 2 2 2 5 2 2" xfId="36387"/>
    <cellStyle name="표준 10 9 2 2 2 6 3" xfId="36388"/>
    <cellStyle name="표준 10 9 2 2 2 6 2 2" xfId="36389"/>
    <cellStyle name="표준 10 9 2 2 2 7 2" xfId="36390"/>
    <cellStyle name="표준 10 9 2 2 2 8 2" xfId="36391"/>
    <cellStyle name="표준 10 9 2 2 3 2 2 2 2" xfId="36392"/>
    <cellStyle name="표준 10 9 2 2 3 2 3 3" xfId="36393"/>
    <cellStyle name="표준 10 9 2 2 3 2 3 2 2" xfId="36394"/>
    <cellStyle name="표준 10 9 2 2 3 2 4 2" xfId="36395"/>
    <cellStyle name="표준 10 9 2 2 3 2 5 2" xfId="36396"/>
    <cellStyle name="표준 10 9 2 2 3 3 2 2 2" xfId="36397"/>
    <cellStyle name="표준 10 9 2 2 3 3 3 3" xfId="36398"/>
    <cellStyle name="표준 10 9 2 2 3 3 3 2 2" xfId="36399"/>
    <cellStyle name="표준 10 9 2 2 3 3 4 2" xfId="36400"/>
    <cellStyle name="표준 10 9 2 2 3 3 5 2" xfId="36401"/>
    <cellStyle name="표준 10 9 2 2 3 4 2 2" xfId="36402"/>
    <cellStyle name="표준 10 9 2 2 3 5 3" xfId="36403"/>
    <cellStyle name="표준 10 9 2 2 3 5 2 2" xfId="36404"/>
    <cellStyle name="표준 10 9 2 2 3 6 2" xfId="36405"/>
    <cellStyle name="표준 10 9 2 2 3 7 2" xfId="36406"/>
    <cellStyle name="표준 10 9 2 2 4 2 2 2" xfId="36407"/>
    <cellStyle name="표준 10 9 2 2 4 3 3" xfId="36408"/>
    <cellStyle name="표준 10 9 2 2 4 3 2 2" xfId="36409"/>
    <cellStyle name="표준 10 9 2 2 4 4 2" xfId="36410"/>
    <cellStyle name="표준 10 9 2 2 4 5 2" xfId="36411"/>
    <cellStyle name="표준 10 9 2 2 5 2 2 2" xfId="36412"/>
    <cellStyle name="표준 10 9 2 2 5 3 3" xfId="36413"/>
    <cellStyle name="표준 10 9 2 2 5 3 2 2" xfId="36414"/>
    <cellStyle name="표준 10 9 2 2 5 4 2" xfId="36415"/>
    <cellStyle name="표준 10 9 2 2 5 5 2" xfId="36416"/>
    <cellStyle name="표준 10 9 2 2 6 2 2" xfId="36417"/>
    <cellStyle name="표준 10 9 2 2 7 3" xfId="36418"/>
    <cellStyle name="표준 10 9 2 2 7 2 2" xfId="36419"/>
    <cellStyle name="표준 10 9 2 2 8 2" xfId="36420"/>
    <cellStyle name="표준 10 9 2 2 9 2" xfId="36421"/>
    <cellStyle name="표준 10 9 2 3 2 2 2 2 2" xfId="36422"/>
    <cellStyle name="표준 10 9 2 3 2 2 3 3" xfId="36423"/>
    <cellStyle name="표준 10 9 2 3 2 2 3 2 2" xfId="36424"/>
    <cellStyle name="표준 10 9 2 3 2 2 4 2" xfId="36425"/>
    <cellStyle name="표준 10 9 2 3 2 2 5 2" xfId="36426"/>
    <cellStyle name="표준 10 9 2 3 2 3 2 2 2" xfId="36427"/>
    <cellStyle name="표준 10 9 2 3 2 3 3 3" xfId="36428"/>
    <cellStyle name="표준 10 9 2 3 2 3 3 2 2" xfId="36429"/>
    <cellStyle name="표준 10 9 2 3 2 3 4 2" xfId="36430"/>
    <cellStyle name="표준 10 9 2 3 2 3 5 2" xfId="36431"/>
    <cellStyle name="표준 10 9 2 3 2 4 2 2" xfId="36432"/>
    <cellStyle name="표준 10 9 2 3 2 5 3" xfId="36433"/>
    <cellStyle name="표준 10 9 2 3 2 5 2 2" xfId="36434"/>
    <cellStyle name="표준 10 9 2 3 2 6 2" xfId="36435"/>
    <cellStyle name="표준 10 9 2 3 2 7 2" xfId="36436"/>
    <cellStyle name="표준 10 9 2 3 3 2 2 2" xfId="36437"/>
    <cellStyle name="표준 10 9 2 3 3 3 3" xfId="36438"/>
    <cellStyle name="표준 10 9 2 3 3 3 2 2" xfId="36439"/>
    <cellStyle name="표준 10 9 2 3 3 4 2" xfId="36440"/>
    <cellStyle name="표준 10 9 2 3 3 5 2" xfId="36441"/>
    <cellStyle name="표준 10 9 2 3 4 2 2 2" xfId="36442"/>
    <cellStyle name="표준 10 9 2 3 4 3 3" xfId="36443"/>
    <cellStyle name="표준 10 9 2 3 4 3 2 2" xfId="36444"/>
    <cellStyle name="표준 10 9 2 3 4 4 2" xfId="36445"/>
    <cellStyle name="표준 10 9 2 3 4 5 2" xfId="36446"/>
    <cellStyle name="표준 10 9 2 3 5 2 2" xfId="36447"/>
    <cellStyle name="표준 10 9 2 3 6 3" xfId="36448"/>
    <cellStyle name="표준 10 9 2 3 6 2 2" xfId="36449"/>
    <cellStyle name="표준 10 9 2 3 7 2" xfId="36450"/>
    <cellStyle name="표준 10 9 2 3 8 2" xfId="36451"/>
    <cellStyle name="표준 10 9 2 4 2 2 2 2" xfId="36452"/>
    <cellStyle name="표준 10 9 2 4 2 3 3" xfId="36453"/>
    <cellStyle name="표준 10 9 2 4 2 3 2 2" xfId="36454"/>
    <cellStyle name="표준 10 9 2 4 2 4 2" xfId="36455"/>
    <cellStyle name="표준 10 9 2 4 2 5 2" xfId="36456"/>
    <cellStyle name="표준 10 9 2 4 3 2 2 2" xfId="36457"/>
    <cellStyle name="표준 10 9 2 4 3 3 3" xfId="36458"/>
    <cellStyle name="표준 10 9 2 4 3 3 2 2" xfId="36459"/>
    <cellStyle name="표준 10 9 2 4 3 4 2" xfId="36460"/>
    <cellStyle name="표준 10 9 2 4 3 5 2" xfId="36461"/>
    <cellStyle name="표준 10 9 2 4 4 2 2" xfId="36462"/>
    <cellStyle name="표준 10 9 2 4 5 3" xfId="36463"/>
    <cellStyle name="표준 10 9 2 4 5 2 2" xfId="36464"/>
    <cellStyle name="표준 10 9 2 4 6 2" xfId="36465"/>
    <cellStyle name="표준 10 9 2 4 7 2" xfId="36466"/>
    <cellStyle name="표준 10 9 2 5 2 2 2" xfId="36467"/>
    <cellStyle name="표준 10 9 2 5 3 3" xfId="36468"/>
    <cellStyle name="표준 10 9 2 5 3 2 2" xfId="36469"/>
    <cellStyle name="표준 10 9 2 5 4 2" xfId="36470"/>
    <cellStyle name="표준 10 9 2 5 5 2" xfId="36471"/>
    <cellStyle name="표준 10 9 2 6 2 2 2" xfId="36472"/>
    <cellStyle name="표준 10 9 2 6 3 3" xfId="36473"/>
    <cellStyle name="표준 10 9 2 6 3 2 2" xfId="36474"/>
    <cellStyle name="표준 10 9 2 6 4 2" xfId="36475"/>
    <cellStyle name="표준 10 9 2 6 5 2" xfId="36476"/>
    <cellStyle name="표준 10 9 2 7 2 2" xfId="36477"/>
    <cellStyle name="표준 10 9 2 8 3" xfId="36478"/>
    <cellStyle name="표준 10 9 2 8 2 2" xfId="36479"/>
    <cellStyle name="표준 10 9 2 9 2" xfId="36480"/>
    <cellStyle name="표준 10 9 3 10 2" xfId="36481"/>
    <cellStyle name="표준 10 9 3 2 2 2 2 2 2 2" xfId="36482"/>
    <cellStyle name="표준 10 9 3 2 2 2 2 3 3" xfId="36483"/>
    <cellStyle name="표준 10 9 3 2 2 2 2 3 2 2" xfId="36484"/>
    <cellStyle name="표준 10 9 3 2 2 2 2 4 2" xfId="36485"/>
    <cellStyle name="표준 10 9 3 2 2 2 2 5 2" xfId="36486"/>
    <cellStyle name="표준 10 9 3 2 2 2 3 2 2 2" xfId="36487"/>
    <cellStyle name="표준 10 9 3 2 2 2 3 3 3" xfId="36488"/>
    <cellStyle name="표준 10 9 3 2 2 2 3 3 2 2" xfId="36489"/>
    <cellStyle name="표준 10 9 3 2 2 2 3 4 2" xfId="36490"/>
    <cellStyle name="표준 10 9 3 2 2 2 3 5 2" xfId="36491"/>
    <cellStyle name="표준 10 9 3 2 2 2 4 2 2" xfId="36492"/>
    <cellStyle name="표준 10 9 3 2 2 2 5 3" xfId="36493"/>
    <cellStyle name="표준 10 9 3 2 2 2 5 2 2" xfId="36494"/>
    <cellStyle name="표준 10 9 3 2 2 2 6 2" xfId="36495"/>
    <cellStyle name="표준 10 9 3 2 2 2 7 2" xfId="36496"/>
    <cellStyle name="표준 10 9 3 2 2 3 2 2 2" xfId="36497"/>
    <cellStyle name="표준 10 9 3 2 2 3 3 3" xfId="36498"/>
    <cellStyle name="표준 10 9 3 2 2 3 3 2 2" xfId="36499"/>
    <cellStyle name="표준 10 9 3 2 2 3 4 2" xfId="36500"/>
    <cellStyle name="표준 10 9 3 2 2 3 5 2" xfId="36501"/>
    <cellStyle name="표준 10 9 3 2 2 4 2 2 2" xfId="36502"/>
    <cellStyle name="표준 10 9 3 2 2 4 3 3" xfId="36503"/>
    <cellStyle name="표준 10 9 3 2 2 4 3 2 2" xfId="36504"/>
    <cellStyle name="표준 10 9 3 2 2 4 4 2" xfId="36505"/>
    <cellStyle name="표준 10 9 3 2 2 4 5 2" xfId="36506"/>
    <cellStyle name="표준 10 9 3 2 2 5 2 2" xfId="36507"/>
    <cellStyle name="표준 10 9 3 2 2 6 3" xfId="36508"/>
    <cellStyle name="표준 10 9 3 2 2 6 2 2" xfId="36509"/>
    <cellStyle name="표준 10 9 3 2 2 7 2" xfId="36510"/>
    <cellStyle name="표준 10 9 3 2 2 8 2" xfId="36511"/>
    <cellStyle name="표준 10 9 3 2 3 2 2 2 2" xfId="36512"/>
    <cellStyle name="표준 10 9 3 2 3 2 3 3" xfId="36513"/>
    <cellStyle name="표준 10 9 3 2 3 2 3 2 2" xfId="36514"/>
    <cellStyle name="표준 10 9 3 2 3 2 4 2" xfId="36515"/>
    <cellStyle name="표준 10 9 3 2 3 2 5 2" xfId="36516"/>
    <cellStyle name="표준 10 9 3 2 3 3 2 2 2" xfId="36517"/>
    <cellStyle name="표준 10 9 3 2 3 3 3 3" xfId="36518"/>
    <cellStyle name="표준 10 9 3 2 3 3 3 2 2" xfId="36519"/>
    <cellStyle name="표준 10 9 3 2 3 3 4 2" xfId="36520"/>
    <cellStyle name="표준 10 9 3 2 3 3 5 2" xfId="36521"/>
    <cellStyle name="표준 10 9 3 2 3 4 2 2" xfId="36522"/>
    <cellStyle name="표준 10 9 3 2 3 5 3" xfId="36523"/>
    <cellStyle name="표준 10 9 3 2 3 5 2 2" xfId="36524"/>
    <cellStyle name="표준 10 9 3 2 3 6 2" xfId="36525"/>
    <cellStyle name="표준 10 9 3 2 3 7 2" xfId="36526"/>
    <cellStyle name="표준 10 9 3 2 4 2 2 2" xfId="36527"/>
    <cellStyle name="표준 10 9 3 2 4 3 3" xfId="36528"/>
    <cellStyle name="표준 10 9 3 2 4 3 2 2" xfId="36529"/>
    <cellStyle name="표준 10 9 3 2 4 4 2" xfId="36530"/>
    <cellStyle name="표준 10 9 3 2 4 5 2" xfId="36531"/>
    <cellStyle name="표준 10 9 3 2 5 2 2 2" xfId="36532"/>
    <cellStyle name="표준 10 9 3 2 5 3 3" xfId="36533"/>
    <cellStyle name="표준 10 9 3 2 5 3 2 2" xfId="36534"/>
    <cellStyle name="표준 10 9 3 2 5 4 2" xfId="36535"/>
    <cellStyle name="표준 10 9 3 2 5 5 2" xfId="36536"/>
    <cellStyle name="표준 10 9 3 2 6 2 2" xfId="36537"/>
    <cellStyle name="표준 10 9 3 2 7 3" xfId="36538"/>
    <cellStyle name="표준 10 9 3 2 7 2 2" xfId="36539"/>
    <cellStyle name="표준 10 9 3 2 8 2" xfId="36540"/>
    <cellStyle name="표준 10 9 3 2 9 2" xfId="36541"/>
    <cellStyle name="표준 10 9 3 3 2 2 2 2 2" xfId="36542"/>
    <cellStyle name="표준 10 9 3 3 2 2 3 3" xfId="36543"/>
    <cellStyle name="표준 10 9 3 3 2 2 3 2 2" xfId="36544"/>
    <cellStyle name="표준 10 9 3 3 2 2 4 2" xfId="36545"/>
    <cellStyle name="표준 10 9 3 3 2 2 5 2" xfId="36546"/>
    <cellStyle name="표준 10 9 3 3 2 3 2 2 2" xfId="36547"/>
    <cellStyle name="표준 10 9 3 3 2 3 3 3" xfId="36548"/>
    <cellStyle name="표준 10 9 3 3 2 3 3 2 2" xfId="36549"/>
    <cellStyle name="표준 10 9 3 3 2 3 4 2" xfId="36550"/>
    <cellStyle name="표준 10 9 3 3 2 3 5 2" xfId="36551"/>
    <cellStyle name="표준 10 9 3 3 2 4 2 2" xfId="36552"/>
    <cellStyle name="표준 10 9 3 3 2 5 3" xfId="36553"/>
    <cellStyle name="표준 10 9 3 3 2 5 2 2" xfId="36554"/>
    <cellStyle name="표준 10 9 3 3 2 6 2" xfId="36555"/>
    <cellStyle name="표준 10 9 3 3 2 7 2" xfId="36556"/>
    <cellStyle name="표준 10 9 3 3 3 2 2 2" xfId="36557"/>
    <cellStyle name="표준 10 9 3 3 3 3 3" xfId="36558"/>
    <cellStyle name="표준 10 9 3 3 3 3 2 2" xfId="36559"/>
    <cellStyle name="표준 10 9 3 3 3 4 2" xfId="36560"/>
    <cellStyle name="표준 10 9 3 3 3 5 2" xfId="36561"/>
    <cellStyle name="표준 10 9 3 3 4 2 2 2" xfId="36562"/>
    <cellStyle name="표준 10 9 3 3 4 3 3" xfId="36563"/>
    <cellStyle name="표준 10 9 3 3 4 3 2 2" xfId="36564"/>
    <cellStyle name="표준 10 9 3 3 4 4 2" xfId="36565"/>
    <cellStyle name="표준 10 9 3 3 4 5 2" xfId="36566"/>
    <cellStyle name="표준 10 9 3 3 5 2 2" xfId="36567"/>
    <cellStyle name="표준 10 9 3 3 6 3" xfId="36568"/>
    <cellStyle name="표준 10 9 3 3 6 2 2" xfId="36569"/>
    <cellStyle name="표준 10 9 3 3 7 2" xfId="36570"/>
    <cellStyle name="표준 10 9 3 3 8 2" xfId="36571"/>
    <cellStyle name="표준 10 9 3 4 2 2 2 2" xfId="36572"/>
    <cellStyle name="표준 10 9 3 4 2 3 3" xfId="36573"/>
    <cellStyle name="표준 10 9 3 4 2 3 2 2" xfId="36574"/>
    <cellStyle name="표준 10 9 3 4 2 4 2" xfId="36575"/>
    <cellStyle name="표준 10 9 3 4 2 5 2" xfId="36576"/>
    <cellStyle name="표준 10 9 3 4 3 2 2 2" xfId="36577"/>
    <cellStyle name="표준 10 9 3 4 3 3 3" xfId="36578"/>
    <cellStyle name="표준 10 9 3 4 3 3 2 2" xfId="36579"/>
    <cellStyle name="표준 10 9 3 4 3 4 2" xfId="36580"/>
    <cellStyle name="표준 10 9 3 4 3 5 2" xfId="36581"/>
    <cellStyle name="표준 10 9 3 4 4 2 2" xfId="36582"/>
    <cellStyle name="표준 10 9 3 4 5 3" xfId="36583"/>
    <cellStyle name="표준 10 9 3 4 5 2 2" xfId="36584"/>
    <cellStyle name="표준 10 9 3 4 6 2" xfId="36585"/>
    <cellStyle name="표준 10 9 3 4 7 2" xfId="36586"/>
    <cellStyle name="표준 10 9 3 5 2 2 2" xfId="36587"/>
    <cellStyle name="표준 10 9 3 5 3 3" xfId="36588"/>
    <cellStyle name="표준 10 9 3 5 3 2 2" xfId="36589"/>
    <cellStyle name="표준 10 9 3 5 4 2" xfId="36590"/>
    <cellStyle name="표준 10 9 3 5 5 2" xfId="36591"/>
    <cellStyle name="표준 10 9 3 6 2 2 2" xfId="36592"/>
    <cellStyle name="표준 10 9 3 6 3 3" xfId="36593"/>
    <cellStyle name="표준 10 9 3 6 3 2 2" xfId="36594"/>
    <cellStyle name="표준 10 9 3 6 4 2" xfId="36595"/>
    <cellStyle name="표준 10 9 3 6 5 2" xfId="36596"/>
    <cellStyle name="표준 10 9 3 7 2 2" xfId="36597"/>
    <cellStyle name="표준 10 9 3 8 3" xfId="36598"/>
    <cellStyle name="표준 10 9 3 8 2 2" xfId="36599"/>
    <cellStyle name="표준 10 9 3 9 2" xfId="36600"/>
    <cellStyle name="표준 10 9 4 2 2 2 2 2 2" xfId="36601"/>
    <cellStyle name="표준 10 9 4 2 2 2 3 3" xfId="36602"/>
    <cellStyle name="표준 10 9 4 2 2 2 3 2 2" xfId="36603"/>
    <cellStyle name="표준 10 9 4 2 2 2 4 2" xfId="36604"/>
    <cellStyle name="표준 10 9 4 2 2 2 5 2" xfId="36605"/>
    <cellStyle name="표준 10 9 4 2 2 3 2 2 2" xfId="36606"/>
    <cellStyle name="표준 10 9 4 2 2 3 3 3" xfId="36607"/>
    <cellStyle name="표준 10 9 4 2 2 3 3 2 2" xfId="36608"/>
    <cellStyle name="표준 10 9 4 2 2 3 4 2" xfId="36609"/>
    <cellStyle name="표준 10 9 4 2 2 3 5 2" xfId="36610"/>
    <cellStyle name="표준 10 9 4 2 2 4 2 2" xfId="36611"/>
    <cellStyle name="표준 10 9 4 2 2 5 3" xfId="36612"/>
    <cellStyle name="표준 10 9 4 2 2 5 2 2" xfId="36613"/>
    <cellStyle name="표준 10 9 4 2 2 6 2" xfId="36614"/>
    <cellStyle name="표준 10 9 4 2 2 7 2" xfId="36615"/>
    <cellStyle name="표준 10 9 4 2 3 2 2 2" xfId="36616"/>
    <cellStyle name="표준 10 9 4 2 3 3 3" xfId="36617"/>
    <cellStyle name="표준 10 9 4 2 3 3 2 2" xfId="36618"/>
    <cellStyle name="표준 10 9 4 2 3 4 2" xfId="36619"/>
    <cellStyle name="표준 10 9 4 2 3 5 2" xfId="36620"/>
    <cellStyle name="표준 10 9 4 2 4 2 2 2" xfId="36621"/>
    <cellStyle name="표준 10 9 4 2 4 3 3" xfId="36622"/>
    <cellStyle name="표준 10 9 4 2 4 3 2 2" xfId="36623"/>
    <cellStyle name="표준 10 9 4 2 4 4 2" xfId="36624"/>
    <cellStyle name="표준 10 9 4 2 4 5 2" xfId="36625"/>
    <cellStyle name="표준 10 9 4 2 5 2 2" xfId="36626"/>
    <cellStyle name="표준 10 9 4 2 6 3" xfId="36627"/>
    <cellStyle name="표준 10 9 4 2 6 2 2" xfId="36628"/>
    <cellStyle name="표준 10 9 4 2 7 2" xfId="36629"/>
    <cellStyle name="표준 10 9 4 2 8 2" xfId="36630"/>
    <cellStyle name="표준 10 9 4 3 2 2 2 2" xfId="36631"/>
    <cellStyle name="표준 10 9 4 3 2 3 3" xfId="36632"/>
    <cellStyle name="표준 10 9 4 3 2 3 2 2" xfId="36633"/>
    <cellStyle name="표준 10 9 4 3 2 4 2" xfId="36634"/>
    <cellStyle name="표준 10 9 4 3 2 5 2" xfId="36635"/>
    <cellStyle name="표준 10 9 4 3 3 2 2 2" xfId="36636"/>
    <cellStyle name="표준 10 9 4 3 3 3 3" xfId="36637"/>
    <cellStyle name="표준 10 9 4 3 3 3 2 2" xfId="36638"/>
    <cellStyle name="표준 10 9 4 3 3 4 2" xfId="36639"/>
    <cellStyle name="표준 10 9 4 3 3 5 2" xfId="36640"/>
    <cellStyle name="표준 10 9 4 3 4 2 2" xfId="36641"/>
    <cellStyle name="표준 10 9 4 3 5 3" xfId="36642"/>
    <cellStyle name="표준 10 9 4 3 5 2 2" xfId="36643"/>
    <cellStyle name="표준 10 9 4 3 6 2" xfId="36644"/>
    <cellStyle name="표준 10 9 4 3 7 2" xfId="36645"/>
    <cellStyle name="표준 10 9 4 4 2 2 2" xfId="36646"/>
    <cellStyle name="표준 10 9 4 4 3 3" xfId="36647"/>
    <cellStyle name="표준 10 9 4 4 3 2 2" xfId="36648"/>
    <cellStyle name="표준 10 9 4 4 4 2" xfId="36649"/>
    <cellStyle name="표준 10 9 4 4 5 2" xfId="36650"/>
    <cellStyle name="표준 10 9 4 5 2 2 2" xfId="36651"/>
    <cellStyle name="표준 10 9 4 5 3 3" xfId="36652"/>
    <cellStyle name="표준 10 9 4 5 3 2 2" xfId="36653"/>
    <cellStyle name="표준 10 9 4 5 4 2" xfId="36654"/>
    <cellStyle name="표준 10 9 4 5 5 2" xfId="36655"/>
    <cellStyle name="표준 10 9 4 6 2 2" xfId="36656"/>
    <cellStyle name="표준 10 9 4 7 3" xfId="36657"/>
    <cellStyle name="표준 10 9 4 7 2 2" xfId="36658"/>
    <cellStyle name="표준 10 9 4 8 2" xfId="36659"/>
    <cellStyle name="표준 10 9 4 9 2" xfId="36660"/>
    <cellStyle name="표준 10 9 5 2 2 2 2 2" xfId="36661"/>
    <cellStyle name="표준 10 9 5 2 2 3 3" xfId="36662"/>
    <cellStyle name="표준 10 9 5 2 2 3 2 2" xfId="36663"/>
    <cellStyle name="표준 10 9 5 2 2 4 2" xfId="36664"/>
    <cellStyle name="표준 10 9 5 2 2 5 2" xfId="36665"/>
    <cellStyle name="표준 10 9 5 2 3 2 2 2" xfId="36666"/>
    <cellStyle name="표준 10 9 5 2 3 3 3" xfId="36667"/>
    <cellStyle name="표준 10 9 5 2 3 3 2 2" xfId="36668"/>
    <cellStyle name="표준 10 9 5 2 3 4 2" xfId="36669"/>
    <cellStyle name="표준 10 9 5 2 3 5 2" xfId="36670"/>
    <cellStyle name="표준 10 9 5 2 4 2 2" xfId="36671"/>
    <cellStyle name="표준 10 9 5 2 5 3" xfId="36672"/>
    <cellStyle name="표준 10 9 5 2 5 2 2" xfId="36673"/>
    <cellStyle name="표준 10 9 5 2 6 2" xfId="36674"/>
    <cellStyle name="표준 10 9 5 2 7 2" xfId="36675"/>
    <cellStyle name="표준 10 9 5 3 2 2 2" xfId="36676"/>
    <cellStyle name="표준 10 9 5 3 3 3" xfId="36677"/>
    <cellStyle name="표준 10 9 5 3 3 2 2" xfId="36678"/>
    <cellStyle name="표준 10 9 5 3 4 2" xfId="36679"/>
    <cellStyle name="표준 10 9 5 3 5 2" xfId="36680"/>
    <cellStyle name="표준 10 9 5 4 2 2 2" xfId="36681"/>
    <cellStyle name="표준 10 9 5 4 3 3" xfId="36682"/>
    <cellStyle name="표준 10 9 5 4 3 2 2" xfId="36683"/>
    <cellStyle name="표준 10 9 5 4 4 2" xfId="36684"/>
    <cellStyle name="표준 10 9 5 4 5 2" xfId="36685"/>
    <cellStyle name="표준 10 9 5 5 2 2" xfId="36686"/>
    <cellStyle name="표준 10 9 5 6 3" xfId="36687"/>
    <cellStyle name="표준 10 9 5 6 2 2" xfId="36688"/>
    <cellStyle name="표준 10 9 5 7 2" xfId="36689"/>
    <cellStyle name="표준 10 9 5 8 2" xfId="36690"/>
    <cellStyle name="표준 10 9 6 2 2 2 2" xfId="36691"/>
    <cellStyle name="표준 10 9 6 2 3 3" xfId="36692"/>
    <cellStyle name="표준 10 9 6 2 3 2 2" xfId="36693"/>
    <cellStyle name="표준 10 9 6 2 4 2" xfId="36694"/>
    <cellStyle name="표준 10 9 6 2 5 2" xfId="36695"/>
    <cellStyle name="표준 10 9 6 3 2 2 2" xfId="36696"/>
    <cellStyle name="표준 10 9 6 3 3 3" xfId="36697"/>
    <cellStyle name="표준 10 9 6 3 3 2 2" xfId="36698"/>
    <cellStyle name="표준 10 9 6 3 4 2" xfId="36699"/>
    <cellStyle name="표준 10 9 6 3 5 2" xfId="36700"/>
    <cellStyle name="표준 10 9 6 4 2 2" xfId="36701"/>
    <cellStyle name="표준 10 9 6 5 3" xfId="36702"/>
    <cellStyle name="표준 10 9 6 5 2 2" xfId="36703"/>
    <cellStyle name="표준 10 9 6 6 2" xfId="36704"/>
    <cellStyle name="표준 10 9 6 7 2" xfId="36705"/>
    <cellStyle name="표준 10 9 7 2 2 2" xfId="36706"/>
    <cellStyle name="표준 10 9 7 3 3" xfId="36707"/>
    <cellStyle name="표준 10 9 7 3 2 2" xfId="36708"/>
    <cellStyle name="표준 10 9 7 4 2" xfId="36709"/>
    <cellStyle name="표준 10 9 7 5 2" xfId="36710"/>
    <cellStyle name="표준 10 9 8 2 2 2" xfId="36711"/>
    <cellStyle name="표준 10 9 8 3 3" xfId="36712"/>
    <cellStyle name="표준 10 9 8 3 2 2" xfId="36713"/>
    <cellStyle name="표준 10 9 8 4 2" xfId="36714"/>
    <cellStyle name="표준 10 9 8 5 2" xfId="36715"/>
    <cellStyle name="표준 10 9 9 2 2" xfId="36716"/>
    <cellStyle name="표준 21 2 10 2" xfId="36717"/>
    <cellStyle name="표준 21 2 11 2" xfId="36718"/>
    <cellStyle name="표준 21 2 3 2 2 2 2 2 2" xfId="36719"/>
    <cellStyle name="표준 21 2 3 2 2 2 3 3" xfId="36720"/>
    <cellStyle name="표준 21 2 3 2 2 2 3 2 2" xfId="36721"/>
    <cellStyle name="표준 21 2 3 2 2 2 4 2" xfId="36722"/>
    <cellStyle name="표준 21 2 3 2 2 2 5 2" xfId="36723"/>
    <cellStyle name="표준 21 2 3 2 2 3 2 2 2" xfId="36724"/>
    <cellStyle name="표준 21 2 3 2 2 3 3 3" xfId="36725"/>
    <cellStyle name="표준 21 2 3 2 2 3 3 2 2" xfId="36726"/>
    <cellStyle name="표준 21 2 3 2 2 3 4 2" xfId="36727"/>
    <cellStyle name="표준 21 2 3 2 2 3 5 2" xfId="36728"/>
    <cellStyle name="표준 21 2 3 2 2 4 2 2" xfId="36729"/>
    <cellStyle name="표준 21 2 3 2 2 5 3" xfId="36730"/>
    <cellStyle name="표준 21 2 3 2 2 5 2 2" xfId="36731"/>
    <cellStyle name="표준 21 2 3 2 2 6 2" xfId="36732"/>
    <cellStyle name="표준 21 2 3 2 2 7 2" xfId="36733"/>
    <cellStyle name="표준 21 2 3 2 3 2 2 2" xfId="36734"/>
    <cellStyle name="표준 21 2 3 2 3 3 3" xfId="36735"/>
    <cellStyle name="표준 21 2 3 2 3 3 2 2" xfId="36736"/>
    <cellStyle name="표준 21 2 3 2 3 4 2" xfId="36737"/>
    <cellStyle name="표준 21 2 3 2 3 5 2" xfId="36738"/>
    <cellStyle name="표준 21 2 3 2 4 2 2 2" xfId="36739"/>
    <cellStyle name="표준 21 2 3 2 4 3 3" xfId="36740"/>
    <cellStyle name="표준 21 2 3 2 4 3 2 2" xfId="36741"/>
    <cellStyle name="표준 21 2 3 2 4 4 2" xfId="36742"/>
    <cellStyle name="표준 21 2 3 2 4 5 2" xfId="36743"/>
    <cellStyle name="표준 21 2 3 2 5 2 2" xfId="36744"/>
    <cellStyle name="표준 21 2 3 2 6 3" xfId="36745"/>
    <cellStyle name="표준 21 2 3 2 6 2 2" xfId="36746"/>
    <cellStyle name="표준 21 2 3 2 7 2" xfId="36747"/>
    <cellStyle name="표준 21 2 3 2 8 2" xfId="36748"/>
    <cellStyle name="표준 21 2 3 3 2 2 2 2" xfId="36749"/>
    <cellStyle name="표준 21 2 3 3 2 3 3" xfId="36750"/>
    <cellStyle name="표준 21 2 3 3 2 3 2 2" xfId="36751"/>
    <cellStyle name="표준 21 2 3 3 2 4 2" xfId="36752"/>
    <cellStyle name="표준 21 2 3 3 2 5 2" xfId="36753"/>
    <cellStyle name="표준 21 2 3 3 3 2 2 2" xfId="36754"/>
    <cellStyle name="표준 21 2 3 3 3 3 3" xfId="36755"/>
    <cellStyle name="표준 21 2 3 3 3 3 2 2" xfId="36756"/>
    <cellStyle name="표준 21 2 3 3 3 4 2" xfId="36757"/>
    <cellStyle name="표준 21 2 3 3 3 5 2" xfId="36758"/>
    <cellStyle name="표준 21 2 3 3 4 2 2" xfId="36759"/>
    <cellStyle name="표준 21 2 3 3 5 3" xfId="36760"/>
    <cellStyle name="표준 21 2 3 3 5 2 2" xfId="36761"/>
    <cellStyle name="표준 21 2 3 3 6 2" xfId="36762"/>
    <cellStyle name="표준 21 2 3 3 7 2" xfId="36763"/>
    <cellStyle name="표준 21 2 3 4 2 2 2" xfId="36764"/>
    <cellStyle name="표준 21 2 3 4 3 3" xfId="36765"/>
    <cellStyle name="표준 21 2 3 4 3 2 2" xfId="36766"/>
    <cellStyle name="표준 21 2 3 4 4 2" xfId="36767"/>
    <cellStyle name="표준 21 2 3 4 5 2" xfId="36768"/>
    <cellStyle name="표준 21 2 3 5 2 2 2" xfId="36769"/>
    <cellStyle name="표준 21 2 3 5 3 3" xfId="36770"/>
    <cellStyle name="표준 21 2 3 5 3 2 2" xfId="36771"/>
    <cellStyle name="표준 21 2 3 5 4 2" xfId="36772"/>
    <cellStyle name="표준 21 2 3 5 5 2" xfId="36773"/>
    <cellStyle name="표준 21 2 3 6 2 2" xfId="36774"/>
    <cellStyle name="표준 21 2 3 7 3" xfId="36775"/>
    <cellStyle name="표준 21 2 3 7 2 2" xfId="36776"/>
    <cellStyle name="표준 21 2 3 8 2" xfId="36777"/>
    <cellStyle name="표준 21 2 3 9 2" xfId="36778"/>
    <cellStyle name="표준 21 2 4 2 2 2 2 2" xfId="36779"/>
    <cellStyle name="표준 21 2 4 2 2 3 3" xfId="36780"/>
    <cellStyle name="표준 21 2 4 2 2 3 2 2" xfId="36781"/>
    <cellStyle name="표준 21 2 4 2 2 4 2" xfId="36782"/>
    <cellStyle name="표준 21 2 4 2 2 5 2" xfId="36783"/>
    <cellStyle name="표준 21 2 4 2 3 2 2 2" xfId="36784"/>
    <cellStyle name="표준 21 2 4 2 3 3 3" xfId="36785"/>
    <cellStyle name="표준 21 2 4 2 3 3 2 2" xfId="36786"/>
    <cellStyle name="표준 21 2 4 2 3 4 2" xfId="36787"/>
    <cellStyle name="표준 21 2 4 2 3 5 2" xfId="36788"/>
    <cellStyle name="표준 21 2 4 2 4 2 2" xfId="36789"/>
    <cellStyle name="표준 21 2 4 2 5 3" xfId="36790"/>
    <cellStyle name="표준 21 2 4 2 5 2 2" xfId="36791"/>
    <cellStyle name="표준 21 2 4 2 6 2" xfId="36792"/>
    <cellStyle name="표준 21 2 4 2 7 2" xfId="36793"/>
    <cellStyle name="표준 21 2 4 3 2 2 2" xfId="36794"/>
    <cellStyle name="표준 21 2 4 3 3 3" xfId="36795"/>
    <cellStyle name="표준 21 2 4 3 3 2 2" xfId="36796"/>
    <cellStyle name="표준 21 2 4 3 4 2" xfId="36797"/>
    <cellStyle name="표준 21 2 4 3 5 2" xfId="36798"/>
    <cellStyle name="표준 21 2 4 4 2 2 2" xfId="36799"/>
    <cellStyle name="표준 21 2 4 4 3 3" xfId="36800"/>
    <cellStyle name="표준 21 2 4 4 3 2 2" xfId="36801"/>
    <cellStyle name="표준 21 2 4 4 4 2" xfId="36802"/>
    <cellStyle name="표준 21 2 4 4 5 2" xfId="36803"/>
    <cellStyle name="표준 21 2 4 5 2 2" xfId="36804"/>
    <cellStyle name="표준 21 2 4 6 3" xfId="36805"/>
    <cellStyle name="표준 21 2 4 6 2 2" xfId="36806"/>
    <cellStyle name="표준 21 2 4 7 2" xfId="36807"/>
    <cellStyle name="표준 21 2 4 8 2" xfId="36808"/>
    <cellStyle name="표준 21 2 5 2 2 2 2" xfId="36809"/>
    <cellStyle name="표준 21 2 5 2 3 3" xfId="36810"/>
    <cellStyle name="표준 21 2 5 2 3 2 2" xfId="36811"/>
    <cellStyle name="표준 21 2 5 2 4 2" xfId="36812"/>
    <cellStyle name="표준 21 2 5 2 5 2" xfId="36813"/>
    <cellStyle name="표준 21 2 5 3 2 2 2" xfId="36814"/>
    <cellStyle name="표준 21 2 5 3 3 3" xfId="36815"/>
    <cellStyle name="표준 21 2 5 3 3 2 2" xfId="36816"/>
    <cellStyle name="표준 21 2 5 3 4 2" xfId="36817"/>
    <cellStyle name="표준 21 2 5 3 5 2" xfId="36818"/>
    <cellStyle name="표준 21 2 5 4 2 2" xfId="36819"/>
    <cellStyle name="표준 21 2 5 5 3" xfId="36820"/>
    <cellStyle name="표준 21 2 5 5 2 2" xfId="36821"/>
    <cellStyle name="표준 21 2 5 6 2" xfId="36822"/>
    <cellStyle name="표준 21 2 5 7 2" xfId="36823"/>
    <cellStyle name="표준 21 2 6 2 2 2" xfId="36824"/>
    <cellStyle name="표준 21 2 6 3 3" xfId="36825"/>
    <cellStyle name="표준 21 2 6 3 2 2" xfId="36826"/>
    <cellStyle name="표준 21 2 6 4 2" xfId="36827"/>
    <cellStyle name="표준 21 2 6 5 2" xfId="36828"/>
    <cellStyle name="표준 21 2 7 2 2 2" xfId="36829"/>
    <cellStyle name="표준 21 2 7 3 3" xfId="36830"/>
    <cellStyle name="표준 21 2 7 3 2 2" xfId="36831"/>
    <cellStyle name="표준 21 2 7 4 2" xfId="36832"/>
    <cellStyle name="표준 21 2 7 5 2" xfId="36833"/>
    <cellStyle name="표준 21 2 8 2 2" xfId="36834"/>
    <cellStyle name="표준 21 2 9 3" xfId="36835"/>
    <cellStyle name="표준 21 2 9 2 2" xfId="36836"/>
    <cellStyle name="표준 21 3 10 2" xfId="36837"/>
    <cellStyle name="표준 21 3 11 2" xfId="36838"/>
    <cellStyle name="표준 21 3 3 2 2 2 2 2 2" xfId="36839"/>
    <cellStyle name="표준 21 3 3 2 2 2 3 3" xfId="36840"/>
    <cellStyle name="표준 21 3 3 2 2 2 3 2 2" xfId="36841"/>
    <cellStyle name="표준 21 3 3 2 2 2 4 2" xfId="36842"/>
    <cellStyle name="표준 21 3 3 2 2 2 5 2" xfId="36843"/>
    <cellStyle name="표준 21 3 3 2 2 3 2 2 2" xfId="36844"/>
    <cellStyle name="표준 21 3 3 2 2 3 3 3" xfId="36845"/>
    <cellStyle name="표준 21 3 3 2 2 3 3 2 2" xfId="36846"/>
    <cellStyle name="표준 21 3 3 2 2 3 4 2" xfId="36847"/>
    <cellStyle name="표준 21 3 3 2 2 3 5 2" xfId="36848"/>
    <cellStyle name="표준 21 3 3 2 2 4 2 2" xfId="36849"/>
    <cellStyle name="표준 21 3 3 2 2 5 3" xfId="36850"/>
    <cellStyle name="표준 21 3 3 2 2 5 2 2" xfId="36851"/>
    <cellStyle name="표준 21 3 3 2 2 6 2" xfId="36852"/>
    <cellStyle name="표준 21 3 3 2 2 7 2" xfId="36853"/>
    <cellStyle name="표준 21 3 3 2 3 2 2 2" xfId="36854"/>
    <cellStyle name="표준 21 3 3 2 3 3 3" xfId="36855"/>
    <cellStyle name="표준 21 3 3 2 3 3 2 2" xfId="36856"/>
    <cellStyle name="표준 21 3 3 2 3 4 2" xfId="36857"/>
    <cellStyle name="표준 21 3 3 2 3 5 2" xfId="36858"/>
    <cellStyle name="표준 21 3 3 2 4 2 2 2" xfId="36859"/>
    <cellStyle name="표준 21 3 3 2 4 3 3" xfId="36860"/>
    <cellStyle name="표준 21 3 3 2 4 3 2 2" xfId="36861"/>
    <cellStyle name="표준 21 3 3 2 4 4 2" xfId="36862"/>
    <cellStyle name="표준 21 3 3 2 4 5 2" xfId="36863"/>
    <cellStyle name="표준 21 3 3 2 5 2 2" xfId="36864"/>
    <cellStyle name="표준 21 3 3 2 6 3" xfId="36865"/>
    <cellStyle name="표준 21 3 3 2 6 2 2" xfId="36866"/>
    <cellStyle name="표준 21 3 3 2 7 2" xfId="36867"/>
    <cellStyle name="표준 21 3 3 2 8 2" xfId="36868"/>
    <cellStyle name="표준 21 3 3 3 2 2 2 2" xfId="36869"/>
    <cellStyle name="표준 21 3 3 3 2 3 3" xfId="36870"/>
    <cellStyle name="표준 21 3 3 3 2 3 2 2" xfId="36871"/>
    <cellStyle name="표준 21 3 3 3 2 4 2" xfId="36872"/>
    <cellStyle name="표준 21 3 3 3 2 5 2" xfId="36873"/>
    <cellStyle name="표준 21 3 3 3 3 2 2 2" xfId="36874"/>
    <cellStyle name="표준 21 3 3 3 3 3 3" xfId="36875"/>
    <cellStyle name="표준 21 3 3 3 3 3 2 2" xfId="36876"/>
    <cellStyle name="표준 21 3 3 3 3 4 2" xfId="36877"/>
    <cellStyle name="표준 21 3 3 3 3 5 2" xfId="36878"/>
    <cellStyle name="표준 21 3 3 3 4 2 2" xfId="36879"/>
    <cellStyle name="표준 21 3 3 3 5 3" xfId="36880"/>
    <cellStyle name="표준 21 3 3 3 5 2 2" xfId="36881"/>
    <cellStyle name="표준 21 3 3 3 6 2" xfId="36882"/>
    <cellStyle name="표준 21 3 3 3 7 2" xfId="36883"/>
    <cellStyle name="표준 21 3 3 4 2 2 2" xfId="36884"/>
    <cellStyle name="표준 21 3 3 4 3 3" xfId="36885"/>
    <cellStyle name="표준 21 3 3 4 3 2 2" xfId="36886"/>
    <cellStyle name="표준 21 3 3 4 4 2" xfId="36887"/>
    <cellStyle name="표준 21 3 3 4 5 2" xfId="36888"/>
    <cellStyle name="표준 21 3 3 5 2 2 2" xfId="36889"/>
    <cellStyle name="표준 21 3 3 5 3 3" xfId="36890"/>
    <cellStyle name="표준 21 3 3 5 3 2 2" xfId="36891"/>
    <cellStyle name="표준 21 3 3 5 4 2" xfId="36892"/>
    <cellStyle name="표준 21 3 3 5 5 2" xfId="36893"/>
    <cellStyle name="표준 21 3 3 6 2 2" xfId="36894"/>
    <cellStyle name="표준 21 3 3 7 3" xfId="36895"/>
    <cellStyle name="표준 21 3 3 7 2 2" xfId="36896"/>
    <cellStyle name="표준 21 3 3 8 2" xfId="36897"/>
    <cellStyle name="표준 21 3 3 9 2" xfId="36898"/>
    <cellStyle name="표준 21 3 4 2 2 2 2 2" xfId="36899"/>
    <cellStyle name="표준 21 3 4 2 2 3 3" xfId="36900"/>
    <cellStyle name="표준 21 3 4 2 2 3 2 2" xfId="36901"/>
    <cellStyle name="표준 21 3 4 2 2 4 2" xfId="36902"/>
    <cellStyle name="표준 21 3 4 2 2 5 2" xfId="36903"/>
    <cellStyle name="표준 21 3 4 2 3 2 2 2" xfId="36904"/>
    <cellStyle name="표준 21 3 4 2 3 3 3" xfId="36905"/>
    <cellStyle name="표준 21 3 4 2 3 3 2 2" xfId="36906"/>
    <cellStyle name="표준 21 3 4 2 3 4 2" xfId="36907"/>
    <cellStyle name="표준 21 3 4 2 3 5 2" xfId="36908"/>
    <cellStyle name="표준 21 3 4 2 4 2 2" xfId="36909"/>
    <cellStyle name="표준 21 3 4 2 5 3" xfId="36910"/>
    <cellStyle name="표준 21 3 4 2 5 2 2" xfId="36911"/>
    <cellStyle name="표준 21 3 4 2 6 2" xfId="36912"/>
    <cellStyle name="표준 21 3 4 2 7 2" xfId="36913"/>
    <cellStyle name="표준 21 3 4 3 2 2 2" xfId="36914"/>
    <cellStyle name="표준 21 3 4 3 3 3" xfId="36915"/>
    <cellStyle name="표준 21 3 4 3 3 2 2" xfId="36916"/>
    <cellStyle name="표준 21 3 4 3 4 2" xfId="36917"/>
    <cellStyle name="표준 21 3 4 3 5 2" xfId="36918"/>
    <cellStyle name="표준 21 3 4 4 2 2 2" xfId="36919"/>
    <cellStyle name="표준 21 3 4 4 3 3" xfId="36920"/>
    <cellStyle name="표준 21 3 4 4 3 2 2" xfId="36921"/>
    <cellStyle name="표준 21 3 4 4 4 2" xfId="36922"/>
    <cellStyle name="표준 21 3 4 4 5 2" xfId="36923"/>
    <cellStyle name="표준 21 3 4 5 2 2" xfId="36924"/>
    <cellStyle name="표준 21 3 4 6 3" xfId="36925"/>
    <cellStyle name="표준 21 3 4 6 2 2" xfId="36926"/>
    <cellStyle name="표준 21 3 4 7 2" xfId="36927"/>
    <cellStyle name="표준 21 3 4 8 2" xfId="36928"/>
    <cellStyle name="표준 21 3 5 2 2 2 2" xfId="36929"/>
    <cellStyle name="표준 21 3 5 2 3 3" xfId="36930"/>
    <cellStyle name="표준 21 3 5 2 3 2 2" xfId="36931"/>
    <cellStyle name="표준 21 3 5 2 4 2" xfId="36932"/>
    <cellStyle name="표준 21 3 5 2 5 2" xfId="36933"/>
    <cellStyle name="표준 21 3 5 3 2 2 2" xfId="36934"/>
    <cellStyle name="표준 21 3 5 3 3 3" xfId="36935"/>
    <cellStyle name="표준 21 3 5 3 3 2 2" xfId="36936"/>
    <cellStyle name="표준 21 3 5 3 4 2" xfId="36937"/>
    <cellStyle name="표준 21 3 5 3 5 2" xfId="36938"/>
    <cellStyle name="표준 21 3 5 4 2 2" xfId="36939"/>
    <cellStyle name="표준 21 3 5 5 3" xfId="36940"/>
    <cellStyle name="표준 21 3 5 5 2 2" xfId="36941"/>
    <cellStyle name="표준 21 3 5 6 2" xfId="36942"/>
    <cellStyle name="표준 21 3 5 7 2" xfId="36943"/>
    <cellStyle name="표준 21 3 6 2 2 2" xfId="36944"/>
    <cellStyle name="표준 21 3 6 3 3" xfId="36945"/>
    <cellStyle name="표준 21 3 6 3 2 2" xfId="36946"/>
    <cellStyle name="표준 21 3 6 4 2" xfId="36947"/>
    <cellStyle name="표준 21 3 6 5 2" xfId="36948"/>
    <cellStyle name="표준 21 3 7 2 2 2" xfId="36949"/>
    <cellStyle name="표준 21 3 7 3 3" xfId="36950"/>
    <cellStyle name="표준 21 3 7 3 2 2" xfId="36951"/>
    <cellStyle name="표준 21 3 7 4 2" xfId="36952"/>
    <cellStyle name="표준 21 3 7 5 2" xfId="36953"/>
    <cellStyle name="표준 21 3 8 2 2" xfId="36954"/>
    <cellStyle name="표준 21 3 9 3" xfId="36955"/>
    <cellStyle name="표준 21 3 9 2 2" xfId="36956"/>
    <cellStyle name="표준 21 4 10 2" xfId="36957"/>
    <cellStyle name="표준 21 4 11 2" xfId="36958"/>
    <cellStyle name="표준 21 4 3 2 2 2 2 2 2" xfId="36959"/>
    <cellStyle name="표준 21 4 3 2 2 2 3 3" xfId="36960"/>
    <cellStyle name="표준 21 4 3 2 2 2 3 2 2" xfId="36961"/>
    <cellStyle name="표준 21 4 3 2 2 2 4 2" xfId="36962"/>
    <cellStyle name="표준 21 4 3 2 2 2 5 2" xfId="36963"/>
    <cellStyle name="표준 21 4 3 2 2 3 2 2 2" xfId="36964"/>
    <cellStyle name="표준 21 4 3 2 2 3 3 3" xfId="36965"/>
    <cellStyle name="표준 21 4 3 2 2 3 3 2 2" xfId="36966"/>
    <cellStyle name="표준 21 4 3 2 2 3 4 2" xfId="36967"/>
    <cellStyle name="표준 21 4 3 2 2 3 5 2" xfId="36968"/>
    <cellStyle name="표준 21 4 3 2 2 4 2 2" xfId="36969"/>
    <cellStyle name="표준 21 4 3 2 2 5 3" xfId="36970"/>
    <cellStyle name="표준 21 4 3 2 2 5 2 2" xfId="36971"/>
    <cellStyle name="표준 21 4 3 2 2 6 2" xfId="36972"/>
    <cellStyle name="표준 21 4 3 2 2 7 2" xfId="36973"/>
    <cellStyle name="표준 21 4 3 2 3 2 2 2" xfId="36974"/>
    <cellStyle name="표준 21 4 3 2 3 3 3" xfId="36975"/>
    <cellStyle name="표준 21 4 3 2 3 3 2 2" xfId="36976"/>
    <cellStyle name="표준 21 4 3 2 3 4 2" xfId="36977"/>
    <cellStyle name="표준 21 4 3 2 3 5 2" xfId="36978"/>
    <cellStyle name="표준 21 4 3 2 4 2 2 2" xfId="36979"/>
    <cellStyle name="표준 21 4 3 2 4 3 3" xfId="36980"/>
    <cellStyle name="표준 21 4 3 2 4 3 2 2" xfId="36981"/>
    <cellStyle name="표준 21 4 3 2 4 4 2" xfId="36982"/>
    <cellStyle name="표준 21 4 3 2 4 5 2" xfId="36983"/>
    <cellStyle name="표준 21 4 3 2 5 2 2" xfId="36984"/>
    <cellStyle name="표준 21 4 3 2 6 3" xfId="36985"/>
    <cellStyle name="표준 21 4 3 2 6 2 2" xfId="36986"/>
    <cellStyle name="표준 21 4 3 2 7 2" xfId="36987"/>
    <cellStyle name="표준 21 4 3 2 8 2" xfId="36988"/>
    <cellStyle name="표준 21 4 3 3 2 2 2 2" xfId="36989"/>
    <cellStyle name="표준 21 4 3 3 2 3 3" xfId="36990"/>
    <cellStyle name="표준 21 4 3 3 2 3 2 2" xfId="36991"/>
    <cellStyle name="표준 21 4 3 3 2 4 2" xfId="36992"/>
    <cellStyle name="표준 21 4 3 3 2 5 2" xfId="36993"/>
    <cellStyle name="표준 21 4 3 3 3 2 2 2" xfId="36994"/>
    <cellStyle name="표준 21 4 3 3 3 3 3" xfId="36995"/>
    <cellStyle name="표준 21 4 3 3 3 3 2 2" xfId="36996"/>
    <cellStyle name="표준 21 4 3 3 3 4 2" xfId="36997"/>
    <cellStyle name="표준 21 4 3 3 3 5 2" xfId="36998"/>
    <cellStyle name="표준 21 4 3 3 4 2 2" xfId="36999"/>
    <cellStyle name="표준 21 4 3 3 5 3" xfId="37000"/>
    <cellStyle name="표준 21 4 3 3 5 2 2" xfId="37001"/>
    <cellStyle name="표준 21 4 3 3 6 2" xfId="37002"/>
    <cellStyle name="표준 21 4 3 3 7 2" xfId="37003"/>
    <cellStyle name="표준 21 4 3 4 2 2 2" xfId="37004"/>
    <cellStyle name="표준 21 4 3 4 3 3" xfId="37005"/>
    <cellStyle name="표준 21 4 3 4 3 2 2" xfId="37006"/>
    <cellStyle name="표준 21 4 3 4 4 2" xfId="37007"/>
    <cellStyle name="표준 21 4 3 4 5 2" xfId="37008"/>
    <cellStyle name="표준 21 4 3 5 2 2 2" xfId="37009"/>
    <cellStyle name="표준 21 4 3 5 3 3" xfId="37010"/>
    <cellStyle name="표준 21 4 3 5 3 2 2" xfId="37011"/>
    <cellStyle name="표준 21 4 3 5 4 2" xfId="37012"/>
    <cellStyle name="표준 21 4 3 5 5 2" xfId="37013"/>
    <cellStyle name="표준 21 4 3 6 2 2" xfId="37014"/>
    <cellStyle name="표준 21 4 3 7 3" xfId="37015"/>
    <cellStyle name="표준 21 4 3 7 2 2" xfId="37016"/>
    <cellStyle name="표준 21 4 3 8 2" xfId="37017"/>
    <cellStyle name="표준 21 4 3 9 2" xfId="37018"/>
    <cellStyle name="표준 21 4 4 2 2 2 2 2" xfId="37019"/>
    <cellStyle name="표준 21 4 4 2 2 3 3" xfId="37020"/>
    <cellStyle name="표준 21 4 4 2 2 3 2 2" xfId="37021"/>
    <cellStyle name="표준 21 4 4 2 2 4 2" xfId="37022"/>
    <cellStyle name="표준 21 4 4 2 2 5 2" xfId="37023"/>
    <cellStyle name="표준 21 4 4 2 3 2 2 2" xfId="37024"/>
    <cellStyle name="표준 21 4 4 2 3 3 3" xfId="37025"/>
    <cellStyle name="표준 21 4 4 2 3 3 2 2" xfId="37026"/>
    <cellStyle name="표준 21 4 4 2 3 4 2" xfId="37027"/>
    <cellStyle name="표준 21 4 4 2 3 5 2" xfId="37028"/>
    <cellStyle name="표준 21 4 4 2 4 2 2" xfId="37029"/>
    <cellStyle name="표준 21 4 4 2 5 3" xfId="37030"/>
    <cellStyle name="표준 21 4 4 2 5 2 2" xfId="37031"/>
    <cellStyle name="표준 21 4 4 2 6 2" xfId="37032"/>
    <cellStyle name="표준 21 4 4 2 7 2" xfId="37033"/>
    <cellStyle name="표준 21 4 4 3 2 2 2" xfId="37034"/>
    <cellStyle name="표준 21 4 4 3 3 3" xfId="37035"/>
    <cellStyle name="표준 21 4 4 3 3 2 2" xfId="37036"/>
    <cellStyle name="표준 21 4 4 3 4 2" xfId="37037"/>
    <cellStyle name="표준 21 4 4 3 5 2" xfId="37038"/>
    <cellStyle name="표준 21 4 4 4 2 2 2" xfId="37039"/>
    <cellStyle name="표준 21 4 4 4 3 3" xfId="37040"/>
    <cellStyle name="표준 21 4 4 4 3 2 2" xfId="37041"/>
    <cellStyle name="표준 21 4 4 4 4 2" xfId="37042"/>
    <cellStyle name="표준 21 4 4 4 5 2" xfId="37043"/>
    <cellStyle name="표준 21 4 4 5 2 2" xfId="37044"/>
    <cellStyle name="표준 21 4 4 6 3" xfId="37045"/>
    <cellStyle name="표준 21 4 4 6 2 2" xfId="37046"/>
    <cellStyle name="표준 21 4 4 7 2" xfId="37047"/>
    <cellStyle name="표준 21 4 4 8 2" xfId="37048"/>
    <cellStyle name="표준 21 4 5 2 2 2 2" xfId="37049"/>
    <cellStyle name="표준 21 4 5 2 3 3" xfId="37050"/>
    <cellStyle name="표준 21 4 5 2 3 2 2" xfId="37051"/>
    <cellStyle name="표준 21 4 5 2 4 2" xfId="37052"/>
    <cellStyle name="표준 21 4 5 2 5 2" xfId="37053"/>
    <cellStyle name="표준 21 4 5 3 2 2 2" xfId="37054"/>
    <cellStyle name="표준 21 4 5 3 3 3" xfId="37055"/>
    <cellStyle name="표준 21 4 5 3 3 2 2" xfId="37056"/>
    <cellStyle name="표준 21 4 5 3 4 2" xfId="37057"/>
    <cellStyle name="표준 21 4 5 3 5 2" xfId="37058"/>
    <cellStyle name="표준 21 4 5 4 2 2" xfId="37059"/>
    <cellStyle name="표준 21 4 5 5 3" xfId="37060"/>
    <cellStyle name="표준 21 4 5 5 2 2" xfId="37061"/>
    <cellStyle name="표준 21 4 5 6 2" xfId="37062"/>
    <cellStyle name="표준 21 4 5 7 2" xfId="37063"/>
    <cellStyle name="표준 21 4 6 2 2 2" xfId="37064"/>
    <cellStyle name="표준 21 4 6 3 3" xfId="37065"/>
    <cellStyle name="표준 21 4 6 3 2 2" xfId="37066"/>
    <cellStyle name="표준 21 4 6 4 2" xfId="37067"/>
    <cellStyle name="표준 21 4 6 5 2" xfId="37068"/>
    <cellStyle name="표준 21 4 7 2 2 2" xfId="37069"/>
    <cellStyle name="표준 21 4 7 3 3" xfId="37070"/>
    <cellStyle name="표준 21 4 7 3 2 2" xfId="37071"/>
    <cellStyle name="표준 21 4 7 4 2" xfId="37072"/>
    <cellStyle name="표준 21 4 7 5 2" xfId="37073"/>
    <cellStyle name="표준 21 4 8 2 2" xfId="37074"/>
    <cellStyle name="표준 21 4 9 3" xfId="37075"/>
    <cellStyle name="표준 21 4 9 2 2" xfId="37076"/>
    <cellStyle name="표준 21 40 2 2 2 2 2 2" xfId="37077"/>
    <cellStyle name="표준 21 40 2 2 2 3 3" xfId="37078"/>
    <cellStyle name="표준 21 40 2 2 2 3 2 2" xfId="37079"/>
    <cellStyle name="표준 21 40 2 2 2 4 2" xfId="37080"/>
    <cellStyle name="표준 21 40 2 2 2 5 2" xfId="37081"/>
    <cellStyle name="표준 21 40 2 2 3 2 2 2" xfId="37082"/>
    <cellStyle name="표준 21 40 2 2 3 3 3" xfId="37083"/>
    <cellStyle name="표준 21 40 2 2 3 3 2 2" xfId="37084"/>
    <cellStyle name="표준 21 40 2 2 3 4 2" xfId="37085"/>
    <cellStyle name="표준 21 40 2 2 3 5 2" xfId="37086"/>
    <cellStyle name="표준 21 40 2 2 4 2 2" xfId="37087"/>
    <cellStyle name="표준 21 40 2 2 5 3" xfId="37088"/>
    <cellStyle name="표준 21 40 2 2 5 2 2" xfId="37089"/>
    <cellStyle name="표준 21 40 2 2 6 2" xfId="37090"/>
    <cellStyle name="표준 21 40 2 2 7 2" xfId="37091"/>
    <cellStyle name="표준 21 40 2 3 2 2 2" xfId="37092"/>
    <cellStyle name="표준 21 40 2 3 3 3" xfId="37093"/>
    <cellStyle name="표준 21 40 2 3 3 2 2" xfId="37094"/>
    <cellStyle name="표준 21 40 2 3 4 2" xfId="37095"/>
    <cellStyle name="표준 21 40 2 3 5 2" xfId="37096"/>
    <cellStyle name="표준 21 40 2 4 2 2 2" xfId="37097"/>
    <cellStyle name="표준 21 40 2 4 3 3" xfId="37098"/>
    <cellStyle name="표준 21 40 2 4 3 2 2" xfId="37099"/>
    <cellStyle name="표준 21 40 2 4 4 2" xfId="37100"/>
    <cellStyle name="표준 21 40 2 4 5 2" xfId="37101"/>
    <cellStyle name="표준 21 40 2 5 2 2" xfId="37102"/>
    <cellStyle name="표준 21 40 2 6 3" xfId="37103"/>
    <cellStyle name="표준 21 40 2 6 2 2" xfId="37104"/>
    <cellStyle name="표준 21 40 2 7 2" xfId="37105"/>
    <cellStyle name="표준 21 40 2 8 2" xfId="37106"/>
    <cellStyle name="표준 21 40 3 2 2 2 2" xfId="37107"/>
    <cellStyle name="표준 21 40 3 2 3 3" xfId="37108"/>
    <cellStyle name="표준 21 40 3 2 3 2 2" xfId="37109"/>
    <cellStyle name="표준 21 40 3 2 4 2" xfId="37110"/>
    <cellStyle name="표준 21 40 3 2 5 2" xfId="37111"/>
    <cellStyle name="표준 21 40 3 3 2 2 2" xfId="37112"/>
    <cellStyle name="표준 21 40 3 3 3 3" xfId="37113"/>
    <cellStyle name="표준 21 40 3 3 3 2 2" xfId="37114"/>
    <cellStyle name="표준 21 40 3 3 4 2" xfId="37115"/>
    <cellStyle name="표준 21 40 3 3 5 2" xfId="37116"/>
    <cellStyle name="표준 21 40 3 4 2 2" xfId="37117"/>
    <cellStyle name="표준 21 40 3 5 3" xfId="37118"/>
    <cellStyle name="표준 21 40 3 5 2 2" xfId="37119"/>
    <cellStyle name="표준 21 40 3 6 2" xfId="37120"/>
    <cellStyle name="표준 21 40 3 7 2" xfId="37121"/>
    <cellStyle name="표준 21 40 4 2 2 2" xfId="37122"/>
    <cellStyle name="표준 21 40 4 3 3" xfId="37123"/>
    <cellStyle name="표준 21 40 4 3 2 2" xfId="37124"/>
    <cellStyle name="표준 21 40 4 4 2" xfId="37125"/>
    <cellStyle name="표준 21 40 4 5 2" xfId="37126"/>
    <cellStyle name="표준 21 40 5 2 2 2" xfId="37127"/>
    <cellStyle name="표준 21 40 5 3 3" xfId="37128"/>
    <cellStyle name="표준 21 40 5 3 2 2" xfId="37129"/>
    <cellStyle name="표준 21 40 5 4 2" xfId="37130"/>
    <cellStyle name="표준 21 40 5 5 2" xfId="37131"/>
    <cellStyle name="표준 21 40 6 2 2" xfId="37132"/>
    <cellStyle name="표준 21 40 7 3" xfId="37133"/>
    <cellStyle name="표준 21 40 7 2 2" xfId="37134"/>
    <cellStyle name="표준 21 40 8 2" xfId="37135"/>
    <cellStyle name="표준 21 40 9 2" xfId="37136"/>
    <cellStyle name="표준 21 41 2 2 2 2 2" xfId="37137"/>
    <cellStyle name="표준 21 41 2 2 3 3" xfId="37138"/>
    <cellStyle name="표준 21 41 2 2 3 2 2" xfId="37139"/>
    <cellStyle name="표준 21 41 2 2 4 2" xfId="37140"/>
    <cellStyle name="표준 21 41 2 2 5 2" xfId="37141"/>
    <cellStyle name="표준 21 41 2 3 2 2 2" xfId="37142"/>
    <cellStyle name="표준 21 41 2 3 3 3" xfId="37143"/>
    <cellStyle name="표준 21 41 2 3 3 2 2" xfId="37144"/>
    <cellStyle name="표준 21 41 2 3 4 2" xfId="37145"/>
    <cellStyle name="표준 21 41 2 3 5 2" xfId="37146"/>
    <cellStyle name="표준 21 41 2 4 2 2" xfId="37147"/>
    <cellStyle name="표준 21 41 2 5 3" xfId="37148"/>
    <cellStyle name="표준 21 41 2 5 2 2" xfId="37149"/>
    <cellStyle name="표준 21 41 2 6 2" xfId="37150"/>
    <cellStyle name="표준 21 41 2 7 2" xfId="37151"/>
    <cellStyle name="표준 21 41 3 2 2 2" xfId="37152"/>
    <cellStyle name="표준 21 41 3 3 3" xfId="37153"/>
    <cellStyle name="표준 21 41 3 3 2 2" xfId="37154"/>
    <cellStyle name="표준 21 41 3 4 2" xfId="37155"/>
    <cellStyle name="표준 21 41 3 5 2" xfId="37156"/>
    <cellStyle name="표준 21 41 4 2 2 2" xfId="37157"/>
    <cellStyle name="표준 21 41 4 3 3" xfId="37158"/>
    <cellStyle name="표준 21 41 4 3 2 2" xfId="37159"/>
    <cellStyle name="표준 21 41 4 4 2" xfId="37160"/>
    <cellStyle name="표준 21 41 4 5 2" xfId="37161"/>
    <cellStyle name="표준 21 41 5 2 2" xfId="37162"/>
    <cellStyle name="표준 21 41 6 3" xfId="37163"/>
    <cellStyle name="표준 21 41 6 2 2" xfId="37164"/>
    <cellStyle name="표준 21 41 7 2" xfId="37165"/>
    <cellStyle name="표준 21 41 8 2" xfId="37166"/>
    <cellStyle name="표준 21 42 2 2 2 2" xfId="37167"/>
    <cellStyle name="표준 21 42 2 3 3" xfId="37168"/>
    <cellStyle name="표준 21 42 2 3 2 2" xfId="37169"/>
    <cellStyle name="표준 21 42 2 4 2" xfId="37170"/>
    <cellStyle name="표준 21 42 2 5 2" xfId="37171"/>
    <cellStyle name="표준 21 42 3 2 2 2" xfId="37172"/>
    <cellStyle name="표준 21 42 3 3 3" xfId="37173"/>
    <cellStyle name="표준 21 42 3 3 2 2" xfId="37174"/>
    <cellStyle name="표준 21 42 3 4 2" xfId="37175"/>
    <cellStyle name="표준 21 42 3 5 2" xfId="37176"/>
    <cellStyle name="표준 21 42 4 2 2" xfId="37177"/>
    <cellStyle name="표준 21 42 5 3" xfId="37178"/>
    <cellStyle name="표준 21 42 5 2 2" xfId="37179"/>
    <cellStyle name="표준 21 42 6 2" xfId="37180"/>
    <cellStyle name="표준 21 42 7 2" xfId="37181"/>
    <cellStyle name="표준 21 43 2 2 2" xfId="37182"/>
    <cellStyle name="표준 21 43 3 3" xfId="37183"/>
    <cellStyle name="표준 21 43 3 2 2" xfId="37184"/>
    <cellStyle name="표준 21 43 4 2" xfId="37185"/>
    <cellStyle name="표준 21 43 5 2" xfId="37186"/>
    <cellStyle name="표준 21 44 2 2 2" xfId="37187"/>
    <cellStyle name="표준 21 44 3 3" xfId="37188"/>
    <cellStyle name="표준 21 44 3 2 2" xfId="37189"/>
    <cellStyle name="표준 21 44 4 2" xfId="37190"/>
    <cellStyle name="표준 21 44 5 2" xfId="37191"/>
    <cellStyle name="표준 21 45 2 2" xfId="37192"/>
    <cellStyle name="표준 21 46 3" xfId="37193"/>
    <cellStyle name="표준 21 46 2 2" xfId="37194"/>
    <cellStyle name="표준 21 47 2" xfId="37195"/>
    <cellStyle name="표준 21 48 2" xfId="37196"/>
    <cellStyle name="표준 22 10 2" xfId="37197"/>
    <cellStyle name="표준 22 11 2" xfId="37198"/>
    <cellStyle name="표준 22 3 2 2 2 2 2 2" xfId="37199"/>
    <cellStyle name="표준 22 3 2 2 2 3 3" xfId="37200"/>
    <cellStyle name="표준 22 3 2 2 2 3 2 2" xfId="37201"/>
    <cellStyle name="표준 22 3 2 2 2 4 2" xfId="37202"/>
    <cellStyle name="표준 22 3 2 2 2 5 2" xfId="37203"/>
    <cellStyle name="표준 22 3 2 2 3 2 2 2" xfId="37204"/>
    <cellStyle name="표준 22 3 2 2 3 3 3" xfId="37205"/>
    <cellStyle name="표준 22 3 2 2 3 3 2 2" xfId="37206"/>
    <cellStyle name="표준 22 3 2 2 3 4 2" xfId="37207"/>
    <cellStyle name="표준 22 3 2 2 3 5 2" xfId="37208"/>
    <cellStyle name="표준 22 3 2 2 4 2 2" xfId="37209"/>
    <cellStyle name="표준 22 3 2 2 5 3" xfId="37210"/>
    <cellStyle name="표준 22 3 2 2 5 2 2" xfId="37211"/>
    <cellStyle name="표준 22 3 2 2 6 2" xfId="37212"/>
    <cellStyle name="표준 22 3 2 2 7 2" xfId="37213"/>
    <cellStyle name="표준 22 3 2 3 2 2 2" xfId="37214"/>
    <cellStyle name="표준 22 3 2 3 3 3" xfId="37215"/>
    <cellStyle name="표준 22 3 2 3 3 2 2" xfId="37216"/>
    <cellStyle name="표준 22 3 2 3 4 2" xfId="37217"/>
    <cellStyle name="표준 22 3 2 3 5 2" xfId="37218"/>
    <cellStyle name="표준 22 3 2 4 2 2 2" xfId="37219"/>
    <cellStyle name="표준 22 3 2 4 3 3" xfId="37220"/>
    <cellStyle name="표준 22 3 2 4 3 2 2" xfId="37221"/>
    <cellStyle name="표준 22 3 2 4 4 2" xfId="37222"/>
    <cellStyle name="표준 22 3 2 4 5 2" xfId="37223"/>
    <cellStyle name="표준 22 3 2 5 2 2" xfId="37224"/>
    <cellStyle name="표준 22 3 2 6 3" xfId="37225"/>
    <cellStyle name="표준 22 3 2 6 2 2" xfId="37226"/>
    <cellStyle name="표준 22 3 2 7 2" xfId="37227"/>
    <cellStyle name="표준 22 3 2 8 2" xfId="37228"/>
    <cellStyle name="표준 22 3 3 2 2 2 2" xfId="37229"/>
    <cellStyle name="표준 22 3 3 2 3 3" xfId="37230"/>
    <cellStyle name="표준 22 3 3 2 3 2 2" xfId="37231"/>
    <cellStyle name="표준 22 3 3 2 4 2" xfId="37232"/>
    <cellStyle name="표준 22 3 3 2 5 2" xfId="37233"/>
    <cellStyle name="표준 22 3 3 3 2 2 2" xfId="37234"/>
    <cellStyle name="표준 22 3 3 3 3 3" xfId="37235"/>
    <cellStyle name="표준 22 3 3 3 3 2 2" xfId="37236"/>
    <cellStyle name="표준 22 3 3 3 4 2" xfId="37237"/>
    <cellStyle name="표준 22 3 3 3 5 2" xfId="37238"/>
    <cellStyle name="표준 22 3 3 4 2 2" xfId="37239"/>
    <cellStyle name="표준 22 3 3 5 3" xfId="37240"/>
    <cellStyle name="표준 22 3 3 5 2 2" xfId="37241"/>
    <cellStyle name="표준 22 3 3 6 2" xfId="37242"/>
    <cellStyle name="표준 22 3 3 7 2" xfId="37243"/>
    <cellStyle name="표준 22 3 4 2 2 2" xfId="37244"/>
    <cellStyle name="표준 22 3 4 3 3" xfId="37245"/>
    <cellStyle name="표준 22 3 4 3 2 2" xfId="37246"/>
    <cellStyle name="표준 22 3 4 4 2" xfId="37247"/>
    <cellStyle name="표준 22 3 4 5 2" xfId="37248"/>
    <cellStyle name="표준 22 3 5 2 2 2" xfId="37249"/>
    <cellStyle name="표준 22 3 5 3 3" xfId="37250"/>
    <cellStyle name="표준 22 3 5 3 2 2" xfId="37251"/>
    <cellStyle name="표준 22 3 5 4 2" xfId="37252"/>
    <cellStyle name="표준 22 3 5 5 2" xfId="37253"/>
    <cellStyle name="표준 22 3 6 2 2" xfId="37254"/>
    <cellStyle name="표준 22 3 7 3" xfId="37255"/>
    <cellStyle name="표준 22 3 7 2 2" xfId="37256"/>
    <cellStyle name="표준 22 3 8 2" xfId="37257"/>
    <cellStyle name="표준 22 3 9 2" xfId="37258"/>
    <cellStyle name="표준 22 4 2 2 2 2 2" xfId="37259"/>
    <cellStyle name="표준 22 4 2 2 3 3" xfId="37260"/>
    <cellStyle name="표준 22 4 2 2 3 2 2" xfId="37261"/>
    <cellStyle name="표준 22 4 2 2 4 2" xfId="37262"/>
    <cellStyle name="표준 22 4 2 2 5 2" xfId="37263"/>
    <cellStyle name="표준 22 4 2 3 2 2 2" xfId="37264"/>
    <cellStyle name="표준 22 4 2 3 3 3" xfId="37265"/>
    <cellStyle name="표준 22 4 2 3 3 2 2" xfId="37266"/>
    <cellStyle name="표준 22 4 2 3 4 2" xfId="37267"/>
    <cellStyle name="표준 22 4 2 3 5 2" xfId="37268"/>
    <cellStyle name="표준 22 4 2 4 2 2" xfId="37269"/>
    <cellStyle name="표준 22 4 2 5 3" xfId="37270"/>
    <cellStyle name="표준 22 4 2 5 2 2" xfId="37271"/>
    <cellStyle name="표준 22 4 2 6 2" xfId="37272"/>
    <cellStyle name="표준 22 4 2 7 2" xfId="37273"/>
    <cellStyle name="표준 22 4 3 2 2 2" xfId="37274"/>
    <cellStyle name="표준 22 4 3 3 3" xfId="37275"/>
    <cellStyle name="표준 22 4 3 3 2 2" xfId="37276"/>
    <cellStyle name="표준 22 4 3 4 2" xfId="37277"/>
    <cellStyle name="표준 22 4 3 5 2" xfId="37278"/>
    <cellStyle name="표준 22 4 4 2 2 2" xfId="37279"/>
    <cellStyle name="표준 22 4 4 3 3" xfId="37280"/>
    <cellStyle name="표준 22 4 4 3 2 2" xfId="37281"/>
    <cellStyle name="표준 22 4 4 4 2" xfId="37282"/>
    <cellStyle name="표준 22 4 4 5 2" xfId="37283"/>
    <cellStyle name="표준 22 4 5 2 2" xfId="37284"/>
    <cellStyle name="표준 22 4 6 3" xfId="37285"/>
    <cellStyle name="표준 22 4 6 2 2" xfId="37286"/>
    <cellStyle name="표준 22 4 7 2" xfId="37287"/>
    <cellStyle name="표준 22 4 8 2" xfId="37288"/>
    <cellStyle name="표준 22 5 2 2 2 2" xfId="37289"/>
    <cellStyle name="표준 22 5 2 3 3" xfId="37290"/>
    <cellStyle name="표준 22 5 2 3 2 2" xfId="37291"/>
    <cellStyle name="표준 22 5 2 4 2" xfId="37292"/>
    <cellStyle name="표준 22 5 2 5 2" xfId="37293"/>
    <cellStyle name="표준 22 5 3 2 2 2" xfId="37294"/>
    <cellStyle name="표준 22 5 3 3 3" xfId="37295"/>
    <cellStyle name="표준 22 5 3 3 2 2" xfId="37296"/>
    <cellStyle name="표준 22 5 3 4 2" xfId="37297"/>
    <cellStyle name="표준 22 5 3 5 2" xfId="37298"/>
    <cellStyle name="표준 22 5 4 2 2" xfId="37299"/>
    <cellStyle name="표준 22 5 5 3" xfId="37300"/>
    <cellStyle name="표준 22 5 5 2 2" xfId="37301"/>
    <cellStyle name="표준 22 5 6 2" xfId="37302"/>
    <cellStyle name="표준 22 5 7 2" xfId="37303"/>
    <cellStyle name="표준 22 6 2 2 2" xfId="37304"/>
    <cellStyle name="표준 22 6 3 3" xfId="37305"/>
    <cellStyle name="표준 22 6 3 2 2" xfId="37306"/>
    <cellStyle name="표준 22 6 4 2" xfId="37307"/>
    <cellStyle name="표준 22 6 5 2" xfId="37308"/>
    <cellStyle name="표준 22 7 2 2 2" xfId="37309"/>
    <cellStyle name="표준 22 7 3 3" xfId="37310"/>
    <cellStyle name="표준 22 7 3 2 2" xfId="37311"/>
    <cellStyle name="표준 22 7 4 2" xfId="37312"/>
    <cellStyle name="표준 22 7 5 2" xfId="37313"/>
    <cellStyle name="표준 22 8 2 2" xfId="37314"/>
    <cellStyle name="표준 22 9 3" xfId="37315"/>
    <cellStyle name="표준 22 9 2 2" xfId="37316"/>
    <cellStyle name="표준 24 40 2 2 2 2" xfId="37317"/>
    <cellStyle name="표준 24 40 2 3 3" xfId="37318"/>
    <cellStyle name="표준 24 40 2 3 2 2" xfId="37319"/>
    <cellStyle name="표준 24 40 2 4 2" xfId="37320"/>
    <cellStyle name="표준 24 40 2 5 2" xfId="37321"/>
    <cellStyle name="표준 24 40 3 2 2 2" xfId="37322"/>
    <cellStyle name="표준 24 40 3 3 3" xfId="37323"/>
    <cellStyle name="표준 24 40 3 3 2 2" xfId="37324"/>
    <cellStyle name="표준 24 40 3 4 2" xfId="37325"/>
    <cellStyle name="표준 24 40 3 5 2" xfId="37326"/>
    <cellStyle name="표준 24 40 4 2 2" xfId="37327"/>
    <cellStyle name="표준 24 40 5 3" xfId="37328"/>
    <cellStyle name="표준 24 40 5 2 2" xfId="37329"/>
    <cellStyle name="표준 24 40 6 2" xfId="37330"/>
    <cellStyle name="표준 24 40 7 2" xfId="37331"/>
    <cellStyle name="표준 24 41 2 2 2" xfId="37332"/>
    <cellStyle name="표준 24 41 3 3" xfId="37333"/>
    <cellStyle name="표준 24 41 3 2 2" xfId="37334"/>
    <cellStyle name="표준 24 41 4 2" xfId="37335"/>
    <cellStyle name="표준 24 41 5 2" xfId="37336"/>
    <cellStyle name="표준 24 42 2 2 2" xfId="37337"/>
    <cellStyle name="표준 24 42 3 3" xfId="37338"/>
    <cellStyle name="표준 24 42 3 2 2" xfId="37339"/>
    <cellStyle name="표준 24 42 4 2" xfId="37340"/>
    <cellStyle name="표준 24 42 5 2" xfId="37341"/>
    <cellStyle name="표준 24 43 2 2" xfId="37342"/>
    <cellStyle name="표준 24 44 3" xfId="37343"/>
    <cellStyle name="표준 24 44 2 2" xfId="37344"/>
    <cellStyle name="표준 24 45 2" xfId="37345"/>
    <cellStyle name="표준 24 46 2" xfId="37346"/>
    <cellStyle name="표준 25 24 2 2 2 2" xfId="37347"/>
    <cellStyle name="표준 25 24 2 3 3" xfId="37348"/>
    <cellStyle name="표준 25 24 2 3 2 2" xfId="37349"/>
    <cellStyle name="표준 25 24 2 4 2" xfId="37350"/>
    <cellStyle name="표준 25 24 2 5 2" xfId="37351"/>
    <cellStyle name="표준 25 24 3 2 2 2" xfId="37352"/>
    <cellStyle name="표준 25 24 3 3 3" xfId="37353"/>
    <cellStyle name="표준 25 24 3 3 2 2" xfId="37354"/>
    <cellStyle name="표준 25 24 3 4 2" xfId="37355"/>
    <cellStyle name="표준 25 24 3 5 2" xfId="37356"/>
    <cellStyle name="표준 25 24 4 2 2" xfId="37357"/>
    <cellStyle name="표준 25 24 5 3" xfId="37358"/>
    <cellStyle name="표준 25 24 5 2 2" xfId="37359"/>
    <cellStyle name="표준 25 24 6 2" xfId="37360"/>
    <cellStyle name="표준 25 24 7 2" xfId="37361"/>
    <cellStyle name="표준 25 25 2 2 2" xfId="37362"/>
    <cellStyle name="표준 25 25 3 3" xfId="37363"/>
    <cellStyle name="표준 25 25 3 2 2" xfId="37364"/>
    <cellStyle name="표준 25 25 4 2" xfId="37365"/>
    <cellStyle name="표준 25 25 5 2" xfId="37366"/>
    <cellStyle name="표준 25 26 2 2 2" xfId="37367"/>
    <cellStyle name="표준 25 26 3 3" xfId="37368"/>
    <cellStyle name="표준 25 26 3 2 2" xfId="37369"/>
    <cellStyle name="표준 25 26 4 2" xfId="37370"/>
    <cellStyle name="표준 25 26 5 2" xfId="37371"/>
    <cellStyle name="표준 25 27 2 2" xfId="37372"/>
    <cellStyle name="표준 25 28 3" xfId="37373"/>
    <cellStyle name="표준 25 28 2 2" xfId="37374"/>
    <cellStyle name="표준 25 29 2" xfId="37375"/>
    <cellStyle name="표준 25 30 2" xfId="37376"/>
    <cellStyle name="표준 26 42 2 2 2" xfId="37377"/>
    <cellStyle name="표준 26 42 3 3" xfId="37378"/>
    <cellStyle name="표준 26 42 3 2 2" xfId="37379"/>
    <cellStyle name="표준 26 42 4 2" xfId="37380"/>
    <cellStyle name="표준 26 42 5 2" xfId="37381"/>
    <cellStyle name="표준 26 44 2 2" xfId="37382"/>
    <cellStyle name="표준 26 45 3" xfId="37383"/>
    <cellStyle name="표준 26 45 2 2" xfId="37384"/>
    <cellStyle name="표준 26 46 2" xfId="37385"/>
    <cellStyle name="표준 26 47 2" xfId="37386"/>
    <cellStyle name="표준 27 42 2 2 2" xfId="37387"/>
    <cellStyle name="표준 27 42 3 3" xfId="37388"/>
    <cellStyle name="표준 27 42 3 2 2" xfId="37389"/>
    <cellStyle name="표준 27 42 4 2" xfId="37390"/>
    <cellStyle name="표준 27 42 5 2" xfId="37391"/>
    <cellStyle name="표준 27 43 2 2 2" xfId="37392"/>
    <cellStyle name="표준 27 43 3 3" xfId="37393"/>
    <cellStyle name="표준 27 43 3 2 2" xfId="37394"/>
    <cellStyle name="표준 27 43 4 2" xfId="37395"/>
    <cellStyle name="표준 27 43 5 2" xfId="37396"/>
    <cellStyle name="표준 27 44 2 2" xfId="37397"/>
    <cellStyle name="표준 27 45 3" xfId="37398"/>
    <cellStyle name="표준 27 45 2 2" xfId="37399"/>
    <cellStyle name="표준 27 46 2" xfId="37400"/>
    <cellStyle name="표준 27 47 2" xfId="37401"/>
    <cellStyle name="표준 28 42 2 2 2" xfId="37402"/>
    <cellStyle name="표준 28 42 3 3" xfId="37403"/>
    <cellStyle name="표준 28 42 3 2 2" xfId="37404"/>
    <cellStyle name="표준 28 42 4 2" xfId="37405"/>
    <cellStyle name="표준 28 42 5 2" xfId="37406"/>
    <cellStyle name="표준 28 43 2 2" xfId="37407"/>
    <cellStyle name="표준 28 44 3" xfId="37408"/>
    <cellStyle name="표준 28 44 2 2" xfId="37409"/>
    <cellStyle name="표준 28 45 2" xfId="37410"/>
    <cellStyle name="표준 28 46 2" xfId="37411"/>
    <cellStyle name="표준 287 2 2 2" xfId="37412"/>
    <cellStyle name="표준 287 3 2 2" xfId="37413"/>
    <cellStyle name="표준 287 4 2" xfId="37414"/>
    <cellStyle name="표준 287 5 2" xfId="37415"/>
    <cellStyle name="표준 29 42 2 2 2" xfId="37416"/>
    <cellStyle name="표준 29 42 3 3" xfId="37417"/>
    <cellStyle name="표준 29 42 3 2 2" xfId="37418"/>
    <cellStyle name="표준 29 42 4 2" xfId="37419"/>
    <cellStyle name="표준 29 42 5 2" xfId="37420"/>
    <cellStyle name="표준 29 43 2 2" xfId="37421"/>
    <cellStyle name="표준 29 44 3" xfId="37422"/>
    <cellStyle name="표준 29 44 2 2" xfId="37423"/>
    <cellStyle name="표준 29 45 2" xfId="37424"/>
    <cellStyle name="표준 29 46 2" xfId="37425"/>
    <cellStyle name="표준 30 41 2 2 2" xfId="37426"/>
    <cellStyle name="표준 30 41 3 3" xfId="37427"/>
    <cellStyle name="표준 30 41 3 2 2" xfId="37428"/>
    <cellStyle name="표준 30 41 4 2" xfId="37429"/>
    <cellStyle name="표준 30 41 5 2" xfId="37430"/>
    <cellStyle name="표준 30 42 2 2" xfId="37431"/>
    <cellStyle name="표준 30 43 3" xfId="37432"/>
    <cellStyle name="표준 30 43 2 2" xfId="37433"/>
    <cellStyle name="표준 30 44 2" xfId="37434"/>
    <cellStyle name="표준 30 45 2" xfId="37435"/>
    <cellStyle name="표준 31 41 2" xfId="37436"/>
    <cellStyle name="표준 31 42 2" xfId="37437"/>
    <cellStyle name="표준 32 41 2" xfId="37438"/>
    <cellStyle name="표준 33 41 2" xfId="37439"/>
    <cellStyle name="표준 34 24 2" xfId="37440"/>
    <cellStyle name="표준 4 16 2 2 2 2" xfId="37441"/>
    <cellStyle name="표준 4 16 2 3 3" xfId="37442"/>
    <cellStyle name="표준 4 16 2 3 2 2" xfId="37443"/>
    <cellStyle name="표준 4 16 2 4 2" xfId="37444"/>
    <cellStyle name="표준 4 16 2 5 2" xfId="37445"/>
    <cellStyle name="표준 4 16 3 2 2" xfId="37446"/>
    <cellStyle name="표준 4 16 4 3" xfId="37447"/>
    <cellStyle name="표준 4 16 4 2 2" xfId="37448"/>
    <cellStyle name="표준 4 16 5 2" xfId="37449"/>
    <cellStyle name="표준 4 16 6 2" xfId="37450"/>
    <cellStyle name="표준 4 2 2 2 2 2 2" xfId="37451"/>
    <cellStyle name="표준 4 2 2 2 3 3" xfId="37452"/>
    <cellStyle name="표준 4 2 2 2 3 2 2" xfId="37453"/>
    <cellStyle name="표준 4 2 2 2 4 2" xfId="37454"/>
    <cellStyle name="표준 4 2 2 2 5 2" xfId="37455"/>
    <cellStyle name="표준 4 2 2 3 2 2" xfId="37456"/>
    <cellStyle name="표준 4 2 2 4 3" xfId="37457"/>
    <cellStyle name="표준 4 2 2 4 2 2" xfId="37458"/>
    <cellStyle name="표준 4 2 2 5 2" xfId="37459"/>
    <cellStyle name="표준 4 2 2 6 2" xfId="37460"/>
    <cellStyle name="표준 7 10 10 2 2" xfId="37461"/>
    <cellStyle name="표준 7 10 11 3" xfId="37462"/>
    <cellStyle name="표준 7 10 11 2 2" xfId="37463"/>
    <cellStyle name="표준 7 10 12 2" xfId="37464"/>
    <cellStyle name="표준 7 10 13 2" xfId="37465"/>
    <cellStyle name="표준 7 10 2 10 2" xfId="37466"/>
    <cellStyle name="표준 7 10 2 2 2 2 2 2 2 2" xfId="37467"/>
    <cellStyle name="표준 7 10 2 2 2 2 2 3 3" xfId="37468"/>
    <cellStyle name="표준 7 10 2 2 2 2 2 3 2 2" xfId="37469"/>
    <cellStyle name="표준 7 10 2 2 2 2 2 4 2" xfId="37470"/>
    <cellStyle name="표준 7 10 2 2 2 2 2 5 2" xfId="37471"/>
    <cellStyle name="표준 7 10 2 2 2 2 3 2 2 2" xfId="37472"/>
    <cellStyle name="표준 7 10 2 2 2 2 3 3 3" xfId="37473"/>
    <cellStyle name="표준 7 10 2 2 2 2 3 3 2 2" xfId="37474"/>
    <cellStyle name="표준 7 10 2 2 2 2 3 4 2" xfId="37475"/>
    <cellStyle name="표준 7 10 2 2 2 2 3 5 2" xfId="37476"/>
    <cellStyle name="표준 7 10 2 2 2 2 4 2 2" xfId="37477"/>
    <cellStyle name="표준 7 10 2 2 2 2 5 3" xfId="37478"/>
    <cellStyle name="표준 7 10 2 2 2 2 5 2 2" xfId="37479"/>
    <cellStyle name="표준 7 10 2 2 2 2 6 2" xfId="37480"/>
    <cellStyle name="표준 7 10 2 2 2 2 7 2" xfId="37481"/>
    <cellStyle name="표준 7 10 2 2 2 3 2 2 2" xfId="37482"/>
    <cellStyle name="표준 7 10 2 2 2 3 3 3" xfId="37483"/>
    <cellStyle name="표준 7 10 2 2 2 3 3 2 2" xfId="37484"/>
    <cellStyle name="표준 7 10 2 2 2 3 4 2" xfId="37485"/>
    <cellStyle name="표준 7 10 2 2 2 3 5 2" xfId="37486"/>
    <cellStyle name="표준 7 10 2 2 2 4 2 2 2" xfId="37487"/>
    <cellStyle name="표준 7 10 2 2 2 4 3 3" xfId="37488"/>
    <cellStyle name="표준 7 10 2 2 2 4 3 2 2" xfId="37489"/>
    <cellStyle name="표준 7 10 2 2 2 4 4 2" xfId="37490"/>
    <cellStyle name="표준 7 10 2 2 2 4 5 2" xfId="37491"/>
    <cellStyle name="표준 7 10 2 2 2 5 2 2" xfId="37492"/>
    <cellStyle name="표준 7 10 2 2 2 6 3" xfId="37493"/>
    <cellStyle name="표준 7 10 2 2 2 6 2 2" xfId="37494"/>
    <cellStyle name="표준 7 10 2 2 2 7 2" xfId="37495"/>
    <cellStyle name="표준 7 10 2 2 2 8 2" xfId="37496"/>
    <cellStyle name="표준 7 10 2 2 3 2 2 2 2" xfId="37497"/>
    <cellStyle name="표준 7 10 2 2 3 2 3 3" xfId="37498"/>
    <cellStyle name="표준 7 10 2 2 3 2 3 2 2" xfId="37499"/>
    <cellStyle name="표준 7 10 2 2 3 2 4 2" xfId="37500"/>
    <cellStyle name="표준 7 10 2 2 3 2 5 2" xfId="37501"/>
    <cellStyle name="표준 7 10 2 2 3 3 2 2 2" xfId="37502"/>
    <cellStyle name="표준 7 10 2 2 3 3 3 3" xfId="37503"/>
    <cellStyle name="표준 7 10 2 2 3 3 3 2 2" xfId="37504"/>
    <cellStyle name="표준 7 10 2 2 3 3 4 2" xfId="37505"/>
    <cellStyle name="표준 7 10 2 2 3 3 5 2" xfId="37506"/>
    <cellStyle name="표준 7 10 2 2 3 4 2 2" xfId="37507"/>
    <cellStyle name="표준 7 10 2 2 3 5 3" xfId="37508"/>
    <cellStyle name="표준 7 10 2 2 3 5 2 2" xfId="37509"/>
    <cellStyle name="표준 7 10 2 2 3 6 2" xfId="37510"/>
    <cellStyle name="표준 7 10 2 2 3 7 2" xfId="37511"/>
    <cellStyle name="표준 7 10 2 2 4 2 2 2" xfId="37512"/>
    <cellStyle name="표준 7 10 2 2 4 3 3" xfId="37513"/>
    <cellStyle name="표준 7 10 2 2 4 3 2 2" xfId="37514"/>
    <cellStyle name="표준 7 10 2 2 4 4 2" xfId="37515"/>
    <cellStyle name="표준 7 10 2 2 4 5 2" xfId="37516"/>
    <cellStyle name="표준 7 10 2 2 5 2 2 2" xfId="37517"/>
    <cellStyle name="표준 7 10 2 2 5 3 3" xfId="37518"/>
    <cellStyle name="표준 7 10 2 2 5 3 2 2" xfId="37519"/>
    <cellStyle name="표준 7 10 2 2 5 4 2" xfId="37520"/>
    <cellStyle name="표준 7 10 2 2 5 5 2" xfId="37521"/>
    <cellStyle name="표준 7 10 2 2 6 2 2" xfId="37522"/>
    <cellStyle name="표준 7 10 2 2 7 3" xfId="37523"/>
    <cellStyle name="표준 7 10 2 2 7 2 2" xfId="37524"/>
    <cellStyle name="표준 7 10 2 2 8 2" xfId="37525"/>
    <cellStyle name="표준 7 10 2 2 9 2" xfId="37526"/>
    <cellStyle name="표준 7 10 2 3 2 2 2 2 2" xfId="37527"/>
    <cellStyle name="표준 7 10 2 3 2 2 3 3" xfId="37528"/>
    <cellStyle name="표준 7 10 2 3 2 2 3 2 2" xfId="37529"/>
    <cellStyle name="표준 7 10 2 3 2 2 4 2" xfId="37530"/>
    <cellStyle name="표준 7 10 2 3 2 2 5 2" xfId="37531"/>
    <cellStyle name="표준 7 10 2 3 2 3 2 2 2" xfId="37532"/>
    <cellStyle name="표준 7 10 2 3 2 3 3 3" xfId="37533"/>
    <cellStyle name="표준 7 10 2 3 2 3 3 2 2" xfId="37534"/>
    <cellStyle name="표준 7 10 2 3 2 3 4 2" xfId="37535"/>
    <cellStyle name="표준 7 10 2 3 2 3 5 2" xfId="37536"/>
    <cellStyle name="표준 7 10 2 3 2 4 2 2" xfId="37537"/>
    <cellStyle name="표준 7 10 2 3 2 5 3" xfId="37538"/>
    <cellStyle name="표준 7 10 2 3 2 5 2 2" xfId="37539"/>
    <cellStyle name="표준 7 10 2 3 2 6 2" xfId="37540"/>
    <cellStyle name="표준 7 10 2 3 2 7 2" xfId="37541"/>
    <cellStyle name="표준 7 10 2 3 3 2 2 2" xfId="37542"/>
    <cellStyle name="표준 7 10 2 3 3 3 3" xfId="37543"/>
    <cellStyle name="표준 7 10 2 3 3 3 2 2" xfId="37544"/>
    <cellStyle name="표준 7 10 2 3 3 4 2" xfId="37545"/>
    <cellStyle name="표준 7 10 2 3 3 5 2" xfId="37546"/>
    <cellStyle name="표준 7 10 2 3 4 2 2 2" xfId="37547"/>
    <cellStyle name="표준 7 10 2 3 4 3 3" xfId="37548"/>
    <cellStyle name="표준 7 10 2 3 4 3 2 2" xfId="37549"/>
    <cellStyle name="표준 7 10 2 3 4 4 2" xfId="37550"/>
    <cellStyle name="표준 7 10 2 3 4 5 2" xfId="37551"/>
    <cellStyle name="표준 7 10 2 3 5 2 2" xfId="37552"/>
    <cellStyle name="표준 7 10 2 3 6 3" xfId="37553"/>
    <cellStyle name="표준 7 10 2 3 6 2 2" xfId="37554"/>
    <cellStyle name="표준 7 10 2 3 7 2" xfId="37555"/>
    <cellStyle name="표준 7 10 2 3 8 2" xfId="37556"/>
    <cellStyle name="표준 7 10 2 4 2 2 2 2" xfId="37557"/>
    <cellStyle name="표준 7 10 2 4 2 3 3" xfId="37558"/>
    <cellStyle name="표준 7 10 2 4 2 3 2 2" xfId="37559"/>
    <cellStyle name="표준 7 10 2 4 2 4 2" xfId="37560"/>
    <cellStyle name="표준 7 10 2 4 2 5 2" xfId="37561"/>
    <cellStyle name="표준 7 10 2 4 3 2 2 2" xfId="37562"/>
    <cellStyle name="표준 7 10 2 4 3 3 3" xfId="37563"/>
    <cellStyle name="표준 7 10 2 4 3 3 2 2" xfId="37564"/>
    <cellStyle name="표준 7 10 2 4 3 4 2" xfId="37565"/>
    <cellStyle name="표준 7 10 2 4 3 5 2" xfId="37566"/>
    <cellStyle name="표준 7 10 2 4 4 2 2" xfId="37567"/>
    <cellStyle name="표준 7 10 2 4 5 3" xfId="37568"/>
    <cellStyle name="표준 7 10 2 4 5 2 2" xfId="37569"/>
    <cellStyle name="표준 7 10 2 4 6 2" xfId="37570"/>
    <cellStyle name="표준 7 10 2 4 7 2" xfId="37571"/>
    <cellStyle name="표준 7 10 2 5 2 2 2" xfId="37572"/>
    <cellStyle name="표준 7 10 2 5 3 3" xfId="37573"/>
    <cellStyle name="표준 7 10 2 5 3 2 2" xfId="37574"/>
    <cellStyle name="표준 7 10 2 5 4 2" xfId="37575"/>
    <cellStyle name="표준 7 10 2 5 5 2" xfId="37576"/>
    <cellStyle name="표준 7 10 2 6 2 2 2" xfId="37577"/>
    <cellStyle name="표준 7 10 2 6 3 3" xfId="37578"/>
    <cellStyle name="표준 7 10 2 6 3 2 2" xfId="37579"/>
    <cellStyle name="표준 7 10 2 6 4 2" xfId="37580"/>
    <cellStyle name="표준 7 10 2 6 5 2" xfId="37581"/>
    <cellStyle name="표준 7 10 2 7 2 2" xfId="37582"/>
    <cellStyle name="표준 7 10 2 8 3" xfId="37583"/>
    <cellStyle name="표준 7 10 2 8 2 2" xfId="37584"/>
    <cellStyle name="표준 7 10 2 9 2" xfId="37585"/>
    <cellStyle name="표준 7 10 3 10 2" xfId="37586"/>
    <cellStyle name="표준 7 10 3 2 2 2 2 2 2 2" xfId="37587"/>
    <cellStyle name="표준 7 10 3 2 2 2 2 3 3" xfId="37588"/>
    <cellStyle name="표준 7 10 3 2 2 2 2 3 2 2" xfId="37589"/>
    <cellStyle name="표준 7 10 3 2 2 2 2 4 2" xfId="37590"/>
    <cellStyle name="표준 7 10 3 2 2 2 2 5 2" xfId="37591"/>
    <cellStyle name="표준 7 10 3 2 2 2 3 2 2 2" xfId="37592"/>
    <cellStyle name="표준 7 10 3 2 2 2 3 3 3" xfId="37593"/>
    <cellStyle name="표준 7 10 3 2 2 2 3 3 2 2" xfId="37594"/>
    <cellStyle name="표준 7 10 3 2 2 2 3 4 2" xfId="37595"/>
    <cellStyle name="표준 7 10 3 2 2 2 3 5 2" xfId="37596"/>
    <cellStyle name="표준 7 10 3 2 2 2 4 2 2" xfId="37597"/>
    <cellStyle name="표준 7 10 3 2 2 2 5 3" xfId="37598"/>
    <cellStyle name="표준 7 10 3 2 2 2 5 2 2" xfId="37599"/>
    <cellStyle name="표준 7 10 3 2 2 2 6 2" xfId="37600"/>
    <cellStyle name="표준 7 10 3 2 2 2 7 2" xfId="37601"/>
    <cellStyle name="표준 7 10 3 2 2 3 2 2 2" xfId="37602"/>
    <cellStyle name="표준 7 10 3 2 2 3 3 3" xfId="37603"/>
    <cellStyle name="표준 7 10 3 2 2 3 3 2 2" xfId="37604"/>
    <cellStyle name="표준 7 10 3 2 2 3 4 2" xfId="37605"/>
    <cellStyle name="표준 7 10 3 2 2 3 5 2" xfId="37606"/>
    <cellStyle name="표준 7 10 3 2 2 4 2 2 2" xfId="37607"/>
    <cellStyle name="표준 7 10 3 2 2 4 3 3" xfId="37608"/>
    <cellStyle name="표준 7 10 3 2 2 4 3 2 2" xfId="37609"/>
    <cellStyle name="표준 7 10 3 2 2 4 4 2" xfId="37610"/>
    <cellStyle name="표준 7 10 3 2 2 4 5 2" xfId="37611"/>
    <cellStyle name="표준 7 10 3 2 2 5 2 2" xfId="37612"/>
    <cellStyle name="표준 7 10 3 2 2 6 3" xfId="37613"/>
    <cellStyle name="표준 7 10 3 2 2 6 2 2" xfId="37614"/>
    <cellStyle name="표준 7 10 3 2 2 7 2" xfId="37615"/>
    <cellStyle name="표준 7 10 3 2 2 8 2" xfId="37616"/>
    <cellStyle name="표준 7 10 3 2 3 2 2 2 2" xfId="37617"/>
    <cellStyle name="표준 7 10 3 2 3 2 3 3" xfId="37618"/>
    <cellStyle name="표준 7 10 3 2 3 2 3 2 2" xfId="37619"/>
    <cellStyle name="표준 7 10 3 2 3 2 4 2" xfId="37620"/>
    <cellStyle name="표준 7 10 3 2 3 2 5 2" xfId="37621"/>
    <cellStyle name="표준 7 10 3 2 3 3 2 2 2" xfId="37622"/>
    <cellStyle name="표준 7 10 3 2 3 3 3 3" xfId="37623"/>
    <cellStyle name="표준 7 10 3 2 3 3 3 2 2" xfId="37624"/>
    <cellStyle name="표준 7 10 3 2 3 3 4 2" xfId="37625"/>
    <cellStyle name="표준 7 10 3 2 3 3 5 2" xfId="37626"/>
    <cellStyle name="표준 7 10 3 2 3 4 2 2" xfId="37627"/>
    <cellStyle name="표준 7 10 3 2 3 5 3" xfId="37628"/>
    <cellStyle name="표준 7 10 3 2 3 5 2 2" xfId="37629"/>
    <cellStyle name="표준 7 10 3 2 3 6 2" xfId="37630"/>
    <cellStyle name="표준 7 10 3 2 3 7 2" xfId="37631"/>
    <cellStyle name="표준 7 10 3 2 4 2 2 2" xfId="37632"/>
    <cellStyle name="표준 7 10 3 2 4 3 3" xfId="37633"/>
    <cellStyle name="표준 7 10 3 2 4 3 2 2" xfId="37634"/>
    <cellStyle name="표준 7 10 3 2 4 4 2" xfId="37635"/>
    <cellStyle name="표준 7 10 3 2 4 5 2" xfId="37636"/>
    <cellStyle name="표준 7 10 3 2 5 2 2 2" xfId="37637"/>
    <cellStyle name="표준 7 10 3 2 5 3 3" xfId="37638"/>
    <cellStyle name="표준 7 10 3 2 5 3 2 2" xfId="37639"/>
    <cellStyle name="표준 7 10 3 2 5 4 2" xfId="37640"/>
    <cellStyle name="표준 7 10 3 2 5 5 2" xfId="37641"/>
    <cellStyle name="표준 7 10 3 2 6 2 2" xfId="37642"/>
    <cellStyle name="표준 7 10 3 2 7 3" xfId="37643"/>
    <cellStyle name="표준 7 10 3 2 7 2 2" xfId="37644"/>
    <cellStyle name="표준 7 10 3 2 8 2" xfId="37645"/>
    <cellStyle name="표준 7 10 3 2 9 2" xfId="37646"/>
    <cellStyle name="표준 7 10 3 3 2 2 2 2 2" xfId="37647"/>
    <cellStyle name="표준 7 10 3 3 2 2 3 3" xfId="37648"/>
    <cellStyle name="표준 7 10 3 3 2 2 3 2 2" xfId="37649"/>
    <cellStyle name="표준 7 10 3 3 2 2 4 2" xfId="37650"/>
    <cellStyle name="표준 7 10 3 3 2 2 5 2" xfId="37651"/>
    <cellStyle name="표준 7 10 3 3 2 3 2 2 2" xfId="37652"/>
    <cellStyle name="표준 7 10 3 3 2 3 3 3" xfId="37653"/>
    <cellStyle name="표준 7 10 3 3 2 3 3 2 2" xfId="37654"/>
    <cellStyle name="표준 7 10 3 3 2 3 4 2" xfId="37655"/>
    <cellStyle name="표준 7 10 3 3 2 3 5 2" xfId="37656"/>
    <cellStyle name="표준 7 10 3 3 2 4 2 2" xfId="37657"/>
    <cellStyle name="표준 7 10 3 3 2 5 3" xfId="37658"/>
    <cellStyle name="표준 7 10 3 3 2 5 2 2" xfId="37659"/>
    <cellStyle name="표준 7 10 3 3 2 6 2" xfId="37660"/>
    <cellStyle name="표준 7 10 3 3 2 7 2" xfId="37661"/>
    <cellStyle name="표준 7 10 3 3 3 2 2 2" xfId="37662"/>
    <cellStyle name="표준 7 10 3 3 3 3 3" xfId="37663"/>
    <cellStyle name="표준 7 10 3 3 3 3 2 2" xfId="37664"/>
    <cellStyle name="표준 7 10 3 3 3 4 2" xfId="37665"/>
    <cellStyle name="표준 7 10 3 3 3 5 2" xfId="37666"/>
    <cellStyle name="표준 7 10 3 3 4 2 2 2" xfId="37667"/>
    <cellStyle name="표준 7 10 3 3 4 3 3" xfId="37668"/>
    <cellStyle name="표준 7 10 3 3 4 3 2 2" xfId="37669"/>
    <cellStyle name="표준 7 10 3 3 4 4 2" xfId="37670"/>
    <cellStyle name="표준 7 10 3 3 4 5 2" xfId="37671"/>
    <cellStyle name="표준 7 10 3 3 5 2 2" xfId="37672"/>
    <cellStyle name="표준 7 10 3 3 6 3" xfId="37673"/>
    <cellStyle name="표준 7 10 3 3 6 2 2" xfId="37674"/>
    <cellStyle name="표준 7 10 3 3 7 2" xfId="37675"/>
    <cellStyle name="표준 7 10 3 3 8 2" xfId="37676"/>
    <cellStyle name="표준 7 10 3 4 2 2 2 2" xfId="37677"/>
    <cellStyle name="표준 7 10 3 4 2 3 3" xfId="37678"/>
    <cellStyle name="표준 7 10 3 4 2 3 2 2" xfId="37679"/>
    <cellStyle name="표준 7 10 3 4 2 4 2" xfId="37680"/>
    <cellStyle name="표준 7 10 3 4 2 5 2" xfId="37681"/>
    <cellStyle name="표준 7 10 3 4 3 2 2 2" xfId="37682"/>
    <cellStyle name="표준 7 10 3 4 3 3 3" xfId="37683"/>
    <cellStyle name="표준 7 10 3 4 3 3 2 2" xfId="37684"/>
    <cellStyle name="표준 7 10 3 4 3 4 2" xfId="37685"/>
    <cellStyle name="표준 7 10 3 4 3 5 2" xfId="37686"/>
    <cellStyle name="표준 7 10 3 4 4 2 2" xfId="37687"/>
    <cellStyle name="표준 7 10 3 4 5 3" xfId="37688"/>
    <cellStyle name="표준 7 10 3 4 5 2 2" xfId="37689"/>
    <cellStyle name="표준 7 10 3 4 6 2" xfId="37690"/>
    <cellStyle name="표준 7 10 3 4 7 2" xfId="37691"/>
    <cellStyle name="표준 7 10 3 5 2 2 2" xfId="37692"/>
    <cellStyle name="표준 7 10 3 5 3 3" xfId="37693"/>
    <cellStyle name="표준 7 10 3 5 3 2 2" xfId="37694"/>
    <cellStyle name="표준 7 10 3 5 4 2" xfId="37695"/>
    <cellStyle name="표준 7 10 3 5 5 2" xfId="37696"/>
    <cellStyle name="표준 7 10 3 6 2 2 2" xfId="37697"/>
    <cellStyle name="표준 7 10 3 6 3 3" xfId="37698"/>
    <cellStyle name="표준 7 10 3 6 3 2 2" xfId="37699"/>
    <cellStyle name="표준 7 10 3 6 4 2" xfId="37700"/>
    <cellStyle name="표준 7 10 3 6 5 2" xfId="37701"/>
    <cellStyle name="표준 7 10 3 7 2 2" xfId="37702"/>
    <cellStyle name="표준 7 10 3 8 3" xfId="37703"/>
    <cellStyle name="표준 7 10 3 8 2 2" xfId="37704"/>
    <cellStyle name="표준 7 10 3 9 2" xfId="37705"/>
    <cellStyle name="표준 7 10 4 10 2" xfId="37706"/>
    <cellStyle name="표준 7 10 4 2 2 2 2 2 2 2" xfId="37707"/>
    <cellStyle name="표준 7 10 4 2 2 2 2 3 3" xfId="37708"/>
    <cellStyle name="표준 7 10 4 2 2 2 2 3 2 2" xfId="37709"/>
    <cellStyle name="표준 7 10 4 2 2 2 2 4 2" xfId="37710"/>
    <cellStyle name="표준 7 10 4 2 2 2 2 5 2" xfId="37711"/>
    <cellStyle name="표준 7 10 4 2 2 2 3 2 2 2" xfId="37712"/>
    <cellStyle name="표준 7 10 4 2 2 2 3 3 3" xfId="37713"/>
    <cellStyle name="표준 7 10 4 2 2 2 3 3 2 2" xfId="37714"/>
    <cellStyle name="표준 7 10 4 2 2 2 3 4 2" xfId="37715"/>
    <cellStyle name="표준 7 10 4 2 2 2 3 5 2" xfId="37716"/>
    <cellStyle name="표준 7 10 4 2 2 2 4 2 2" xfId="37717"/>
    <cellStyle name="표준 7 10 4 2 2 2 5 3" xfId="37718"/>
    <cellStyle name="표준 7 10 4 2 2 2 5 2 2" xfId="37719"/>
    <cellStyle name="표준 7 10 4 2 2 2 6 2" xfId="37720"/>
    <cellStyle name="표준 7 10 4 2 2 2 7 2" xfId="37721"/>
    <cellStyle name="표준 7 10 4 2 2 3 2 2 2" xfId="37722"/>
    <cellStyle name="표준 7 10 4 2 2 3 3 3" xfId="37723"/>
    <cellStyle name="표준 7 10 4 2 2 3 3 2 2" xfId="37724"/>
    <cellStyle name="표준 7 10 4 2 2 3 4 2" xfId="37725"/>
    <cellStyle name="표준 7 10 4 2 2 3 5 2" xfId="37726"/>
    <cellStyle name="표준 7 10 4 2 2 4 2 2 2" xfId="37727"/>
    <cellStyle name="표준 7 10 4 2 2 4 3 3" xfId="37728"/>
    <cellStyle name="표준 7 10 4 2 2 4 3 2 2" xfId="37729"/>
    <cellStyle name="표준 7 10 4 2 2 4 4 2" xfId="37730"/>
    <cellStyle name="표준 7 10 4 2 2 4 5 2" xfId="37731"/>
    <cellStyle name="표준 7 10 4 2 2 5 2 2" xfId="37732"/>
    <cellStyle name="표준 7 10 4 2 2 6 3" xfId="37733"/>
    <cellStyle name="표준 7 10 4 2 2 6 2 2" xfId="37734"/>
    <cellStyle name="표준 7 10 4 2 2 7 2" xfId="37735"/>
    <cellStyle name="표준 7 10 4 2 2 8 2" xfId="37736"/>
    <cellStyle name="표준 7 10 4 2 3 2 2 2 2" xfId="37737"/>
    <cellStyle name="표준 7 10 4 2 3 2 3 3" xfId="37738"/>
    <cellStyle name="표준 7 10 4 2 3 2 3 2 2" xfId="37739"/>
    <cellStyle name="표준 7 10 4 2 3 2 4 2" xfId="37740"/>
    <cellStyle name="표준 7 10 4 2 3 2 5 2" xfId="37741"/>
    <cellStyle name="표준 7 10 4 2 3 3 2 2 2" xfId="37742"/>
    <cellStyle name="표준 7 10 4 2 3 3 3 3" xfId="37743"/>
    <cellStyle name="표준 7 10 4 2 3 3 3 2 2" xfId="37744"/>
    <cellStyle name="표준 7 10 4 2 3 3 4 2" xfId="37745"/>
    <cellStyle name="표준 7 10 4 2 3 3 5 2" xfId="37746"/>
    <cellStyle name="표준 7 10 4 2 3 4 2 2" xfId="37747"/>
    <cellStyle name="표준 7 10 4 2 3 5 3" xfId="37748"/>
    <cellStyle name="표준 7 10 4 2 3 5 2 2" xfId="37749"/>
    <cellStyle name="표준 7 10 4 2 3 6 2" xfId="37750"/>
    <cellStyle name="표준 7 10 4 2 3 7 2" xfId="37751"/>
    <cellStyle name="표준 7 10 4 2 4 2 2 2" xfId="37752"/>
    <cellStyle name="표준 7 10 4 2 4 3 3" xfId="37753"/>
    <cellStyle name="표준 7 10 4 2 4 3 2 2" xfId="37754"/>
    <cellStyle name="표준 7 10 4 2 4 4 2" xfId="37755"/>
    <cellStyle name="표준 7 10 4 2 4 5 2" xfId="37756"/>
    <cellStyle name="표준 7 10 4 2 5 2 2 2" xfId="37757"/>
    <cellStyle name="표준 7 10 4 2 5 3 3" xfId="37758"/>
    <cellStyle name="표준 7 10 4 2 5 3 2 2" xfId="37759"/>
    <cellStyle name="표준 7 10 4 2 5 4 2" xfId="37760"/>
    <cellStyle name="표준 7 10 4 2 5 5 2" xfId="37761"/>
    <cellStyle name="표준 7 10 4 2 6 2 2" xfId="37762"/>
    <cellStyle name="표준 7 10 4 2 7 3" xfId="37763"/>
    <cellStyle name="표준 7 10 4 2 7 2 2" xfId="37764"/>
    <cellStyle name="표준 7 10 4 2 8 2" xfId="37765"/>
    <cellStyle name="표준 7 10 4 2 9 2" xfId="37766"/>
    <cellStyle name="표준 7 10 4 3 2 2 2 2 2" xfId="37767"/>
    <cellStyle name="표준 7 10 4 3 2 2 3 3" xfId="37768"/>
    <cellStyle name="표준 7 10 4 3 2 2 3 2 2" xfId="37769"/>
    <cellStyle name="표준 7 10 4 3 2 2 4 2" xfId="37770"/>
    <cellStyle name="표준 7 10 4 3 2 2 5 2" xfId="37771"/>
    <cellStyle name="표준 7 10 4 3 2 3 2 2 2" xfId="37772"/>
    <cellStyle name="표준 7 10 4 3 2 3 3 3" xfId="37773"/>
    <cellStyle name="표준 7 10 4 3 2 3 3 2 2" xfId="37774"/>
    <cellStyle name="표준 7 10 4 3 2 3 4 2" xfId="37775"/>
    <cellStyle name="표준 7 10 4 3 2 3 5 2" xfId="37776"/>
    <cellStyle name="표준 7 10 4 3 2 4 2 2" xfId="37777"/>
    <cellStyle name="표준 7 10 4 3 2 5 3" xfId="37778"/>
    <cellStyle name="표준 7 10 4 3 2 5 2 2" xfId="37779"/>
    <cellStyle name="표준 7 10 4 3 2 6 2" xfId="37780"/>
    <cellStyle name="표준 7 10 4 3 2 7 2" xfId="37781"/>
    <cellStyle name="표준 7 10 4 3 3 2 2 2" xfId="37782"/>
    <cellStyle name="표준 7 10 4 3 3 3 3" xfId="37783"/>
    <cellStyle name="표준 7 10 4 3 3 3 2 2" xfId="37784"/>
    <cellStyle name="표준 7 10 4 3 3 4 2" xfId="37785"/>
    <cellStyle name="표준 7 10 4 3 3 5 2" xfId="37786"/>
    <cellStyle name="표준 7 10 4 3 4 2 2 2" xfId="37787"/>
    <cellStyle name="표준 7 10 4 3 4 3 3" xfId="37788"/>
    <cellStyle name="표준 7 10 4 3 4 3 2 2" xfId="37789"/>
    <cellStyle name="표준 7 10 4 3 4 4 2" xfId="37790"/>
    <cellStyle name="표준 7 10 4 3 4 5 2" xfId="37791"/>
    <cellStyle name="표준 7 10 4 3 5 2 2" xfId="37792"/>
    <cellStyle name="표준 7 10 4 3 6 3" xfId="37793"/>
    <cellStyle name="표준 7 10 4 3 6 2 2" xfId="37794"/>
    <cellStyle name="표준 7 10 4 3 7 2" xfId="37795"/>
    <cellStyle name="표준 7 10 4 3 8 2" xfId="37796"/>
    <cellStyle name="표준 7 10 4 4 2 2 2 2" xfId="37797"/>
    <cellStyle name="표준 7 10 4 4 2 3 3" xfId="37798"/>
    <cellStyle name="표준 7 10 4 4 2 3 2 2" xfId="37799"/>
    <cellStyle name="표준 7 10 4 4 2 4 2" xfId="37800"/>
    <cellStyle name="표준 7 10 4 4 2 5 2" xfId="37801"/>
    <cellStyle name="표준 7 10 4 4 3 2 2 2" xfId="37802"/>
    <cellStyle name="표준 7 10 4 4 3 3 3" xfId="37803"/>
    <cellStyle name="표준 7 10 4 4 3 3 2 2" xfId="37804"/>
    <cellStyle name="표준 7 10 4 4 3 4 2" xfId="37805"/>
    <cellStyle name="표준 7 10 4 4 3 5 2" xfId="37806"/>
    <cellStyle name="표준 7 10 4 4 4 2 2" xfId="37807"/>
    <cellStyle name="표준 7 10 4 4 5 3" xfId="37808"/>
    <cellStyle name="표준 7 10 4 4 5 2 2" xfId="37809"/>
    <cellStyle name="표준 7 10 4 4 6 2" xfId="37810"/>
    <cellStyle name="표준 7 10 4 4 7 2" xfId="37811"/>
    <cellStyle name="표준 7 10 4 5 2 2 2" xfId="37812"/>
    <cellStyle name="표준 7 10 4 5 3 3" xfId="37813"/>
    <cellStyle name="표준 7 10 4 5 3 2 2" xfId="37814"/>
    <cellStyle name="표준 7 10 4 5 4 2" xfId="37815"/>
    <cellStyle name="표준 7 10 4 5 5 2" xfId="37816"/>
    <cellStyle name="표준 7 10 4 6 2 2 2" xfId="37817"/>
    <cellStyle name="표준 7 10 4 6 3 3" xfId="37818"/>
    <cellStyle name="표준 7 10 4 6 3 2 2" xfId="37819"/>
    <cellStyle name="표준 7 10 4 6 4 2" xfId="37820"/>
    <cellStyle name="표준 7 10 4 6 5 2" xfId="37821"/>
    <cellStyle name="표준 7 10 4 7 2 2" xfId="37822"/>
    <cellStyle name="표준 7 10 4 8 3" xfId="37823"/>
    <cellStyle name="표준 7 10 4 8 2 2" xfId="37824"/>
    <cellStyle name="표준 7 10 4 9 2" xfId="37825"/>
    <cellStyle name="표준 7 10 5 2 2 2 2 2 2" xfId="37826"/>
    <cellStyle name="표준 7 10 5 2 2 2 3 3" xfId="37827"/>
    <cellStyle name="표준 7 10 5 2 2 2 3 2 2" xfId="37828"/>
    <cellStyle name="표준 7 10 5 2 2 2 4 2" xfId="37829"/>
    <cellStyle name="표준 7 10 5 2 2 2 5 2" xfId="37830"/>
    <cellStyle name="표준 7 10 5 2 2 3 2 2 2" xfId="37831"/>
    <cellStyle name="표준 7 10 5 2 2 3 3 3" xfId="37832"/>
    <cellStyle name="표준 7 10 5 2 2 3 3 2 2" xfId="37833"/>
    <cellStyle name="표준 7 10 5 2 2 3 4 2" xfId="37834"/>
    <cellStyle name="표준 7 10 5 2 2 3 5 2" xfId="37835"/>
    <cellStyle name="표준 7 10 5 2 2 4 2 2" xfId="37836"/>
    <cellStyle name="표준 7 10 5 2 2 5 3" xfId="37837"/>
    <cellStyle name="표준 7 10 5 2 2 5 2 2" xfId="37838"/>
    <cellStyle name="표준 7 10 5 2 2 6 2" xfId="37839"/>
    <cellStyle name="표준 7 10 5 2 2 7 2" xfId="37840"/>
    <cellStyle name="표준 7 10 5 2 3 2 2 2" xfId="37841"/>
    <cellStyle name="표준 7 10 5 2 3 3 3" xfId="37842"/>
    <cellStyle name="표준 7 10 5 2 3 3 2 2" xfId="37843"/>
    <cellStyle name="표준 7 10 5 2 3 4 2" xfId="37844"/>
    <cellStyle name="표준 7 10 5 2 3 5 2" xfId="37845"/>
    <cellStyle name="표준 7 10 5 2 4 2 2 2" xfId="37846"/>
    <cellStyle name="표준 7 10 5 2 4 3 3" xfId="37847"/>
    <cellStyle name="표준 7 10 5 2 4 3 2 2" xfId="37848"/>
    <cellStyle name="표준 7 10 5 2 4 4 2" xfId="37849"/>
    <cellStyle name="표준 7 10 5 2 4 5 2" xfId="37850"/>
    <cellStyle name="표준 7 10 5 2 5 2 2" xfId="37851"/>
    <cellStyle name="표준 7 10 5 2 6 3" xfId="37852"/>
    <cellStyle name="표준 7 10 5 2 6 2 2" xfId="37853"/>
    <cellStyle name="표준 7 10 5 2 7 2" xfId="37854"/>
    <cellStyle name="표준 7 10 5 2 8 2" xfId="37855"/>
    <cellStyle name="표준 7 10 5 3 2 2 2 2" xfId="37856"/>
    <cellStyle name="표준 7 10 5 3 2 3 3" xfId="37857"/>
    <cellStyle name="표준 7 10 5 3 2 3 2 2" xfId="37858"/>
    <cellStyle name="표준 7 10 5 3 2 4 2" xfId="37859"/>
    <cellStyle name="표준 7 10 5 3 2 5 2" xfId="37860"/>
    <cellStyle name="표준 7 10 5 3 3 2 2 2" xfId="37861"/>
    <cellStyle name="표준 7 10 5 3 3 3 3" xfId="37862"/>
    <cellStyle name="표준 7 10 5 3 3 3 2 2" xfId="37863"/>
    <cellStyle name="표준 7 10 5 3 3 4 2" xfId="37864"/>
    <cellStyle name="표준 7 10 5 3 3 5 2" xfId="37865"/>
    <cellStyle name="표준 7 10 5 3 4 2 2" xfId="37866"/>
    <cellStyle name="표준 7 10 5 3 5 3" xfId="37867"/>
    <cellStyle name="표준 7 10 5 3 5 2 2" xfId="37868"/>
    <cellStyle name="표준 7 10 5 3 6 2" xfId="37869"/>
    <cellStyle name="표준 7 10 5 3 7 2" xfId="37870"/>
    <cellStyle name="표준 7 10 5 4 2 2 2" xfId="37871"/>
    <cellStyle name="표준 7 10 5 4 3 3" xfId="37872"/>
    <cellStyle name="표준 7 10 5 4 3 2 2" xfId="37873"/>
    <cellStyle name="표준 7 10 5 4 4 2" xfId="37874"/>
    <cellStyle name="표준 7 10 5 4 5 2" xfId="37875"/>
    <cellStyle name="표준 7 10 5 5 2 2 2" xfId="37876"/>
    <cellStyle name="표준 7 10 5 5 3 3" xfId="37877"/>
    <cellStyle name="표준 7 10 5 5 3 2 2" xfId="37878"/>
    <cellStyle name="표준 7 10 5 5 4 2" xfId="37879"/>
    <cellStyle name="표준 7 10 5 5 5 2" xfId="37880"/>
    <cellStyle name="표준 7 10 5 6 2 2" xfId="37881"/>
    <cellStyle name="표준 7 10 5 7 3" xfId="37882"/>
    <cellStyle name="표준 7 10 5 7 2 2" xfId="37883"/>
    <cellStyle name="표준 7 10 5 8 2" xfId="37884"/>
    <cellStyle name="표준 7 10 5 9 2" xfId="37885"/>
    <cellStyle name="표준 7 10 6 2 2 2 2 2" xfId="37886"/>
    <cellStyle name="표준 7 10 6 2 2 3 3" xfId="37887"/>
    <cellStyle name="표준 7 10 6 2 2 3 2 2" xfId="37888"/>
    <cellStyle name="표준 7 10 6 2 2 4 2" xfId="37889"/>
    <cellStyle name="표준 7 10 6 2 2 5 2" xfId="37890"/>
    <cellStyle name="표준 7 10 6 2 3 2 2 2" xfId="37891"/>
    <cellStyle name="표준 7 10 6 2 3 3 3" xfId="37892"/>
    <cellStyle name="표준 7 10 6 2 3 3 2 2" xfId="37893"/>
    <cellStyle name="표준 7 10 6 2 3 4 2" xfId="37894"/>
    <cellStyle name="표준 7 10 6 2 3 5 2" xfId="37895"/>
    <cellStyle name="표준 7 10 6 2 4 2 2" xfId="37896"/>
    <cellStyle name="표준 7 10 6 2 5 3" xfId="37897"/>
    <cellStyle name="표준 7 10 6 2 5 2 2" xfId="37898"/>
    <cellStyle name="표준 7 10 6 2 6 2" xfId="37899"/>
    <cellStyle name="표준 7 10 6 2 7 2" xfId="37900"/>
    <cellStyle name="표준 7 10 6 3 2 2 2" xfId="37901"/>
    <cellStyle name="표준 7 10 6 3 3 3" xfId="37902"/>
    <cellStyle name="표준 7 10 6 3 3 2 2" xfId="37903"/>
    <cellStyle name="표준 7 10 6 3 4 2" xfId="37904"/>
    <cellStyle name="표준 7 10 6 3 5 2" xfId="37905"/>
    <cellStyle name="표준 7 10 6 4 2 2 2" xfId="37906"/>
    <cellStyle name="표준 7 10 6 4 3 3" xfId="37907"/>
    <cellStyle name="표준 7 10 6 4 3 2 2" xfId="37908"/>
    <cellStyle name="표준 7 10 6 4 4 2" xfId="37909"/>
    <cellStyle name="표준 7 10 6 4 5 2" xfId="37910"/>
    <cellStyle name="표준 7 10 6 5 2 2" xfId="37911"/>
    <cellStyle name="표준 7 10 6 6 3" xfId="37912"/>
    <cellStyle name="표준 7 10 6 6 2 2" xfId="37913"/>
    <cellStyle name="표준 7 10 6 7 2" xfId="37914"/>
    <cellStyle name="표준 7 10 6 8 2" xfId="37915"/>
    <cellStyle name="표준 7 10 7 2 2 2 2" xfId="37916"/>
    <cellStyle name="표준 7 10 7 2 3 3" xfId="37917"/>
    <cellStyle name="표준 7 10 7 2 3 2 2" xfId="37918"/>
    <cellStyle name="표준 7 10 7 2 4 2" xfId="37919"/>
    <cellStyle name="표준 7 10 7 2 5 2" xfId="37920"/>
    <cellStyle name="표준 7 10 7 3 2 2 2" xfId="37921"/>
    <cellStyle name="표준 7 10 7 3 3 3" xfId="37922"/>
    <cellStyle name="표준 7 10 7 3 3 2 2" xfId="37923"/>
    <cellStyle name="표준 7 10 7 3 4 2" xfId="37924"/>
    <cellStyle name="표준 7 10 7 3 5 2" xfId="37925"/>
    <cellStyle name="표준 7 10 7 4 2 2" xfId="37926"/>
    <cellStyle name="표준 7 10 7 5 3" xfId="37927"/>
    <cellStyle name="표준 7 10 7 5 2 2" xfId="37928"/>
    <cellStyle name="표준 7 10 7 6 2" xfId="37929"/>
    <cellStyle name="표준 7 10 7 7 2" xfId="37930"/>
    <cellStyle name="표준 7 10 8 2 2 2" xfId="37931"/>
    <cellStyle name="표준 7 10 8 3 3" xfId="37932"/>
    <cellStyle name="표준 7 10 8 3 2 2" xfId="37933"/>
    <cellStyle name="표준 7 10 8 4 2" xfId="37934"/>
    <cellStyle name="표준 7 10 8 5 2" xfId="37935"/>
    <cellStyle name="표준 7 10 9 2 2 2" xfId="37936"/>
    <cellStyle name="표준 7 10 9 3 3" xfId="37937"/>
    <cellStyle name="표준 7 10 9 3 2 2" xfId="37938"/>
    <cellStyle name="표준 7 10 9 4 2" xfId="37939"/>
    <cellStyle name="표준 7 10 9 5 2" xfId="37940"/>
    <cellStyle name="표준 7 11 10 2 2" xfId="37941"/>
    <cellStyle name="표준 7 11 11 3" xfId="37942"/>
    <cellStyle name="표준 7 11 11 2 2" xfId="37943"/>
    <cellStyle name="표준 7 11 12 2" xfId="37944"/>
    <cellStyle name="표준 7 11 13 2" xfId="37945"/>
    <cellStyle name="표준 7 11 2 10 2" xfId="37946"/>
    <cellStyle name="표준 7 11 2 2 2 2 2 2 2 2" xfId="37947"/>
    <cellStyle name="표준 7 11 2 2 2 2 2 3 3" xfId="37948"/>
    <cellStyle name="표준 7 11 2 2 2 2 2 3 2 2" xfId="37949"/>
    <cellStyle name="표준 7 11 2 2 2 2 2 4 2" xfId="37950"/>
    <cellStyle name="표준 7 11 2 2 2 2 2 5 2" xfId="37951"/>
    <cellStyle name="표준 7 11 2 2 2 2 3 2 2 2" xfId="37952"/>
    <cellStyle name="표준 7 11 2 2 2 2 3 3 3" xfId="37953"/>
    <cellStyle name="표준 7 11 2 2 2 2 3 3 2 2" xfId="37954"/>
    <cellStyle name="표준 7 11 2 2 2 2 3 4 2" xfId="37955"/>
    <cellStyle name="표준 7 11 2 2 2 2 3 5 2" xfId="37956"/>
    <cellStyle name="표준 7 11 2 2 2 2 4 2 2" xfId="37957"/>
    <cellStyle name="표준 7 11 2 2 2 2 5 3" xfId="37958"/>
    <cellStyle name="표준 7 11 2 2 2 2 5 2 2" xfId="37959"/>
    <cellStyle name="표준 7 11 2 2 2 2 6 2" xfId="37960"/>
    <cellStyle name="표준 7 11 2 2 2 2 7 2" xfId="37961"/>
    <cellStyle name="표준 7 11 2 2 2 3 2 2 2" xfId="37962"/>
    <cellStyle name="표준 7 11 2 2 2 3 3 3" xfId="37963"/>
    <cellStyle name="표준 7 11 2 2 2 3 3 2 2" xfId="37964"/>
    <cellStyle name="표준 7 11 2 2 2 3 4 2" xfId="37965"/>
    <cellStyle name="표준 7 11 2 2 2 3 5 2" xfId="37966"/>
    <cellStyle name="표준 7 11 2 2 2 4 2 2 2" xfId="37967"/>
    <cellStyle name="표준 7 11 2 2 2 4 3 3" xfId="37968"/>
    <cellStyle name="표준 7 11 2 2 2 4 3 2 2" xfId="37969"/>
    <cellStyle name="표준 7 11 2 2 2 4 4 2" xfId="37970"/>
    <cellStyle name="표준 7 11 2 2 2 4 5 2" xfId="37971"/>
    <cellStyle name="표준 7 11 2 2 2 5 2 2" xfId="37972"/>
    <cellStyle name="표준 7 11 2 2 2 6 3" xfId="37973"/>
    <cellStyle name="표준 7 11 2 2 2 6 2 2" xfId="37974"/>
    <cellStyle name="표준 7 11 2 2 2 7 2" xfId="37975"/>
    <cellStyle name="표준 7 11 2 2 2 8 2" xfId="37976"/>
    <cellStyle name="표준 7 11 2 2 3 2 2 2 2" xfId="37977"/>
    <cellStyle name="표준 7 11 2 2 3 2 3 3" xfId="37978"/>
    <cellStyle name="표준 7 11 2 2 3 2 3 2 2" xfId="37979"/>
    <cellStyle name="표준 7 11 2 2 3 2 4 2" xfId="37980"/>
    <cellStyle name="표준 7 11 2 2 3 2 5 2" xfId="37981"/>
    <cellStyle name="표준 7 11 2 2 3 3 2 2 2" xfId="37982"/>
    <cellStyle name="표준 7 11 2 2 3 3 3 3" xfId="37983"/>
    <cellStyle name="표준 7 11 2 2 3 3 3 2 2" xfId="37984"/>
    <cellStyle name="표준 7 11 2 2 3 3 4 2" xfId="37985"/>
    <cellStyle name="표준 7 11 2 2 3 3 5 2" xfId="37986"/>
    <cellStyle name="표준 7 11 2 2 3 4 2 2" xfId="37987"/>
    <cellStyle name="표준 7 11 2 2 3 5 3" xfId="37988"/>
    <cellStyle name="표준 7 11 2 2 3 5 2 2" xfId="37989"/>
    <cellStyle name="표준 7 11 2 2 3 6 2" xfId="37990"/>
    <cellStyle name="표준 7 11 2 2 3 7 2" xfId="37991"/>
    <cellStyle name="표준 7 11 2 2 4 2 2 2" xfId="37992"/>
    <cellStyle name="표준 7 11 2 2 4 3 3" xfId="37993"/>
    <cellStyle name="표준 7 11 2 2 4 3 2 2" xfId="37994"/>
    <cellStyle name="표준 7 11 2 2 4 4 2" xfId="37995"/>
    <cellStyle name="표준 7 11 2 2 4 5 2" xfId="37996"/>
    <cellStyle name="표준 7 11 2 2 5 2 2 2" xfId="37997"/>
    <cellStyle name="표준 7 11 2 2 5 3 3" xfId="37998"/>
    <cellStyle name="표준 7 11 2 2 5 3 2 2" xfId="37999"/>
    <cellStyle name="표준 7 11 2 2 5 4 2" xfId="38000"/>
    <cellStyle name="표준 7 11 2 2 5 5 2" xfId="38001"/>
    <cellStyle name="표준 7 11 2 2 6 2 2" xfId="38002"/>
    <cellStyle name="표준 7 11 2 2 7 3" xfId="38003"/>
    <cellStyle name="표준 7 11 2 2 7 2 2" xfId="38004"/>
    <cellStyle name="표준 7 11 2 2 8 2" xfId="38005"/>
    <cellStyle name="표준 7 11 2 2 9 2" xfId="38006"/>
    <cellStyle name="표준 7 11 2 3 2 2 2 2 2" xfId="38007"/>
    <cellStyle name="표준 7 11 2 3 2 2 3 3" xfId="38008"/>
    <cellStyle name="표준 7 11 2 3 2 2 3 2 2" xfId="38009"/>
    <cellStyle name="표준 7 11 2 3 2 2 4 2" xfId="38010"/>
    <cellStyle name="표준 7 11 2 3 2 2 5 2" xfId="38011"/>
    <cellStyle name="표준 7 11 2 3 2 3 2 2 2" xfId="38012"/>
    <cellStyle name="표준 7 11 2 3 2 3 3 3" xfId="38013"/>
    <cellStyle name="표준 7 11 2 3 2 3 3 2 2" xfId="38014"/>
    <cellStyle name="표준 7 11 2 3 2 3 4 2" xfId="38015"/>
    <cellStyle name="표준 7 11 2 3 2 3 5 2" xfId="38016"/>
    <cellStyle name="표준 7 11 2 3 2 4 2 2" xfId="38017"/>
    <cellStyle name="표준 7 11 2 3 2 5 3" xfId="38018"/>
    <cellStyle name="표준 7 11 2 3 2 5 2 2" xfId="38019"/>
    <cellStyle name="표준 7 11 2 3 2 6 2" xfId="38020"/>
    <cellStyle name="표준 7 11 2 3 2 7 2" xfId="38021"/>
    <cellStyle name="표준 7 11 2 3 3 2 2 2" xfId="38022"/>
    <cellStyle name="표준 7 11 2 3 3 3 3" xfId="38023"/>
    <cellStyle name="표준 7 11 2 3 3 3 2 2" xfId="38024"/>
    <cellStyle name="표준 7 11 2 3 3 4 2" xfId="38025"/>
    <cellStyle name="표준 7 11 2 3 3 5 2" xfId="38026"/>
    <cellStyle name="표준 7 11 2 3 4 2 2 2" xfId="38027"/>
    <cellStyle name="표준 7 11 2 3 4 3 3" xfId="38028"/>
    <cellStyle name="표준 7 11 2 3 4 3 2 2" xfId="38029"/>
    <cellStyle name="표준 7 11 2 3 4 4 2" xfId="38030"/>
    <cellStyle name="표준 7 11 2 3 4 5 2" xfId="38031"/>
    <cellStyle name="표준 7 11 2 3 5 2 2" xfId="38032"/>
    <cellStyle name="표준 7 11 2 3 6 3" xfId="38033"/>
    <cellStyle name="표준 7 11 2 3 6 2 2" xfId="38034"/>
    <cellStyle name="표준 7 11 2 3 7 2" xfId="38035"/>
    <cellStyle name="표준 7 11 2 3 8 2" xfId="38036"/>
    <cellStyle name="표준 7 11 2 4 2 2 2 2" xfId="38037"/>
    <cellStyle name="표준 7 11 2 4 2 3 3" xfId="38038"/>
    <cellStyle name="표준 7 11 2 4 2 3 2 2" xfId="38039"/>
    <cellStyle name="표준 7 11 2 4 2 4 2" xfId="38040"/>
    <cellStyle name="표준 7 11 2 4 2 5 2" xfId="38041"/>
    <cellStyle name="표준 7 11 2 4 3 2 2 2" xfId="38042"/>
    <cellStyle name="표준 7 11 2 4 3 3 3" xfId="38043"/>
    <cellStyle name="표준 7 11 2 4 3 3 2 2" xfId="38044"/>
    <cellStyle name="표준 7 11 2 4 3 4 2" xfId="38045"/>
    <cellStyle name="표준 7 11 2 4 3 5 2" xfId="38046"/>
    <cellStyle name="표준 7 11 2 4 4 2 2" xfId="38047"/>
    <cellStyle name="표준 7 11 2 4 5 3" xfId="38048"/>
    <cellStyle name="표준 7 11 2 4 5 2 2" xfId="38049"/>
    <cellStyle name="표준 7 11 2 4 6 2" xfId="38050"/>
    <cellStyle name="표준 7 11 2 4 7 2" xfId="38051"/>
    <cellStyle name="표준 7 11 2 5 2 2 2" xfId="38052"/>
    <cellStyle name="표준 7 11 2 5 3 3" xfId="38053"/>
    <cellStyle name="표준 7 11 2 5 3 2 2" xfId="38054"/>
    <cellStyle name="표준 7 11 2 5 4 2" xfId="38055"/>
    <cellStyle name="표준 7 11 2 5 5 2" xfId="38056"/>
    <cellStyle name="표준 7 11 2 6 2 2 2" xfId="38057"/>
    <cellStyle name="표준 7 11 2 6 3 3" xfId="38058"/>
    <cellStyle name="표준 7 11 2 6 3 2 2" xfId="38059"/>
    <cellStyle name="표준 7 11 2 6 4 2" xfId="38060"/>
    <cellStyle name="표준 7 11 2 6 5 2" xfId="38061"/>
    <cellStyle name="표준 7 11 2 7 2 2" xfId="38062"/>
    <cellStyle name="표준 7 11 2 8 3" xfId="38063"/>
    <cellStyle name="표준 7 11 2 8 2 2" xfId="38064"/>
    <cellStyle name="표준 7 11 2 9 2" xfId="38065"/>
    <cellStyle name="표준 7 11 3 10 2" xfId="38066"/>
    <cellStyle name="표준 7 11 3 2 2 2 2 2 2 2" xfId="38067"/>
    <cellStyle name="표준 7 11 3 2 2 2 2 3 3" xfId="38068"/>
    <cellStyle name="표준 7 11 3 2 2 2 2 3 2 2" xfId="38069"/>
    <cellStyle name="표준 7 11 3 2 2 2 2 4 2" xfId="38070"/>
    <cellStyle name="표준 7 11 3 2 2 2 2 5 2" xfId="38071"/>
    <cellStyle name="표준 7 11 3 2 2 2 3 2 2 2" xfId="38072"/>
    <cellStyle name="표준 7 11 3 2 2 2 3 3 3" xfId="38073"/>
    <cellStyle name="표준 7 11 3 2 2 2 3 3 2 2" xfId="38074"/>
    <cellStyle name="표준 7 11 3 2 2 2 3 4 2" xfId="38075"/>
    <cellStyle name="표준 7 11 3 2 2 2 3 5 2" xfId="38076"/>
    <cellStyle name="표준 7 11 3 2 2 2 4 2 2" xfId="38077"/>
    <cellStyle name="표준 7 11 3 2 2 2 5 3" xfId="38078"/>
    <cellStyle name="표준 7 11 3 2 2 2 5 2 2" xfId="38079"/>
    <cellStyle name="표준 7 11 3 2 2 2 6 2" xfId="38080"/>
    <cellStyle name="표준 7 11 3 2 2 2 7 2" xfId="38081"/>
    <cellStyle name="표준 7 11 3 2 2 3 2 2 2" xfId="38082"/>
    <cellStyle name="표준 7 11 3 2 2 3 3 3" xfId="38083"/>
    <cellStyle name="표준 7 11 3 2 2 3 3 2 2" xfId="38084"/>
    <cellStyle name="표준 7 11 3 2 2 3 4 2" xfId="38085"/>
    <cellStyle name="표준 7 11 3 2 2 3 5 2" xfId="38086"/>
    <cellStyle name="표준 7 11 3 2 2 4 2 2 2" xfId="38087"/>
    <cellStyle name="표준 7 11 3 2 2 4 3 3" xfId="38088"/>
    <cellStyle name="표준 7 11 3 2 2 4 3 2 2" xfId="38089"/>
    <cellStyle name="표준 7 11 3 2 2 4 4 2" xfId="38090"/>
    <cellStyle name="표준 7 11 3 2 2 4 5 2" xfId="38091"/>
    <cellStyle name="표준 7 11 3 2 2 5 2 2" xfId="38092"/>
    <cellStyle name="표준 7 11 3 2 2 6 3" xfId="38093"/>
    <cellStyle name="표준 7 11 3 2 2 6 2 2" xfId="38094"/>
    <cellStyle name="표준 7 11 3 2 2 7 2" xfId="38095"/>
    <cellStyle name="표준 7 11 3 2 2 8 2" xfId="38096"/>
    <cellStyle name="표준 7 11 3 2 3 2 2 2 2" xfId="38097"/>
    <cellStyle name="표준 7 11 3 2 3 2 3 3" xfId="38098"/>
    <cellStyle name="표준 7 11 3 2 3 2 3 2 2" xfId="38099"/>
    <cellStyle name="표준 7 11 3 2 3 2 4 2" xfId="38100"/>
    <cellStyle name="표준 7 11 3 2 3 2 5 2" xfId="38101"/>
    <cellStyle name="표준 7 11 3 2 3 3 2 2 2" xfId="38102"/>
    <cellStyle name="표준 7 11 3 2 3 3 3 3" xfId="38103"/>
    <cellStyle name="표준 7 11 3 2 3 3 3 2 2" xfId="38104"/>
    <cellStyle name="표준 7 11 3 2 3 3 4 2" xfId="38105"/>
    <cellStyle name="표준 7 11 3 2 3 3 5 2" xfId="38106"/>
    <cellStyle name="표준 7 11 3 2 3 4 2 2" xfId="38107"/>
    <cellStyle name="표준 7 11 3 2 3 5 3" xfId="38108"/>
    <cellStyle name="표준 7 11 3 2 3 5 2 2" xfId="38109"/>
    <cellStyle name="표준 7 11 3 2 3 6 2" xfId="38110"/>
    <cellStyle name="표준 7 11 3 2 3 7 2" xfId="38111"/>
    <cellStyle name="표준 7 11 3 2 4 2 2 2" xfId="38112"/>
    <cellStyle name="표준 7 11 3 2 4 3 3" xfId="38113"/>
    <cellStyle name="표준 7 11 3 2 4 3 2 2" xfId="38114"/>
    <cellStyle name="표준 7 11 3 2 4 4 2" xfId="38115"/>
    <cellStyle name="표준 7 11 3 2 4 5 2" xfId="38116"/>
    <cellStyle name="표준 7 11 3 2 5 2 2 2" xfId="38117"/>
    <cellStyle name="표준 7 11 3 2 5 3 3" xfId="38118"/>
    <cellStyle name="표준 7 11 3 2 5 3 2 2" xfId="38119"/>
    <cellStyle name="표준 7 11 3 2 5 4 2" xfId="38120"/>
    <cellStyle name="표준 7 11 3 2 5 5 2" xfId="38121"/>
    <cellStyle name="표준 7 11 3 2 6 2 2" xfId="38122"/>
    <cellStyle name="표준 7 11 3 2 7 3" xfId="38123"/>
    <cellStyle name="표준 7 11 3 2 7 2 2" xfId="38124"/>
    <cellStyle name="표준 7 11 3 2 8 2" xfId="38125"/>
    <cellStyle name="표준 7 11 3 2 9 2" xfId="38126"/>
    <cellStyle name="표준 7 11 3 3 2 2 2 2 2" xfId="38127"/>
    <cellStyle name="표준 7 11 3 3 2 2 3 3" xfId="38128"/>
    <cellStyle name="표준 7 11 3 3 2 2 3 2 2" xfId="38129"/>
    <cellStyle name="표준 7 11 3 3 2 2 4 2" xfId="38130"/>
    <cellStyle name="표준 7 11 3 3 2 2 5 2" xfId="38131"/>
    <cellStyle name="표준 7 11 3 3 2 3 2 2 2" xfId="38132"/>
    <cellStyle name="표준 7 11 3 3 2 3 3 3" xfId="38133"/>
    <cellStyle name="표준 7 11 3 3 2 3 3 2 2" xfId="38134"/>
    <cellStyle name="표준 7 11 3 3 2 3 4 2" xfId="38135"/>
    <cellStyle name="표준 7 11 3 3 2 3 5 2" xfId="38136"/>
    <cellStyle name="표준 7 11 3 3 2 4 2 2" xfId="38137"/>
    <cellStyle name="표준 7 11 3 3 2 5 3" xfId="38138"/>
    <cellStyle name="표준 7 11 3 3 2 5 2 2" xfId="38139"/>
    <cellStyle name="표준 7 11 3 3 2 6 2" xfId="38140"/>
    <cellStyle name="표준 7 11 3 3 2 7 2" xfId="38141"/>
    <cellStyle name="표준 7 11 3 3 3 2 2 2" xfId="38142"/>
    <cellStyle name="표준 7 11 3 3 3 3 3" xfId="38143"/>
    <cellStyle name="표준 7 11 3 3 3 3 2 2" xfId="38144"/>
    <cellStyle name="표준 7 11 3 3 3 4 2" xfId="38145"/>
    <cellStyle name="표준 7 11 3 3 3 5 2" xfId="38146"/>
    <cellStyle name="표준 7 11 3 3 4 2 2 2" xfId="38147"/>
    <cellStyle name="표준 7 11 3 3 4 3 3" xfId="38148"/>
    <cellStyle name="표준 7 11 3 3 4 3 2 2" xfId="38149"/>
    <cellStyle name="표준 7 11 3 3 4 4 2" xfId="38150"/>
    <cellStyle name="표준 7 11 3 3 4 5 2" xfId="38151"/>
    <cellStyle name="표준 7 11 3 3 5 2 2" xfId="38152"/>
    <cellStyle name="표준 7 11 3 3 6 3" xfId="38153"/>
    <cellStyle name="표준 7 11 3 3 6 2 2" xfId="38154"/>
    <cellStyle name="표준 7 11 3 3 7 2" xfId="38155"/>
    <cellStyle name="표준 7 11 3 3 8 2" xfId="38156"/>
    <cellStyle name="표준 7 11 3 4 2 2 2 2" xfId="38157"/>
    <cellStyle name="표준 7 11 3 4 2 3 3" xfId="38158"/>
    <cellStyle name="표준 7 11 3 4 2 3 2 2" xfId="38159"/>
    <cellStyle name="표준 7 11 3 4 2 4 2" xfId="38160"/>
    <cellStyle name="표준 7 11 3 4 2 5 2" xfId="38161"/>
    <cellStyle name="표준 7 11 3 4 3 2 2 2" xfId="38162"/>
    <cellStyle name="표준 7 11 3 4 3 3 3" xfId="38163"/>
    <cellStyle name="표준 7 11 3 4 3 3 2 2" xfId="38164"/>
    <cellStyle name="표준 7 11 3 4 3 4 2" xfId="38165"/>
    <cellStyle name="표준 7 11 3 4 3 5 2" xfId="38166"/>
    <cellStyle name="표준 7 11 3 4 4 2 2" xfId="38167"/>
    <cellStyle name="표준 7 11 3 4 5 3" xfId="38168"/>
    <cellStyle name="표준 7 11 3 4 5 2 2" xfId="38169"/>
    <cellStyle name="표준 7 11 3 4 6 2" xfId="38170"/>
    <cellStyle name="표준 7 11 3 4 7 2" xfId="38171"/>
    <cellStyle name="표준 7 11 3 5 2 2 2" xfId="38172"/>
    <cellStyle name="표준 7 11 3 5 3 3" xfId="38173"/>
    <cellStyle name="표준 7 11 3 5 3 2 2" xfId="38174"/>
    <cellStyle name="표준 7 11 3 5 4 2" xfId="38175"/>
    <cellStyle name="표준 7 11 3 5 5 2" xfId="38176"/>
    <cellStyle name="표준 7 11 3 6 2 2 2" xfId="38177"/>
    <cellStyle name="표준 7 11 3 6 3 3" xfId="38178"/>
    <cellStyle name="표준 7 11 3 6 3 2 2" xfId="38179"/>
    <cellStyle name="표준 7 11 3 6 4 2" xfId="38180"/>
    <cellStyle name="표준 7 11 3 6 5 2" xfId="38181"/>
    <cellStyle name="표준 7 11 3 7 2 2" xfId="38182"/>
    <cellStyle name="표준 7 11 3 8 3" xfId="38183"/>
    <cellStyle name="표준 7 11 3 8 2 2" xfId="38184"/>
    <cellStyle name="표준 7 11 3 9 2" xfId="38185"/>
    <cellStyle name="표준 7 11 4 10 2" xfId="38186"/>
    <cellStyle name="표준 7 11 4 2 2 2 2 2 2 2" xfId="38187"/>
    <cellStyle name="표준 7 11 4 2 2 2 2 3 3" xfId="38188"/>
    <cellStyle name="표준 7 11 4 2 2 2 2 3 2 2" xfId="38189"/>
    <cellStyle name="표준 7 11 4 2 2 2 2 4 2" xfId="38190"/>
    <cellStyle name="표준 7 11 4 2 2 2 2 5 2" xfId="38191"/>
    <cellStyle name="표준 7 11 4 2 2 2 3 2 2 2" xfId="38192"/>
    <cellStyle name="표준 7 11 4 2 2 2 3 3 3" xfId="38193"/>
    <cellStyle name="표준 7 11 4 2 2 2 3 3 2 2" xfId="38194"/>
    <cellStyle name="표준 7 11 4 2 2 2 3 4 2" xfId="38195"/>
    <cellStyle name="표준 7 11 4 2 2 2 3 5 2" xfId="38196"/>
    <cellStyle name="표준 7 11 4 2 2 2 4 2 2" xfId="38197"/>
    <cellStyle name="표준 7 11 4 2 2 2 5 3" xfId="38198"/>
    <cellStyle name="표준 7 11 4 2 2 2 5 2 2" xfId="38199"/>
    <cellStyle name="표준 7 11 4 2 2 2 6 2" xfId="38200"/>
    <cellStyle name="표준 7 11 4 2 2 2 7 2" xfId="38201"/>
    <cellStyle name="표준 7 11 4 2 2 3 2 2 2" xfId="38202"/>
    <cellStyle name="표준 7 11 4 2 2 3 3 3" xfId="38203"/>
    <cellStyle name="표준 7 11 4 2 2 3 3 2 2" xfId="38204"/>
    <cellStyle name="표준 7 11 4 2 2 3 4 2" xfId="38205"/>
    <cellStyle name="표준 7 11 4 2 2 3 5 2" xfId="38206"/>
    <cellStyle name="표준 7 11 4 2 2 4 2 2 2" xfId="38207"/>
    <cellStyle name="표준 7 11 4 2 2 4 3 3" xfId="38208"/>
    <cellStyle name="표준 7 11 4 2 2 4 3 2 2" xfId="38209"/>
    <cellStyle name="표준 7 11 4 2 2 4 4 2" xfId="38210"/>
    <cellStyle name="표준 7 11 4 2 2 4 5 2" xfId="38211"/>
    <cellStyle name="표준 7 11 4 2 2 5 2 2" xfId="38212"/>
    <cellStyle name="표준 7 11 4 2 2 6 3" xfId="38213"/>
    <cellStyle name="표준 7 11 4 2 2 6 2 2" xfId="38214"/>
    <cellStyle name="표준 7 11 4 2 2 7 2" xfId="38215"/>
    <cellStyle name="표준 7 11 4 2 2 8 2" xfId="38216"/>
    <cellStyle name="표준 7 11 4 2 3 2 2 2 2" xfId="38217"/>
    <cellStyle name="표준 7 11 4 2 3 2 3 3" xfId="38218"/>
    <cellStyle name="표준 7 11 4 2 3 2 3 2 2" xfId="38219"/>
    <cellStyle name="표준 7 11 4 2 3 2 4 2" xfId="38220"/>
    <cellStyle name="표준 7 11 4 2 3 2 5 2" xfId="38221"/>
    <cellStyle name="표준 7 11 4 2 3 3 2 2 2" xfId="38222"/>
    <cellStyle name="표준 7 11 4 2 3 3 3 3" xfId="38223"/>
    <cellStyle name="표준 7 11 4 2 3 3 3 2 2" xfId="38224"/>
    <cellStyle name="표준 7 11 4 2 3 3 4 2" xfId="38225"/>
    <cellStyle name="표준 7 11 4 2 3 3 5 2" xfId="38226"/>
    <cellStyle name="표준 7 11 4 2 3 4 2 2" xfId="38227"/>
    <cellStyle name="표준 7 11 4 2 3 5 3" xfId="38228"/>
    <cellStyle name="표준 7 11 4 2 3 5 2 2" xfId="38229"/>
    <cellStyle name="표준 7 11 4 2 3 6 2" xfId="38230"/>
    <cellStyle name="표준 7 11 4 2 3 7 2" xfId="38231"/>
    <cellStyle name="표준 7 11 4 2 4 2 2 2" xfId="38232"/>
    <cellStyle name="표준 7 11 4 2 4 3 3" xfId="38233"/>
    <cellStyle name="표준 7 11 4 2 4 3 2 2" xfId="38234"/>
    <cellStyle name="표준 7 11 4 2 4 4 2" xfId="38235"/>
    <cellStyle name="표준 7 11 4 2 4 5 2" xfId="38236"/>
    <cellStyle name="표준 7 11 4 2 5 2 2 2" xfId="38237"/>
    <cellStyle name="표준 7 11 4 2 5 3 3" xfId="38238"/>
    <cellStyle name="표준 7 11 4 2 5 3 2 2" xfId="38239"/>
    <cellStyle name="표준 7 11 4 2 5 4 2" xfId="38240"/>
    <cellStyle name="표준 7 11 4 2 5 5 2" xfId="38241"/>
    <cellStyle name="표준 7 11 4 2 6 2 2" xfId="38242"/>
    <cellStyle name="표준 7 11 4 2 7 3" xfId="38243"/>
    <cellStyle name="표준 7 11 4 2 7 2 2" xfId="38244"/>
    <cellStyle name="표준 7 11 4 2 8 2" xfId="38245"/>
    <cellStyle name="표준 7 11 4 2 9 2" xfId="38246"/>
    <cellStyle name="표준 7 11 4 3 2 2 2 2 2" xfId="38247"/>
    <cellStyle name="표준 7 11 4 3 2 2 3 3" xfId="38248"/>
    <cellStyle name="표준 7 11 4 3 2 2 3 2 2" xfId="38249"/>
    <cellStyle name="표준 7 11 4 3 2 2 4 2" xfId="38250"/>
    <cellStyle name="표준 7 11 4 3 2 2 5 2" xfId="38251"/>
    <cellStyle name="표준 7 11 4 3 2 3 2 2 2" xfId="38252"/>
    <cellStyle name="표준 7 11 4 3 2 3 3 3" xfId="38253"/>
    <cellStyle name="표준 7 11 4 3 2 3 3 2 2" xfId="38254"/>
    <cellStyle name="표준 7 11 4 3 2 3 4 2" xfId="38255"/>
    <cellStyle name="표준 7 11 4 3 2 3 5 2" xfId="38256"/>
    <cellStyle name="표준 7 11 4 3 2 4 2 2" xfId="38257"/>
    <cellStyle name="표준 7 11 4 3 2 5 3" xfId="38258"/>
    <cellStyle name="표준 7 11 4 3 2 5 2 2" xfId="38259"/>
    <cellStyle name="표준 7 11 4 3 2 6 2" xfId="38260"/>
    <cellStyle name="표준 7 11 4 3 2 7 2" xfId="38261"/>
    <cellStyle name="표준 7 11 4 3 3 2 2 2" xfId="38262"/>
    <cellStyle name="표준 7 11 4 3 3 3 3" xfId="38263"/>
    <cellStyle name="표준 7 11 4 3 3 3 2 2" xfId="38264"/>
    <cellStyle name="표준 7 11 4 3 3 4 2" xfId="38265"/>
    <cellStyle name="표준 7 11 4 3 3 5 2" xfId="38266"/>
    <cellStyle name="표준 7 11 4 3 4 2 2 2" xfId="38267"/>
    <cellStyle name="표준 7 11 4 3 4 3 3" xfId="38268"/>
    <cellStyle name="표준 7 11 4 3 4 3 2 2" xfId="38269"/>
    <cellStyle name="표준 7 11 4 3 4 4 2" xfId="38270"/>
    <cellStyle name="표준 7 11 4 3 4 5 2" xfId="38271"/>
    <cellStyle name="표준 7 11 4 3 5 2 2" xfId="38272"/>
    <cellStyle name="표준 7 11 4 3 6 3" xfId="38273"/>
    <cellStyle name="표준 7 11 4 3 6 2 2" xfId="38274"/>
    <cellStyle name="표준 7 11 4 3 7 2" xfId="38275"/>
    <cellStyle name="표준 7 11 4 3 8 2" xfId="38276"/>
    <cellStyle name="표준 7 11 4 4 2 2 2 2" xfId="38277"/>
    <cellStyle name="표준 7 11 4 4 2 3 3" xfId="38278"/>
    <cellStyle name="표준 7 11 4 4 2 3 2 2" xfId="38279"/>
    <cellStyle name="표준 7 11 4 4 2 4 2" xfId="38280"/>
    <cellStyle name="표준 7 11 4 4 2 5 2" xfId="38281"/>
    <cellStyle name="표준 7 11 4 4 3 2 2 2" xfId="38282"/>
    <cellStyle name="표준 7 11 4 4 3 3 3" xfId="38283"/>
    <cellStyle name="표준 7 11 4 4 3 3 2 2" xfId="38284"/>
    <cellStyle name="표준 7 11 4 4 3 4 2" xfId="38285"/>
    <cellStyle name="표준 7 11 4 4 3 5 2" xfId="38286"/>
    <cellStyle name="표준 7 11 4 4 4 2 2" xfId="38287"/>
    <cellStyle name="표준 7 11 4 4 5 3" xfId="38288"/>
    <cellStyle name="표준 7 11 4 4 5 2 2" xfId="38289"/>
    <cellStyle name="표준 7 11 4 4 6 2" xfId="38290"/>
    <cellStyle name="표준 7 11 4 4 7 2" xfId="38291"/>
    <cellStyle name="표준 7 11 4 5 2 2 2" xfId="38292"/>
    <cellStyle name="표준 7 11 4 5 3 3" xfId="38293"/>
    <cellStyle name="표준 7 11 4 5 3 2 2" xfId="38294"/>
    <cellStyle name="표준 7 11 4 5 4 2" xfId="38295"/>
    <cellStyle name="표준 7 11 4 5 5 2" xfId="38296"/>
    <cellStyle name="표준 7 11 4 6 2 2 2" xfId="38297"/>
    <cellStyle name="표준 7 11 4 6 3 3" xfId="38298"/>
    <cellStyle name="표준 7 11 4 6 3 2 2" xfId="38299"/>
    <cellStyle name="표준 7 11 4 6 4 2" xfId="38300"/>
    <cellStyle name="표준 7 11 4 6 5 2" xfId="38301"/>
    <cellStyle name="표준 7 11 4 7 2 2" xfId="38302"/>
    <cellStyle name="표준 7 11 4 8 3" xfId="38303"/>
    <cellStyle name="표준 7 11 4 8 2 2" xfId="38304"/>
    <cellStyle name="표준 7 11 4 9 2" xfId="38305"/>
    <cellStyle name="표준 7 11 5 2 2 2 2 2 2" xfId="38306"/>
    <cellStyle name="표준 7 11 5 2 2 2 3 3" xfId="38307"/>
    <cellStyle name="표준 7 11 5 2 2 2 3 2 2" xfId="38308"/>
    <cellStyle name="표준 7 11 5 2 2 2 4 2" xfId="38309"/>
    <cellStyle name="표준 7 11 5 2 2 2 5 2" xfId="38310"/>
    <cellStyle name="표준 7 11 5 2 2 3 2 2 2" xfId="38311"/>
    <cellStyle name="표준 7 11 5 2 2 3 3 3" xfId="38312"/>
    <cellStyle name="표준 7 11 5 2 2 3 3 2 2" xfId="38313"/>
    <cellStyle name="표준 7 11 5 2 2 3 4 2" xfId="38314"/>
    <cellStyle name="표준 7 11 5 2 2 3 5 2" xfId="38315"/>
    <cellStyle name="표준 7 11 5 2 2 4 2 2" xfId="38316"/>
    <cellStyle name="표준 7 11 5 2 2 5 3" xfId="38317"/>
    <cellStyle name="표준 7 11 5 2 2 5 2 2" xfId="38318"/>
    <cellStyle name="표준 7 11 5 2 2 6 2" xfId="38319"/>
    <cellStyle name="표준 7 11 5 2 2 7 2" xfId="38320"/>
    <cellStyle name="표준 7 11 5 2 3 2 2 2" xfId="38321"/>
    <cellStyle name="표준 7 11 5 2 3 3 3" xfId="38322"/>
    <cellStyle name="표준 7 11 5 2 3 3 2 2" xfId="38323"/>
    <cellStyle name="표준 7 11 5 2 3 4 2" xfId="38324"/>
    <cellStyle name="표준 7 11 5 2 3 5 2" xfId="38325"/>
    <cellStyle name="표준 7 11 5 2 4 2 2 2" xfId="38326"/>
    <cellStyle name="표준 7 11 5 2 4 3 3" xfId="38327"/>
    <cellStyle name="표준 7 11 5 2 4 3 2 2" xfId="38328"/>
    <cellStyle name="표준 7 11 5 2 4 4 2" xfId="38329"/>
    <cellStyle name="표준 7 11 5 2 4 5 2" xfId="38330"/>
    <cellStyle name="표준 7 11 5 2 5 2 2" xfId="38331"/>
    <cellStyle name="표준 7 11 5 2 6 3" xfId="38332"/>
    <cellStyle name="표준 7 11 5 2 6 2 2" xfId="38333"/>
    <cellStyle name="표준 7 11 5 2 7 2" xfId="38334"/>
    <cellStyle name="표준 7 11 5 2 8 2" xfId="38335"/>
    <cellStyle name="표준 7 11 5 3 2 2 2 2" xfId="38336"/>
    <cellStyle name="표준 7 11 5 3 2 3 3" xfId="38337"/>
    <cellStyle name="표준 7 11 5 3 2 3 2 2" xfId="38338"/>
    <cellStyle name="표준 7 11 5 3 2 4 2" xfId="38339"/>
    <cellStyle name="표준 7 11 5 3 2 5 2" xfId="38340"/>
    <cellStyle name="표준 7 11 5 3 3 2 2 2" xfId="38341"/>
    <cellStyle name="표준 7 11 5 3 3 3 3" xfId="38342"/>
    <cellStyle name="표준 7 11 5 3 3 3 2 2" xfId="38343"/>
    <cellStyle name="표준 7 11 5 3 3 4 2" xfId="38344"/>
    <cellStyle name="표준 7 11 5 3 3 5 2" xfId="38345"/>
    <cellStyle name="표준 7 11 5 3 4 2 2" xfId="38346"/>
    <cellStyle name="표준 7 11 5 3 5 3" xfId="38347"/>
    <cellStyle name="표준 7 11 5 3 5 2 2" xfId="38348"/>
    <cellStyle name="표준 7 11 5 3 6 2" xfId="38349"/>
    <cellStyle name="표준 7 11 5 3 7 2" xfId="38350"/>
    <cellStyle name="표준 7 11 5 4 2 2 2" xfId="38351"/>
    <cellStyle name="표준 7 11 5 4 3 3" xfId="38352"/>
    <cellStyle name="표준 7 11 5 4 3 2 2" xfId="38353"/>
    <cellStyle name="표준 7 11 5 4 4 2" xfId="38354"/>
    <cellStyle name="표준 7 11 5 4 5 2" xfId="38355"/>
    <cellStyle name="표준 7 11 5 5 2 2 2" xfId="38356"/>
    <cellStyle name="표준 7 11 5 5 3 3" xfId="38357"/>
    <cellStyle name="표준 7 11 5 5 3 2 2" xfId="38358"/>
    <cellStyle name="표준 7 11 5 5 4 2" xfId="38359"/>
    <cellStyle name="표준 7 11 5 5 5 2" xfId="38360"/>
    <cellStyle name="표준 7 11 5 6 2 2" xfId="38361"/>
    <cellStyle name="표준 7 11 5 7 3" xfId="38362"/>
    <cellStyle name="표준 7 11 5 7 2 2" xfId="38363"/>
    <cellStyle name="표준 7 11 5 8 2" xfId="38364"/>
    <cellStyle name="표준 7 11 5 9 2" xfId="38365"/>
    <cellStyle name="표준 7 11 6 2 2 2 2 2" xfId="38366"/>
    <cellStyle name="표준 7 11 6 2 2 3 3" xfId="38367"/>
    <cellStyle name="표준 7 11 6 2 2 3 2 2" xfId="38368"/>
    <cellStyle name="표준 7 11 6 2 2 4 2" xfId="38369"/>
    <cellStyle name="표준 7 11 6 2 2 5 2" xfId="38370"/>
    <cellStyle name="표준 7 11 6 2 3 2 2 2" xfId="38371"/>
    <cellStyle name="표준 7 11 6 2 3 3 3" xfId="38372"/>
    <cellStyle name="표준 7 11 6 2 3 3 2 2" xfId="38373"/>
    <cellStyle name="표준 7 11 6 2 3 4 2" xfId="38374"/>
    <cellStyle name="표준 7 11 6 2 3 5 2" xfId="38375"/>
    <cellStyle name="표준 7 11 6 2 4 2 2" xfId="38376"/>
    <cellStyle name="표준 7 11 6 2 5 3" xfId="38377"/>
    <cellStyle name="표준 7 11 6 2 5 2 2" xfId="38378"/>
    <cellStyle name="표준 7 11 6 2 6 2" xfId="38379"/>
    <cellStyle name="표준 7 11 6 2 7 2" xfId="38380"/>
    <cellStyle name="표준 7 11 6 3 2 2 2" xfId="38381"/>
    <cellStyle name="표준 7 11 6 3 3 3" xfId="38382"/>
    <cellStyle name="표준 7 11 6 3 3 2 2" xfId="38383"/>
    <cellStyle name="표준 7 11 6 3 4 2" xfId="38384"/>
    <cellStyle name="표준 7 11 6 3 5 2" xfId="38385"/>
    <cellStyle name="표준 7 11 6 4 2 2 2" xfId="38386"/>
    <cellStyle name="표준 7 11 6 4 3 3" xfId="38387"/>
    <cellStyle name="표준 7 11 6 4 3 2 2" xfId="38388"/>
    <cellStyle name="표준 7 11 6 4 4 2" xfId="38389"/>
    <cellStyle name="표준 7 11 6 4 5 2" xfId="38390"/>
    <cellStyle name="표준 7 11 6 5 2 2" xfId="38391"/>
    <cellStyle name="표준 7 11 6 6 3" xfId="38392"/>
    <cellStyle name="표준 7 11 6 6 2 2" xfId="38393"/>
    <cellStyle name="표준 7 11 6 7 2" xfId="38394"/>
    <cellStyle name="표준 7 11 6 8 2" xfId="38395"/>
    <cellStyle name="표준 7 11 7 2 2 2 2" xfId="38396"/>
    <cellStyle name="표준 7 11 7 2 3 3" xfId="38397"/>
    <cellStyle name="표준 7 11 7 2 3 2 2" xfId="38398"/>
    <cellStyle name="표준 7 11 7 2 4 2" xfId="38399"/>
    <cellStyle name="표준 7 11 7 2 5 2" xfId="38400"/>
    <cellStyle name="표준 7 11 7 3 2 2 2" xfId="38401"/>
    <cellStyle name="표준 7 11 7 3 3 3" xfId="38402"/>
    <cellStyle name="표준 7 11 7 3 3 2 2" xfId="38403"/>
    <cellStyle name="표준 7 11 7 3 4 2" xfId="38404"/>
    <cellStyle name="표준 7 11 7 3 5 2" xfId="38405"/>
    <cellStyle name="표준 7 11 7 4 2 2" xfId="38406"/>
    <cellStyle name="표준 7 11 7 5 3" xfId="38407"/>
    <cellStyle name="표준 7 11 7 5 2 2" xfId="38408"/>
    <cellStyle name="표준 7 11 7 6 2" xfId="38409"/>
    <cellStyle name="표준 7 11 7 7 2" xfId="38410"/>
    <cellStyle name="표준 7 11 8 2 2 2" xfId="38411"/>
    <cellStyle name="표준 7 11 8 3 3" xfId="38412"/>
    <cellStyle name="표준 7 11 8 3 2 2" xfId="38413"/>
    <cellStyle name="표준 7 11 8 4 2" xfId="38414"/>
    <cellStyle name="표준 7 11 8 5 2" xfId="38415"/>
    <cellStyle name="표준 7 11 9 2 2 2" xfId="38416"/>
    <cellStyle name="표준 7 11 9 3 3" xfId="38417"/>
    <cellStyle name="표준 7 11 9 3 2 2" xfId="38418"/>
    <cellStyle name="표준 7 11 9 4 2" xfId="38419"/>
    <cellStyle name="표준 7 11 9 5 2" xfId="38420"/>
    <cellStyle name="표준 7 12 10 2 2" xfId="38421"/>
    <cellStyle name="표준 7 12 11 3" xfId="38422"/>
    <cellStyle name="표준 7 12 11 2 2" xfId="38423"/>
    <cellStyle name="표준 7 12 12 2" xfId="38424"/>
    <cellStyle name="표준 7 12 13 2" xfId="38425"/>
    <cellStyle name="표준 7 12 2 10 2" xfId="38426"/>
    <cellStyle name="표준 7 12 2 2 2 2 2 2 2 2" xfId="38427"/>
    <cellStyle name="표준 7 12 2 2 2 2 2 3 3" xfId="38428"/>
    <cellStyle name="표준 7 12 2 2 2 2 2 3 2 2" xfId="38429"/>
    <cellStyle name="표준 7 12 2 2 2 2 2 4 2" xfId="38430"/>
    <cellStyle name="표준 7 12 2 2 2 2 2 5 2" xfId="38431"/>
    <cellStyle name="표준 7 12 2 2 2 2 3 2 2 2" xfId="38432"/>
    <cellStyle name="표준 7 12 2 2 2 2 3 3 3" xfId="38433"/>
    <cellStyle name="표준 7 12 2 2 2 2 3 3 2 2" xfId="38434"/>
    <cellStyle name="표준 7 12 2 2 2 2 3 4 2" xfId="38435"/>
    <cellStyle name="표준 7 12 2 2 2 2 3 5 2" xfId="38436"/>
    <cellStyle name="표준 7 12 2 2 2 2 4 2 2" xfId="38437"/>
    <cellStyle name="표준 7 12 2 2 2 2 5 3" xfId="38438"/>
    <cellStyle name="표준 7 12 2 2 2 2 5 2 2" xfId="38439"/>
    <cellStyle name="표준 7 12 2 2 2 2 6 2" xfId="38440"/>
    <cellStyle name="표준 7 12 2 2 2 2 7 2" xfId="38441"/>
    <cellStyle name="표준 7 12 2 2 2 3 2 2 2" xfId="38442"/>
    <cellStyle name="표준 7 12 2 2 2 3 3 3" xfId="38443"/>
    <cellStyle name="표준 7 12 2 2 2 3 3 2 2" xfId="38444"/>
    <cellStyle name="표준 7 12 2 2 2 3 4 2" xfId="38445"/>
    <cellStyle name="표준 7 12 2 2 2 3 5 2" xfId="38446"/>
    <cellStyle name="표준 7 12 2 2 2 4 2 2 2" xfId="38447"/>
    <cellStyle name="표준 7 12 2 2 2 4 3 3" xfId="38448"/>
    <cellStyle name="표준 7 12 2 2 2 4 3 2 2" xfId="38449"/>
    <cellStyle name="표준 7 12 2 2 2 4 4 2" xfId="38450"/>
    <cellStyle name="표준 7 12 2 2 2 4 5 2" xfId="38451"/>
    <cellStyle name="표준 7 12 2 2 2 5 2 2" xfId="38452"/>
    <cellStyle name="표준 7 12 2 2 2 6 3" xfId="38453"/>
    <cellStyle name="표준 7 12 2 2 2 6 2 2" xfId="38454"/>
    <cellStyle name="표준 7 12 2 2 2 7 2" xfId="38455"/>
    <cellStyle name="표준 7 12 2 2 2 8 2" xfId="38456"/>
    <cellStyle name="표준 7 12 2 2 3 2 2 2 2" xfId="38457"/>
    <cellStyle name="표준 7 12 2 2 3 2 3 3" xfId="38458"/>
    <cellStyle name="표준 7 12 2 2 3 2 3 2 2" xfId="38459"/>
    <cellStyle name="표준 7 12 2 2 3 2 4 2" xfId="38460"/>
    <cellStyle name="표준 7 12 2 2 3 2 5 2" xfId="38461"/>
    <cellStyle name="표준 7 12 2 2 3 3 2 2 2" xfId="38462"/>
    <cellStyle name="표준 7 12 2 2 3 3 3 3" xfId="38463"/>
    <cellStyle name="표준 7 12 2 2 3 3 3 2 2" xfId="38464"/>
    <cellStyle name="표준 7 12 2 2 3 3 4 2" xfId="38465"/>
    <cellStyle name="표준 7 12 2 2 3 3 5 2" xfId="38466"/>
    <cellStyle name="표준 7 12 2 2 3 4 2 2" xfId="38467"/>
    <cellStyle name="표준 7 12 2 2 3 5 3" xfId="38468"/>
    <cellStyle name="표준 7 12 2 2 3 5 2 2" xfId="38469"/>
    <cellStyle name="표준 7 12 2 2 3 6 2" xfId="38470"/>
    <cellStyle name="표준 7 12 2 2 3 7 2" xfId="38471"/>
    <cellStyle name="표준 7 12 2 2 4 2 2 2" xfId="38472"/>
    <cellStyle name="표준 7 12 2 2 4 3 3" xfId="38473"/>
    <cellStyle name="표준 7 12 2 2 4 3 2 2" xfId="38474"/>
    <cellStyle name="표준 7 12 2 2 4 4 2" xfId="38475"/>
    <cellStyle name="표준 7 12 2 2 4 5 2" xfId="38476"/>
    <cellStyle name="표준 7 12 2 2 5 2 2 2" xfId="38477"/>
    <cellStyle name="표준 7 12 2 2 5 3 3" xfId="38478"/>
    <cellStyle name="표준 7 12 2 2 5 3 2 2" xfId="38479"/>
    <cellStyle name="표준 7 12 2 2 5 4 2" xfId="38480"/>
    <cellStyle name="표준 7 12 2 2 5 5 2" xfId="38481"/>
    <cellStyle name="표준 7 12 2 2 6 2 2" xfId="38482"/>
    <cellStyle name="표준 7 12 2 2 7 3" xfId="38483"/>
    <cellStyle name="표준 7 12 2 2 7 2 2" xfId="38484"/>
    <cellStyle name="표준 7 12 2 2 8 2" xfId="38485"/>
    <cellStyle name="표준 7 12 2 2 9 2" xfId="38486"/>
    <cellStyle name="표준 7 12 2 3 2 2 2 2 2" xfId="38487"/>
    <cellStyle name="표준 7 12 2 3 2 2 3 3" xfId="38488"/>
    <cellStyle name="표준 7 12 2 3 2 2 3 2 2" xfId="38489"/>
    <cellStyle name="표준 7 12 2 3 2 2 4 2" xfId="38490"/>
    <cellStyle name="표준 7 12 2 3 2 2 5 2" xfId="38491"/>
    <cellStyle name="표준 7 12 2 3 2 3 2 2 2" xfId="38492"/>
    <cellStyle name="표준 7 12 2 3 2 3 3 3" xfId="38493"/>
    <cellStyle name="표준 7 12 2 3 2 3 3 2 2" xfId="38494"/>
    <cellStyle name="표준 7 12 2 3 2 3 4 2" xfId="38495"/>
    <cellStyle name="표준 7 12 2 3 2 3 5 2" xfId="38496"/>
    <cellStyle name="표준 7 12 2 3 2 4 2 2" xfId="38497"/>
    <cellStyle name="표준 7 12 2 3 2 5 3" xfId="38498"/>
    <cellStyle name="표준 7 12 2 3 2 5 2 2" xfId="38499"/>
    <cellStyle name="표준 7 12 2 3 2 6 2" xfId="38500"/>
    <cellStyle name="표준 7 12 2 3 2 7 2" xfId="38501"/>
    <cellStyle name="표준 7 12 2 3 3 2 2 2" xfId="38502"/>
    <cellStyle name="표준 7 12 2 3 3 3 3" xfId="38503"/>
    <cellStyle name="표준 7 12 2 3 3 3 2 2" xfId="38504"/>
    <cellStyle name="표준 7 12 2 3 3 4 2" xfId="38505"/>
    <cellStyle name="표준 7 12 2 3 3 5 2" xfId="38506"/>
    <cellStyle name="표준 7 12 2 3 4 2 2 2" xfId="38507"/>
    <cellStyle name="표준 7 12 2 3 4 3 3" xfId="38508"/>
    <cellStyle name="표준 7 12 2 3 4 3 2 2" xfId="38509"/>
    <cellStyle name="표준 7 12 2 3 4 4 2" xfId="38510"/>
    <cellStyle name="표준 7 12 2 3 4 5 2" xfId="38511"/>
    <cellStyle name="표준 7 12 2 3 5 2 2" xfId="38512"/>
    <cellStyle name="표준 7 12 2 3 6 3" xfId="38513"/>
    <cellStyle name="표준 7 12 2 3 6 2 2" xfId="38514"/>
    <cellStyle name="표준 7 12 2 3 7 2" xfId="38515"/>
    <cellStyle name="표준 7 12 2 3 8 2" xfId="38516"/>
    <cellStyle name="표준 7 12 2 4 2 2 2 2" xfId="38517"/>
    <cellStyle name="표준 7 12 2 4 2 3 3" xfId="38518"/>
    <cellStyle name="표준 7 12 2 4 2 3 2 2" xfId="38519"/>
    <cellStyle name="표준 7 12 2 4 2 4 2" xfId="38520"/>
    <cellStyle name="표준 7 12 2 4 2 5 2" xfId="38521"/>
    <cellStyle name="표준 7 12 2 4 3 2 2 2" xfId="38522"/>
    <cellStyle name="표준 7 12 2 4 3 3 3" xfId="38523"/>
    <cellStyle name="표준 7 12 2 4 3 3 2 2" xfId="38524"/>
    <cellStyle name="표준 7 12 2 4 3 4 2" xfId="38525"/>
    <cellStyle name="표준 7 12 2 4 3 5 2" xfId="38526"/>
    <cellStyle name="표준 7 12 2 4 4 2 2" xfId="38527"/>
    <cellStyle name="표준 7 12 2 4 5 3" xfId="38528"/>
    <cellStyle name="표준 7 12 2 4 5 2 2" xfId="38529"/>
    <cellStyle name="표준 7 12 2 4 6 2" xfId="38530"/>
    <cellStyle name="표준 7 12 2 4 7 2" xfId="38531"/>
    <cellStyle name="표준 7 12 2 5 2 2 2" xfId="38532"/>
    <cellStyle name="표준 7 12 2 5 3 3" xfId="38533"/>
    <cellStyle name="표준 7 12 2 5 3 2 2" xfId="38534"/>
    <cellStyle name="표준 7 12 2 5 4 2" xfId="38535"/>
    <cellStyle name="표준 7 12 2 5 5 2" xfId="38536"/>
    <cellStyle name="표준 7 12 2 6 2 2 2" xfId="38537"/>
    <cellStyle name="표준 7 12 2 6 3 3" xfId="38538"/>
    <cellStyle name="표준 7 12 2 6 3 2 2" xfId="38539"/>
    <cellStyle name="표준 7 12 2 6 4 2" xfId="38540"/>
    <cellStyle name="표준 7 12 2 6 5 2" xfId="38541"/>
    <cellStyle name="표준 7 12 2 7 2 2" xfId="38542"/>
    <cellStyle name="표준 7 12 2 8 3" xfId="38543"/>
    <cellStyle name="표준 7 12 2 8 2 2" xfId="38544"/>
    <cellStyle name="표준 7 12 2 9 2" xfId="38545"/>
    <cellStyle name="표준 7 12 3 10 2" xfId="38546"/>
    <cellStyle name="표준 7 12 3 2 2 2 2 2 2 2" xfId="38547"/>
    <cellStyle name="표준 7 12 3 2 2 2 2 3 3" xfId="38548"/>
    <cellStyle name="표준 7 12 3 2 2 2 2 3 2 2" xfId="38549"/>
    <cellStyle name="표준 7 12 3 2 2 2 2 4 2" xfId="38550"/>
    <cellStyle name="표준 7 12 3 2 2 2 2 5 2" xfId="38551"/>
    <cellStyle name="표준 7 12 3 2 2 2 3 2 2 2" xfId="38552"/>
    <cellStyle name="표준 7 12 3 2 2 2 3 3 3" xfId="38553"/>
    <cellStyle name="표준 7 12 3 2 2 2 3 3 2 2" xfId="38554"/>
    <cellStyle name="표준 7 12 3 2 2 2 3 4 2" xfId="38555"/>
    <cellStyle name="표준 7 12 3 2 2 2 3 5 2" xfId="38556"/>
    <cellStyle name="표준 7 12 3 2 2 2 4 2 2" xfId="38557"/>
    <cellStyle name="표준 7 12 3 2 2 2 5 3" xfId="38558"/>
    <cellStyle name="표준 7 12 3 2 2 2 5 2 2" xfId="38559"/>
    <cellStyle name="표준 7 12 3 2 2 2 6 2" xfId="38560"/>
    <cellStyle name="표준 7 12 3 2 2 2 7 2" xfId="38561"/>
    <cellStyle name="표준 7 12 3 2 2 3 2 2 2" xfId="38562"/>
    <cellStyle name="표준 7 12 3 2 2 3 3 3" xfId="38563"/>
    <cellStyle name="표준 7 12 3 2 2 3 3 2 2" xfId="38564"/>
    <cellStyle name="표준 7 12 3 2 2 3 4 2" xfId="38565"/>
    <cellStyle name="표준 7 12 3 2 2 3 5 2" xfId="38566"/>
    <cellStyle name="표준 7 12 3 2 2 4 2 2 2" xfId="38567"/>
    <cellStyle name="표준 7 12 3 2 2 4 3 3" xfId="38568"/>
    <cellStyle name="표준 7 12 3 2 2 4 3 2 2" xfId="38569"/>
    <cellStyle name="표준 7 12 3 2 2 4 4 2" xfId="38570"/>
    <cellStyle name="표준 7 12 3 2 2 4 5 2" xfId="38571"/>
    <cellStyle name="표준 7 12 3 2 2 5 2 2" xfId="38572"/>
    <cellStyle name="표준 7 12 3 2 2 6 3" xfId="38573"/>
    <cellStyle name="표준 7 12 3 2 2 6 2 2" xfId="38574"/>
    <cellStyle name="표준 7 12 3 2 2 7 2" xfId="38575"/>
    <cellStyle name="표준 7 12 3 2 2 8 2" xfId="38576"/>
    <cellStyle name="표준 7 12 3 2 3 2 2 2 2" xfId="38577"/>
    <cellStyle name="표준 7 12 3 2 3 2 3 3" xfId="38578"/>
    <cellStyle name="표준 7 12 3 2 3 2 3 2 2" xfId="38579"/>
    <cellStyle name="표준 7 12 3 2 3 2 4 2" xfId="38580"/>
    <cellStyle name="표준 7 12 3 2 3 2 5 2" xfId="38581"/>
    <cellStyle name="표준 7 12 3 2 3 3 2 2 2" xfId="38582"/>
    <cellStyle name="표준 7 12 3 2 3 3 3 3" xfId="38583"/>
    <cellStyle name="표준 7 12 3 2 3 3 3 2 2" xfId="38584"/>
    <cellStyle name="표준 7 12 3 2 3 3 4 2" xfId="38585"/>
    <cellStyle name="표준 7 12 3 2 3 3 5 2" xfId="38586"/>
    <cellStyle name="표준 7 12 3 2 3 4 2 2" xfId="38587"/>
    <cellStyle name="표준 7 12 3 2 3 5 3" xfId="38588"/>
    <cellStyle name="표준 7 12 3 2 3 5 2 2" xfId="38589"/>
    <cellStyle name="표준 7 12 3 2 3 6 2" xfId="38590"/>
    <cellStyle name="표준 7 12 3 2 3 7 2" xfId="38591"/>
    <cellStyle name="표준 7 12 3 2 4 2 2 2" xfId="38592"/>
    <cellStyle name="표준 7 12 3 2 4 3 3" xfId="38593"/>
    <cellStyle name="표준 7 12 3 2 4 3 2 2" xfId="38594"/>
    <cellStyle name="표준 7 12 3 2 4 4 2" xfId="38595"/>
    <cellStyle name="표준 7 12 3 2 4 5 2" xfId="38596"/>
    <cellStyle name="표준 7 12 3 2 5 2 2 2" xfId="38597"/>
    <cellStyle name="표준 7 12 3 2 5 3 3" xfId="38598"/>
    <cellStyle name="표준 7 12 3 2 5 3 2 2" xfId="38599"/>
    <cellStyle name="표준 7 12 3 2 5 4 2" xfId="38600"/>
    <cellStyle name="표준 7 12 3 2 5 5 2" xfId="38601"/>
    <cellStyle name="표준 7 12 3 2 6 2 2" xfId="38602"/>
    <cellStyle name="표준 7 12 3 2 7 3" xfId="38603"/>
    <cellStyle name="표준 7 12 3 2 7 2 2" xfId="38604"/>
    <cellStyle name="표준 7 12 3 2 8 2" xfId="38605"/>
    <cellStyle name="표준 7 12 3 2 9 2" xfId="38606"/>
    <cellStyle name="표준 7 12 3 3 2 2 2 2 2" xfId="38607"/>
    <cellStyle name="표준 7 12 3 3 2 2 3 3" xfId="38608"/>
    <cellStyle name="표준 7 12 3 3 2 2 3 2 2" xfId="38609"/>
    <cellStyle name="표준 7 12 3 3 2 2 4 2" xfId="38610"/>
    <cellStyle name="표준 7 12 3 3 2 2 5 2" xfId="38611"/>
    <cellStyle name="표준 7 12 3 3 2 3 2 2 2" xfId="38612"/>
    <cellStyle name="표준 7 12 3 3 2 3 3 3" xfId="38613"/>
    <cellStyle name="표준 7 12 3 3 2 3 3 2 2" xfId="38614"/>
    <cellStyle name="표준 7 12 3 3 2 3 4 2" xfId="38615"/>
    <cellStyle name="표준 7 12 3 3 2 3 5 2" xfId="38616"/>
    <cellStyle name="표준 7 12 3 3 2 4 2 2" xfId="38617"/>
    <cellStyle name="표준 7 12 3 3 2 5 3" xfId="38618"/>
    <cellStyle name="표준 7 12 3 3 2 5 2 2" xfId="38619"/>
    <cellStyle name="표준 7 12 3 3 2 6 2" xfId="38620"/>
    <cellStyle name="표준 7 12 3 3 2 7 2" xfId="38621"/>
    <cellStyle name="표준 7 12 3 3 3 2 2 2" xfId="38622"/>
    <cellStyle name="표준 7 12 3 3 3 3 3" xfId="38623"/>
    <cellStyle name="표준 7 12 3 3 3 3 2 2" xfId="38624"/>
    <cellStyle name="표준 7 12 3 3 3 4 2" xfId="38625"/>
    <cellStyle name="표준 7 12 3 3 3 5 2" xfId="38626"/>
    <cellStyle name="표준 7 12 3 3 4 2 2 2" xfId="38627"/>
    <cellStyle name="표준 7 12 3 3 4 3 3" xfId="38628"/>
    <cellStyle name="표준 7 12 3 3 4 3 2 2" xfId="38629"/>
    <cellStyle name="표준 7 12 3 3 4 4 2" xfId="38630"/>
    <cellStyle name="표준 7 12 3 3 4 5 2" xfId="38631"/>
    <cellStyle name="표준 7 12 3 3 5 2 2" xfId="38632"/>
    <cellStyle name="표준 7 12 3 3 6 3" xfId="38633"/>
    <cellStyle name="표준 7 12 3 3 6 2 2" xfId="38634"/>
    <cellStyle name="표준 7 12 3 3 7 2" xfId="38635"/>
    <cellStyle name="표준 7 12 3 3 8 2" xfId="38636"/>
    <cellStyle name="표준 7 12 3 4 2 2 2 2" xfId="38637"/>
    <cellStyle name="표준 7 12 3 4 2 3 3" xfId="38638"/>
    <cellStyle name="표준 7 12 3 4 2 3 2 2" xfId="38639"/>
    <cellStyle name="표준 7 12 3 4 2 4 2" xfId="38640"/>
    <cellStyle name="표준 7 12 3 4 2 5 2" xfId="38641"/>
    <cellStyle name="표준 7 12 3 4 3 2 2 2" xfId="38642"/>
    <cellStyle name="표준 7 12 3 4 3 3 3" xfId="38643"/>
    <cellStyle name="표준 7 12 3 4 3 3 2 2" xfId="38644"/>
    <cellStyle name="표준 7 12 3 4 3 4 2" xfId="38645"/>
    <cellStyle name="표준 7 12 3 4 3 5 2" xfId="38646"/>
    <cellStyle name="표준 7 12 3 4 4 2 2" xfId="38647"/>
    <cellStyle name="표준 7 12 3 4 5 3" xfId="38648"/>
    <cellStyle name="표준 7 12 3 4 5 2 2" xfId="38649"/>
    <cellStyle name="표준 7 12 3 4 6 2" xfId="38650"/>
    <cellStyle name="표준 7 12 3 4 7 2" xfId="38651"/>
    <cellStyle name="표준 7 12 3 5 2 2 2" xfId="38652"/>
    <cellStyle name="표준 7 12 3 5 3 3" xfId="38653"/>
    <cellStyle name="표준 7 12 3 5 3 2 2" xfId="38654"/>
    <cellStyle name="표준 7 12 3 5 4 2" xfId="38655"/>
    <cellStyle name="표준 7 12 3 5 5 2" xfId="38656"/>
    <cellStyle name="표준 7 12 3 6 2 2 2" xfId="38657"/>
    <cellStyle name="표준 7 12 3 6 3 3" xfId="38658"/>
    <cellStyle name="표준 7 12 3 6 3 2 2" xfId="38659"/>
    <cellStyle name="표준 7 12 3 6 4 2" xfId="38660"/>
    <cellStyle name="표준 7 12 3 6 5 2" xfId="38661"/>
    <cellStyle name="표준 7 12 3 7 2 2" xfId="38662"/>
    <cellStyle name="표준 7 12 3 8 3" xfId="38663"/>
    <cellStyle name="표준 7 12 3 8 2 2" xfId="38664"/>
    <cellStyle name="표준 7 12 3 9 2" xfId="38665"/>
    <cellStyle name="표준 7 12 4 10 2" xfId="38666"/>
    <cellStyle name="표준 7 12 4 2 2 2 2 2 2 2" xfId="38667"/>
    <cellStyle name="표준 7 12 4 2 2 2 2 3 3" xfId="38668"/>
    <cellStyle name="표준 7 12 4 2 2 2 2 3 2 2" xfId="38669"/>
    <cellStyle name="표준 7 12 4 2 2 2 2 4 2" xfId="38670"/>
    <cellStyle name="표준 7 12 4 2 2 2 2 5 2" xfId="38671"/>
    <cellStyle name="표준 7 12 4 2 2 2 3 2 2 2" xfId="38672"/>
    <cellStyle name="표준 7 12 4 2 2 2 3 3 3" xfId="38673"/>
    <cellStyle name="표준 7 12 4 2 2 2 3 3 2 2" xfId="38674"/>
    <cellStyle name="표준 7 12 4 2 2 2 3 4 2" xfId="38675"/>
    <cellStyle name="표준 7 12 4 2 2 2 3 5 2" xfId="38676"/>
    <cellStyle name="표준 7 12 4 2 2 2 4 2 2" xfId="38677"/>
    <cellStyle name="표준 7 12 4 2 2 2 5 3" xfId="38678"/>
    <cellStyle name="표준 7 12 4 2 2 2 5 2 2" xfId="38679"/>
    <cellStyle name="표준 7 12 4 2 2 2 6 2" xfId="38680"/>
    <cellStyle name="표준 7 12 4 2 2 2 7 2" xfId="38681"/>
    <cellStyle name="표준 7 12 4 2 2 3 2 2 2" xfId="38682"/>
    <cellStyle name="표준 7 12 4 2 2 3 3 3" xfId="38683"/>
    <cellStyle name="표준 7 12 4 2 2 3 3 2 2" xfId="38684"/>
    <cellStyle name="표준 7 12 4 2 2 3 4 2" xfId="38685"/>
    <cellStyle name="표준 7 12 4 2 2 3 5 2" xfId="38686"/>
    <cellStyle name="표준 7 12 4 2 2 4 2 2 2" xfId="38687"/>
    <cellStyle name="표준 7 12 4 2 2 4 3 3" xfId="38688"/>
    <cellStyle name="표준 7 12 4 2 2 4 3 2 2" xfId="38689"/>
    <cellStyle name="표준 7 12 4 2 2 4 4 2" xfId="38690"/>
    <cellStyle name="표준 7 12 4 2 2 4 5 2" xfId="38691"/>
    <cellStyle name="표준 7 12 4 2 2 5 2 2" xfId="38692"/>
    <cellStyle name="표준 7 12 4 2 2 6 3" xfId="38693"/>
    <cellStyle name="표준 7 12 4 2 2 6 2 2" xfId="38694"/>
    <cellStyle name="표준 7 12 4 2 2 7 2" xfId="38695"/>
    <cellStyle name="표준 7 12 4 2 2 8 2" xfId="38696"/>
    <cellStyle name="표준 7 12 4 2 3 2 2 2 2" xfId="38697"/>
    <cellStyle name="표준 7 12 4 2 3 2 3 3" xfId="38698"/>
    <cellStyle name="표준 7 12 4 2 3 2 3 2 2" xfId="38699"/>
    <cellStyle name="표준 7 12 4 2 3 2 4 2" xfId="38700"/>
    <cellStyle name="표준 7 12 4 2 3 2 5 2" xfId="38701"/>
    <cellStyle name="표준 7 12 4 2 3 3 2 2 2" xfId="38702"/>
    <cellStyle name="표준 7 12 4 2 3 3 3 3" xfId="38703"/>
    <cellStyle name="표준 7 12 4 2 3 3 3 2 2" xfId="38704"/>
    <cellStyle name="표준 7 12 4 2 3 3 4 2" xfId="38705"/>
    <cellStyle name="표준 7 12 4 2 3 3 5 2" xfId="38706"/>
    <cellStyle name="표준 7 12 4 2 3 4 2 2" xfId="38707"/>
    <cellStyle name="표준 7 12 4 2 3 5 3" xfId="38708"/>
    <cellStyle name="표준 7 12 4 2 3 5 2 2" xfId="38709"/>
    <cellStyle name="표준 7 12 4 2 3 6 2" xfId="38710"/>
    <cellStyle name="표준 7 12 4 2 3 7 2" xfId="38711"/>
    <cellStyle name="표준 7 12 4 2 4 2 2 2" xfId="38712"/>
    <cellStyle name="표준 7 12 4 2 4 3 3" xfId="38713"/>
    <cellStyle name="표준 7 12 4 2 4 3 2 2" xfId="38714"/>
    <cellStyle name="표준 7 12 4 2 4 4 2" xfId="38715"/>
    <cellStyle name="표준 7 12 4 2 4 5 2" xfId="38716"/>
    <cellStyle name="표준 7 12 4 2 5 2 2 2" xfId="38717"/>
    <cellStyle name="표준 7 12 4 2 5 3 3" xfId="38718"/>
    <cellStyle name="표준 7 12 4 2 5 3 2 2" xfId="38719"/>
    <cellStyle name="표준 7 12 4 2 5 4 2" xfId="38720"/>
    <cellStyle name="표준 7 12 4 2 5 5 2" xfId="38721"/>
    <cellStyle name="표준 7 12 4 2 6 2 2" xfId="38722"/>
    <cellStyle name="표준 7 12 4 2 7 3" xfId="38723"/>
    <cellStyle name="표준 7 12 4 2 7 2 2" xfId="38724"/>
    <cellStyle name="표준 7 12 4 2 8 2" xfId="38725"/>
    <cellStyle name="표준 7 12 4 2 9 2" xfId="38726"/>
    <cellStyle name="표준 7 12 4 3 2 2 2 2 2" xfId="38727"/>
    <cellStyle name="표준 7 12 4 3 2 2 3 3" xfId="38728"/>
    <cellStyle name="표준 7 12 4 3 2 2 3 2 2" xfId="38729"/>
    <cellStyle name="표준 7 12 4 3 2 2 4 2" xfId="38730"/>
    <cellStyle name="표준 7 12 4 3 2 2 5 2" xfId="38731"/>
    <cellStyle name="표준 7 12 4 3 2 3 2 2 2" xfId="38732"/>
    <cellStyle name="표준 7 12 4 3 2 3 3 3" xfId="38733"/>
    <cellStyle name="표준 7 12 4 3 2 3 3 2 2" xfId="38734"/>
    <cellStyle name="표준 7 12 4 3 2 3 4 2" xfId="38735"/>
    <cellStyle name="표준 7 12 4 3 2 3 5 2" xfId="38736"/>
    <cellStyle name="표준 7 12 4 3 2 4 2 2" xfId="38737"/>
    <cellStyle name="표준 7 12 4 3 2 5 3" xfId="38738"/>
    <cellStyle name="표준 7 12 4 3 2 5 2 2" xfId="38739"/>
    <cellStyle name="표준 7 12 4 3 2 6 2" xfId="38740"/>
    <cellStyle name="표준 7 12 4 3 2 7 2" xfId="38741"/>
    <cellStyle name="표준 7 12 4 3 3 2 2 2" xfId="38742"/>
    <cellStyle name="표준 7 12 4 3 3 3 3" xfId="38743"/>
    <cellStyle name="표준 7 12 4 3 3 3 2 2" xfId="38744"/>
    <cellStyle name="표준 7 12 4 3 3 4 2" xfId="38745"/>
    <cellStyle name="표준 7 12 4 3 3 5 2" xfId="38746"/>
    <cellStyle name="표준 7 12 4 3 4 2 2 2" xfId="38747"/>
    <cellStyle name="표준 7 12 4 3 4 3 3" xfId="38748"/>
    <cellStyle name="표준 7 12 4 3 4 3 2 2" xfId="38749"/>
    <cellStyle name="표준 7 12 4 3 4 4 2" xfId="38750"/>
    <cellStyle name="표준 7 12 4 3 4 5 2" xfId="38751"/>
    <cellStyle name="표준 7 12 4 3 5 2 2" xfId="38752"/>
    <cellStyle name="표준 7 12 4 3 6 3" xfId="38753"/>
    <cellStyle name="표준 7 12 4 3 6 2 2" xfId="38754"/>
    <cellStyle name="표준 7 12 4 3 7 2" xfId="38755"/>
    <cellStyle name="표준 7 12 4 3 8 2" xfId="38756"/>
    <cellStyle name="표준 7 12 4 4 2 2 2 2" xfId="38757"/>
    <cellStyle name="표준 7 12 4 4 2 3 3" xfId="38758"/>
    <cellStyle name="표준 7 12 4 4 2 3 2 2" xfId="38759"/>
    <cellStyle name="표준 7 12 4 4 2 4 2" xfId="38760"/>
    <cellStyle name="표준 7 12 4 4 2 5 2" xfId="38761"/>
    <cellStyle name="표준 7 12 4 4 3 2 2 2" xfId="38762"/>
    <cellStyle name="표준 7 12 4 4 3 3 3" xfId="38763"/>
    <cellStyle name="표준 7 12 4 4 3 3 2 2" xfId="38764"/>
    <cellStyle name="표준 7 12 4 4 3 4 2" xfId="38765"/>
    <cellStyle name="표준 7 12 4 4 3 5 2" xfId="38766"/>
    <cellStyle name="표준 7 12 4 4 4 2 2" xfId="38767"/>
    <cellStyle name="표준 7 12 4 4 5 3" xfId="38768"/>
    <cellStyle name="표준 7 12 4 4 5 2 2" xfId="38769"/>
    <cellStyle name="표준 7 12 4 4 6 2" xfId="38770"/>
    <cellStyle name="표준 7 12 4 4 7 2" xfId="38771"/>
    <cellStyle name="표준 7 12 4 5 2 2 2" xfId="38772"/>
    <cellStyle name="표준 7 12 4 5 3 3" xfId="38773"/>
    <cellStyle name="표준 7 12 4 5 3 2 2" xfId="38774"/>
    <cellStyle name="표준 7 12 4 5 4 2" xfId="38775"/>
    <cellStyle name="표준 7 12 4 5 5 2" xfId="38776"/>
    <cellStyle name="표준 7 12 4 6 2 2 2" xfId="38777"/>
    <cellStyle name="표준 7 12 4 6 3 3" xfId="38778"/>
    <cellStyle name="표준 7 12 4 6 3 2 2" xfId="38779"/>
    <cellStyle name="표준 7 12 4 6 4 2" xfId="38780"/>
    <cellStyle name="표준 7 12 4 6 5 2" xfId="38781"/>
    <cellStyle name="표준 7 12 4 7 2 2" xfId="38782"/>
    <cellStyle name="표준 7 12 4 8 3" xfId="38783"/>
    <cellStyle name="표준 7 12 4 8 2 2" xfId="38784"/>
    <cellStyle name="표준 7 12 4 9 2" xfId="38785"/>
    <cellStyle name="표준 7 12 5 2 2 2 2 2 2" xfId="38786"/>
    <cellStyle name="표준 7 12 5 2 2 2 3 3" xfId="38787"/>
    <cellStyle name="표준 7 12 5 2 2 2 3 2 2" xfId="38788"/>
    <cellStyle name="표준 7 12 5 2 2 2 4 2" xfId="38789"/>
    <cellStyle name="표준 7 12 5 2 2 2 5 2" xfId="38790"/>
    <cellStyle name="표준 7 12 5 2 2 3 2 2 2" xfId="38791"/>
    <cellStyle name="표준 7 12 5 2 2 3 3 3" xfId="38792"/>
    <cellStyle name="표준 7 12 5 2 2 3 3 2 2" xfId="38793"/>
    <cellStyle name="표준 7 12 5 2 2 3 4 2" xfId="38794"/>
    <cellStyle name="표준 7 12 5 2 2 3 5 2" xfId="38795"/>
    <cellStyle name="표준 7 12 5 2 2 4 2 2" xfId="38796"/>
    <cellStyle name="표준 7 12 5 2 2 5 3" xfId="38797"/>
    <cellStyle name="표준 7 12 5 2 2 5 2 2" xfId="38798"/>
    <cellStyle name="표준 7 12 5 2 2 6 2" xfId="38799"/>
    <cellStyle name="표준 7 12 5 2 2 7 2" xfId="38800"/>
    <cellStyle name="표준 7 12 5 2 3 2 2 2" xfId="38801"/>
    <cellStyle name="표준 7 12 5 2 3 3 3" xfId="38802"/>
    <cellStyle name="표준 7 12 5 2 3 3 2 2" xfId="38803"/>
    <cellStyle name="표준 7 12 5 2 3 4 2" xfId="38804"/>
    <cellStyle name="표준 7 12 5 2 3 5 2" xfId="38805"/>
    <cellStyle name="표준 7 12 5 2 4 2 2 2" xfId="38806"/>
    <cellStyle name="표준 7 12 5 2 4 3 3" xfId="38807"/>
    <cellStyle name="표준 7 12 5 2 4 3 2 2" xfId="38808"/>
    <cellStyle name="표준 7 12 5 2 4 4 2" xfId="38809"/>
    <cellStyle name="표준 7 12 5 2 4 5 2" xfId="38810"/>
    <cellStyle name="표준 7 12 5 2 5 2 2" xfId="38811"/>
    <cellStyle name="표준 7 12 5 2 6 3" xfId="38812"/>
    <cellStyle name="표준 7 12 5 2 6 2 2" xfId="38813"/>
    <cellStyle name="표준 7 12 5 2 7 2" xfId="38814"/>
    <cellStyle name="표준 7 12 5 2 8 2" xfId="38815"/>
    <cellStyle name="표준 7 12 5 3 2 2 2 2" xfId="38816"/>
    <cellStyle name="표준 7 12 5 3 2 3 3" xfId="38817"/>
    <cellStyle name="표준 7 12 5 3 2 3 2 2" xfId="38818"/>
    <cellStyle name="표준 7 12 5 3 2 4 2" xfId="38819"/>
    <cellStyle name="표준 7 12 5 3 2 5 2" xfId="38820"/>
    <cellStyle name="표준 7 12 5 3 3 2 2 2" xfId="38821"/>
    <cellStyle name="표준 7 12 5 3 3 3 3" xfId="38822"/>
    <cellStyle name="표준 7 12 5 3 3 3 2 2" xfId="38823"/>
    <cellStyle name="표준 7 12 5 3 3 4 2" xfId="38824"/>
    <cellStyle name="표준 7 12 5 3 3 5 2" xfId="38825"/>
    <cellStyle name="표준 7 12 5 3 4 2 2" xfId="38826"/>
    <cellStyle name="표준 7 12 5 3 5 3" xfId="38827"/>
    <cellStyle name="표준 7 12 5 3 5 2 2" xfId="38828"/>
    <cellStyle name="표준 7 12 5 3 6 2" xfId="38829"/>
    <cellStyle name="표준 7 12 5 3 7 2" xfId="38830"/>
    <cellStyle name="표준 7 12 5 4 2 2 2" xfId="38831"/>
    <cellStyle name="표준 7 12 5 4 3 3" xfId="38832"/>
    <cellStyle name="표준 7 12 5 4 3 2 2" xfId="38833"/>
    <cellStyle name="표준 7 12 5 4 4 2" xfId="38834"/>
    <cellStyle name="표준 7 12 5 4 5 2" xfId="38835"/>
    <cellStyle name="표준 7 12 5 5 2 2 2" xfId="38836"/>
    <cellStyle name="표준 7 12 5 5 3 3" xfId="38837"/>
    <cellStyle name="표준 7 12 5 5 3 2 2" xfId="38838"/>
    <cellStyle name="표준 7 12 5 5 4 2" xfId="38839"/>
    <cellStyle name="표준 7 12 5 5 5 2" xfId="38840"/>
    <cellStyle name="표준 7 12 5 6 2 2" xfId="38841"/>
    <cellStyle name="표준 7 12 5 7 3" xfId="38842"/>
    <cellStyle name="표준 7 12 5 7 2 2" xfId="38843"/>
    <cellStyle name="표준 7 12 5 8 2" xfId="38844"/>
    <cellStyle name="표준 7 12 5 9 2" xfId="38845"/>
    <cellStyle name="표준 7 12 6 2 2 2 2 2" xfId="38846"/>
    <cellStyle name="표준 7 12 6 2 2 3 3" xfId="38847"/>
    <cellStyle name="표준 7 12 6 2 2 3 2 2" xfId="38848"/>
    <cellStyle name="표준 7 12 6 2 2 4 2" xfId="38849"/>
    <cellStyle name="표준 7 12 6 2 2 5 2" xfId="38850"/>
    <cellStyle name="표준 7 12 6 2 3 2 2 2" xfId="38851"/>
    <cellStyle name="표준 7 12 6 2 3 3 3" xfId="38852"/>
    <cellStyle name="표준 7 12 6 2 3 3 2 2" xfId="38853"/>
    <cellStyle name="표준 7 12 6 2 3 4 2" xfId="38854"/>
    <cellStyle name="표준 7 12 6 2 3 5 2" xfId="38855"/>
    <cellStyle name="표준 7 12 6 2 4 2 2" xfId="38856"/>
    <cellStyle name="표준 7 12 6 2 5 3" xfId="38857"/>
    <cellStyle name="표준 7 12 6 2 5 2 2" xfId="38858"/>
    <cellStyle name="표준 7 12 6 2 6 2" xfId="38859"/>
    <cellStyle name="표준 7 12 6 2 7 2" xfId="38860"/>
    <cellStyle name="표준 7 12 6 3 2 2 2" xfId="38861"/>
    <cellStyle name="표준 7 12 6 3 3 3" xfId="38862"/>
    <cellStyle name="표준 7 12 6 3 3 2 2" xfId="38863"/>
    <cellStyle name="표준 7 12 6 3 4 2" xfId="38864"/>
    <cellStyle name="표준 7 12 6 3 5 2" xfId="38865"/>
    <cellStyle name="표준 7 12 6 4 2 2 2" xfId="38866"/>
    <cellStyle name="표준 7 12 6 4 3 3" xfId="38867"/>
    <cellStyle name="표준 7 12 6 4 3 2 2" xfId="38868"/>
    <cellStyle name="표준 7 12 6 4 4 2" xfId="38869"/>
    <cellStyle name="표준 7 12 6 4 5 2" xfId="38870"/>
    <cellStyle name="표준 7 12 6 5 2 2" xfId="38871"/>
    <cellStyle name="표준 7 12 6 6 3" xfId="38872"/>
    <cellStyle name="표준 7 12 6 6 2 2" xfId="38873"/>
    <cellStyle name="표준 7 12 6 7 2" xfId="38874"/>
    <cellStyle name="표준 7 12 6 8 2" xfId="38875"/>
    <cellStyle name="표준 7 12 7 2 2 2 2" xfId="38876"/>
    <cellStyle name="표준 7 12 7 2 3 3" xfId="38877"/>
    <cellStyle name="표준 7 12 7 2 3 2 2" xfId="38878"/>
    <cellStyle name="표준 7 12 7 2 4 2" xfId="38879"/>
    <cellStyle name="표준 7 12 7 2 5 2" xfId="38880"/>
    <cellStyle name="표준 7 12 7 3 2 2 2" xfId="38881"/>
    <cellStyle name="표준 7 12 7 3 3 3" xfId="38882"/>
    <cellStyle name="표준 7 12 7 3 3 2 2" xfId="38883"/>
    <cellStyle name="표준 7 12 7 3 4 2" xfId="38884"/>
    <cellStyle name="표준 7 12 7 3 5 2" xfId="38885"/>
    <cellStyle name="표준 7 12 7 4 2 2" xfId="38886"/>
    <cellStyle name="표준 7 12 7 5 3" xfId="38887"/>
    <cellStyle name="표준 7 12 7 5 2 2" xfId="38888"/>
    <cellStyle name="표준 7 12 7 6 2" xfId="38889"/>
    <cellStyle name="표준 7 12 7 7 2" xfId="38890"/>
    <cellStyle name="표준 7 12 8 2 2 2" xfId="38891"/>
    <cellStyle name="표준 7 12 8 3 3" xfId="38892"/>
    <cellStyle name="표준 7 12 8 3 2 2" xfId="38893"/>
    <cellStyle name="표준 7 12 8 4 2" xfId="38894"/>
    <cellStyle name="표준 7 12 8 5 2" xfId="38895"/>
    <cellStyle name="표준 7 12 9 2 2 2" xfId="38896"/>
    <cellStyle name="표준 7 12 9 3 3" xfId="38897"/>
    <cellStyle name="표준 7 12 9 3 2 2" xfId="38898"/>
    <cellStyle name="표준 7 12 9 4 2" xfId="38899"/>
    <cellStyle name="표준 7 12 9 5 2" xfId="38900"/>
    <cellStyle name="표준 7 13 10 2 2" xfId="38901"/>
    <cellStyle name="표준 7 13 11 3" xfId="38902"/>
    <cellStyle name="표준 7 13 11 2 2" xfId="38903"/>
    <cellStyle name="표준 7 13 12 2" xfId="38904"/>
    <cellStyle name="표준 7 13 13 2" xfId="38905"/>
    <cellStyle name="표준 7 13 2 10 2" xfId="38906"/>
    <cellStyle name="표준 7 13 2 2 2 2 2 2 2 2" xfId="38907"/>
    <cellStyle name="표준 7 13 2 2 2 2 2 3 3" xfId="38908"/>
    <cellStyle name="표준 7 13 2 2 2 2 2 3 2 2" xfId="38909"/>
    <cellStyle name="표준 7 13 2 2 2 2 2 4 2" xfId="38910"/>
    <cellStyle name="표준 7 13 2 2 2 2 2 5 2" xfId="38911"/>
    <cellStyle name="표준 7 13 2 2 2 2 3 2 2 2" xfId="38912"/>
    <cellStyle name="표준 7 13 2 2 2 2 3 3 3" xfId="38913"/>
    <cellStyle name="표준 7 13 2 2 2 2 3 3 2 2" xfId="38914"/>
    <cellStyle name="표준 7 13 2 2 2 2 3 4 2" xfId="38915"/>
    <cellStyle name="표준 7 13 2 2 2 2 3 5 2" xfId="38916"/>
    <cellStyle name="표준 7 13 2 2 2 2 4 2 2" xfId="38917"/>
    <cellStyle name="표준 7 13 2 2 2 2 5 3" xfId="38918"/>
    <cellStyle name="표준 7 13 2 2 2 2 5 2 2" xfId="38919"/>
    <cellStyle name="표준 7 13 2 2 2 2 6 2" xfId="38920"/>
    <cellStyle name="표준 7 13 2 2 2 2 7 2" xfId="38921"/>
    <cellStyle name="표준 7 13 2 2 2 3 2 2 2" xfId="38922"/>
    <cellStyle name="표준 7 13 2 2 2 3 3 3" xfId="38923"/>
    <cellStyle name="표준 7 13 2 2 2 3 3 2 2" xfId="38924"/>
    <cellStyle name="표준 7 13 2 2 2 3 4 2" xfId="38925"/>
    <cellStyle name="표준 7 13 2 2 2 3 5 2" xfId="38926"/>
    <cellStyle name="표준 7 13 2 2 2 4 2 2 2" xfId="38927"/>
    <cellStyle name="표준 7 13 2 2 2 4 3 3" xfId="38928"/>
    <cellStyle name="표준 7 13 2 2 2 4 3 2 2" xfId="38929"/>
    <cellStyle name="표준 7 13 2 2 2 4 4 2" xfId="38930"/>
    <cellStyle name="표준 7 13 2 2 2 4 5 2" xfId="38931"/>
    <cellStyle name="표준 7 13 2 2 2 5 2 2" xfId="38932"/>
    <cellStyle name="표준 7 13 2 2 2 6 3" xfId="38933"/>
    <cellStyle name="표준 7 13 2 2 2 6 2 2" xfId="38934"/>
    <cellStyle name="표준 7 13 2 2 2 7 2" xfId="38935"/>
    <cellStyle name="표준 7 13 2 2 2 8 2" xfId="38936"/>
    <cellStyle name="표준 7 13 2 2 3 2 2 2 2" xfId="38937"/>
    <cellStyle name="표준 7 13 2 2 3 2 3 3" xfId="38938"/>
    <cellStyle name="표준 7 13 2 2 3 2 3 2 2" xfId="38939"/>
    <cellStyle name="표준 7 13 2 2 3 2 4 2" xfId="38940"/>
    <cellStyle name="표준 7 13 2 2 3 2 5 2" xfId="38941"/>
    <cellStyle name="표준 7 13 2 2 3 3 2 2 2" xfId="38942"/>
    <cellStyle name="표준 7 13 2 2 3 3 3 3" xfId="38943"/>
    <cellStyle name="표준 7 13 2 2 3 3 3 2 2" xfId="38944"/>
    <cellStyle name="표준 7 13 2 2 3 3 4 2" xfId="38945"/>
    <cellStyle name="표준 7 13 2 2 3 3 5 2" xfId="38946"/>
    <cellStyle name="표준 7 13 2 2 3 4 2 2" xfId="38947"/>
    <cellStyle name="표준 7 13 2 2 3 5 3" xfId="38948"/>
    <cellStyle name="표준 7 13 2 2 3 5 2 2" xfId="38949"/>
    <cellStyle name="표준 7 13 2 2 3 6 2" xfId="38950"/>
    <cellStyle name="표준 7 13 2 2 3 7 2" xfId="38951"/>
    <cellStyle name="표준 7 13 2 2 4 2 2 2" xfId="38952"/>
    <cellStyle name="표준 7 13 2 2 4 3 3" xfId="38953"/>
    <cellStyle name="표준 7 13 2 2 4 3 2 2" xfId="38954"/>
    <cellStyle name="표준 7 13 2 2 4 4 2" xfId="38955"/>
    <cellStyle name="표준 7 13 2 2 4 5 2" xfId="38956"/>
    <cellStyle name="표준 7 13 2 2 5 2 2 2" xfId="38957"/>
    <cellStyle name="표준 7 13 2 2 5 3 3" xfId="38958"/>
    <cellStyle name="표준 7 13 2 2 5 3 2 2" xfId="38959"/>
    <cellStyle name="표준 7 13 2 2 5 4 2" xfId="38960"/>
    <cellStyle name="표준 7 13 2 2 5 5 2" xfId="38961"/>
    <cellStyle name="표준 7 13 2 2 6 2 2" xfId="38962"/>
    <cellStyle name="표준 7 13 2 2 7 3" xfId="38963"/>
    <cellStyle name="표준 7 13 2 2 7 2 2" xfId="38964"/>
    <cellStyle name="표준 7 13 2 2 8 2" xfId="38965"/>
    <cellStyle name="표준 7 13 2 2 9 2" xfId="38966"/>
    <cellStyle name="표준 7 13 2 3 2 2 2 2 2" xfId="38967"/>
    <cellStyle name="표준 7 13 2 3 2 2 3 3" xfId="38968"/>
    <cellStyle name="표준 7 13 2 3 2 2 3 2 2" xfId="38969"/>
    <cellStyle name="표준 7 13 2 3 2 2 4 2" xfId="38970"/>
    <cellStyle name="표준 7 13 2 3 2 2 5 2" xfId="38971"/>
    <cellStyle name="표준 7 13 2 3 2 3 2 2 2" xfId="38972"/>
    <cellStyle name="표준 7 13 2 3 2 3 3 3" xfId="38973"/>
    <cellStyle name="표준 7 13 2 3 2 3 3 2 2" xfId="38974"/>
    <cellStyle name="표준 7 13 2 3 2 3 4 2" xfId="38975"/>
    <cellStyle name="표준 7 13 2 3 2 3 5 2" xfId="38976"/>
    <cellStyle name="표준 7 13 2 3 2 4 2 2" xfId="38977"/>
    <cellStyle name="표준 7 13 2 3 2 5 3" xfId="38978"/>
    <cellStyle name="표준 7 13 2 3 2 5 2 2" xfId="38979"/>
    <cellStyle name="표준 7 13 2 3 2 6 2" xfId="38980"/>
    <cellStyle name="표준 7 13 2 3 2 7 2" xfId="38981"/>
    <cellStyle name="표준 7 13 2 3 3 2 2 2" xfId="38982"/>
    <cellStyle name="표준 7 13 2 3 3 3 3" xfId="38983"/>
    <cellStyle name="표준 7 13 2 3 3 3 2 2" xfId="38984"/>
    <cellStyle name="표준 7 13 2 3 3 4 2" xfId="38985"/>
    <cellStyle name="표준 7 13 2 3 3 5 2" xfId="38986"/>
    <cellStyle name="표준 7 13 2 3 4 2 2 2" xfId="38987"/>
    <cellStyle name="표준 7 13 2 3 4 3 3" xfId="38988"/>
    <cellStyle name="표준 7 13 2 3 4 3 2 2" xfId="38989"/>
    <cellStyle name="표준 7 13 2 3 4 4 2" xfId="38990"/>
    <cellStyle name="표준 7 13 2 3 4 5 2" xfId="38991"/>
    <cellStyle name="표준 7 13 2 3 5 2 2" xfId="38992"/>
    <cellStyle name="표준 7 13 2 3 6 3" xfId="38993"/>
    <cellStyle name="표준 7 13 2 3 6 2 2" xfId="38994"/>
    <cellStyle name="표준 7 13 2 3 7 2" xfId="38995"/>
    <cellStyle name="표준 7 13 2 3 8 2" xfId="38996"/>
    <cellStyle name="표준 7 13 2 4 2 2 2 2" xfId="38997"/>
    <cellStyle name="표준 7 13 2 4 2 3 3" xfId="38998"/>
    <cellStyle name="표준 7 13 2 4 2 3 2 2" xfId="38999"/>
    <cellStyle name="표준 7 13 2 4 2 4 2" xfId="39000"/>
    <cellStyle name="표준 7 13 2 4 2 5 2" xfId="39001"/>
    <cellStyle name="표준 7 13 2 4 3 2 2 2" xfId="39002"/>
    <cellStyle name="표준 7 13 2 4 3 3 3" xfId="39003"/>
    <cellStyle name="표준 7 13 2 4 3 3 2 2" xfId="39004"/>
    <cellStyle name="표준 7 13 2 4 3 4 2" xfId="39005"/>
    <cellStyle name="표준 7 13 2 4 3 5 2" xfId="39006"/>
    <cellStyle name="표준 7 13 2 4 4 2 2" xfId="39007"/>
    <cellStyle name="표준 7 13 2 4 5 3" xfId="39008"/>
    <cellStyle name="표준 7 13 2 4 5 2 2" xfId="39009"/>
    <cellStyle name="표준 7 13 2 4 6 2" xfId="39010"/>
    <cellStyle name="표준 7 13 2 4 7 2" xfId="39011"/>
    <cellStyle name="표준 7 13 2 5 2 2 2" xfId="39012"/>
    <cellStyle name="표준 7 13 2 5 3 3" xfId="39013"/>
    <cellStyle name="표준 7 13 2 5 3 2 2" xfId="39014"/>
    <cellStyle name="표준 7 13 2 5 4 2" xfId="39015"/>
    <cellStyle name="표준 7 13 2 5 5 2" xfId="39016"/>
    <cellStyle name="표준 7 13 2 6 2 2 2" xfId="39017"/>
    <cellStyle name="표준 7 13 2 6 3 3" xfId="39018"/>
    <cellStyle name="표준 7 13 2 6 3 2 2" xfId="39019"/>
    <cellStyle name="표준 7 13 2 6 4 2" xfId="39020"/>
    <cellStyle name="표준 7 13 2 6 5 2" xfId="39021"/>
    <cellStyle name="표준 7 13 2 7 2 2" xfId="39022"/>
    <cellStyle name="표준 7 13 2 8 3" xfId="39023"/>
    <cellStyle name="표준 7 13 2 8 2 2" xfId="39024"/>
    <cellStyle name="표준 7 13 2 9 2" xfId="39025"/>
    <cellStyle name="표준 7 13 3 10 2" xfId="39026"/>
    <cellStyle name="표준 7 13 3 2 2 2 2 2 2 2" xfId="39027"/>
    <cellStyle name="표준 7 13 3 2 2 2 2 3 3" xfId="39028"/>
    <cellStyle name="표준 7 13 3 2 2 2 2 3 2 2" xfId="39029"/>
    <cellStyle name="표준 7 13 3 2 2 2 2 4 2" xfId="39030"/>
    <cellStyle name="표준 7 13 3 2 2 2 2 5 2" xfId="39031"/>
    <cellStyle name="표준 7 13 3 2 2 2 3 2 2 2" xfId="39032"/>
    <cellStyle name="표준 7 13 3 2 2 2 3 3 3" xfId="39033"/>
    <cellStyle name="표준 7 13 3 2 2 2 3 3 2 2" xfId="39034"/>
    <cellStyle name="표준 7 13 3 2 2 2 3 4 2" xfId="39035"/>
    <cellStyle name="표준 7 13 3 2 2 2 3 5 2" xfId="39036"/>
    <cellStyle name="표준 7 13 3 2 2 2 4 2 2" xfId="39037"/>
    <cellStyle name="표준 7 13 3 2 2 2 5 3" xfId="39038"/>
    <cellStyle name="표준 7 13 3 2 2 2 5 2 2" xfId="39039"/>
    <cellStyle name="표준 7 13 3 2 2 2 6 2" xfId="39040"/>
    <cellStyle name="표준 7 13 3 2 2 2 7 2" xfId="39041"/>
    <cellStyle name="표준 7 13 3 2 2 3 2 2 2" xfId="39042"/>
    <cellStyle name="표준 7 13 3 2 2 3 3 3" xfId="39043"/>
    <cellStyle name="표준 7 13 3 2 2 3 3 2 2" xfId="39044"/>
    <cellStyle name="표준 7 13 3 2 2 3 4 2" xfId="39045"/>
    <cellStyle name="표준 7 13 3 2 2 3 5 2" xfId="39046"/>
    <cellStyle name="표준 7 13 3 2 2 4 2 2 2" xfId="39047"/>
    <cellStyle name="표준 7 13 3 2 2 4 3 3" xfId="39048"/>
    <cellStyle name="표준 7 13 3 2 2 4 3 2 2" xfId="39049"/>
    <cellStyle name="표준 7 13 3 2 2 4 4 2" xfId="39050"/>
    <cellStyle name="표준 7 13 3 2 2 4 5 2" xfId="39051"/>
    <cellStyle name="표준 7 13 3 2 2 5 2 2" xfId="39052"/>
    <cellStyle name="표준 7 13 3 2 2 6 3" xfId="39053"/>
    <cellStyle name="표준 7 13 3 2 2 6 2 2" xfId="39054"/>
    <cellStyle name="표준 7 13 3 2 2 7 2" xfId="39055"/>
    <cellStyle name="표준 7 13 3 2 2 8 2" xfId="39056"/>
    <cellStyle name="표준 7 13 3 2 3 2 2 2 2" xfId="39057"/>
    <cellStyle name="표준 7 13 3 2 3 2 3 3" xfId="39058"/>
    <cellStyle name="표준 7 13 3 2 3 2 3 2 2" xfId="39059"/>
    <cellStyle name="표준 7 13 3 2 3 2 4 2" xfId="39060"/>
    <cellStyle name="표준 7 13 3 2 3 2 5 2" xfId="39061"/>
    <cellStyle name="표준 7 13 3 2 3 3 2 2 2" xfId="39062"/>
    <cellStyle name="표준 7 13 3 2 3 3 3 3" xfId="39063"/>
    <cellStyle name="표준 7 13 3 2 3 3 3 2 2" xfId="39064"/>
    <cellStyle name="표준 7 13 3 2 3 3 4 2" xfId="39065"/>
    <cellStyle name="표준 7 13 3 2 3 3 5 2" xfId="39066"/>
    <cellStyle name="표준 7 13 3 2 3 4 2 2" xfId="39067"/>
    <cellStyle name="표준 7 13 3 2 3 5 3" xfId="39068"/>
    <cellStyle name="표준 7 13 3 2 3 5 2 2" xfId="39069"/>
    <cellStyle name="표준 7 13 3 2 3 6 2" xfId="39070"/>
    <cellStyle name="표준 7 13 3 2 3 7 2" xfId="39071"/>
    <cellStyle name="표준 7 13 3 2 4 2 2 2" xfId="39072"/>
    <cellStyle name="표준 7 13 3 2 4 3 3" xfId="39073"/>
    <cellStyle name="표준 7 13 3 2 4 3 2 2" xfId="39074"/>
    <cellStyle name="표준 7 13 3 2 4 4 2" xfId="39075"/>
    <cellStyle name="표준 7 13 3 2 4 5 2" xfId="39076"/>
    <cellStyle name="표준 7 13 3 2 5 2 2 2" xfId="39077"/>
    <cellStyle name="표준 7 13 3 2 5 3 3" xfId="39078"/>
    <cellStyle name="표준 7 13 3 2 5 3 2 2" xfId="39079"/>
    <cellStyle name="표준 7 13 3 2 5 4 2" xfId="39080"/>
    <cellStyle name="표준 7 13 3 2 5 5 2" xfId="39081"/>
    <cellStyle name="표준 7 13 3 2 6 2 2" xfId="39082"/>
    <cellStyle name="표준 7 13 3 2 7 3" xfId="39083"/>
    <cellStyle name="표준 7 13 3 2 7 2 2" xfId="39084"/>
    <cellStyle name="표준 7 13 3 2 8 2" xfId="39085"/>
    <cellStyle name="표준 7 13 3 2 9 2" xfId="39086"/>
    <cellStyle name="표준 7 13 3 3 2 2 2 2 2" xfId="39087"/>
    <cellStyle name="표준 7 13 3 3 2 2 3 3" xfId="39088"/>
    <cellStyle name="표준 7 13 3 3 2 2 3 2 2" xfId="39089"/>
    <cellStyle name="표준 7 13 3 3 2 2 4 2" xfId="39090"/>
    <cellStyle name="표준 7 13 3 3 2 2 5 2" xfId="39091"/>
    <cellStyle name="표준 7 13 3 3 2 3 2 2 2" xfId="39092"/>
    <cellStyle name="표준 7 13 3 3 2 3 3 3" xfId="39093"/>
    <cellStyle name="표준 7 13 3 3 2 3 3 2 2" xfId="39094"/>
    <cellStyle name="표준 7 13 3 3 2 3 4 2" xfId="39095"/>
    <cellStyle name="표준 7 13 3 3 2 3 5 2" xfId="39096"/>
    <cellStyle name="표준 7 13 3 3 2 4 2 2" xfId="39097"/>
    <cellStyle name="표준 7 13 3 3 2 5 3" xfId="39098"/>
    <cellStyle name="표준 7 13 3 3 2 5 2 2" xfId="39099"/>
    <cellStyle name="표준 7 13 3 3 2 6 2" xfId="39100"/>
    <cellStyle name="표준 7 13 3 3 2 7 2" xfId="39101"/>
    <cellStyle name="표준 7 13 3 3 3 2 2 2" xfId="39102"/>
    <cellStyle name="표준 7 13 3 3 3 3 3" xfId="39103"/>
    <cellStyle name="표준 7 13 3 3 3 3 2 2" xfId="39104"/>
    <cellStyle name="표준 7 13 3 3 3 4 2" xfId="39105"/>
    <cellStyle name="표준 7 13 3 3 3 5 2" xfId="39106"/>
    <cellStyle name="표준 7 13 3 3 4 2 2 2" xfId="39107"/>
    <cellStyle name="표준 7 13 3 3 4 3 3" xfId="39108"/>
    <cellStyle name="표준 7 13 3 3 4 3 2 2" xfId="39109"/>
    <cellStyle name="표준 7 13 3 3 4 4 2" xfId="39110"/>
    <cellStyle name="표준 7 13 3 3 4 5 2" xfId="39111"/>
    <cellStyle name="표준 7 13 3 3 5 2 2" xfId="39112"/>
    <cellStyle name="표준 7 13 3 3 6 3" xfId="39113"/>
    <cellStyle name="표준 7 13 3 3 6 2 2" xfId="39114"/>
    <cellStyle name="표준 7 13 3 3 7 2" xfId="39115"/>
    <cellStyle name="표준 7 13 3 3 8 2" xfId="39116"/>
    <cellStyle name="표준 7 13 3 4 2 2 2 2" xfId="39117"/>
    <cellStyle name="표준 7 13 3 4 2 3 3" xfId="39118"/>
    <cellStyle name="표준 7 13 3 4 2 3 2 2" xfId="39119"/>
    <cellStyle name="표준 7 13 3 4 2 4 2" xfId="39120"/>
    <cellStyle name="표준 7 13 3 4 2 5 2" xfId="39121"/>
    <cellStyle name="표준 7 13 3 4 3 2 2 2" xfId="39122"/>
    <cellStyle name="표준 7 13 3 4 3 3 3" xfId="39123"/>
    <cellStyle name="표준 7 13 3 4 3 3 2 2" xfId="39124"/>
    <cellStyle name="표준 7 13 3 4 3 4 2" xfId="39125"/>
    <cellStyle name="표준 7 13 3 4 3 5 2" xfId="39126"/>
    <cellStyle name="표준 7 13 3 4 4 2 2" xfId="39127"/>
    <cellStyle name="표준 7 13 3 4 5 3" xfId="39128"/>
    <cellStyle name="표준 7 13 3 4 5 2 2" xfId="39129"/>
    <cellStyle name="표준 7 13 3 4 6 2" xfId="39130"/>
    <cellStyle name="표준 7 13 3 4 7 2" xfId="39131"/>
    <cellStyle name="표준 7 13 3 5 2 2 2" xfId="39132"/>
    <cellStyle name="표준 7 13 3 5 3 3" xfId="39133"/>
    <cellStyle name="표준 7 13 3 5 3 2 2" xfId="39134"/>
    <cellStyle name="표준 7 13 3 5 4 2" xfId="39135"/>
    <cellStyle name="표준 7 13 3 5 5 2" xfId="39136"/>
    <cellStyle name="표준 7 13 3 6 2 2 2" xfId="39137"/>
    <cellStyle name="표준 7 13 3 6 3 3" xfId="39138"/>
    <cellStyle name="표준 7 13 3 6 3 2 2" xfId="39139"/>
    <cellStyle name="표준 7 13 3 6 4 2" xfId="39140"/>
    <cellStyle name="표준 7 13 3 6 5 2" xfId="39141"/>
    <cellStyle name="표준 7 13 3 7 2 2" xfId="39142"/>
    <cellStyle name="표준 7 13 3 8 3" xfId="39143"/>
    <cellStyle name="표준 7 13 3 8 2 2" xfId="39144"/>
    <cellStyle name="표준 7 13 3 9 2" xfId="39145"/>
    <cellStyle name="표준 7 13 4 10 2" xfId="39146"/>
    <cellStyle name="표준 7 13 4 2 2 2 2 2 2 2" xfId="39147"/>
    <cellStyle name="표준 7 13 4 2 2 2 2 3 3" xfId="39148"/>
    <cellStyle name="표준 7 13 4 2 2 2 2 3 2 2" xfId="39149"/>
    <cellStyle name="표준 7 13 4 2 2 2 2 4 2" xfId="39150"/>
    <cellStyle name="표준 7 13 4 2 2 2 2 5 2" xfId="39151"/>
    <cellStyle name="표준 7 13 4 2 2 2 3 2 2 2" xfId="39152"/>
    <cellStyle name="표준 7 13 4 2 2 2 3 3 3" xfId="39153"/>
    <cellStyle name="표준 7 13 4 2 2 2 3 3 2 2" xfId="39154"/>
    <cellStyle name="표준 7 13 4 2 2 2 3 4 2" xfId="39155"/>
    <cellStyle name="표준 7 13 4 2 2 2 3 5 2" xfId="39156"/>
    <cellStyle name="표준 7 13 4 2 2 2 4 2 2" xfId="39157"/>
    <cellStyle name="표준 7 13 4 2 2 2 5 3" xfId="39158"/>
    <cellStyle name="표준 7 13 4 2 2 2 5 2 2" xfId="39159"/>
    <cellStyle name="표준 7 13 4 2 2 2 6 2" xfId="39160"/>
    <cellStyle name="표준 7 13 4 2 2 2 7 2" xfId="39161"/>
    <cellStyle name="표준 7 13 4 2 2 3 2 2 2" xfId="39162"/>
    <cellStyle name="표준 7 13 4 2 2 3 3 3" xfId="39163"/>
    <cellStyle name="표준 7 13 4 2 2 3 3 2 2" xfId="39164"/>
    <cellStyle name="표준 7 13 4 2 2 3 4 2" xfId="39165"/>
    <cellStyle name="표준 7 13 4 2 2 3 5 2" xfId="39166"/>
    <cellStyle name="표준 7 13 4 2 2 4 2 2 2" xfId="39167"/>
    <cellStyle name="표준 7 13 4 2 2 4 3 3" xfId="39168"/>
    <cellStyle name="표준 7 13 4 2 2 4 3 2 2" xfId="39169"/>
    <cellStyle name="표준 7 13 4 2 2 4 4 2" xfId="39170"/>
    <cellStyle name="표준 7 13 4 2 2 4 5 2" xfId="39171"/>
    <cellStyle name="표준 7 13 4 2 2 5 2 2" xfId="39172"/>
    <cellStyle name="표준 7 13 4 2 2 6 3" xfId="39173"/>
    <cellStyle name="표준 7 13 4 2 2 6 2 2" xfId="39174"/>
    <cellStyle name="표준 7 13 4 2 2 7 2" xfId="39175"/>
    <cellStyle name="표준 7 13 4 2 2 8 2" xfId="39176"/>
    <cellStyle name="표준 7 13 4 2 3 2 2 2 2" xfId="39177"/>
    <cellStyle name="표준 7 13 4 2 3 2 3 3" xfId="39178"/>
    <cellStyle name="표준 7 13 4 2 3 2 3 2 2" xfId="39179"/>
    <cellStyle name="표준 7 13 4 2 3 2 4 2" xfId="39180"/>
    <cellStyle name="표준 7 13 4 2 3 2 5 2" xfId="39181"/>
    <cellStyle name="표준 7 13 4 2 3 3 2 2 2" xfId="39182"/>
    <cellStyle name="표준 7 13 4 2 3 3 3 3" xfId="39183"/>
    <cellStyle name="표준 7 13 4 2 3 3 3 2 2" xfId="39184"/>
    <cellStyle name="표준 7 13 4 2 3 3 4 2" xfId="39185"/>
    <cellStyle name="표준 7 13 4 2 3 3 5 2" xfId="39186"/>
    <cellStyle name="표준 7 13 4 2 3 4 2 2" xfId="39187"/>
    <cellStyle name="표준 7 13 4 2 3 5 3" xfId="39188"/>
    <cellStyle name="표준 7 13 4 2 3 5 2 2" xfId="39189"/>
    <cellStyle name="표준 7 13 4 2 3 6 2" xfId="39190"/>
    <cellStyle name="표준 7 13 4 2 3 7 2" xfId="39191"/>
    <cellStyle name="표준 7 13 4 2 4 2 2 2" xfId="39192"/>
    <cellStyle name="표준 7 13 4 2 4 3 3" xfId="39193"/>
    <cellStyle name="표준 7 13 4 2 4 3 2 2" xfId="39194"/>
    <cellStyle name="표준 7 13 4 2 4 4 2" xfId="39195"/>
    <cellStyle name="표준 7 13 4 2 4 5 2" xfId="39196"/>
    <cellStyle name="표준 7 13 4 2 5 2 2 2" xfId="39197"/>
    <cellStyle name="표준 7 13 4 2 5 3 3" xfId="39198"/>
    <cellStyle name="표준 7 13 4 2 5 3 2 2" xfId="39199"/>
    <cellStyle name="표준 7 13 4 2 5 4 2" xfId="39200"/>
    <cellStyle name="표준 7 13 4 2 5 5 2" xfId="39201"/>
    <cellStyle name="표준 7 13 4 2 6 2 2" xfId="39202"/>
    <cellStyle name="표준 7 13 4 2 7 3" xfId="39203"/>
    <cellStyle name="표준 7 13 4 2 7 2 2" xfId="39204"/>
    <cellStyle name="표준 7 13 4 2 8 2" xfId="39205"/>
    <cellStyle name="표준 7 13 4 2 9 2" xfId="39206"/>
    <cellStyle name="표준 7 13 4 3 2 2 2 2 2" xfId="39207"/>
    <cellStyle name="표준 7 13 4 3 2 2 3 3" xfId="39208"/>
    <cellStyle name="표준 7 13 4 3 2 2 3 2 2" xfId="39209"/>
    <cellStyle name="표준 7 13 4 3 2 2 4 2" xfId="39210"/>
    <cellStyle name="표준 7 13 4 3 2 2 5 2" xfId="39211"/>
    <cellStyle name="표준 7 13 4 3 2 3 2 2 2" xfId="39212"/>
    <cellStyle name="표준 7 13 4 3 2 3 3 3" xfId="39213"/>
    <cellStyle name="표준 7 13 4 3 2 3 3 2 2" xfId="39214"/>
    <cellStyle name="표준 7 13 4 3 2 3 4 2" xfId="39215"/>
    <cellStyle name="표준 7 13 4 3 2 3 5 2" xfId="39216"/>
    <cellStyle name="표준 7 13 4 3 2 4 2 2" xfId="39217"/>
    <cellStyle name="표준 7 13 4 3 2 5 3" xfId="39218"/>
    <cellStyle name="표준 7 13 4 3 2 5 2 2" xfId="39219"/>
    <cellStyle name="표준 7 13 4 3 2 6 2" xfId="39220"/>
    <cellStyle name="표준 7 13 4 3 2 7 2" xfId="39221"/>
    <cellStyle name="표준 7 13 4 3 3 2 2 2" xfId="39222"/>
    <cellStyle name="표준 7 13 4 3 3 3 3" xfId="39223"/>
    <cellStyle name="표준 7 13 4 3 3 3 2 2" xfId="39224"/>
    <cellStyle name="표준 7 13 4 3 3 4 2" xfId="39225"/>
    <cellStyle name="표준 7 13 4 3 3 5 2" xfId="39226"/>
    <cellStyle name="표준 7 13 4 3 4 2 2 2" xfId="39227"/>
    <cellStyle name="표준 7 13 4 3 4 3 3" xfId="39228"/>
    <cellStyle name="표준 7 13 4 3 4 3 2 2" xfId="39229"/>
    <cellStyle name="표준 7 13 4 3 4 4 2" xfId="39230"/>
    <cellStyle name="표준 7 13 4 3 4 5 2" xfId="39231"/>
    <cellStyle name="표준 7 13 4 3 5 2 2" xfId="39232"/>
    <cellStyle name="표준 7 13 4 3 6 3" xfId="39233"/>
    <cellStyle name="표준 7 13 4 3 6 2 2" xfId="39234"/>
    <cellStyle name="표준 7 13 4 3 7 2" xfId="39235"/>
    <cellStyle name="표준 7 13 4 3 8 2" xfId="39236"/>
    <cellStyle name="표준 7 13 4 4 2 2 2 2" xfId="39237"/>
    <cellStyle name="표준 7 13 4 4 2 3 3" xfId="39238"/>
    <cellStyle name="표준 7 13 4 4 2 3 2 2" xfId="39239"/>
    <cellStyle name="표준 7 13 4 4 2 4 2" xfId="39240"/>
    <cellStyle name="표준 7 13 4 4 2 5 2" xfId="39241"/>
    <cellStyle name="표준 7 13 4 4 3 2 2 2" xfId="39242"/>
    <cellStyle name="표준 7 13 4 4 3 3 3" xfId="39243"/>
    <cellStyle name="표준 7 13 4 4 3 3 2 2" xfId="39244"/>
    <cellStyle name="표준 7 13 4 4 3 4 2" xfId="39245"/>
    <cellStyle name="표준 7 13 4 4 3 5 2" xfId="39246"/>
    <cellStyle name="표준 7 13 4 4 4 2 2" xfId="39247"/>
    <cellStyle name="표준 7 13 4 4 5 3" xfId="39248"/>
    <cellStyle name="표준 7 13 4 4 5 2 2" xfId="39249"/>
    <cellStyle name="표준 7 13 4 4 6 2" xfId="39250"/>
    <cellStyle name="표준 7 13 4 4 7 2" xfId="39251"/>
    <cellStyle name="표준 7 13 4 5 2 2 2" xfId="39252"/>
    <cellStyle name="표준 7 13 4 5 3 3" xfId="39253"/>
    <cellStyle name="표준 7 13 4 5 3 2 2" xfId="39254"/>
    <cellStyle name="표준 7 13 4 5 4 2" xfId="39255"/>
    <cellStyle name="표준 7 13 4 5 5 2" xfId="39256"/>
    <cellStyle name="표준 7 13 4 6 2 2 2" xfId="39257"/>
    <cellStyle name="표준 7 13 4 6 3 3" xfId="39258"/>
    <cellStyle name="표준 7 13 4 6 3 2 2" xfId="39259"/>
    <cellStyle name="표준 7 13 4 6 4 2" xfId="39260"/>
    <cellStyle name="표준 7 13 4 6 5 2" xfId="39261"/>
    <cellStyle name="표준 7 13 4 7 2 2" xfId="39262"/>
    <cellStyle name="표준 7 13 4 8 3" xfId="39263"/>
    <cellStyle name="표준 7 13 4 8 2 2" xfId="39264"/>
    <cellStyle name="표준 7 13 4 9 2" xfId="39265"/>
    <cellStyle name="표준 7 13 5 2 2 2 2 2 2" xfId="39266"/>
    <cellStyle name="표준 7 13 5 2 2 2 3 3" xfId="39267"/>
    <cellStyle name="표준 7 13 5 2 2 2 3 2 2" xfId="39268"/>
    <cellStyle name="표준 7 13 5 2 2 2 4 2" xfId="39269"/>
    <cellStyle name="표준 7 13 5 2 2 2 5 2" xfId="39270"/>
    <cellStyle name="표준 7 13 5 2 2 3 2 2 2" xfId="39271"/>
    <cellStyle name="표준 7 13 5 2 2 3 3 3" xfId="39272"/>
    <cellStyle name="표준 7 13 5 2 2 3 3 2 2" xfId="39273"/>
    <cellStyle name="표준 7 13 5 2 2 3 4 2" xfId="39274"/>
    <cellStyle name="표준 7 13 5 2 2 3 5 2" xfId="39275"/>
    <cellStyle name="표준 7 13 5 2 2 4 2 2" xfId="39276"/>
    <cellStyle name="표준 7 13 5 2 2 5 3" xfId="39277"/>
    <cellStyle name="표준 7 13 5 2 2 5 2 2" xfId="39278"/>
    <cellStyle name="표준 7 13 5 2 2 6 2" xfId="39279"/>
    <cellStyle name="표준 7 13 5 2 2 7 2" xfId="39280"/>
    <cellStyle name="표준 7 13 5 2 3 2 2 2" xfId="39281"/>
    <cellStyle name="표준 7 13 5 2 3 3 3" xfId="39282"/>
    <cellStyle name="표준 7 13 5 2 3 3 2 2" xfId="39283"/>
    <cellStyle name="표준 7 13 5 2 3 4 2" xfId="39284"/>
    <cellStyle name="표준 7 13 5 2 3 5 2" xfId="39285"/>
    <cellStyle name="표준 7 13 5 2 4 2 2 2" xfId="39286"/>
    <cellStyle name="표준 7 13 5 2 4 3 3" xfId="39287"/>
    <cellStyle name="표준 7 13 5 2 4 3 2 2" xfId="39288"/>
    <cellStyle name="표준 7 13 5 2 4 4 2" xfId="39289"/>
    <cellStyle name="표준 7 13 5 2 4 5 2" xfId="39290"/>
    <cellStyle name="표준 7 13 5 2 5 2 2" xfId="39291"/>
    <cellStyle name="표준 7 13 5 2 6 3" xfId="39292"/>
    <cellStyle name="표준 7 13 5 2 6 2 2" xfId="39293"/>
    <cellStyle name="표준 7 13 5 2 7 2" xfId="39294"/>
    <cellStyle name="표준 7 13 5 2 8 2" xfId="39295"/>
    <cellStyle name="표준 7 13 5 3 2 2 2 2" xfId="39296"/>
    <cellStyle name="표준 7 13 5 3 2 3 3" xfId="39297"/>
    <cellStyle name="표준 7 13 5 3 2 3 2 2" xfId="39298"/>
    <cellStyle name="표준 7 13 5 3 2 4 2" xfId="39299"/>
    <cellStyle name="표준 7 13 5 3 2 5 2" xfId="39300"/>
    <cellStyle name="표준 7 13 5 3 3 2 2 2" xfId="39301"/>
    <cellStyle name="표준 7 13 5 3 3 3 3" xfId="39302"/>
    <cellStyle name="표준 7 13 5 3 3 3 2 2" xfId="39303"/>
    <cellStyle name="표준 7 13 5 3 3 4 2" xfId="39304"/>
    <cellStyle name="표준 7 13 5 3 3 5 2" xfId="39305"/>
    <cellStyle name="표준 7 13 5 3 4 2 2" xfId="39306"/>
    <cellStyle name="표준 7 13 5 3 5 3" xfId="39307"/>
    <cellStyle name="표준 7 13 5 3 5 2 2" xfId="39308"/>
    <cellStyle name="표준 7 13 5 3 6 2" xfId="39309"/>
    <cellStyle name="표준 7 13 5 3 7 2" xfId="39310"/>
    <cellStyle name="표준 7 13 5 4 2 2 2" xfId="39311"/>
    <cellStyle name="표준 7 13 5 4 3 3" xfId="39312"/>
    <cellStyle name="표준 7 13 5 4 3 2 2" xfId="39313"/>
    <cellStyle name="표준 7 13 5 4 4 2" xfId="39314"/>
    <cellStyle name="표준 7 13 5 4 5 2" xfId="39315"/>
    <cellStyle name="표준 7 13 5 5 2 2 2" xfId="39316"/>
    <cellStyle name="표준 7 13 5 5 3 3" xfId="39317"/>
    <cellStyle name="표준 7 13 5 5 3 2 2" xfId="39318"/>
    <cellStyle name="표준 7 13 5 5 4 2" xfId="39319"/>
    <cellStyle name="표준 7 13 5 5 5 2" xfId="39320"/>
    <cellStyle name="표준 7 13 5 6 2 2" xfId="39321"/>
    <cellStyle name="표준 7 13 5 7 3" xfId="39322"/>
    <cellStyle name="표준 7 13 5 7 2 2" xfId="39323"/>
    <cellStyle name="표준 7 13 5 8 2" xfId="39324"/>
    <cellStyle name="표준 7 13 5 9 2" xfId="39325"/>
    <cellStyle name="표준 7 13 6 2 2 2 2 2" xfId="39326"/>
    <cellStyle name="표준 7 13 6 2 2 3 3" xfId="39327"/>
    <cellStyle name="표준 7 13 6 2 2 3 2 2" xfId="39328"/>
    <cellStyle name="표준 7 13 6 2 2 4 2" xfId="39329"/>
    <cellStyle name="표준 7 13 6 2 2 5 2" xfId="39330"/>
    <cellStyle name="표준 7 13 6 2 3 2 2 2" xfId="39331"/>
    <cellStyle name="표준 7 13 6 2 3 3 3" xfId="39332"/>
    <cellStyle name="표준 7 13 6 2 3 3 2 2" xfId="39333"/>
    <cellStyle name="표준 7 13 6 2 3 4 2" xfId="39334"/>
    <cellStyle name="표준 7 13 6 2 3 5 2" xfId="39335"/>
    <cellStyle name="표준 7 13 6 2 4 2 2" xfId="39336"/>
    <cellStyle name="표준 7 13 6 2 5 3" xfId="39337"/>
    <cellStyle name="표준 7 13 6 2 5 2 2" xfId="39338"/>
    <cellStyle name="표준 7 13 6 2 6 2" xfId="39339"/>
    <cellStyle name="표준 7 13 6 2 7 2" xfId="39340"/>
    <cellStyle name="표준 7 13 6 3 2 2 2" xfId="39341"/>
    <cellStyle name="표준 7 13 6 3 3 3" xfId="39342"/>
    <cellStyle name="표준 7 13 6 3 3 2 2" xfId="39343"/>
    <cellStyle name="표준 7 13 6 3 4 2" xfId="39344"/>
    <cellStyle name="표준 7 13 6 3 5 2" xfId="39345"/>
    <cellStyle name="표준 7 13 6 4 2 2 2" xfId="39346"/>
    <cellStyle name="표준 7 13 6 4 3 3" xfId="39347"/>
    <cellStyle name="표준 7 13 6 4 3 2 2" xfId="39348"/>
    <cellStyle name="표준 7 13 6 4 4 2" xfId="39349"/>
    <cellStyle name="표준 7 13 6 4 5 2" xfId="39350"/>
    <cellStyle name="표준 7 13 6 5 2 2" xfId="39351"/>
    <cellStyle name="표준 7 13 6 6 3" xfId="39352"/>
    <cellStyle name="표준 7 13 6 6 2 2" xfId="39353"/>
    <cellStyle name="표준 7 13 6 7 2" xfId="39354"/>
    <cellStyle name="표준 7 13 6 8 2" xfId="39355"/>
    <cellStyle name="표준 7 13 7 2 2 2 2" xfId="39356"/>
    <cellStyle name="표준 7 13 7 2 3 3" xfId="39357"/>
    <cellStyle name="표준 7 13 7 2 3 2 2" xfId="39358"/>
    <cellStyle name="표준 7 13 7 2 4 2" xfId="39359"/>
    <cellStyle name="표준 7 13 7 2 5 2" xfId="39360"/>
    <cellStyle name="표준 7 13 7 3 2 2 2" xfId="39361"/>
    <cellStyle name="표준 7 13 7 3 3 3" xfId="39362"/>
    <cellStyle name="표준 7 13 7 3 3 2 2" xfId="39363"/>
    <cellStyle name="표준 7 13 7 3 4 2" xfId="39364"/>
    <cellStyle name="표준 7 13 7 3 5 2" xfId="39365"/>
    <cellStyle name="표준 7 13 7 4 2 2" xfId="39366"/>
    <cellStyle name="표준 7 13 7 5 3" xfId="39367"/>
    <cellStyle name="표준 7 13 7 5 2 2" xfId="39368"/>
    <cellStyle name="표준 7 13 7 6 2" xfId="39369"/>
    <cellStyle name="표준 7 13 7 7 2" xfId="39370"/>
    <cellStyle name="표준 7 13 8 2 2 2" xfId="39371"/>
    <cellStyle name="표준 7 13 8 3 3" xfId="39372"/>
    <cellStyle name="표준 7 13 8 3 2 2" xfId="39373"/>
    <cellStyle name="표준 7 13 8 4 2" xfId="39374"/>
    <cellStyle name="표준 7 13 8 5 2" xfId="39375"/>
    <cellStyle name="표준 7 13 9 2 2 2" xfId="39376"/>
    <cellStyle name="표준 7 13 9 3 3" xfId="39377"/>
    <cellStyle name="표준 7 13 9 3 2 2" xfId="39378"/>
    <cellStyle name="표준 7 13 9 4 2" xfId="39379"/>
    <cellStyle name="표준 7 13 9 5 2" xfId="39380"/>
    <cellStyle name="표준 7 14 10 2 2" xfId="39381"/>
    <cellStyle name="표준 7 14 11 3" xfId="39382"/>
    <cellStyle name="표준 7 14 11 2 2" xfId="39383"/>
    <cellStyle name="표준 7 14 12 2" xfId="39384"/>
    <cellStyle name="표준 7 14 13 2" xfId="39385"/>
    <cellStyle name="표준 7 14 2 10 2" xfId="39386"/>
    <cellStyle name="표준 7 14 2 2 2 2 2 2 2 2" xfId="39387"/>
    <cellStyle name="표준 7 14 2 2 2 2 2 3 3" xfId="39388"/>
    <cellStyle name="표준 7 14 2 2 2 2 2 3 2 2" xfId="39389"/>
    <cellStyle name="표준 7 14 2 2 2 2 2 4 2" xfId="39390"/>
    <cellStyle name="표준 7 14 2 2 2 2 2 5 2" xfId="39391"/>
    <cellStyle name="표준 7 14 2 2 2 2 3 2 2 2" xfId="39392"/>
    <cellStyle name="표준 7 14 2 2 2 2 3 3 3" xfId="39393"/>
    <cellStyle name="표준 7 14 2 2 2 2 3 3 2 2" xfId="39394"/>
    <cellStyle name="표준 7 14 2 2 2 2 3 4 2" xfId="39395"/>
    <cellStyle name="표준 7 14 2 2 2 2 3 5 2" xfId="39396"/>
    <cellStyle name="표준 7 14 2 2 2 2 4 2 2" xfId="39397"/>
    <cellStyle name="표준 7 14 2 2 2 2 5 3" xfId="39398"/>
    <cellStyle name="표준 7 14 2 2 2 2 5 2 2" xfId="39399"/>
    <cellStyle name="표준 7 14 2 2 2 2 6 2" xfId="39400"/>
    <cellStyle name="표준 7 14 2 2 2 2 7 2" xfId="39401"/>
    <cellStyle name="표준 7 14 2 2 2 3 2 2 2" xfId="39402"/>
    <cellStyle name="표준 7 14 2 2 2 3 3 3" xfId="39403"/>
    <cellStyle name="표준 7 14 2 2 2 3 3 2 2" xfId="39404"/>
    <cellStyle name="표준 7 14 2 2 2 3 4 2" xfId="39405"/>
    <cellStyle name="표준 7 14 2 2 2 3 5 2" xfId="39406"/>
    <cellStyle name="표준 7 14 2 2 2 4 2 2 2" xfId="39407"/>
    <cellStyle name="표준 7 14 2 2 2 4 3 3" xfId="39408"/>
    <cellStyle name="표준 7 14 2 2 2 4 3 2 2" xfId="39409"/>
    <cellStyle name="표준 7 14 2 2 2 4 4 2" xfId="39410"/>
    <cellStyle name="표준 7 14 2 2 2 4 5 2" xfId="39411"/>
    <cellStyle name="표준 7 14 2 2 2 5 2 2" xfId="39412"/>
    <cellStyle name="표준 7 14 2 2 2 6 3" xfId="39413"/>
    <cellStyle name="표준 7 14 2 2 2 6 2 2" xfId="39414"/>
    <cellStyle name="표준 7 14 2 2 2 7 2" xfId="39415"/>
    <cellStyle name="표준 7 14 2 2 2 8 2" xfId="39416"/>
    <cellStyle name="표준 7 14 2 2 3 2 2 2 2" xfId="39417"/>
    <cellStyle name="표준 7 14 2 2 3 2 3 3" xfId="39418"/>
    <cellStyle name="표준 7 14 2 2 3 2 3 2 2" xfId="39419"/>
    <cellStyle name="표준 7 14 2 2 3 2 4 2" xfId="39420"/>
    <cellStyle name="표준 7 14 2 2 3 2 5 2" xfId="39421"/>
    <cellStyle name="표준 7 14 2 2 3 3 2 2 2" xfId="39422"/>
    <cellStyle name="표준 7 14 2 2 3 3 3 3" xfId="39423"/>
    <cellStyle name="표준 7 14 2 2 3 3 3 2 2" xfId="39424"/>
    <cellStyle name="표준 7 14 2 2 3 3 4 2" xfId="39425"/>
    <cellStyle name="표준 7 14 2 2 3 3 5 2" xfId="39426"/>
    <cellStyle name="표준 7 14 2 2 3 4 2 2" xfId="39427"/>
    <cellStyle name="표준 7 14 2 2 3 5 3" xfId="39428"/>
    <cellStyle name="표준 7 14 2 2 3 5 2 2" xfId="39429"/>
    <cellStyle name="표준 7 14 2 2 3 6 2" xfId="39430"/>
    <cellStyle name="표준 7 14 2 2 3 7 2" xfId="39431"/>
    <cellStyle name="표준 7 14 2 2 4 2 2 2" xfId="39432"/>
    <cellStyle name="표준 7 14 2 2 4 3 3" xfId="39433"/>
    <cellStyle name="표준 7 14 2 2 4 3 2 2" xfId="39434"/>
    <cellStyle name="표준 7 14 2 2 4 4 2" xfId="39435"/>
    <cellStyle name="표준 7 14 2 2 4 5 2" xfId="39436"/>
    <cellStyle name="표준 7 14 2 2 5 2 2 2" xfId="39437"/>
    <cellStyle name="표준 7 14 2 2 5 3 3" xfId="39438"/>
    <cellStyle name="표준 7 14 2 2 5 3 2 2" xfId="39439"/>
    <cellStyle name="표준 7 14 2 2 5 4 2" xfId="39440"/>
    <cellStyle name="표준 7 14 2 2 5 5 2" xfId="39441"/>
    <cellStyle name="표준 7 14 2 2 6 2 2" xfId="39442"/>
    <cellStyle name="표준 7 14 2 2 7 3" xfId="39443"/>
    <cellStyle name="표준 7 14 2 2 7 2 2" xfId="39444"/>
    <cellStyle name="표준 7 14 2 2 8 2" xfId="39445"/>
    <cellStyle name="표준 7 14 2 2 9 2" xfId="39446"/>
    <cellStyle name="표준 7 14 2 3 2 2 2 2 2" xfId="39447"/>
    <cellStyle name="표준 7 14 2 3 2 2 3 3" xfId="39448"/>
    <cellStyle name="표준 7 14 2 3 2 2 3 2 2" xfId="39449"/>
    <cellStyle name="표준 7 14 2 3 2 2 4 2" xfId="39450"/>
    <cellStyle name="표준 7 14 2 3 2 2 5 2" xfId="39451"/>
    <cellStyle name="표준 7 14 2 3 2 3 2 2 2" xfId="39452"/>
    <cellStyle name="표준 7 14 2 3 2 3 3 3" xfId="39453"/>
    <cellStyle name="표준 7 14 2 3 2 3 3 2 2" xfId="39454"/>
    <cellStyle name="표준 7 14 2 3 2 3 4 2" xfId="39455"/>
    <cellStyle name="표준 7 14 2 3 2 3 5 2" xfId="39456"/>
    <cellStyle name="표준 7 14 2 3 2 4 2 2" xfId="39457"/>
    <cellStyle name="표준 7 14 2 3 2 5 3" xfId="39458"/>
    <cellStyle name="표준 7 14 2 3 2 5 2 2" xfId="39459"/>
    <cellStyle name="표준 7 14 2 3 2 6 2" xfId="39460"/>
    <cellStyle name="표준 7 14 2 3 2 7 2" xfId="39461"/>
    <cellStyle name="표준 7 14 2 3 3 2 2 2" xfId="39462"/>
    <cellStyle name="표준 7 14 2 3 3 3 3" xfId="39463"/>
    <cellStyle name="표준 7 14 2 3 3 3 2 2" xfId="39464"/>
    <cellStyle name="표준 7 14 2 3 3 4 2" xfId="39465"/>
    <cellStyle name="표준 7 14 2 3 3 5 2" xfId="39466"/>
    <cellStyle name="표준 7 14 2 3 4 2 2 2" xfId="39467"/>
    <cellStyle name="표준 7 14 2 3 4 3 3" xfId="39468"/>
    <cellStyle name="표준 7 14 2 3 4 3 2 2" xfId="39469"/>
    <cellStyle name="표준 7 14 2 3 4 4 2" xfId="39470"/>
    <cellStyle name="표준 7 14 2 3 4 5 2" xfId="39471"/>
    <cellStyle name="표준 7 14 2 3 5 2 2" xfId="39472"/>
    <cellStyle name="표준 7 14 2 3 6 3" xfId="39473"/>
    <cellStyle name="표준 7 14 2 3 6 2 2" xfId="39474"/>
    <cellStyle name="표준 7 14 2 3 7 2" xfId="39475"/>
    <cellStyle name="표준 7 14 2 3 8 2" xfId="39476"/>
    <cellStyle name="표준 7 14 2 4 2 2 2 2" xfId="39477"/>
    <cellStyle name="표준 7 14 2 4 2 3 3" xfId="39478"/>
    <cellStyle name="표준 7 14 2 4 2 3 2 2" xfId="39479"/>
    <cellStyle name="표준 7 14 2 4 2 4 2" xfId="39480"/>
    <cellStyle name="표준 7 14 2 4 2 5 2" xfId="39481"/>
    <cellStyle name="표준 7 14 2 4 3 2 2 2" xfId="39482"/>
    <cellStyle name="표준 7 14 2 4 3 3 3" xfId="39483"/>
    <cellStyle name="표준 7 14 2 4 3 3 2 2" xfId="39484"/>
    <cellStyle name="표준 7 14 2 4 3 4 2" xfId="39485"/>
    <cellStyle name="표준 7 14 2 4 3 5 2" xfId="39486"/>
    <cellStyle name="표준 7 14 2 4 4 2 2" xfId="39487"/>
    <cellStyle name="표준 7 14 2 4 5 3" xfId="39488"/>
    <cellStyle name="표준 7 14 2 4 5 2 2" xfId="39489"/>
    <cellStyle name="표준 7 14 2 4 6 2" xfId="39490"/>
    <cellStyle name="표준 7 14 2 4 7 2" xfId="39491"/>
    <cellStyle name="표준 7 14 2 5 2 2 2" xfId="39492"/>
    <cellStyle name="표준 7 14 2 5 3 3" xfId="39493"/>
    <cellStyle name="표준 7 14 2 5 3 2 2" xfId="39494"/>
    <cellStyle name="표준 7 14 2 5 4 2" xfId="39495"/>
    <cellStyle name="표준 7 14 2 5 5 2" xfId="39496"/>
    <cellStyle name="표준 7 14 2 6 2 2 2" xfId="39497"/>
    <cellStyle name="표준 7 14 2 6 3 3" xfId="39498"/>
    <cellStyle name="표준 7 14 2 6 3 2 2" xfId="39499"/>
    <cellStyle name="표준 7 14 2 6 4 2" xfId="39500"/>
    <cellStyle name="표준 7 14 2 6 5 2" xfId="39501"/>
    <cellStyle name="표준 7 14 2 7 2 2" xfId="39502"/>
    <cellStyle name="표준 7 14 2 8 3" xfId="39503"/>
    <cellStyle name="표준 7 14 2 8 2 2" xfId="39504"/>
    <cellStyle name="표준 7 14 2 9 2" xfId="39505"/>
    <cellStyle name="표준 7 14 3 10 2" xfId="39506"/>
    <cellStyle name="표준 7 14 3 2 2 2 2 2 2 2" xfId="39507"/>
    <cellStyle name="표준 7 14 3 2 2 2 2 3 3" xfId="39508"/>
    <cellStyle name="표준 7 14 3 2 2 2 2 3 2 2" xfId="39509"/>
    <cellStyle name="표준 7 14 3 2 2 2 2 4 2" xfId="39510"/>
    <cellStyle name="표준 7 14 3 2 2 2 2 5 2" xfId="39511"/>
    <cellStyle name="표준 7 14 3 2 2 2 3 2 2 2" xfId="39512"/>
    <cellStyle name="표준 7 14 3 2 2 2 3 3 3" xfId="39513"/>
    <cellStyle name="표준 7 14 3 2 2 2 3 3 2 2" xfId="39514"/>
    <cellStyle name="표준 7 14 3 2 2 2 3 4 2" xfId="39515"/>
    <cellStyle name="표준 7 14 3 2 2 2 3 5 2" xfId="39516"/>
    <cellStyle name="표준 7 14 3 2 2 2 4 2 2" xfId="39517"/>
    <cellStyle name="표준 7 14 3 2 2 2 5 3" xfId="39518"/>
    <cellStyle name="표준 7 14 3 2 2 2 5 2 2" xfId="39519"/>
    <cellStyle name="표준 7 14 3 2 2 2 6 2" xfId="39520"/>
    <cellStyle name="표준 7 14 3 2 2 2 7 2" xfId="39521"/>
    <cellStyle name="표준 7 14 3 2 2 3 2 2 2" xfId="39522"/>
    <cellStyle name="표준 7 14 3 2 2 3 3 3" xfId="39523"/>
    <cellStyle name="표준 7 14 3 2 2 3 3 2 2" xfId="39524"/>
    <cellStyle name="표준 7 14 3 2 2 3 4 2" xfId="39525"/>
    <cellStyle name="표준 7 14 3 2 2 3 5 2" xfId="39526"/>
    <cellStyle name="표준 7 14 3 2 2 4 2 2 2" xfId="39527"/>
    <cellStyle name="표준 7 14 3 2 2 4 3 3" xfId="39528"/>
    <cellStyle name="표준 7 14 3 2 2 4 3 2 2" xfId="39529"/>
    <cellStyle name="표준 7 14 3 2 2 4 4 2" xfId="39530"/>
    <cellStyle name="표준 7 14 3 2 2 4 5 2" xfId="39531"/>
    <cellStyle name="표준 7 14 3 2 2 5 2 2" xfId="39532"/>
    <cellStyle name="표준 7 14 3 2 2 6 3" xfId="39533"/>
    <cellStyle name="표준 7 14 3 2 2 6 2 2" xfId="39534"/>
    <cellStyle name="표준 7 14 3 2 2 7 2" xfId="39535"/>
    <cellStyle name="표준 7 14 3 2 2 8 2" xfId="39536"/>
    <cellStyle name="표준 7 14 3 2 3 2 2 2 2" xfId="39537"/>
    <cellStyle name="표준 7 14 3 2 3 2 3 3" xfId="39538"/>
    <cellStyle name="표준 7 14 3 2 3 2 3 2 2" xfId="39539"/>
    <cellStyle name="표준 7 14 3 2 3 2 4 2" xfId="39540"/>
    <cellStyle name="표준 7 14 3 2 3 2 5 2" xfId="39541"/>
    <cellStyle name="표준 7 14 3 2 3 3 2 2 2" xfId="39542"/>
    <cellStyle name="표준 7 14 3 2 3 3 3 3" xfId="39543"/>
    <cellStyle name="표준 7 14 3 2 3 3 3 2 2" xfId="39544"/>
    <cellStyle name="표준 7 14 3 2 3 3 4 2" xfId="39545"/>
    <cellStyle name="표준 7 14 3 2 3 3 5 2" xfId="39546"/>
    <cellStyle name="표준 7 14 3 2 3 4 2 2" xfId="39547"/>
    <cellStyle name="표준 7 14 3 2 3 5 3" xfId="39548"/>
    <cellStyle name="표준 7 14 3 2 3 5 2 2" xfId="39549"/>
    <cellStyle name="표준 7 14 3 2 3 6 2" xfId="39550"/>
    <cellStyle name="표준 7 14 3 2 3 7 2" xfId="39551"/>
    <cellStyle name="표준 7 14 3 2 4 2 2 2" xfId="39552"/>
    <cellStyle name="표준 7 14 3 2 4 3 3" xfId="39553"/>
    <cellStyle name="표준 7 14 3 2 4 3 2 2" xfId="39554"/>
    <cellStyle name="표준 7 14 3 2 4 4 2" xfId="39555"/>
    <cellStyle name="표준 7 14 3 2 4 5 2" xfId="39556"/>
    <cellStyle name="표준 7 14 3 2 5 2 2 2" xfId="39557"/>
    <cellStyle name="표준 7 14 3 2 5 3 3" xfId="39558"/>
    <cellStyle name="표준 7 14 3 2 5 3 2 2" xfId="39559"/>
    <cellStyle name="표준 7 14 3 2 5 4 2" xfId="39560"/>
    <cellStyle name="표준 7 14 3 2 5 5 2" xfId="39561"/>
    <cellStyle name="표준 7 14 3 2 6 2 2" xfId="39562"/>
    <cellStyle name="표준 7 14 3 2 7 3" xfId="39563"/>
    <cellStyle name="표준 7 14 3 2 7 2 2" xfId="39564"/>
    <cellStyle name="표준 7 14 3 2 8 2" xfId="39565"/>
    <cellStyle name="표준 7 14 3 2 9 2" xfId="39566"/>
    <cellStyle name="표준 7 14 3 3 2 2 2 2 2" xfId="39567"/>
    <cellStyle name="표준 7 14 3 3 2 2 3 3" xfId="39568"/>
    <cellStyle name="표준 7 14 3 3 2 2 3 2 2" xfId="39569"/>
    <cellStyle name="표준 7 14 3 3 2 2 4 2" xfId="39570"/>
    <cellStyle name="표준 7 14 3 3 2 2 5 2" xfId="39571"/>
    <cellStyle name="표준 7 14 3 3 2 3 2 2 2" xfId="39572"/>
    <cellStyle name="표준 7 14 3 3 2 3 3 3" xfId="39573"/>
    <cellStyle name="표준 7 14 3 3 2 3 3 2 2" xfId="39574"/>
    <cellStyle name="표준 7 14 3 3 2 3 4 2" xfId="39575"/>
    <cellStyle name="표준 7 14 3 3 2 3 5 2" xfId="39576"/>
    <cellStyle name="표준 7 14 3 3 2 4 2 2" xfId="39577"/>
    <cellStyle name="표준 7 14 3 3 2 5 3" xfId="39578"/>
    <cellStyle name="표준 7 14 3 3 2 5 2 2" xfId="39579"/>
    <cellStyle name="표준 7 14 3 3 2 6 2" xfId="39580"/>
    <cellStyle name="표준 7 14 3 3 2 7 2" xfId="39581"/>
    <cellStyle name="표준 7 14 3 3 3 2 2 2" xfId="39582"/>
    <cellStyle name="표준 7 14 3 3 3 3 3" xfId="39583"/>
    <cellStyle name="표준 7 14 3 3 3 3 2 2" xfId="39584"/>
    <cellStyle name="표준 7 14 3 3 3 4 2" xfId="39585"/>
    <cellStyle name="표준 7 14 3 3 3 5 2" xfId="39586"/>
    <cellStyle name="표준 7 14 3 3 4 2 2 2" xfId="39587"/>
    <cellStyle name="표준 7 14 3 3 4 3 3" xfId="39588"/>
    <cellStyle name="표준 7 14 3 3 4 3 2 2" xfId="39589"/>
    <cellStyle name="표준 7 14 3 3 4 4 2" xfId="39590"/>
    <cellStyle name="표준 7 14 3 3 4 5 2" xfId="39591"/>
    <cellStyle name="표준 7 14 3 3 5 2 2" xfId="39592"/>
    <cellStyle name="표준 7 14 3 3 6 3" xfId="39593"/>
    <cellStyle name="표준 7 14 3 3 6 2 2" xfId="39594"/>
    <cellStyle name="표준 7 14 3 3 7 2" xfId="39595"/>
    <cellStyle name="표준 7 14 3 3 8 2" xfId="39596"/>
    <cellStyle name="표준 7 14 3 4 2 2 2 2" xfId="39597"/>
    <cellStyle name="표준 7 14 3 4 2 3 3" xfId="39598"/>
    <cellStyle name="표준 7 14 3 4 2 3 2 2" xfId="39599"/>
    <cellStyle name="표준 7 14 3 4 2 4 2" xfId="39600"/>
    <cellStyle name="표준 7 14 3 4 2 5 2" xfId="39601"/>
    <cellStyle name="표준 7 14 3 4 3 2 2 2" xfId="39602"/>
    <cellStyle name="표준 7 14 3 4 3 3 3" xfId="39603"/>
    <cellStyle name="표준 7 14 3 4 3 3 2 2" xfId="39604"/>
    <cellStyle name="표준 7 14 3 4 3 4 2" xfId="39605"/>
    <cellStyle name="표준 7 14 3 4 3 5 2" xfId="39606"/>
    <cellStyle name="표준 7 14 3 4 4 2 2" xfId="39607"/>
    <cellStyle name="표준 7 14 3 4 5 3" xfId="39608"/>
    <cellStyle name="표준 7 14 3 4 5 2 2" xfId="39609"/>
    <cellStyle name="표준 7 14 3 4 6 2" xfId="39610"/>
    <cellStyle name="표준 7 14 3 4 7 2" xfId="39611"/>
    <cellStyle name="표준 7 14 3 5 2 2 2" xfId="39612"/>
    <cellStyle name="표준 7 14 3 5 3 3" xfId="39613"/>
    <cellStyle name="표준 7 14 3 5 3 2 2" xfId="39614"/>
    <cellStyle name="표준 7 14 3 5 4 2" xfId="39615"/>
    <cellStyle name="표준 7 14 3 5 5 2" xfId="39616"/>
    <cellStyle name="표준 7 14 3 6 2 2 2" xfId="39617"/>
    <cellStyle name="표준 7 14 3 6 3 3" xfId="39618"/>
    <cellStyle name="표준 7 14 3 6 3 2 2" xfId="39619"/>
    <cellStyle name="표준 7 14 3 6 4 2" xfId="39620"/>
    <cellStyle name="표준 7 14 3 6 5 2" xfId="39621"/>
    <cellStyle name="표준 7 14 3 7 2 2" xfId="39622"/>
    <cellStyle name="표준 7 14 3 8 3" xfId="39623"/>
    <cellStyle name="표준 7 14 3 8 2 2" xfId="39624"/>
    <cellStyle name="표준 7 14 3 9 2" xfId="39625"/>
    <cellStyle name="표준 7 14 4 10 2" xfId="39626"/>
    <cellStyle name="표준 7 14 4 2 2 2 2 2 2 2" xfId="39627"/>
    <cellStyle name="표준 7 14 4 2 2 2 2 3 3" xfId="39628"/>
    <cellStyle name="표준 7 14 4 2 2 2 2 3 2 2" xfId="39629"/>
    <cellStyle name="표준 7 14 4 2 2 2 2 4 2" xfId="39630"/>
    <cellStyle name="표준 7 14 4 2 2 2 2 5 2" xfId="39631"/>
    <cellStyle name="표준 7 14 4 2 2 2 3 2 2 2" xfId="39632"/>
    <cellStyle name="표준 7 14 4 2 2 2 3 3 3" xfId="39633"/>
    <cellStyle name="표준 7 14 4 2 2 2 3 3 2 2" xfId="39634"/>
    <cellStyle name="표준 7 14 4 2 2 2 3 4 2" xfId="39635"/>
    <cellStyle name="표준 7 14 4 2 2 2 3 5 2" xfId="39636"/>
    <cellStyle name="표준 7 14 4 2 2 2 4 2 2" xfId="39637"/>
    <cellStyle name="표준 7 14 4 2 2 2 5 3" xfId="39638"/>
    <cellStyle name="표준 7 14 4 2 2 2 5 2 2" xfId="39639"/>
    <cellStyle name="표준 7 14 4 2 2 2 6 2" xfId="39640"/>
    <cellStyle name="표준 7 14 4 2 2 2 7 2" xfId="39641"/>
    <cellStyle name="표준 7 14 4 2 2 3 2 2 2" xfId="39642"/>
    <cellStyle name="표준 7 14 4 2 2 3 3 3" xfId="39643"/>
    <cellStyle name="표준 7 14 4 2 2 3 3 2 2" xfId="39644"/>
    <cellStyle name="표준 7 14 4 2 2 3 4 2" xfId="39645"/>
    <cellStyle name="표준 7 14 4 2 2 3 5 2" xfId="39646"/>
    <cellStyle name="표준 7 14 4 2 2 4 2 2 2" xfId="39647"/>
    <cellStyle name="표준 7 14 4 2 2 4 3 3" xfId="39648"/>
    <cellStyle name="표준 7 14 4 2 2 4 3 2 2" xfId="39649"/>
    <cellStyle name="표준 7 14 4 2 2 4 4 2" xfId="39650"/>
    <cellStyle name="표준 7 14 4 2 2 4 5 2" xfId="39651"/>
    <cellStyle name="표준 7 14 4 2 2 5 2 2" xfId="39652"/>
    <cellStyle name="표준 7 14 4 2 2 6 3" xfId="39653"/>
    <cellStyle name="표준 7 14 4 2 2 6 2 2" xfId="39654"/>
    <cellStyle name="표준 7 14 4 2 2 7 2" xfId="39655"/>
    <cellStyle name="표준 7 14 4 2 2 8 2" xfId="39656"/>
    <cellStyle name="표준 7 14 4 2 3 2 2 2 2" xfId="39657"/>
    <cellStyle name="표준 7 14 4 2 3 2 3 3" xfId="39658"/>
    <cellStyle name="표준 7 14 4 2 3 2 3 2 2" xfId="39659"/>
    <cellStyle name="표준 7 14 4 2 3 2 4 2" xfId="39660"/>
    <cellStyle name="표준 7 14 4 2 3 2 5 2" xfId="39661"/>
    <cellStyle name="표준 7 14 4 2 3 3 2 2 2" xfId="39662"/>
    <cellStyle name="표준 7 14 4 2 3 3 3 3" xfId="39663"/>
    <cellStyle name="표준 7 14 4 2 3 3 3 2 2" xfId="39664"/>
    <cellStyle name="표준 7 14 4 2 3 3 4 2" xfId="39665"/>
    <cellStyle name="표준 7 14 4 2 3 3 5 2" xfId="39666"/>
    <cellStyle name="표준 7 14 4 2 3 4 2 2" xfId="39667"/>
    <cellStyle name="표준 7 14 4 2 3 5 3" xfId="39668"/>
    <cellStyle name="표준 7 14 4 2 3 5 2 2" xfId="39669"/>
    <cellStyle name="표준 7 14 4 2 3 6 2" xfId="39670"/>
    <cellStyle name="표준 7 14 4 2 3 7 2" xfId="39671"/>
    <cellStyle name="표준 7 14 4 2 4 2 2 2" xfId="39672"/>
    <cellStyle name="표준 7 14 4 2 4 3 3" xfId="39673"/>
    <cellStyle name="표준 7 14 4 2 4 3 2 2" xfId="39674"/>
    <cellStyle name="표준 7 14 4 2 4 4 2" xfId="39675"/>
    <cellStyle name="표준 7 14 4 2 4 5 2" xfId="39676"/>
    <cellStyle name="표준 7 14 4 2 5 2 2 2" xfId="39677"/>
    <cellStyle name="표준 7 14 4 2 5 3 3" xfId="39678"/>
    <cellStyle name="표준 7 14 4 2 5 3 2 2" xfId="39679"/>
    <cellStyle name="표준 7 14 4 2 5 4 2" xfId="39680"/>
    <cellStyle name="표준 7 14 4 2 5 5 2" xfId="39681"/>
    <cellStyle name="표준 7 14 4 2 6 2 2" xfId="39682"/>
    <cellStyle name="표준 7 14 4 2 7 3" xfId="39683"/>
    <cellStyle name="표준 7 14 4 2 7 2 2" xfId="39684"/>
    <cellStyle name="표준 7 14 4 2 8 2" xfId="39685"/>
    <cellStyle name="표준 7 14 4 2 9 2" xfId="39686"/>
    <cellStyle name="표준 7 14 4 3 2 2 2 2 2" xfId="39687"/>
    <cellStyle name="표준 7 14 4 3 2 2 3 3" xfId="39688"/>
    <cellStyle name="표준 7 14 4 3 2 2 3 2 2" xfId="39689"/>
    <cellStyle name="표준 7 14 4 3 2 2 4 2" xfId="39690"/>
    <cellStyle name="표준 7 14 4 3 2 2 5 2" xfId="39691"/>
    <cellStyle name="표준 7 14 4 3 2 3 2 2 2" xfId="39692"/>
    <cellStyle name="표준 7 14 4 3 2 3 3 3" xfId="39693"/>
    <cellStyle name="표준 7 14 4 3 2 3 3 2 2" xfId="39694"/>
    <cellStyle name="표준 7 14 4 3 2 3 4 2" xfId="39695"/>
    <cellStyle name="표준 7 14 4 3 2 3 5 2" xfId="39696"/>
    <cellStyle name="표준 7 14 4 3 2 4 2 2" xfId="39697"/>
    <cellStyle name="표준 7 14 4 3 2 5 3" xfId="39698"/>
    <cellStyle name="표준 7 14 4 3 2 5 2 2" xfId="39699"/>
    <cellStyle name="표준 7 14 4 3 2 6 2" xfId="39700"/>
    <cellStyle name="표준 7 14 4 3 2 7 2" xfId="39701"/>
    <cellStyle name="표준 7 14 4 3 3 2 2 2" xfId="39702"/>
    <cellStyle name="표준 7 14 4 3 3 3 3" xfId="39703"/>
    <cellStyle name="표준 7 14 4 3 3 3 2 2" xfId="39704"/>
    <cellStyle name="표준 7 14 4 3 3 4 2" xfId="39705"/>
    <cellStyle name="표준 7 14 4 3 3 5 2" xfId="39706"/>
    <cellStyle name="표준 7 14 4 3 4 2 2 2" xfId="39707"/>
    <cellStyle name="표준 7 14 4 3 4 3 3" xfId="39708"/>
    <cellStyle name="표준 7 14 4 3 4 3 2 2" xfId="39709"/>
    <cellStyle name="표준 7 14 4 3 4 4 2" xfId="39710"/>
    <cellStyle name="표준 7 14 4 3 4 5 2" xfId="39711"/>
    <cellStyle name="표준 7 14 4 3 5 2 2" xfId="39712"/>
    <cellStyle name="표준 7 14 4 3 6 3" xfId="39713"/>
    <cellStyle name="표준 7 14 4 3 6 2 2" xfId="39714"/>
    <cellStyle name="표준 7 14 4 3 7 2" xfId="39715"/>
    <cellStyle name="표준 7 14 4 3 8 2" xfId="39716"/>
    <cellStyle name="표준 7 14 4 4 2 2 2 2" xfId="39717"/>
    <cellStyle name="표준 7 14 4 4 2 3 3" xfId="39718"/>
    <cellStyle name="표준 7 14 4 4 2 3 2 2" xfId="39719"/>
    <cellStyle name="표준 7 14 4 4 2 4 2" xfId="39720"/>
    <cellStyle name="표준 7 14 4 4 2 5 2" xfId="39721"/>
    <cellStyle name="표준 7 14 4 4 3 2 2 2" xfId="39722"/>
    <cellStyle name="표준 7 14 4 4 3 3 3" xfId="39723"/>
    <cellStyle name="표준 7 14 4 4 3 3 2 2" xfId="39724"/>
    <cellStyle name="표준 7 14 4 4 3 4 2" xfId="39725"/>
    <cellStyle name="표준 7 14 4 4 3 5 2" xfId="39726"/>
    <cellStyle name="표준 7 14 4 4 4 2 2" xfId="39727"/>
    <cellStyle name="표준 7 14 4 4 5 3" xfId="39728"/>
    <cellStyle name="표준 7 14 4 4 5 2 2" xfId="39729"/>
    <cellStyle name="표준 7 14 4 4 6 2" xfId="39730"/>
    <cellStyle name="표준 7 14 4 4 7 2" xfId="39731"/>
    <cellStyle name="표준 7 14 4 5 2 2 2" xfId="39732"/>
    <cellStyle name="표준 7 14 4 5 3 3" xfId="39733"/>
    <cellStyle name="표준 7 14 4 5 3 2 2" xfId="39734"/>
    <cellStyle name="표준 7 14 4 5 4 2" xfId="39735"/>
    <cellStyle name="표준 7 14 4 5 5 2" xfId="39736"/>
    <cellStyle name="표준 7 14 4 6 2 2 2" xfId="39737"/>
    <cellStyle name="표준 7 14 4 6 3 3" xfId="39738"/>
    <cellStyle name="표준 7 14 4 6 3 2 2" xfId="39739"/>
    <cellStyle name="표준 7 14 4 6 4 2" xfId="39740"/>
    <cellStyle name="표준 7 14 4 6 5 2" xfId="39741"/>
    <cellStyle name="표준 7 14 4 7 2 2" xfId="39742"/>
    <cellStyle name="표준 7 14 4 8 3" xfId="39743"/>
    <cellStyle name="표준 7 14 4 8 2 2" xfId="39744"/>
    <cellStyle name="표준 7 14 4 9 2" xfId="39745"/>
    <cellStyle name="표준 7 14 5 2 2 2 2 2 2" xfId="39746"/>
    <cellStyle name="표준 7 14 5 2 2 2 3 3" xfId="39747"/>
    <cellStyle name="표준 7 14 5 2 2 2 3 2 2" xfId="39748"/>
    <cellStyle name="표준 7 14 5 2 2 2 4 2" xfId="39749"/>
    <cellStyle name="표준 7 14 5 2 2 2 5 2" xfId="39750"/>
    <cellStyle name="표준 7 14 5 2 2 3 2 2 2" xfId="39751"/>
    <cellStyle name="표준 7 14 5 2 2 3 3 3" xfId="39752"/>
    <cellStyle name="표준 7 14 5 2 2 3 3 2 2" xfId="39753"/>
    <cellStyle name="표준 7 14 5 2 2 3 4 2" xfId="39754"/>
    <cellStyle name="표준 7 14 5 2 2 3 5 2" xfId="39755"/>
    <cellStyle name="표준 7 14 5 2 2 4 2 2" xfId="39756"/>
    <cellStyle name="표준 7 14 5 2 2 5 3" xfId="39757"/>
    <cellStyle name="표준 7 14 5 2 2 5 2 2" xfId="39758"/>
    <cellStyle name="표준 7 14 5 2 2 6 2" xfId="39759"/>
    <cellStyle name="표준 7 14 5 2 2 7 2" xfId="39760"/>
    <cellStyle name="표준 7 14 5 2 3 2 2 2" xfId="39761"/>
    <cellStyle name="표준 7 14 5 2 3 3 3" xfId="39762"/>
    <cellStyle name="표준 7 14 5 2 3 3 2 2" xfId="39763"/>
    <cellStyle name="표준 7 14 5 2 3 4 2" xfId="39764"/>
    <cellStyle name="표준 7 14 5 2 3 5 2" xfId="39765"/>
    <cellStyle name="표준 7 14 5 2 4 2 2 2" xfId="39766"/>
    <cellStyle name="표준 7 14 5 2 4 3 3" xfId="39767"/>
    <cellStyle name="표준 7 14 5 2 4 3 2 2" xfId="39768"/>
    <cellStyle name="표준 7 14 5 2 4 4 2" xfId="39769"/>
    <cellStyle name="표준 7 14 5 2 4 5 2" xfId="39770"/>
    <cellStyle name="표준 7 14 5 2 5 2 2" xfId="39771"/>
    <cellStyle name="표준 7 14 5 2 6 3" xfId="39772"/>
    <cellStyle name="표준 7 14 5 2 6 2 2" xfId="39773"/>
    <cellStyle name="표준 7 14 5 2 7 2" xfId="39774"/>
    <cellStyle name="표준 7 14 5 2 8 2" xfId="39775"/>
    <cellStyle name="표준 7 14 5 3 2 2 2 2" xfId="39776"/>
    <cellStyle name="표준 7 14 5 3 2 3 3" xfId="39777"/>
    <cellStyle name="표준 7 14 5 3 2 3 2 2" xfId="39778"/>
    <cellStyle name="표준 7 14 5 3 2 4 2" xfId="39779"/>
    <cellStyle name="표준 7 14 5 3 2 5 2" xfId="39780"/>
    <cellStyle name="표준 7 14 5 3 3 2 2 2" xfId="39781"/>
    <cellStyle name="표준 7 14 5 3 3 3 3" xfId="39782"/>
    <cellStyle name="표준 7 14 5 3 3 3 2 2" xfId="39783"/>
    <cellStyle name="표준 7 14 5 3 3 4 2" xfId="39784"/>
    <cellStyle name="표준 7 14 5 3 3 5 2" xfId="39785"/>
    <cellStyle name="표준 7 14 5 3 4 2 2" xfId="39786"/>
    <cellStyle name="표준 7 14 5 3 5 3" xfId="39787"/>
    <cellStyle name="표준 7 14 5 3 5 2 2" xfId="39788"/>
    <cellStyle name="표준 7 14 5 3 6 2" xfId="39789"/>
    <cellStyle name="표준 7 14 5 3 7 2" xfId="39790"/>
    <cellStyle name="표준 7 14 5 4 2 2 2" xfId="39791"/>
    <cellStyle name="표준 7 14 5 4 3 3" xfId="39792"/>
    <cellStyle name="표준 7 14 5 4 3 2 2" xfId="39793"/>
    <cellStyle name="표준 7 14 5 4 4 2" xfId="39794"/>
    <cellStyle name="표준 7 14 5 4 5 2" xfId="39795"/>
    <cellStyle name="표준 7 14 5 5 2 2 2" xfId="39796"/>
    <cellStyle name="표준 7 14 5 5 3 3" xfId="39797"/>
    <cellStyle name="표준 7 14 5 5 3 2 2" xfId="39798"/>
    <cellStyle name="표준 7 14 5 5 4 2" xfId="39799"/>
    <cellStyle name="표준 7 14 5 5 5 2" xfId="39800"/>
    <cellStyle name="표준 7 14 5 6 2 2" xfId="39801"/>
    <cellStyle name="표준 7 14 5 7 3" xfId="39802"/>
    <cellStyle name="표준 7 14 5 7 2 2" xfId="39803"/>
    <cellStyle name="표준 7 14 5 8 2" xfId="39804"/>
    <cellStyle name="표준 7 14 5 9 2" xfId="39805"/>
    <cellStyle name="표준 7 14 6 2 2 2 2 2" xfId="39806"/>
    <cellStyle name="표준 7 14 6 2 2 3 3" xfId="39807"/>
    <cellStyle name="표준 7 14 6 2 2 3 2 2" xfId="39808"/>
    <cellStyle name="표준 7 14 6 2 2 4 2" xfId="39809"/>
    <cellStyle name="표준 7 14 6 2 2 5 2" xfId="39810"/>
    <cellStyle name="표준 7 14 6 2 3 2 2 2" xfId="39811"/>
    <cellStyle name="표준 7 14 6 2 3 3 3" xfId="39812"/>
    <cellStyle name="표준 7 14 6 2 3 3 2 2" xfId="39813"/>
    <cellStyle name="표준 7 14 6 2 3 4 2" xfId="39814"/>
    <cellStyle name="표준 7 14 6 2 3 5 2" xfId="39815"/>
    <cellStyle name="표준 7 14 6 2 4 2 2" xfId="39816"/>
    <cellStyle name="표준 7 14 6 2 5 3" xfId="39817"/>
    <cellStyle name="표준 7 14 6 2 5 2 2" xfId="39818"/>
    <cellStyle name="표준 7 14 6 2 6 2" xfId="39819"/>
    <cellStyle name="표준 7 14 6 2 7 2" xfId="39820"/>
    <cellStyle name="표준 7 14 6 3 2 2 2" xfId="39821"/>
    <cellStyle name="표준 7 14 6 3 3 3" xfId="39822"/>
    <cellStyle name="표준 7 14 6 3 3 2 2" xfId="39823"/>
    <cellStyle name="표준 7 14 6 3 4 2" xfId="39824"/>
    <cellStyle name="표준 7 14 6 3 5 2" xfId="39825"/>
    <cellStyle name="표준 7 14 6 4 2 2 2" xfId="39826"/>
    <cellStyle name="표준 7 14 6 4 3 3" xfId="39827"/>
    <cellStyle name="표준 7 14 6 4 3 2 2" xfId="39828"/>
    <cellStyle name="표준 7 14 6 4 4 2" xfId="39829"/>
    <cellStyle name="표준 7 14 6 4 5 2" xfId="39830"/>
    <cellStyle name="표준 7 14 6 5 2 2" xfId="39831"/>
    <cellStyle name="표준 7 14 6 6 3" xfId="39832"/>
    <cellStyle name="표준 7 14 6 6 2 2" xfId="39833"/>
    <cellStyle name="표준 7 14 6 7 2" xfId="39834"/>
    <cellStyle name="표준 7 14 6 8 2" xfId="39835"/>
    <cellStyle name="표준 7 14 7 2 2 2 2" xfId="39836"/>
    <cellStyle name="표준 7 14 7 2 3 3" xfId="39837"/>
    <cellStyle name="표준 7 14 7 2 3 2 2" xfId="39838"/>
    <cellStyle name="표준 7 14 7 2 4 2" xfId="39839"/>
    <cellStyle name="표준 7 14 7 2 5 2" xfId="39840"/>
    <cellStyle name="표준 7 14 7 3 2 2 2" xfId="39841"/>
    <cellStyle name="표준 7 14 7 3 3 3" xfId="39842"/>
    <cellStyle name="표준 7 14 7 3 3 2 2" xfId="39843"/>
    <cellStyle name="표준 7 14 7 3 4 2" xfId="39844"/>
    <cellStyle name="표준 7 14 7 3 5 2" xfId="39845"/>
    <cellStyle name="표준 7 14 7 4 2 2" xfId="39846"/>
    <cellStyle name="표준 7 14 7 5 3" xfId="39847"/>
    <cellStyle name="표준 7 14 7 5 2 2" xfId="39848"/>
    <cellStyle name="표준 7 14 7 6 2" xfId="39849"/>
    <cellStyle name="표준 7 14 7 7 2" xfId="39850"/>
    <cellStyle name="표준 7 14 8 2 2 2" xfId="39851"/>
    <cellStyle name="표준 7 14 8 3 3" xfId="39852"/>
    <cellStyle name="표준 7 14 8 3 2 2" xfId="39853"/>
    <cellStyle name="표준 7 14 8 4 2" xfId="39854"/>
    <cellStyle name="표준 7 14 8 5 2" xfId="39855"/>
    <cellStyle name="표준 7 14 9 2 2 2" xfId="39856"/>
    <cellStyle name="표준 7 14 9 3 3" xfId="39857"/>
    <cellStyle name="표준 7 14 9 3 2 2" xfId="39858"/>
    <cellStyle name="표준 7 14 9 4 2" xfId="39859"/>
    <cellStyle name="표준 7 14 9 5 2" xfId="39860"/>
    <cellStyle name="표준 7 15 10 3" xfId="39861"/>
    <cellStyle name="표준 7 15 10 2 2" xfId="39862"/>
    <cellStyle name="표준 7 15 11 2" xfId="39863"/>
    <cellStyle name="표준 7 15 12 2" xfId="39864"/>
    <cellStyle name="표준 7 15 2 10 2" xfId="39865"/>
    <cellStyle name="표준 7 15 2 2 2 2 2 2 2 2" xfId="39866"/>
    <cellStyle name="표준 7 15 2 2 2 2 2 3 3" xfId="39867"/>
    <cellStyle name="표준 7 15 2 2 2 2 2 3 2 2" xfId="39868"/>
    <cellStyle name="표준 7 15 2 2 2 2 2 4 2" xfId="39869"/>
    <cellStyle name="표준 7 15 2 2 2 2 2 5 2" xfId="39870"/>
    <cellStyle name="표준 7 15 2 2 2 2 3 2 2 2" xfId="39871"/>
    <cellStyle name="표준 7 15 2 2 2 2 3 3 3" xfId="39872"/>
    <cellStyle name="표준 7 15 2 2 2 2 3 3 2 2" xfId="39873"/>
    <cellStyle name="표준 7 15 2 2 2 2 3 4 2" xfId="39874"/>
    <cellStyle name="표준 7 15 2 2 2 2 3 5 2" xfId="39875"/>
    <cellStyle name="표준 7 15 2 2 2 2 4 2 2" xfId="39876"/>
    <cellStyle name="표준 7 15 2 2 2 2 5 3" xfId="39877"/>
    <cellStyle name="표준 7 15 2 2 2 2 5 2 2" xfId="39878"/>
    <cellStyle name="표준 7 15 2 2 2 2 6 2" xfId="39879"/>
    <cellStyle name="표준 7 15 2 2 2 2 7 2" xfId="39880"/>
    <cellStyle name="표준 7 15 2 2 2 3 2 2 2" xfId="39881"/>
    <cellStyle name="표준 7 15 2 2 2 3 3 3" xfId="39882"/>
    <cellStyle name="표준 7 15 2 2 2 3 3 2 2" xfId="39883"/>
    <cellStyle name="표준 7 15 2 2 2 3 4 2" xfId="39884"/>
    <cellStyle name="표준 7 15 2 2 2 3 5 2" xfId="39885"/>
    <cellStyle name="표준 7 15 2 2 2 4 2 2 2" xfId="39886"/>
    <cellStyle name="표준 7 15 2 2 2 4 3 3" xfId="39887"/>
    <cellStyle name="표준 7 15 2 2 2 4 3 2 2" xfId="39888"/>
    <cellStyle name="표준 7 15 2 2 2 4 4 2" xfId="39889"/>
    <cellStyle name="표준 7 15 2 2 2 4 5 2" xfId="39890"/>
    <cellStyle name="표준 7 15 2 2 2 5 2 2" xfId="39891"/>
    <cellStyle name="표준 7 15 2 2 2 6 3" xfId="39892"/>
    <cellStyle name="표준 7 15 2 2 2 6 2 2" xfId="39893"/>
    <cellStyle name="표준 7 15 2 2 2 7 2" xfId="39894"/>
    <cellStyle name="표준 7 15 2 2 2 8 2" xfId="39895"/>
    <cellStyle name="표준 7 15 2 2 3 2 2 2 2" xfId="39896"/>
    <cellStyle name="표준 7 15 2 2 3 2 3 3" xfId="39897"/>
    <cellStyle name="표준 7 15 2 2 3 2 3 2 2" xfId="39898"/>
    <cellStyle name="표준 7 15 2 2 3 2 4 2" xfId="39899"/>
    <cellStyle name="표준 7 15 2 2 3 2 5 2" xfId="39900"/>
    <cellStyle name="표준 7 15 2 2 3 3 2 2 2" xfId="39901"/>
    <cellStyle name="표준 7 15 2 2 3 3 3 3" xfId="39902"/>
    <cellStyle name="표준 7 15 2 2 3 3 3 2 2" xfId="39903"/>
    <cellStyle name="표준 7 15 2 2 3 3 4 2" xfId="39904"/>
    <cellStyle name="표준 7 15 2 2 3 3 5 2" xfId="39905"/>
    <cellStyle name="표준 7 15 2 2 3 4 2 2" xfId="39906"/>
    <cellStyle name="표준 7 15 2 2 3 5 3" xfId="39907"/>
    <cellStyle name="표준 7 15 2 2 3 5 2 2" xfId="39908"/>
    <cellStyle name="표준 7 15 2 2 3 6 2" xfId="39909"/>
    <cellStyle name="표준 7 15 2 2 3 7 2" xfId="39910"/>
    <cellStyle name="표준 7 15 2 2 4 2 2 2" xfId="39911"/>
    <cellStyle name="표준 7 15 2 2 4 3 3" xfId="39912"/>
    <cellStyle name="표준 7 15 2 2 4 3 2 2" xfId="39913"/>
    <cellStyle name="표준 7 15 2 2 4 4 2" xfId="39914"/>
    <cellStyle name="표준 7 15 2 2 4 5 2" xfId="39915"/>
    <cellStyle name="표준 7 15 2 2 5 2 2 2" xfId="39916"/>
    <cellStyle name="표준 7 15 2 2 5 3 3" xfId="39917"/>
    <cellStyle name="표준 7 15 2 2 5 3 2 2" xfId="39918"/>
    <cellStyle name="표준 7 15 2 2 5 4 2" xfId="39919"/>
    <cellStyle name="표준 7 15 2 2 5 5 2" xfId="39920"/>
    <cellStyle name="표준 7 15 2 2 6 2 2" xfId="39921"/>
    <cellStyle name="표준 7 15 2 2 7 3" xfId="39922"/>
    <cellStyle name="표준 7 15 2 2 7 2 2" xfId="39923"/>
    <cellStyle name="표준 7 15 2 2 8 2" xfId="39924"/>
    <cellStyle name="표준 7 15 2 2 9 2" xfId="39925"/>
    <cellStyle name="표준 7 15 2 3 2 2 2 2 2" xfId="39926"/>
    <cellStyle name="표준 7 15 2 3 2 2 3 3" xfId="39927"/>
    <cellStyle name="표준 7 15 2 3 2 2 3 2 2" xfId="39928"/>
    <cellStyle name="표준 7 15 2 3 2 2 4 2" xfId="39929"/>
    <cellStyle name="표준 7 15 2 3 2 2 5 2" xfId="39930"/>
    <cellStyle name="표준 7 15 2 3 2 3 2 2 2" xfId="39931"/>
    <cellStyle name="표준 7 15 2 3 2 3 3 3" xfId="39932"/>
    <cellStyle name="표준 7 15 2 3 2 3 3 2 2" xfId="39933"/>
    <cellStyle name="표준 7 15 2 3 2 3 4 2" xfId="39934"/>
    <cellStyle name="표준 7 15 2 3 2 3 5 2" xfId="39935"/>
    <cellStyle name="표준 7 15 2 3 2 4 2 2" xfId="39936"/>
    <cellStyle name="표준 7 15 2 3 2 5 3" xfId="39937"/>
    <cellStyle name="표준 7 15 2 3 2 5 2 2" xfId="39938"/>
    <cellStyle name="표준 7 15 2 3 2 6 2" xfId="39939"/>
    <cellStyle name="표준 7 15 2 3 2 7 2" xfId="39940"/>
    <cellStyle name="표준 7 15 2 3 3 2 2 2" xfId="39941"/>
    <cellStyle name="표준 7 15 2 3 3 3 3" xfId="39942"/>
    <cellStyle name="표준 7 15 2 3 3 3 2 2" xfId="39943"/>
    <cellStyle name="표준 7 15 2 3 3 4 2" xfId="39944"/>
    <cellStyle name="표준 7 15 2 3 3 5 2" xfId="39945"/>
    <cellStyle name="표준 7 15 2 3 4 2 2 2" xfId="39946"/>
    <cellStyle name="표준 7 15 2 3 4 3 3" xfId="39947"/>
    <cellStyle name="표준 7 15 2 3 4 3 2 2" xfId="39948"/>
    <cellStyle name="표준 7 15 2 3 4 4 2" xfId="39949"/>
    <cellStyle name="표준 7 15 2 3 4 5 2" xfId="39950"/>
    <cellStyle name="표준 7 15 2 3 5 2 2" xfId="39951"/>
    <cellStyle name="표준 7 15 2 3 6 3" xfId="39952"/>
    <cellStyle name="표준 7 15 2 3 6 2 2" xfId="39953"/>
    <cellStyle name="표준 7 15 2 3 7 2" xfId="39954"/>
    <cellStyle name="표준 7 15 2 3 8 2" xfId="39955"/>
    <cellStyle name="표준 7 15 2 4 2 2 2 2" xfId="39956"/>
    <cellStyle name="표준 7 15 2 4 2 3 3" xfId="39957"/>
    <cellStyle name="표준 7 15 2 4 2 3 2 2" xfId="39958"/>
    <cellStyle name="표준 7 15 2 4 2 4 2" xfId="39959"/>
    <cellStyle name="표준 7 15 2 4 2 5 2" xfId="39960"/>
    <cellStyle name="표준 7 15 2 4 3 2 2 2" xfId="39961"/>
    <cellStyle name="표준 7 15 2 4 3 3 3" xfId="39962"/>
    <cellStyle name="표준 7 15 2 4 3 3 2 2" xfId="39963"/>
    <cellStyle name="표준 7 15 2 4 3 4 2" xfId="39964"/>
    <cellStyle name="표준 7 15 2 4 3 5 2" xfId="39965"/>
    <cellStyle name="표준 7 15 2 4 4 2 2" xfId="39966"/>
    <cellStyle name="표준 7 15 2 4 5 3" xfId="39967"/>
    <cellStyle name="표준 7 15 2 4 5 2 2" xfId="39968"/>
    <cellStyle name="표준 7 15 2 4 6 2" xfId="39969"/>
    <cellStyle name="표준 7 15 2 4 7 2" xfId="39970"/>
    <cellStyle name="표준 7 15 2 5 2 2 2" xfId="39971"/>
    <cellStyle name="표준 7 15 2 5 3 3" xfId="39972"/>
    <cellStyle name="표준 7 15 2 5 3 2 2" xfId="39973"/>
    <cellStyle name="표준 7 15 2 5 4 2" xfId="39974"/>
    <cellStyle name="표준 7 15 2 5 5 2" xfId="39975"/>
    <cellStyle name="표준 7 15 2 6 2 2 2" xfId="39976"/>
    <cellStyle name="표준 7 15 2 6 3 3" xfId="39977"/>
    <cellStyle name="표준 7 15 2 6 3 2 2" xfId="39978"/>
    <cellStyle name="표준 7 15 2 6 4 2" xfId="39979"/>
    <cellStyle name="표준 7 15 2 6 5 2" xfId="39980"/>
    <cellStyle name="표준 7 15 2 7 2 2" xfId="39981"/>
    <cellStyle name="표준 7 15 2 8 3" xfId="39982"/>
    <cellStyle name="표준 7 15 2 8 2 2" xfId="39983"/>
    <cellStyle name="표준 7 15 2 9 2" xfId="39984"/>
    <cellStyle name="표준 7 15 3 10 2" xfId="39985"/>
    <cellStyle name="표준 7 15 3 2 2 2 2 2 2 2" xfId="39986"/>
    <cellStyle name="표준 7 15 3 2 2 2 2 3 3" xfId="39987"/>
    <cellStyle name="표준 7 15 3 2 2 2 2 3 2 2" xfId="39988"/>
    <cellStyle name="표준 7 15 3 2 2 2 2 4 2" xfId="39989"/>
    <cellStyle name="표준 7 15 3 2 2 2 2 5 2" xfId="39990"/>
    <cellStyle name="표준 7 15 3 2 2 2 3 2 2 2" xfId="39991"/>
    <cellStyle name="표준 7 15 3 2 2 2 3 3 3" xfId="39992"/>
    <cellStyle name="표준 7 15 3 2 2 2 3 3 2 2" xfId="39993"/>
    <cellStyle name="표준 7 15 3 2 2 2 3 4 2" xfId="39994"/>
    <cellStyle name="표준 7 15 3 2 2 2 3 5 2" xfId="39995"/>
    <cellStyle name="표준 7 15 3 2 2 2 4 2 2" xfId="39996"/>
    <cellStyle name="표준 7 15 3 2 2 2 5 3" xfId="39997"/>
    <cellStyle name="표준 7 15 3 2 2 2 5 2 2" xfId="39998"/>
    <cellStyle name="표준 7 15 3 2 2 2 6 2" xfId="39999"/>
    <cellStyle name="표준 7 15 3 2 2 2 7 2" xfId="40000"/>
    <cellStyle name="표준 7 15 3 2 2 3 2 2 2" xfId="40001"/>
    <cellStyle name="표준 7 15 3 2 2 3 3 3" xfId="40002"/>
    <cellStyle name="표준 7 15 3 2 2 3 3 2 2" xfId="40003"/>
    <cellStyle name="표준 7 15 3 2 2 3 4 2" xfId="40004"/>
    <cellStyle name="표준 7 15 3 2 2 3 5 2" xfId="40005"/>
    <cellStyle name="표준 7 15 3 2 2 4 2 2 2" xfId="40006"/>
    <cellStyle name="표준 7 15 3 2 2 4 3 3" xfId="40007"/>
    <cellStyle name="표준 7 15 3 2 2 4 3 2 2" xfId="40008"/>
    <cellStyle name="표준 7 15 3 2 2 4 4 2" xfId="40009"/>
    <cellStyle name="표준 7 15 3 2 2 4 5 2" xfId="40010"/>
    <cellStyle name="표준 7 15 3 2 2 5 2 2" xfId="40011"/>
    <cellStyle name="표준 7 15 3 2 2 6 3" xfId="40012"/>
    <cellStyle name="표준 7 15 3 2 2 6 2 2" xfId="40013"/>
    <cellStyle name="표준 7 15 3 2 2 7 2" xfId="40014"/>
    <cellStyle name="표준 7 15 3 2 2 8 2" xfId="40015"/>
    <cellStyle name="표준 7 15 3 2 3 2 2 2 2" xfId="40016"/>
    <cellStyle name="표준 7 15 3 2 3 2 3 3" xfId="40017"/>
    <cellStyle name="표준 7 15 3 2 3 2 3 2 2" xfId="40018"/>
    <cellStyle name="표준 7 15 3 2 3 2 4 2" xfId="40019"/>
    <cellStyle name="표준 7 15 3 2 3 2 5 2" xfId="40020"/>
    <cellStyle name="표준 7 15 3 2 3 3 2 2 2" xfId="40021"/>
    <cellStyle name="표준 7 15 3 2 3 3 3 3" xfId="40022"/>
    <cellStyle name="표준 7 15 3 2 3 3 3 2 2" xfId="40023"/>
    <cellStyle name="표준 7 15 3 2 3 3 4 2" xfId="40024"/>
    <cellStyle name="표준 7 15 3 2 3 3 5 2" xfId="40025"/>
    <cellStyle name="표준 7 15 3 2 3 4 2 2" xfId="40026"/>
    <cellStyle name="표준 7 15 3 2 3 5 3" xfId="40027"/>
    <cellStyle name="표준 7 15 3 2 3 5 2 2" xfId="40028"/>
    <cellStyle name="표준 7 15 3 2 3 6 2" xfId="40029"/>
    <cellStyle name="표준 7 15 3 2 3 7 2" xfId="40030"/>
    <cellStyle name="표준 7 15 3 2 4 2 2 2" xfId="40031"/>
    <cellStyle name="표준 7 15 3 2 4 3 3" xfId="40032"/>
    <cellStyle name="표준 7 15 3 2 4 3 2 2" xfId="40033"/>
    <cellStyle name="표준 7 15 3 2 4 4 2" xfId="40034"/>
    <cellStyle name="표준 7 15 3 2 4 5 2" xfId="40035"/>
    <cellStyle name="표준 7 15 3 2 5 2 2 2" xfId="40036"/>
    <cellStyle name="표준 7 15 3 2 5 3 3" xfId="40037"/>
    <cellStyle name="표준 7 15 3 2 5 3 2 2" xfId="40038"/>
    <cellStyle name="표준 7 15 3 2 5 4 2" xfId="40039"/>
    <cellStyle name="표준 7 15 3 2 5 5 2" xfId="40040"/>
    <cellStyle name="표준 7 15 3 2 6 2 2" xfId="40041"/>
    <cellStyle name="표준 7 15 3 2 7 3" xfId="40042"/>
    <cellStyle name="표준 7 15 3 2 7 2 2" xfId="40043"/>
    <cellStyle name="표준 7 15 3 2 8 2" xfId="40044"/>
    <cellStyle name="표준 7 15 3 2 9 2" xfId="40045"/>
    <cellStyle name="표준 7 15 3 3 2 2 2 2 2" xfId="40046"/>
    <cellStyle name="표준 7 15 3 3 2 2 3 3" xfId="40047"/>
    <cellStyle name="표준 7 15 3 3 2 2 3 2 2" xfId="40048"/>
    <cellStyle name="표준 7 15 3 3 2 2 4 2" xfId="40049"/>
    <cellStyle name="표준 7 15 3 3 2 2 5 2" xfId="40050"/>
    <cellStyle name="표준 7 15 3 3 2 3 2 2 2" xfId="40051"/>
    <cellStyle name="표준 7 15 3 3 2 3 3 3" xfId="40052"/>
    <cellStyle name="표준 7 15 3 3 2 3 3 2 2" xfId="40053"/>
    <cellStyle name="표준 7 15 3 3 2 3 4 2" xfId="40054"/>
    <cellStyle name="표준 7 15 3 3 2 3 5 2" xfId="40055"/>
    <cellStyle name="표준 7 15 3 3 2 4 2 2" xfId="40056"/>
    <cellStyle name="표준 7 15 3 3 2 5 3" xfId="40057"/>
    <cellStyle name="표준 7 15 3 3 2 5 2 2" xfId="40058"/>
    <cellStyle name="표준 7 15 3 3 2 6 2" xfId="40059"/>
    <cellStyle name="표준 7 15 3 3 2 7 2" xfId="40060"/>
    <cellStyle name="표준 7 15 3 3 3 2 2 2" xfId="40061"/>
    <cellStyle name="표준 7 15 3 3 3 3 3" xfId="40062"/>
    <cellStyle name="표준 7 15 3 3 3 3 2 2" xfId="40063"/>
    <cellStyle name="표준 7 15 3 3 3 4 2" xfId="40064"/>
    <cellStyle name="표준 7 15 3 3 3 5 2" xfId="40065"/>
    <cellStyle name="표준 7 15 3 3 4 2 2 2" xfId="40066"/>
    <cellStyle name="표준 7 15 3 3 4 3 3" xfId="40067"/>
    <cellStyle name="표준 7 15 3 3 4 3 2 2" xfId="40068"/>
    <cellStyle name="표준 7 15 3 3 4 4 2" xfId="40069"/>
    <cellStyle name="표준 7 15 3 3 4 5 2" xfId="40070"/>
    <cellStyle name="표준 7 15 3 3 5 2 2" xfId="40071"/>
    <cellStyle name="표준 7 15 3 3 6 3" xfId="40072"/>
    <cellStyle name="표준 7 15 3 3 6 2 2" xfId="40073"/>
    <cellStyle name="표준 7 15 3 3 7 2" xfId="40074"/>
    <cellStyle name="표준 7 15 3 3 8 2" xfId="40075"/>
    <cellStyle name="표준 7 15 3 4 2 2 2 2" xfId="40076"/>
    <cellStyle name="표준 7 15 3 4 2 3 3" xfId="40077"/>
    <cellStyle name="표준 7 15 3 4 2 3 2 2" xfId="40078"/>
    <cellStyle name="표준 7 15 3 4 2 4 2" xfId="40079"/>
    <cellStyle name="표준 7 15 3 4 2 5 2" xfId="40080"/>
    <cellStyle name="표준 7 15 3 4 3 2 2 2" xfId="40081"/>
    <cellStyle name="표준 7 15 3 4 3 3 3" xfId="40082"/>
    <cellStyle name="표준 7 15 3 4 3 3 2 2" xfId="40083"/>
    <cellStyle name="표준 7 15 3 4 3 4 2" xfId="40084"/>
    <cellStyle name="표준 7 15 3 4 3 5 2" xfId="40085"/>
    <cellStyle name="표준 7 15 3 4 4 2 2" xfId="40086"/>
    <cellStyle name="표준 7 15 3 4 5 3" xfId="40087"/>
    <cellStyle name="표준 7 15 3 4 5 2 2" xfId="40088"/>
    <cellStyle name="표준 7 15 3 4 6 2" xfId="40089"/>
    <cellStyle name="표준 7 15 3 4 7 2" xfId="40090"/>
    <cellStyle name="표준 7 15 3 5 2 2 2" xfId="40091"/>
    <cellStyle name="표준 7 15 3 5 3 3" xfId="40092"/>
    <cellStyle name="표준 7 15 3 5 3 2 2" xfId="40093"/>
    <cellStyle name="표준 7 15 3 5 4 2" xfId="40094"/>
    <cellStyle name="표준 7 15 3 5 5 2" xfId="40095"/>
    <cellStyle name="표준 7 15 3 6 2 2 2" xfId="40096"/>
    <cellStyle name="표준 7 15 3 6 3 3" xfId="40097"/>
    <cellStyle name="표준 7 15 3 6 3 2 2" xfId="40098"/>
    <cellStyle name="표준 7 15 3 6 4 2" xfId="40099"/>
    <cellStyle name="표준 7 15 3 6 5 2" xfId="40100"/>
    <cellStyle name="표준 7 15 3 7 2 2" xfId="40101"/>
    <cellStyle name="표준 7 15 3 8 3" xfId="40102"/>
    <cellStyle name="표준 7 15 3 8 2 2" xfId="40103"/>
    <cellStyle name="표준 7 15 3 9 2" xfId="40104"/>
    <cellStyle name="표준 7 15 4 2 2 2 2 2 2" xfId="40105"/>
    <cellStyle name="표준 7 15 4 2 2 2 3 3" xfId="40106"/>
    <cellStyle name="표준 7 15 4 2 2 2 3 2 2" xfId="40107"/>
    <cellStyle name="표준 7 15 4 2 2 2 4 2" xfId="40108"/>
    <cellStyle name="표준 7 15 4 2 2 2 5 2" xfId="40109"/>
    <cellStyle name="표준 7 15 4 2 2 3 2 2 2" xfId="40110"/>
    <cellStyle name="표준 7 15 4 2 2 3 3 3" xfId="40111"/>
    <cellStyle name="표준 7 15 4 2 2 3 3 2 2" xfId="40112"/>
    <cellStyle name="표준 7 15 4 2 2 3 4 2" xfId="40113"/>
    <cellStyle name="표준 7 15 4 2 2 3 5 2" xfId="40114"/>
    <cellStyle name="표준 7 15 4 2 2 4 2 2" xfId="40115"/>
    <cellStyle name="표준 7 15 4 2 2 5 3" xfId="40116"/>
    <cellStyle name="표준 7 15 4 2 2 5 2 2" xfId="40117"/>
    <cellStyle name="표준 7 15 4 2 2 6 2" xfId="40118"/>
    <cellStyle name="표준 7 15 4 2 2 7 2" xfId="40119"/>
    <cellStyle name="표준 7 15 4 2 3 2 2 2" xfId="40120"/>
    <cellStyle name="표준 7 15 4 2 3 3 3" xfId="40121"/>
    <cellStyle name="표준 7 15 4 2 3 3 2 2" xfId="40122"/>
    <cellStyle name="표준 7 15 4 2 3 4 2" xfId="40123"/>
    <cellStyle name="표준 7 15 4 2 3 5 2" xfId="40124"/>
    <cellStyle name="표준 7 15 4 2 4 2 2 2" xfId="40125"/>
    <cellStyle name="표준 7 15 4 2 4 3 3" xfId="40126"/>
    <cellStyle name="표준 7 15 4 2 4 3 2 2" xfId="40127"/>
    <cellStyle name="표준 7 15 4 2 4 4 2" xfId="40128"/>
    <cellStyle name="표준 7 15 4 2 4 5 2" xfId="40129"/>
    <cellStyle name="표준 7 15 4 2 5 2 2" xfId="40130"/>
    <cellStyle name="표준 7 15 4 2 6 3" xfId="40131"/>
    <cellStyle name="표준 7 15 4 2 6 2 2" xfId="40132"/>
    <cellStyle name="표준 7 15 4 2 7 2" xfId="40133"/>
    <cellStyle name="표준 7 15 4 2 8 2" xfId="40134"/>
    <cellStyle name="표준 7 15 4 3 2 2 2 2" xfId="40135"/>
    <cellStyle name="표준 7 15 4 3 2 3 3" xfId="40136"/>
    <cellStyle name="표준 7 15 4 3 2 3 2 2" xfId="40137"/>
    <cellStyle name="표준 7 15 4 3 2 4 2" xfId="40138"/>
    <cellStyle name="표준 7 15 4 3 2 5 2" xfId="40139"/>
    <cellStyle name="표준 7 15 4 3 3 2 2 2" xfId="40140"/>
    <cellStyle name="표준 7 15 4 3 3 3 3" xfId="40141"/>
    <cellStyle name="표준 7 15 4 3 3 3 2 2" xfId="40142"/>
    <cellStyle name="표준 7 15 4 3 3 4 2" xfId="40143"/>
    <cellStyle name="표준 7 15 4 3 3 5 2" xfId="40144"/>
    <cellStyle name="표준 7 15 4 3 4 2 2" xfId="40145"/>
    <cellStyle name="표준 7 15 4 3 5 3" xfId="40146"/>
    <cellStyle name="표준 7 15 4 3 5 2 2" xfId="40147"/>
    <cellStyle name="표준 7 15 4 3 6 2" xfId="40148"/>
    <cellStyle name="표준 7 15 4 3 7 2" xfId="40149"/>
    <cellStyle name="표준 7 15 4 4 2 2 2" xfId="40150"/>
    <cellStyle name="표준 7 15 4 4 3 3" xfId="40151"/>
    <cellStyle name="표준 7 15 4 4 3 2 2" xfId="40152"/>
    <cellStyle name="표준 7 15 4 4 4 2" xfId="40153"/>
    <cellStyle name="표준 7 15 4 4 5 2" xfId="40154"/>
    <cellStyle name="표준 7 15 4 5 2 2 2" xfId="40155"/>
    <cellStyle name="표준 7 15 4 5 3 3" xfId="40156"/>
    <cellStyle name="표준 7 15 4 5 3 2 2" xfId="40157"/>
    <cellStyle name="표준 7 15 4 5 4 2" xfId="40158"/>
    <cellStyle name="표준 7 15 4 5 5 2" xfId="40159"/>
    <cellStyle name="표준 7 15 4 6 2 2" xfId="40160"/>
    <cellStyle name="표준 7 15 4 7 3" xfId="40161"/>
    <cellStyle name="표준 7 15 4 7 2 2" xfId="40162"/>
    <cellStyle name="표준 7 15 4 8 2" xfId="40163"/>
    <cellStyle name="표준 7 15 4 9 2" xfId="40164"/>
    <cellStyle name="표준 7 15 5 2 2 2 2 2" xfId="40165"/>
    <cellStyle name="표준 7 15 5 2 2 3 3" xfId="40166"/>
    <cellStyle name="표준 7 15 5 2 2 3 2 2" xfId="40167"/>
    <cellStyle name="표준 7 15 5 2 2 4 2" xfId="40168"/>
    <cellStyle name="표준 7 15 5 2 2 5 2" xfId="40169"/>
    <cellStyle name="표준 7 15 5 2 3 2 2 2" xfId="40170"/>
    <cellStyle name="표준 7 15 5 2 3 3 3" xfId="40171"/>
    <cellStyle name="표준 7 15 5 2 3 3 2 2" xfId="40172"/>
    <cellStyle name="표준 7 15 5 2 3 4 2" xfId="40173"/>
    <cellStyle name="표준 7 15 5 2 3 5 2" xfId="40174"/>
    <cellStyle name="표준 7 15 5 2 4 2 2" xfId="40175"/>
    <cellStyle name="표준 7 15 5 2 5 3" xfId="40176"/>
    <cellStyle name="표준 7 15 5 2 5 2 2" xfId="40177"/>
    <cellStyle name="표준 7 15 5 2 6 2" xfId="40178"/>
    <cellStyle name="표준 7 15 5 2 7 2" xfId="40179"/>
    <cellStyle name="표준 7 15 5 3 2 2 2" xfId="40180"/>
    <cellStyle name="표준 7 15 5 3 3 3" xfId="40181"/>
    <cellStyle name="표준 7 15 5 3 3 2 2" xfId="40182"/>
    <cellStyle name="표준 7 15 5 3 4 2" xfId="40183"/>
    <cellStyle name="표준 7 15 5 3 5 2" xfId="40184"/>
    <cellStyle name="표준 7 15 5 4 2 2 2" xfId="40185"/>
    <cellStyle name="표준 7 15 5 4 3 3" xfId="40186"/>
    <cellStyle name="표준 7 15 5 4 3 2 2" xfId="40187"/>
    <cellStyle name="표준 7 15 5 4 4 2" xfId="40188"/>
    <cellStyle name="표준 7 15 5 4 5 2" xfId="40189"/>
    <cellStyle name="표준 7 15 5 5 2 2" xfId="40190"/>
    <cellStyle name="표준 7 15 5 6 3" xfId="40191"/>
    <cellStyle name="표준 7 15 5 6 2 2" xfId="40192"/>
    <cellStyle name="표준 7 15 5 7 2" xfId="40193"/>
    <cellStyle name="표준 7 15 5 8 2" xfId="40194"/>
    <cellStyle name="표준 7 15 6 2 2 2 2" xfId="40195"/>
    <cellStyle name="표준 7 15 6 2 3 3" xfId="40196"/>
    <cellStyle name="표준 7 15 6 2 3 2 2" xfId="40197"/>
    <cellStyle name="표준 7 15 6 2 4 2" xfId="40198"/>
    <cellStyle name="표준 7 15 6 2 5 2" xfId="40199"/>
    <cellStyle name="표준 7 15 6 3 2 2 2" xfId="40200"/>
    <cellStyle name="표준 7 15 6 3 3 3" xfId="40201"/>
    <cellStyle name="표준 7 15 6 3 3 2 2" xfId="40202"/>
    <cellStyle name="표준 7 15 6 3 4 2" xfId="40203"/>
    <cellStyle name="표준 7 15 6 3 5 2" xfId="40204"/>
    <cellStyle name="표준 7 15 6 4 2 2" xfId="40205"/>
    <cellStyle name="표준 7 15 6 5 3" xfId="40206"/>
    <cellStyle name="표준 7 15 6 5 2 2" xfId="40207"/>
    <cellStyle name="표준 7 15 6 6 2" xfId="40208"/>
    <cellStyle name="표준 7 15 6 7 2" xfId="40209"/>
    <cellStyle name="표준 7 15 7 2 2 2" xfId="40210"/>
    <cellStyle name="표준 7 15 7 3 3" xfId="40211"/>
    <cellStyle name="표준 7 15 7 3 2 2" xfId="40212"/>
    <cellStyle name="표준 7 15 7 4 2" xfId="40213"/>
    <cellStyle name="표준 7 15 7 5 2" xfId="40214"/>
    <cellStyle name="표준 7 15 8 2 2 2" xfId="40215"/>
    <cellStyle name="표준 7 15 8 3 3" xfId="40216"/>
    <cellStyle name="표준 7 15 8 3 2 2" xfId="40217"/>
    <cellStyle name="표준 7 15 8 4 2" xfId="40218"/>
    <cellStyle name="표준 7 15 8 5 2" xfId="40219"/>
    <cellStyle name="표준 7 15 9 2 2" xfId="40220"/>
    <cellStyle name="표준 7 16 10 2" xfId="40221"/>
    <cellStyle name="표준 7 16 2 2 2 2 2 2 2" xfId="40222"/>
    <cellStyle name="표준 7 16 2 2 2 2 3 3" xfId="40223"/>
    <cellStyle name="표준 7 16 2 2 2 2 3 2 2" xfId="40224"/>
    <cellStyle name="표준 7 16 2 2 2 2 4 2" xfId="40225"/>
    <cellStyle name="표준 7 16 2 2 2 2 5 2" xfId="40226"/>
    <cellStyle name="표준 7 16 2 2 2 3 2 2 2" xfId="40227"/>
    <cellStyle name="표준 7 16 2 2 2 3 3 3" xfId="40228"/>
    <cellStyle name="표준 7 16 2 2 2 3 3 2 2" xfId="40229"/>
    <cellStyle name="표준 7 16 2 2 2 3 4 2" xfId="40230"/>
    <cellStyle name="표준 7 16 2 2 2 3 5 2" xfId="40231"/>
    <cellStyle name="표준 7 16 2 2 2 4 2 2" xfId="40232"/>
    <cellStyle name="표준 7 16 2 2 2 5 3" xfId="40233"/>
    <cellStyle name="표준 7 16 2 2 2 5 2 2" xfId="40234"/>
    <cellStyle name="표준 7 16 2 2 2 6 2" xfId="40235"/>
    <cellStyle name="표준 7 16 2 2 2 7 2" xfId="40236"/>
    <cellStyle name="표준 7 16 2 2 3 2 2 2" xfId="40237"/>
    <cellStyle name="표준 7 16 2 2 3 3 3" xfId="40238"/>
    <cellStyle name="표준 7 16 2 2 3 3 2 2" xfId="40239"/>
    <cellStyle name="표준 7 16 2 2 3 4 2" xfId="40240"/>
    <cellStyle name="표준 7 16 2 2 3 5 2" xfId="40241"/>
    <cellStyle name="표준 7 16 2 2 4 2 2 2" xfId="40242"/>
    <cellStyle name="표준 7 16 2 2 4 3 3" xfId="40243"/>
    <cellStyle name="표준 7 16 2 2 4 3 2 2" xfId="40244"/>
    <cellStyle name="표준 7 16 2 2 4 4 2" xfId="40245"/>
    <cellStyle name="표준 7 16 2 2 4 5 2" xfId="40246"/>
    <cellStyle name="표준 7 16 2 2 5 2 2" xfId="40247"/>
    <cellStyle name="표준 7 16 2 2 6 3" xfId="40248"/>
    <cellStyle name="표준 7 16 2 2 6 2 2" xfId="40249"/>
    <cellStyle name="표준 7 16 2 2 7 2" xfId="40250"/>
    <cellStyle name="표준 7 16 2 2 8 2" xfId="40251"/>
    <cellStyle name="표준 7 16 2 3 2 2 2 2" xfId="40252"/>
    <cellStyle name="표준 7 16 2 3 2 3 3" xfId="40253"/>
    <cellStyle name="표준 7 16 2 3 2 3 2 2" xfId="40254"/>
    <cellStyle name="표준 7 16 2 3 2 4 2" xfId="40255"/>
    <cellStyle name="표준 7 16 2 3 2 5 2" xfId="40256"/>
    <cellStyle name="표준 7 16 2 3 3 2 2 2" xfId="40257"/>
    <cellStyle name="표준 7 16 2 3 3 3 3" xfId="40258"/>
    <cellStyle name="표준 7 16 2 3 3 3 2 2" xfId="40259"/>
    <cellStyle name="표준 7 16 2 3 3 4 2" xfId="40260"/>
    <cellStyle name="표준 7 16 2 3 3 5 2" xfId="40261"/>
    <cellStyle name="표준 7 16 2 3 4 2 2" xfId="40262"/>
    <cellStyle name="표준 7 16 2 3 5 3" xfId="40263"/>
    <cellStyle name="표준 7 16 2 3 5 2 2" xfId="40264"/>
    <cellStyle name="표준 7 16 2 3 6 2" xfId="40265"/>
    <cellStyle name="표준 7 16 2 3 7 2" xfId="40266"/>
    <cellStyle name="표준 7 16 2 4 2 2 2" xfId="40267"/>
    <cellStyle name="표준 7 16 2 4 3 3" xfId="40268"/>
    <cellStyle name="표준 7 16 2 4 3 2 2" xfId="40269"/>
    <cellStyle name="표준 7 16 2 4 4 2" xfId="40270"/>
    <cellStyle name="표준 7 16 2 4 5 2" xfId="40271"/>
    <cellStyle name="표준 7 16 2 5 2 2 2" xfId="40272"/>
    <cellStyle name="표준 7 16 2 5 3 3" xfId="40273"/>
    <cellStyle name="표준 7 16 2 5 3 2 2" xfId="40274"/>
    <cellStyle name="표준 7 16 2 5 4 2" xfId="40275"/>
    <cellStyle name="표준 7 16 2 5 5 2" xfId="40276"/>
    <cellStyle name="표준 7 16 2 6 2 2" xfId="40277"/>
    <cellStyle name="표준 7 16 2 7 3" xfId="40278"/>
    <cellStyle name="표준 7 16 2 7 2 2" xfId="40279"/>
    <cellStyle name="표준 7 16 2 8 2" xfId="40280"/>
    <cellStyle name="표준 7 16 2 9 2" xfId="40281"/>
    <cellStyle name="표준 7 16 3 2 2 2 2 2" xfId="40282"/>
    <cellStyle name="표준 7 16 3 2 2 3 3" xfId="40283"/>
    <cellStyle name="표준 7 16 3 2 2 3 2 2" xfId="40284"/>
    <cellStyle name="표준 7 16 3 2 2 4 2" xfId="40285"/>
    <cellStyle name="표준 7 16 3 2 2 5 2" xfId="40286"/>
    <cellStyle name="표준 7 16 3 2 3 2 2 2" xfId="40287"/>
    <cellStyle name="표준 7 16 3 2 3 3 3" xfId="40288"/>
    <cellStyle name="표준 7 16 3 2 3 3 2 2" xfId="40289"/>
    <cellStyle name="표준 7 16 3 2 3 4 2" xfId="40290"/>
    <cellStyle name="표준 7 16 3 2 3 5 2" xfId="40291"/>
    <cellStyle name="표준 7 16 3 2 4 2 2" xfId="40292"/>
    <cellStyle name="표준 7 16 3 2 5 3" xfId="40293"/>
    <cellStyle name="표준 7 16 3 2 5 2 2" xfId="40294"/>
    <cellStyle name="표준 7 16 3 2 6 2" xfId="40295"/>
    <cellStyle name="표준 7 16 3 2 7 2" xfId="40296"/>
    <cellStyle name="표준 7 16 3 3 2 2 2" xfId="40297"/>
    <cellStyle name="표준 7 16 3 3 3 3" xfId="40298"/>
    <cellStyle name="표준 7 16 3 3 3 2 2" xfId="40299"/>
    <cellStyle name="표준 7 16 3 3 4 2" xfId="40300"/>
    <cellStyle name="표준 7 16 3 3 5 2" xfId="40301"/>
    <cellStyle name="표준 7 16 3 4 2 2 2" xfId="40302"/>
    <cellStyle name="표준 7 16 3 4 3 3" xfId="40303"/>
    <cellStyle name="표준 7 16 3 4 3 2 2" xfId="40304"/>
    <cellStyle name="표준 7 16 3 4 4 2" xfId="40305"/>
    <cellStyle name="표준 7 16 3 4 5 2" xfId="40306"/>
    <cellStyle name="표준 7 16 3 5 2 2" xfId="40307"/>
    <cellStyle name="표준 7 16 3 6 3" xfId="40308"/>
    <cellStyle name="표준 7 16 3 6 2 2" xfId="40309"/>
    <cellStyle name="표준 7 16 3 7 2" xfId="40310"/>
    <cellStyle name="표준 7 16 3 8 2" xfId="40311"/>
    <cellStyle name="표준 7 16 4 2 2 2 2" xfId="40312"/>
    <cellStyle name="표준 7 16 4 2 3 3" xfId="40313"/>
    <cellStyle name="표준 7 16 4 2 3 2 2" xfId="40314"/>
    <cellStyle name="표준 7 16 4 2 4 2" xfId="40315"/>
    <cellStyle name="표준 7 16 4 2 5 2" xfId="40316"/>
    <cellStyle name="표준 7 16 4 3 2 2 2" xfId="40317"/>
    <cellStyle name="표준 7 16 4 3 3 3" xfId="40318"/>
    <cellStyle name="표준 7 16 4 3 3 2 2" xfId="40319"/>
    <cellStyle name="표준 7 16 4 3 4 2" xfId="40320"/>
    <cellStyle name="표준 7 16 4 3 5 2" xfId="40321"/>
    <cellStyle name="표준 7 16 4 4 2 2" xfId="40322"/>
    <cellStyle name="표준 7 16 4 5 3" xfId="40323"/>
    <cellStyle name="표준 7 16 4 5 2 2" xfId="40324"/>
    <cellStyle name="표준 7 16 4 6 2" xfId="40325"/>
    <cellStyle name="표준 7 16 4 7 2" xfId="40326"/>
    <cellStyle name="표준 7 16 5 2 2 2" xfId="40327"/>
    <cellStyle name="표준 7 16 5 3 3" xfId="40328"/>
    <cellStyle name="표준 7 16 5 3 2 2" xfId="40329"/>
    <cellStyle name="표준 7 16 5 4 2" xfId="40330"/>
    <cellStyle name="표준 7 16 5 5 2" xfId="40331"/>
    <cellStyle name="표준 7 16 6 2 2 2" xfId="40332"/>
    <cellStyle name="표준 7 16 6 3 3" xfId="40333"/>
    <cellStyle name="표준 7 16 6 3 2 2" xfId="40334"/>
    <cellStyle name="표준 7 16 6 4 2" xfId="40335"/>
    <cellStyle name="표준 7 16 6 5 2" xfId="40336"/>
    <cellStyle name="표준 7 16 7 2 2" xfId="40337"/>
    <cellStyle name="표준 7 16 8 3" xfId="40338"/>
    <cellStyle name="표준 7 16 8 2 2" xfId="40339"/>
    <cellStyle name="표준 7 16 9 2" xfId="40340"/>
    <cellStyle name="표준 7 17 10 2" xfId="40341"/>
    <cellStyle name="표준 7 17 2 2 2 2 2 2 2" xfId="40342"/>
    <cellStyle name="표준 7 17 2 2 2 2 3 3" xfId="40343"/>
    <cellStyle name="표준 7 17 2 2 2 2 3 2 2" xfId="40344"/>
    <cellStyle name="표준 7 17 2 2 2 2 4 2" xfId="40345"/>
    <cellStyle name="표준 7 17 2 2 2 2 5 2" xfId="40346"/>
    <cellStyle name="표준 7 17 2 2 2 3 2 2 2" xfId="40347"/>
    <cellStyle name="표준 7 17 2 2 2 3 3 3" xfId="40348"/>
    <cellStyle name="표준 7 17 2 2 2 3 3 2 2" xfId="40349"/>
    <cellStyle name="표준 7 17 2 2 2 3 4 2" xfId="40350"/>
    <cellStyle name="표준 7 17 2 2 2 3 5 2" xfId="40351"/>
    <cellStyle name="표준 7 17 2 2 2 4 2 2" xfId="40352"/>
    <cellStyle name="표준 7 17 2 2 2 5 3" xfId="40353"/>
    <cellStyle name="표준 7 17 2 2 2 5 2 2" xfId="40354"/>
    <cellStyle name="표준 7 17 2 2 2 6 2" xfId="40355"/>
    <cellStyle name="표준 7 17 2 2 2 7 2" xfId="40356"/>
    <cellStyle name="표준 7 17 2 2 3 2 2 2" xfId="40357"/>
    <cellStyle name="표준 7 17 2 2 3 3 3" xfId="40358"/>
    <cellStyle name="표준 7 17 2 2 3 3 2 2" xfId="40359"/>
    <cellStyle name="표준 7 17 2 2 3 4 2" xfId="40360"/>
    <cellStyle name="표준 7 17 2 2 3 5 2" xfId="40361"/>
    <cellStyle name="표준 7 17 2 2 4 2 2 2" xfId="40362"/>
    <cellStyle name="표준 7 17 2 2 4 3 3" xfId="40363"/>
    <cellStyle name="표준 7 17 2 2 4 3 2 2" xfId="40364"/>
    <cellStyle name="표준 7 17 2 2 4 4 2" xfId="40365"/>
    <cellStyle name="표준 7 17 2 2 4 5 2" xfId="40366"/>
    <cellStyle name="표준 7 17 2 2 5 2 2" xfId="40367"/>
    <cellStyle name="표준 7 17 2 2 6 3" xfId="40368"/>
    <cellStyle name="표준 7 17 2 2 6 2 2" xfId="40369"/>
    <cellStyle name="표준 7 17 2 2 7 2" xfId="40370"/>
    <cellStyle name="표준 7 17 2 2 8 2" xfId="40371"/>
    <cellStyle name="표준 7 17 2 3 2 2 2 2" xfId="40372"/>
    <cellStyle name="표준 7 17 2 3 2 3 3" xfId="40373"/>
    <cellStyle name="표준 7 17 2 3 2 3 2 2" xfId="40374"/>
    <cellStyle name="표준 7 17 2 3 2 4 2" xfId="40375"/>
    <cellStyle name="표준 7 17 2 3 2 5 2" xfId="40376"/>
    <cellStyle name="표준 7 17 2 3 3 2 2 2" xfId="40377"/>
    <cellStyle name="표준 7 17 2 3 3 3 3" xfId="40378"/>
    <cellStyle name="표준 7 17 2 3 3 3 2 2" xfId="40379"/>
    <cellStyle name="표준 7 17 2 3 3 4 2" xfId="40380"/>
    <cellStyle name="표준 7 17 2 3 3 5 2" xfId="40381"/>
    <cellStyle name="표준 7 17 2 3 4 2 2" xfId="40382"/>
    <cellStyle name="표준 7 17 2 3 5 3" xfId="40383"/>
    <cellStyle name="표준 7 17 2 3 5 2 2" xfId="40384"/>
    <cellStyle name="표준 7 17 2 3 6 2" xfId="40385"/>
    <cellStyle name="표준 7 17 2 3 7 2" xfId="40386"/>
    <cellStyle name="표준 7 17 2 4 2 2 2" xfId="40387"/>
    <cellStyle name="표준 7 17 2 4 3 3" xfId="40388"/>
    <cellStyle name="표준 7 17 2 4 3 2 2" xfId="40389"/>
    <cellStyle name="표준 7 17 2 4 4 2" xfId="40390"/>
    <cellStyle name="표준 7 17 2 4 5 2" xfId="40391"/>
    <cellStyle name="표준 7 17 2 5 2 2 2" xfId="40392"/>
    <cellStyle name="표준 7 17 2 5 3 3" xfId="40393"/>
    <cellStyle name="표준 7 17 2 5 3 2 2" xfId="40394"/>
    <cellStyle name="표준 7 17 2 5 4 2" xfId="40395"/>
    <cellStyle name="표준 7 17 2 5 5 2" xfId="40396"/>
    <cellStyle name="표준 7 17 2 6 2 2" xfId="40397"/>
    <cellStyle name="표준 7 17 2 7 3" xfId="40398"/>
    <cellStyle name="표준 7 17 2 7 2 2" xfId="40399"/>
    <cellStyle name="표준 7 17 2 8 2" xfId="40400"/>
    <cellStyle name="표준 7 17 2 9 2" xfId="40401"/>
    <cellStyle name="표준 7 17 3 2 2 2 2 2" xfId="40402"/>
    <cellStyle name="표준 7 17 3 2 2 3 3" xfId="40403"/>
    <cellStyle name="표준 7 17 3 2 2 3 2 2" xfId="40404"/>
    <cellStyle name="표준 7 17 3 2 2 4 2" xfId="40405"/>
    <cellStyle name="표준 7 17 3 2 2 5 2" xfId="40406"/>
    <cellStyle name="표준 7 17 3 2 3 2 2 2" xfId="40407"/>
    <cellStyle name="표준 7 17 3 2 3 3 3" xfId="40408"/>
    <cellStyle name="표준 7 17 3 2 3 3 2 2" xfId="40409"/>
    <cellStyle name="표준 7 17 3 2 3 4 2" xfId="40410"/>
    <cellStyle name="표준 7 17 3 2 3 5 2" xfId="40411"/>
    <cellStyle name="표준 7 17 3 2 4 2 2" xfId="40412"/>
    <cellStyle name="표준 7 17 3 2 5 3" xfId="40413"/>
    <cellStyle name="표준 7 17 3 2 5 2 2" xfId="40414"/>
    <cellStyle name="표준 7 17 3 2 6 2" xfId="40415"/>
    <cellStyle name="표준 7 17 3 2 7 2" xfId="40416"/>
    <cellStyle name="표준 7 17 3 3 2 2 2" xfId="40417"/>
    <cellStyle name="표준 7 17 3 3 3 3" xfId="40418"/>
    <cellStyle name="표준 7 17 3 3 3 2 2" xfId="40419"/>
    <cellStyle name="표준 7 17 3 3 4 2" xfId="40420"/>
    <cellStyle name="표준 7 17 3 3 5 2" xfId="40421"/>
    <cellStyle name="표준 7 17 3 4 2 2 2" xfId="40422"/>
    <cellStyle name="표준 7 17 3 4 3 3" xfId="40423"/>
    <cellStyle name="표준 7 17 3 4 3 2 2" xfId="40424"/>
    <cellStyle name="표준 7 17 3 4 4 2" xfId="40425"/>
    <cellStyle name="표준 7 17 3 4 5 2" xfId="40426"/>
    <cellStyle name="표준 7 17 3 5 2 2" xfId="40427"/>
    <cellStyle name="표준 7 17 3 6 3" xfId="40428"/>
    <cellStyle name="표준 7 17 3 6 2 2" xfId="40429"/>
    <cellStyle name="표준 7 17 3 7 2" xfId="40430"/>
    <cellStyle name="표준 7 17 3 8 2" xfId="40431"/>
    <cellStyle name="표준 7 17 4 2 2 2 2" xfId="40432"/>
    <cellStyle name="표준 7 17 4 2 3 3" xfId="40433"/>
    <cellStyle name="표준 7 17 4 2 3 2 2" xfId="40434"/>
    <cellStyle name="표준 7 17 4 2 4 2" xfId="40435"/>
    <cellStyle name="표준 7 17 4 2 5 2" xfId="40436"/>
    <cellStyle name="표준 7 17 4 3 2 2 2" xfId="40437"/>
    <cellStyle name="표준 7 17 4 3 3 3" xfId="40438"/>
    <cellStyle name="표준 7 17 4 3 3 2 2" xfId="40439"/>
    <cellStyle name="표준 7 17 4 3 4 2" xfId="40440"/>
    <cellStyle name="표준 7 17 4 3 5 2" xfId="40441"/>
    <cellStyle name="표준 7 17 4 4 2 2" xfId="40442"/>
    <cellStyle name="표준 7 17 4 5 3" xfId="40443"/>
    <cellStyle name="표준 7 17 4 5 2 2" xfId="40444"/>
    <cellStyle name="표준 7 17 4 6 2" xfId="40445"/>
    <cellStyle name="표준 7 17 4 7 2" xfId="40446"/>
    <cellStyle name="표준 7 17 5 2 2 2" xfId="40447"/>
    <cellStyle name="표준 7 17 5 3 3" xfId="40448"/>
    <cellStyle name="표준 7 17 5 3 2 2" xfId="40449"/>
    <cellStyle name="표준 7 17 5 4 2" xfId="40450"/>
    <cellStyle name="표준 7 17 5 5 2" xfId="40451"/>
    <cellStyle name="표준 7 17 6 2 2 2" xfId="40452"/>
    <cellStyle name="표준 7 17 6 3 3" xfId="40453"/>
    <cellStyle name="표준 7 17 6 3 2 2" xfId="40454"/>
    <cellStyle name="표준 7 17 6 4 2" xfId="40455"/>
    <cellStyle name="표준 7 17 6 5 2" xfId="40456"/>
    <cellStyle name="표준 7 17 7 2 2" xfId="40457"/>
    <cellStyle name="표준 7 17 8 3" xfId="40458"/>
    <cellStyle name="표준 7 17 8 2 2" xfId="40459"/>
    <cellStyle name="표준 7 17 9 2" xfId="40460"/>
    <cellStyle name="표준 7 18 10 2" xfId="40461"/>
    <cellStyle name="표준 7 18 2 2 2 2 2 2 2" xfId="40462"/>
    <cellStyle name="표준 7 18 2 2 2 2 3 3" xfId="40463"/>
    <cellStyle name="표준 7 18 2 2 2 2 3 2 2" xfId="40464"/>
    <cellStyle name="표준 7 18 2 2 2 2 4 2" xfId="40465"/>
    <cellStyle name="표준 7 18 2 2 2 2 5 2" xfId="40466"/>
    <cellStyle name="표준 7 18 2 2 2 3 2 2 2" xfId="40467"/>
    <cellStyle name="표준 7 18 2 2 2 3 3 3" xfId="40468"/>
    <cellStyle name="표준 7 18 2 2 2 3 3 2 2" xfId="40469"/>
    <cellStyle name="표준 7 18 2 2 2 3 4 2" xfId="40470"/>
    <cellStyle name="표준 7 18 2 2 2 3 5 2" xfId="40471"/>
    <cellStyle name="표준 7 18 2 2 2 4 2 2" xfId="40472"/>
    <cellStyle name="표준 7 18 2 2 2 5 3" xfId="40473"/>
    <cellStyle name="표준 7 18 2 2 2 5 2 2" xfId="40474"/>
    <cellStyle name="표준 7 18 2 2 2 6 2" xfId="40475"/>
    <cellStyle name="표준 7 18 2 2 2 7 2" xfId="40476"/>
    <cellStyle name="표준 7 18 2 2 3 2 2 2" xfId="40477"/>
    <cellStyle name="표준 7 18 2 2 3 3 3" xfId="40478"/>
    <cellStyle name="표준 7 18 2 2 3 3 2 2" xfId="40479"/>
    <cellStyle name="표준 7 18 2 2 3 4 2" xfId="40480"/>
    <cellStyle name="표준 7 18 2 2 3 5 2" xfId="40481"/>
    <cellStyle name="표준 7 18 2 2 4 2 2 2" xfId="40482"/>
    <cellStyle name="표준 7 18 2 2 4 3 3" xfId="40483"/>
    <cellStyle name="표준 7 18 2 2 4 3 2 2" xfId="40484"/>
    <cellStyle name="표준 7 18 2 2 4 4 2" xfId="40485"/>
    <cellStyle name="표준 7 18 2 2 4 5 2" xfId="40486"/>
    <cellStyle name="표준 7 18 2 2 5 2 2" xfId="40487"/>
    <cellStyle name="표준 7 18 2 2 6 3" xfId="40488"/>
    <cellStyle name="표준 7 18 2 2 6 2 2" xfId="40489"/>
    <cellStyle name="표준 7 18 2 2 7 2" xfId="40490"/>
    <cellStyle name="표준 7 18 2 2 8 2" xfId="40491"/>
    <cellStyle name="표준 7 18 2 3 2 2 2 2" xfId="40492"/>
    <cellStyle name="표준 7 18 2 3 2 3 3" xfId="40493"/>
    <cellStyle name="표준 7 18 2 3 2 3 2 2" xfId="40494"/>
    <cellStyle name="표준 7 18 2 3 2 4 2" xfId="40495"/>
    <cellStyle name="표준 7 18 2 3 2 5 2" xfId="40496"/>
    <cellStyle name="표준 7 18 2 3 3 2 2 2" xfId="40497"/>
    <cellStyle name="표준 7 18 2 3 3 3 3" xfId="40498"/>
    <cellStyle name="표준 7 18 2 3 3 3 2 2" xfId="40499"/>
    <cellStyle name="표준 7 18 2 3 3 4 2" xfId="40500"/>
    <cellStyle name="표준 7 18 2 3 3 5 2" xfId="40501"/>
    <cellStyle name="표준 7 18 2 3 4 2 2" xfId="40502"/>
    <cellStyle name="표준 7 18 2 3 5 3" xfId="40503"/>
    <cellStyle name="표준 7 18 2 3 5 2 2" xfId="40504"/>
    <cellStyle name="표준 7 18 2 3 6 2" xfId="40505"/>
    <cellStyle name="표준 7 18 2 3 7 2" xfId="40506"/>
    <cellStyle name="표준 7 18 2 4 2 2 2" xfId="40507"/>
    <cellStyle name="표준 7 18 2 4 3 3" xfId="40508"/>
    <cellStyle name="표준 7 18 2 4 3 2 2" xfId="40509"/>
    <cellStyle name="표준 7 18 2 4 4 2" xfId="40510"/>
    <cellStyle name="표준 7 18 2 4 5 2" xfId="40511"/>
    <cellStyle name="표준 7 18 2 5 2 2 2" xfId="40512"/>
    <cellStyle name="표준 7 18 2 5 3 3" xfId="40513"/>
    <cellStyle name="표준 7 18 2 5 3 2 2" xfId="40514"/>
    <cellStyle name="표준 7 18 2 5 4 2" xfId="40515"/>
    <cellStyle name="표준 7 18 2 5 5 2" xfId="40516"/>
    <cellStyle name="표준 7 18 2 6 2 2" xfId="40517"/>
    <cellStyle name="표준 7 18 2 7 3" xfId="40518"/>
    <cellStyle name="표준 7 18 2 7 2 2" xfId="40519"/>
    <cellStyle name="표준 7 18 2 8 2" xfId="40520"/>
    <cellStyle name="표준 7 18 2 9 2" xfId="40521"/>
    <cellStyle name="표준 7 18 3 2 2 2 2 2" xfId="40522"/>
    <cellStyle name="표준 7 18 3 2 2 3 3" xfId="40523"/>
    <cellStyle name="표준 7 18 3 2 2 3 2 2" xfId="40524"/>
    <cellStyle name="표준 7 18 3 2 2 4 2" xfId="40525"/>
    <cellStyle name="표준 7 18 3 2 2 5 2" xfId="40526"/>
    <cellStyle name="표준 7 18 3 2 3 2 2 2" xfId="40527"/>
    <cellStyle name="표준 7 18 3 2 3 3 3" xfId="40528"/>
    <cellStyle name="표준 7 18 3 2 3 3 2 2" xfId="40529"/>
    <cellStyle name="표준 7 18 3 2 3 4 2" xfId="40530"/>
    <cellStyle name="표준 7 18 3 2 3 5 2" xfId="40531"/>
    <cellStyle name="표준 7 18 3 2 4 2 2" xfId="40532"/>
    <cellStyle name="표준 7 18 3 2 5 3" xfId="40533"/>
    <cellStyle name="표준 7 18 3 2 5 2 2" xfId="40534"/>
    <cellStyle name="표준 7 18 3 2 6 2" xfId="40535"/>
    <cellStyle name="표준 7 18 3 2 7 2" xfId="40536"/>
    <cellStyle name="표준 7 18 3 3 2 2 2" xfId="40537"/>
    <cellStyle name="표준 7 18 3 3 3 3" xfId="40538"/>
    <cellStyle name="표준 7 18 3 3 3 2 2" xfId="40539"/>
    <cellStyle name="표준 7 18 3 3 4 2" xfId="40540"/>
    <cellStyle name="표준 7 18 3 3 5 2" xfId="40541"/>
    <cellStyle name="표준 7 18 3 4 2 2 2" xfId="40542"/>
    <cellStyle name="표준 7 18 3 4 3 3" xfId="40543"/>
    <cellStyle name="표준 7 18 3 4 3 2 2" xfId="40544"/>
    <cellStyle name="표준 7 18 3 4 4 2" xfId="40545"/>
    <cellStyle name="표준 7 18 3 4 5 2" xfId="40546"/>
    <cellStyle name="표준 7 18 3 5 2 2" xfId="40547"/>
    <cellStyle name="표준 7 18 3 6 3" xfId="40548"/>
    <cellStyle name="표준 7 18 3 6 2 2" xfId="40549"/>
    <cellStyle name="표준 7 18 3 7 2" xfId="40550"/>
    <cellStyle name="표준 7 18 3 8 2" xfId="40551"/>
    <cellStyle name="표준 7 18 4 2 2 2 2" xfId="40552"/>
    <cellStyle name="표준 7 18 4 2 3 3" xfId="40553"/>
    <cellStyle name="표준 7 18 4 2 3 2 2" xfId="40554"/>
    <cellStyle name="표준 7 18 4 2 4 2" xfId="40555"/>
    <cellStyle name="표준 7 18 4 2 5 2" xfId="40556"/>
    <cellStyle name="표준 7 18 4 3 2 2 2" xfId="40557"/>
    <cellStyle name="표준 7 18 4 3 3 3" xfId="40558"/>
    <cellStyle name="표준 7 18 4 3 3 2 2" xfId="40559"/>
    <cellStyle name="표준 7 18 4 3 4 2" xfId="40560"/>
    <cellStyle name="표준 7 18 4 3 5 2" xfId="40561"/>
    <cellStyle name="표준 7 18 4 4 2 2" xfId="40562"/>
    <cellStyle name="표준 7 18 4 5 3" xfId="40563"/>
    <cellStyle name="표준 7 18 4 5 2 2" xfId="40564"/>
    <cellStyle name="표준 7 18 4 6 2" xfId="40565"/>
    <cellStyle name="표준 7 18 4 7 2" xfId="40566"/>
    <cellStyle name="표준 7 18 5 2 2 2" xfId="40567"/>
    <cellStyle name="표준 7 18 5 3 3" xfId="40568"/>
    <cellStyle name="표준 7 18 5 3 2 2" xfId="40569"/>
    <cellStyle name="표준 7 18 5 4 2" xfId="40570"/>
    <cellStyle name="표준 7 18 5 5 2" xfId="40571"/>
    <cellStyle name="표준 7 18 6 2 2 2" xfId="40572"/>
    <cellStyle name="표준 7 18 6 3 3" xfId="40573"/>
    <cellStyle name="표준 7 18 6 3 2 2" xfId="40574"/>
    <cellStyle name="표준 7 18 6 4 2" xfId="40575"/>
    <cellStyle name="표준 7 18 6 5 2" xfId="40576"/>
    <cellStyle name="표준 7 18 7 2 2" xfId="40577"/>
    <cellStyle name="표준 7 18 8 3" xfId="40578"/>
    <cellStyle name="표준 7 18 8 2 2" xfId="40579"/>
    <cellStyle name="표준 7 18 9 2" xfId="40580"/>
    <cellStyle name="표준 7 2 10 2 2 2" xfId="40581"/>
    <cellStyle name="표준 7 2 10 3 3" xfId="40582"/>
    <cellStyle name="표준 7 2 10 3 2 2" xfId="40583"/>
    <cellStyle name="표준 7 2 10 4 2" xfId="40584"/>
    <cellStyle name="표준 7 2 10 5 2" xfId="40585"/>
    <cellStyle name="표준 7 2 11 2 2" xfId="40586"/>
    <cellStyle name="표준 7 2 12 3" xfId="40587"/>
    <cellStyle name="표준 7 2 12 2 2" xfId="40588"/>
    <cellStyle name="표준 7 2 13 2" xfId="40589"/>
    <cellStyle name="표준 7 2 14 2" xfId="40590"/>
    <cellStyle name="표준 7 2 3 10 2" xfId="40591"/>
    <cellStyle name="표준 7 2 3 2 2 2 2 2 2 2" xfId="40592"/>
    <cellStyle name="표준 7 2 3 2 2 2 2 3 3" xfId="40593"/>
    <cellStyle name="표준 7 2 3 2 2 2 2 3 2 2" xfId="40594"/>
    <cellStyle name="표준 7 2 3 2 2 2 2 4 2" xfId="40595"/>
    <cellStyle name="표준 7 2 3 2 2 2 2 5 2" xfId="40596"/>
    <cellStyle name="표준 7 2 3 2 2 2 3 2 2 2" xfId="40597"/>
    <cellStyle name="표준 7 2 3 2 2 2 3 3 3" xfId="40598"/>
    <cellStyle name="표준 7 2 3 2 2 2 3 3 2 2" xfId="40599"/>
    <cellStyle name="표준 7 2 3 2 2 2 3 4 2" xfId="40600"/>
    <cellStyle name="표준 7 2 3 2 2 2 3 5 2" xfId="40601"/>
    <cellStyle name="표준 7 2 3 2 2 2 4 2 2" xfId="40602"/>
    <cellStyle name="표준 7 2 3 2 2 2 5 3" xfId="40603"/>
    <cellStyle name="표준 7 2 3 2 2 2 5 2 2" xfId="40604"/>
    <cellStyle name="표준 7 2 3 2 2 2 6 2" xfId="40605"/>
    <cellStyle name="표준 7 2 3 2 2 2 7 2" xfId="40606"/>
    <cellStyle name="표준 7 2 3 2 2 3 2 2 2" xfId="40607"/>
    <cellStyle name="표준 7 2 3 2 2 3 3 3" xfId="40608"/>
    <cellStyle name="표준 7 2 3 2 2 3 3 2 2" xfId="40609"/>
    <cellStyle name="표준 7 2 3 2 2 3 4 2" xfId="40610"/>
    <cellStyle name="표준 7 2 3 2 2 3 5 2" xfId="40611"/>
    <cellStyle name="표준 7 2 3 2 2 4 2 2 2" xfId="40612"/>
    <cellStyle name="표준 7 2 3 2 2 4 3 3" xfId="40613"/>
    <cellStyle name="표준 7 2 3 2 2 4 3 2 2" xfId="40614"/>
    <cellStyle name="표준 7 2 3 2 2 4 4 2" xfId="40615"/>
    <cellStyle name="표준 7 2 3 2 2 4 5 2" xfId="40616"/>
    <cellStyle name="표준 7 2 3 2 2 5 2 2" xfId="40617"/>
    <cellStyle name="표준 7 2 3 2 2 6 3" xfId="40618"/>
    <cellStyle name="표준 7 2 3 2 2 6 2 2" xfId="40619"/>
    <cellStyle name="표준 7 2 3 2 2 7 2" xfId="40620"/>
    <cellStyle name="표준 7 2 3 2 2 8 2" xfId="40621"/>
    <cellStyle name="표준 7 2 3 2 3 2 2 2 2" xfId="40622"/>
    <cellStyle name="표준 7 2 3 2 3 2 3 3" xfId="40623"/>
    <cellStyle name="표준 7 2 3 2 3 2 3 2 2" xfId="40624"/>
    <cellStyle name="표준 7 2 3 2 3 2 4 2" xfId="40625"/>
    <cellStyle name="표준 7 2 3 2 3 2 5 2" xfId="40626"/>
    <cellStyle name="표준 7 2 3 2 3 3 2 2 2" xfId="40627"/>
    <cellStyle name="표준 7 2 3 2 3 3 3 3" xfId="40628"/>
    <cellStyle name="표준 7 2 3 2 3 3 3 2 2" xfId="40629"/>
    <cellStyle name="표준 7 2 3 2 3 3 4 2" xfId="40630"/>
    <cellStyle name="표준 7 2 3 2 3 3 5 2" xfId="40631"/>
    <cellStyle name="표준 7 2 3 2 3 4 2 2" xfId="40632"/>
    <cellStyle name="표준 7 2 3 2 3 5 3" xfId="40633"/>
    <cellStyle name="표준 7 2 3 2 3 5 2 2" xfId="40634"/>
    <cellStyle name="표준 7 2 3 2 3 6 2" xfId="40635"/>
    <cellStyle name="표준 7 2 3 2 3 7 2" xfId="40636"/>
    <cellStyle name="표준 7 2 3 2 4 2 2 2" xfId="40637"/>
    <cellStyle name="표준 7 2 3 2 4 3 3" xfId="40638"/>
    <cellStyle name="표준 7 2 3 2 4 3 2 2" xfId="40639"/>
    <cellStyle name="표준 7 2 3 2 4 4 2" xfId="40640"/>
    <cellStyle name="표준 7 2 3 2 4 5 2" xfId="40641"/>
    <cellStyle name="표준 7 2 3 2 5 2 2 2" xfId="40642"/>
    <cellStyle name="표준 7 2 3 2 5 3 3" xfId="40643"/>
    <cellStyle name="표준 7 2 3 2 5 3 2 2" xfId="40644"/>
    <cellStyle name="표준 7 2 3 2 5 4 2" xfId="40645"/>
    <cellStyle name="표준 7 2 3 2 5 5 2" xfId="40646"/>
    <cellStyle name="표준 7 2 3 2 6 2 2" xfId="40647"/>
    <cellStyle name="표준 7 2 3 2 7 3" xfId="40648"/>
    <cellStyle name="표준 7 2 3 2 7 2 2" xfId="40649"/>
    <cellStyle name="표준 7 2 3 2 8 2" xfId="40650"/>
    <cellStyle name="표준 7 2 3 2 9 2" xfId="40651"/>
    <cellStyle name="표준 7 2 3 3 2 2 2 2 2" xfId="40652"/>
    <cellStyle name="표준 7 2 3 3 2 2 3 3" xfId="40653"/>
    <cellStyle name="표준 7 2 3 3 2 2 3 2 2" xfId="40654"/>
    <cellStyle name="표준 7 2 3 3 2 2 4 2" xfId="40655"/>
    <cellStyle name="표준 7 2 3 3 2 2 5 2" xfId="40656"/>
    <cellStyle name="표준 7 2 3 3 2 3 2 2 2" xfId="40657"/>
    <cellStyle name="표준 7 2 3 3 2 3 3 3" xfId="40658"/>
    <cellStyle name="표준 7 2 3 3 2 3 3 2 2" xfId="40659"/>
    <cellStyle name="표준 7 2 3 3 2 3 4 2" xfId="40660"/>
    <cellStyle name="표준 7 2 3 3 2 3 5 2" xfId="40661"/>
    <cellStyle name="표준 7 2 3 3 2 4 2 2" xfId="40662"/>
    <cellStyle name="표준 7 2 3 3 2 5 3" xfId="40663"/>
    <cellStyle name="표준 7 2 3 3 2 5 2 2" xfId="40664"/>
    <cellStyle name="표준 7 2 3 3 2 6 2" xfId="40665"/>
    <cellStyle name="표준 7 2 3 3 2 7 2" xfId="40666"/>
    <cellStyle name="표준 7 2 3 3 3 2 2 2" xfId="40667"/>
    <cellStyle name="표준 7 2 3 3 3 3 3" xfId="40668"/>
    <cellStyle name="표준 7 2 3 3 3 3 2 2" xfId="40669"/>
    <cellStyle name="표준 7 2 3 3 3 4 2" xfId="40670"/>
    <cellStyle name="표준 7 2 3 3 3 5 2" xfId="40671"/>
    <cellStyle name="표준 7 2 3 3 4 2 2 2" xfId="40672"/>
    <cellStyle name="표준 7 2 3 3 4 3 3" xfId="40673"/>
    <cellStyle name="표준 7 2 3 3 4 3 2 2" xfId="40674"/>
    <cellStyle name="표준 7 2 3 3 4 4 2" xfId="40675"/>
    <cellStyle name="표준 7 2 3 3 4 5 2" xfId="40676"/>
    <cellStyle name="표준 7 2 3 3 5 2 2" xfId="40677"/>
    <cellStyle name="표준 7 2 3 3 6 3" xfId="40678"/>
    <cellStyle name="표준 7 2 3 3 6 2 2" xfId="40679"/>
    <cellStyle name="표준 7 2 3 3 7 2" xfId="40680"/>
    <cellStyle name="표준 7 2 3 3 8 2" xfId="40681"/>
    <cellStyle name="표준 7 2 3 4 2 2 2 2" xfId="40682"/>
    <cellStyle name="표준 7 2 3 4 2 3 3" xfId="40683"/>
    <cellStyle name="표준 7 2 3 4 2 3 2 2" xfId="40684"/>
    <cellStyle name="표준 7 2 3 4 2 4 2" xfId="40685"/>
    <cellStyle name="표준 7 2 3 4 2 5 2" xfId="40686"/>
    <cellStyle name="표준 7 2 3 4 3 2 2 2" xfId="40687"/>
    <cellStyle name="표준 7 2 3 4 3 3 3" xfId="40688"/>
    <cellStyle name="표준 7 2 3 4 3 3 2 2" xfId="40689"/>
    <cellStyle name="표준 7 2 3 4 3 4 2" xfId="40690"/>
    <cellStyle name="표준 7 2 3 4 3 5 2" xfId="40691"/>
    <cellStyle name="표준 7 2 3 4 4 2 2" xfId="40692"/>
    <cellStyle name="표준 7 2 3 4 5 3" xfId="40693"/>
    <cellStyle name="표준 7 2 3 4 5 2 2" xfId="40694"/>
    <cellStyle name="표준 7 2 3 4 6 2" xfId="40695"/>
    <cellStyle name="표준 7 2 3 4 7 2" xfId="40696"/>
    <cellStyle name="표준 7 2 3 5 2 2 2" xfId="40697"/>
    <cellStyle name="표준 7 2 3 5 3 3" xfId="40698"/>
    <cellStyle name="표준 7 2 3 5 3 2 2" xfId="40699"/>
    <cellStyle name="표준 7 2 3 5 4 2" xfId="40700"/>
    <cellStyle name="표준 7 2 3 5 5 2" xfId="40701"/>
    <cellStyle name="표준 7 2 3 6 2 2 2" xfId="40702"/>
    <cellStyle name="표준 7 2 3 6 3 3" xfId="40703"/>
    <cellStyle name="표준 7 2 3 6 3 2 2" xfId="40704"/>
    <cellStyle name="표준 7 2 3 6 4 2" xfId="40705"/>
    <cellStyle name="표준 7 2 3 6 5 2" xfId="40706"/>
    <cellStyle name="표준 7 2 3 7 2 2" xfId="40707"/>
    <cellStyle name="표준 7 2 3 8 3" xfId="40708"/>
    <cellStyle name="표준 7 2 3 8 2 2" xfId="40709"/>
    <cellStyle name="표준 7 2 3 9 2" xfId="40710"/>
    <cellStyle name="표준 7 2 4 10 2" xfId="40711"/>
    <cellStyle name="표준 7 2 4 2 2 2 2 2 2 2" xfId="40712"/>
    <cellStyle name="표준 7 2 4 2 2 2 2 3 3" xfId="40713"/>
    <cellStyle name="표준 7 2 4 2 2 2 2 3 2 2" xfId="40714"/>
    <cellStyle name="표준 7 2 4 2 2 2 2 4 2" xfId="40715"/>
    <cellStyle name="표준 7 2 4 2 2 2 2 5 2" xfId="40716"/>
    <cellStyle name="표준 7 2 4 2 2 2 3 2 2 2" xfId="40717"/>
    <cellStyle name="표준 7 2 4 2 2 2 3 3 3" xfId="40718"/>
    <cellStyle name="표준 7 2 4 2 2 2 3 3 2 2" xfId="40719"/>
    <cellStyle name="표준 7 2 4 2 2 2 3 4 2" xfId="40720"/>
    <cellStyle name="표준 7 2 4 2 2 2 3 5 2" xfId="40721"/>
    <cellStyle name="표준 7 2 4 2 2 2 4 2 2" xfId="40722"/>
    <cellStyle name="표준 7 2 4 2 2 2 5 3" xfId="40723"/>
    <cellStyle name="표준 7 2 4 2 2 2 5 2 2" xfId="40724"/>
    <cellStyle name="표준 7 2 4 2 2 2 6 2" xfId="40725"/>
    <cellStyle name="표준 7 2 4 2 2 2 7 2" xfId="40726"/>
    <cellStyle name="표준 7 2 4 2 2 3 2 2 2" xfId="40727"/>
    <cellStyle name="표준 7 2 4 2 2 3 3 3" xfId="40728"/>
    <cellStyle name="표준 7 2 4 2 2 3 3 2 2" xfId="40729"/>
    <cellStyle name="표준 7 2 4 2 2 3 4 2" xfId="40730"/>
    <cellStyle name="표준 7 2 4 2 2 3 5 2" xfId="40731"/>
    <cellStyle name="표준 7 2 4 2 2 4 2 2 2" xfId="40732"/>
    <cellStyle name="표준 7 2 4 2 2 4 3 3" xfId="40733"/>
    <cellStyle name="표준 7 2 4 2 2 4 3 2 2" xfId="40734"/>
    <cellStyle name="표준 7 2 4 2 2 4 4 2" xfId="40735"/>
    <cellStyle name="표준 7 2 4 2 2 4 5 2" xfId="40736"/>
    <cellStyle name="표준 7 2 4 2 2 5 2 2" xfId="40737"/>
    <cellStyle name="표준 7 2 4 2 2 6 3" xfId="40738"/>
    <cellStyle name="표준 7 2 4 2 2 6 2 2" xfId="40739"/>
    <cellStyle name="표준 7 2 4 2 2 7 2" xfId="40740"/>
    <cellStyle name="표준 7 2 4 2 2 8 2" xfId="40741"/>
    <cellStyle name="표준 7 2 4 2 3 2 2 2 2" xfId="40742"/>
    <cellStyle name="표준 7 2 4 2 3 2 3 3" xfId="40743"/>
    <cellStyle name="표준 7 2 4 2 3 2 3 2 2" xfId="40744"/>
    <cellStyle name="표준 7 2 4 2 3 2 4 2" xfId="40745"/>
    <cellStyle name="표준 7 2 4 2 3 2 5 2" xfId="40746"/>
    <cellStyle name="표준 7 2 4 2 3 3 2 2 2" xfId="40747"/>
    <cellStyle name="표준 7 2 4 2 3 3 3 3" xfId="40748"/>
    <cellStyle name="표준 7 2 4 2 3 3 3 2 2" xfId="40749"/>
    <cellStyle name="표준 7 2 4 2 3 3 4 2" xfId="40750"/>
    <cellStyle name="표준 7 2 4 2 3 3 5 2" xfId="40751"/>
    <cellStyle name="표준 7 2 4 2 3 4 2 2" xfId="40752"/>
    <cellStyle name="표준 7 2 4 2 3 5 3" xfId="40753"/>
    <cellStyle name="표준 7 2 4 2 3 5 2 2" xfId="40754"/>
    <cellStyle name="표준 7 2 4 2 3 6 2" xfId="40755"/>
    <cellStyle name="표준 7 2 4 2 3 7 2" xfId="40756"/>
    <cellStyle name="표준 7 2 4 2 4 2 2 2" xfId="40757"/>
    <cellStyle name="표준 7 2 4 2 4 3 3" xfId="40758"/>
    <cellStyle name="표준 7 2 4 2 4 3 2 2" xfId="40759"/>
    <cellStyle name="표준 7 2 4 2 4 4 2" xfId="40760"/>
    <cellStyle name="표준 7 2 4 2 4 5 2" xfId="40761"/>
    <cellStyle name="표준 7 2 4 2 5 2 2 2" xfId="40762"/>
    <cellStyle name="표준 7 2 4 2 5 3 3" xfId="40763"/>
    <cellStyle name="표준 7 2 4 2 5 3 2 2" xfId="40764"/>
    <cellStyle name="표준 7 2 4 2 5 4 2" xfId="40765"/>
    <cellStyle name="표준 7 2 4 2 5 5 2" xfId="40766"/>
    <cellStyle name="표준 7 2 4 2 6 2 2" xfId="40767"/>
    <cellStyle name="표준 7 2 4 2 7 3" xfId="40768"/>
    <cellStyle name="표준 7 2 4 2 7 2 2" xfId="40769"/>
    <cellStyle name="표준 7 2 4 2 8 2" xfId="40770"/>
    <cellStyle name="표준 7 2 4 2 9 2" xfId="40771"/>
    <cellStyle name="표준 7 2 4 3 2 2 2 2 2" xfId="40772"/>
    <cellStyle name="표준 7 2 4 3 2 2 3 3" xfId="40773"/>
    <cellStyle name="표준 7 2 4 3 2 2 3 2 2" xfId="40774"/>
    <cellStyle name="표준 7 2 4 3 2 2 4 2" xfId="40775"/>
    <cellStyle name="표준 7 2 4 3 2 2 5 2" xfId="40776"/>
    <cellStyle name="표준 7 2 4 3 2 3 2 2 2" xfId="40777"/>
    <cellStyle name="표준 7 2 4 3 2 3 3 3" xfId="40778"/>
    <cellStyle name="표준 7 2 4 3 2 3 3 2 2" xfId="40779"/>
    <cellStyle name="표준 7 2 4 3 2 3 4 2" xfId="40780"/>
    <cellStyle name="표준 7 2 4 3 2 3 5 2" xfId="40781"/>
    <cellStyle name="표준 7 2 4 3 2 4 2 2" xfId="40782"/>
    <cellStyle name="표준 7 2 4 3 2 5 3" xfId="40783"/>
    <cellStyle name="표준 7 2 4 3 2 5 2 2" xfId="40784"/>
    <cellStyle name="표준 7 2 4 3 2 6 2" xfId="40785"/>
    <cellStyle name="표준 7 2 4 3 2 7 2" xfId="40786"/>
    <cellStyle name="표준 7 2 4 3 3 2 2 2" xfId="40787"/>
    <cellStyle name="표준 7 2 4 3 3 3 3" xfId="40788"/>
    <cellStyle name="표준 7 2 4 3 3 3 2 2" xfId="40789"/>
    <cellStyle name="표준 7 2 4 3 3 4 2" xfId="40790"/>
    <cellStyle name="표준 7 2 4 3 3 5 2" xfId="40791"/>
    <cellStyle name="표준 7 2 4 3 4 2 2 2" xfId="40792"/>
    <cellStyle name="표준 7 2 4 3 4 3 3" xfId="40793"/>
    <cellStyle name="표준 7 2 4 3 4 3 2 2" xfId="40794"/>
    <cellStyle name="표준 7 2 4 3 4 4 2" xfId="40795"/>
    <cellStyle name="표준 7 2 4 3 4 5 2" xfId="40796"/>
    <cellStyle name="표준 7 2 4 3 5 2 2" xfId="40797"/>
    <cellStyle name="표준 7 2 4 3 6 3" xfId="40798"/>
    <cellStyle name="표준 7 2 4 3 6 2 2" xfId="40799"/>
    <cellStyle name="표준 7 2 4 3 7 2" xfId="40800"/>
    <cellStyle name="표준 7 2 4 3 8 2" xfId="40801"/>
    <cellStyle name="표준 7 2 4 4 2 2 2 2" xfId="40802"/>
    <cellStyle name="표준 7 2 4 4 2 3 3" xfId="40803"/>
    <cellStyle name="표준 7 2 4 4 2 3 2 2" xfId="40804"/>
    <cellStyle name="표준 7 2 4 4 2 4 2" xfId="40805"/>
    <cellStyle name="표준 7 2 4 4 2 5 2" xfId="40806"/>
    <cellStyle name="표준 7 2 4 4 3 2 2 2" xfId="40807"/>
    <cellStyle name="표준 7 2 4 4 3 3 3" xfId="40808"/>
    <cellStyle name="표준 7 2 4 4 3 3 2 2" xfId="40809"/>
    <cellStyle name="표준 7 2 4 4 3 4 2" xfId="40810"/>
    <cellStyle name="표준 7 2 4 4 3 5 2" xfId="40811"/>
    <cellStyle name="표준 7 2 4 4 4 2 2" xfId="40812"/>
    <cellStyle name="표준 7 2 4 4 5 3" xfId="40813"/>
    <cellStyle name="표준 7 2 4 4 5 2 2" xfId="40814"/>
    <cellStyle name="표준 7 2 4 4 6 2" xfId="40815"/>
    <cellStyle name="표준 7 2 4 4 7 2" xfId="40816"/>
    <cellStyle name="표준 7 2 4 5 2 2 2" xfId="40817"/>
    <cellStyle name="표준 7 2 4 5 3 3" xfId="40818"/>
    <cellStyle name="표준 7 2 4 5 3 2 2" xfId="40819"/>
    <cellStyle name="표준 7 2 4 5 4 2" xfId="40820"/>
    <cellStyle name="표준 7 2 4 5 5 2" xfId="40821"/>
    <cellStyle name="표준 7 2 4 6 2 2 2" xfId="40822"/>
    <cellStyle name="표준 7 2 4 6 3 3" xfId="40823"/>
    <cellStyle name="표준 7 2 4 6 3 2 2" xfId="40824"/>
    <cellStyle name="표준 7 2 4 6 4 2" xfId="40825"/>
    <cellStyle name="표준 7 2 4 6 5 2" xfId="40826"/>
    <cellStyle name="표준 7 2 4 7 2 2" xfId="40827"/>
    <cellStyle name="표준 7 2 4 8 3" xfId="40828"/>
    <cellStyle name="표준 7 2 4 8 2 2" xfId="40829"/>
    <cellStyle name="표준 7 2 4 9 2" xfId="40830"/>
    <cellStyle name="표준 7 2 5 10 2" xfId="40831"/>
    <cellStyle name="표준 7 2 5 2 2 2 2 2 2 2" xfId="40832"/>
    <cellStyle name="표준 7 2 5 2 2 2 2 3 3" xfId="40833"/>
    <cellStyle name="표준 7 2 5 2 2 2 2 3 2 2" xfId="40834"/>
    <cellStyle name="표준 7 2 5 2 2 2 2 4 2" xfId="40835"/>
    <cellStyle name="표준 7 2 5 2 2 2 2 5 2" xfId="40836"/>
    <cellStyle name="표준 7 2 5 2 2 2 3 2 2 2" xfId="40837"/>
    <cellStyle name="표준 7 2 5 2 2 2 3 3 3" xfId="40838"/>
    <cellStyle name="표준 7 2 5 2 2 2 3 3 2 2" xfId="40839"/>
    <cellStyle name="표준 7 2 5 2 2 2 3 4 2" xfId="40840"/>
    <cellStyle name="표준 7 2 5 2 2 2 3 5 2" xfId="40841"/>
    <cellStyle name="표준 7 2 5 2 2 2 4 2 2" xfId="40842"/>
    <cellStyle name="표준 7 2 5 2 2 2 5 3" xfId="40843"/>
    <cellStyle name="표준 7 2 5 2 2 2 5 2 2" xfId="40844"/>
    <cellStyle name="표준 7 2 5 2 2 2 6 2" xfId="40845"/>
    <cellStyle name="표준 7 2 5 2 2 2 7 2" xfId="40846"/>
    <cellStyle name="표준 7 2 5 2 2 3 2 2 2" xfId="40847"/>
    <cellStyle name="표준 7 2 5 2 2 3 3 3" xfId="40848"/>
    <cellStyle name="표준 7 2 5 2 2 3 3 2 2" xfId="40849"/>
    <cellStyle name="표준 7 2 5 2 2 3 4 2" xfId="40850"/>
    <cellStyle name="표준 7 2 5 2 2 3 5 2" xfId="40851"/>
    <cellStyle name="표준 7 2 5 2 2 4 2 2 2" xfId="40852"/>
    <cellStyle name="표준 7 2 5 2 2 4 3 3" xfId="40853"/>
    <cellStyle name="표준 7 2 5 2 2 4 3 2 2" xfId="40854"/>
    <cellStyle name="표준 7 2 5 2 2 4 4 2" xfId="40855"/>
    <cellStyle name="표준 7 2 5 2 2 4 5 2" xfId="40856"/>
    <cellStyle name="표준 7 2 5 2 2 5 2 2" xfId="40857"/>
    <cellStyle name="표준 7 2 5 2 2 6 3" xfId="40858"/>
    <cellStyle name="표준 7 2 5 2 2 6 2 2" xfId="40859"/>
    <cellStyle name="표준 7 2 5 2 2 7 2" xfId="40860"/>
    <cellStyle name="표준 7 2 5 2 2 8 2" xfId="40861"/>
    <cellStyle name="표준 7 2 5 2 3 2 2 2 2" xfId="40862"/>
    <cellStyle name="표준 7 2 5 2 3 2 3 3" xfId="40863"/>
    <cellStyle name="표준 7 2 5 2 3 2 3 2 2" xfId="40864"/>
    <cellStyle name="표준 7 2 5 2 3 2 4 2" xfId="40865"/>
    <cellStyle name="표준 7 2 5 2 3 2 5 2" xfId="40866"/>
    <cellStyle name="표준 7 2 5 2 3 3 2 2 2" xfId="40867"/>
    <cellStyle name="표준 7 2 5 2 3 3 3 3" xfId="40868"/>
    <cellStyle name="표준 7 2 5 2 3 3 3 2 2" xfId="40869"/>
    <cellStyle name="표준 7 2 5 2 3 3 4 2" xfId="40870"/>
    <cellStyle name="표준 7 2 5 2 3 3 5 2" xfId="40871"/>
    <cellStyle name="표준 7 2 5 2 3 4 2 2" xfId="40872"/>
    <cellStyle name="표준 7 2 5 2 3 5 3" xfId="40873"/>
    <cellStyle name="표준 7 2 5 2 3 5 2 2" xfId="40874"/>
    <cellStyle name="표준 7 2 5 2 3 6 2" xfId="40875"/>
    <cellStyle name="표준 7 2 5 2 3 7 2" xfId="40876"/>
    <cellStyle name="표준 7 2 5 2 4 2 2 2" xfId="40877"/>
    <cellStyle name="표준 7 2 5 2 4 3 3" xfId="40878"/>
    <cellStyle name="표준 7 2 5 2 4 3 2 2" xfId="40879"/>
    <cellStyle name="표준 7 2 5 2 4 4 2" xfId="40880"/>
    <cellStyle name="표준 7 2 5 2 4 5 2" xfId="40881"/>
    <cellStyle name="표준 7 2 5 2 5 2 2 2" xfId="40882"/>
    <cellStyle name="표준 7 2 5 2 5 3 3" xfId="40883"/>
    <cellStyle name="표준 7 2 5 2 5 3 2 2" xfId="40884"/>
    <cellStyle name="표준 7 2 5 2 5 4 2" xfId="40885"/>
    <cellStyle name="표준 7 2 5 2 5 5 2" xfId="40886"/>
    <cellStyle name="표준 7 2 5 2 6 2 2" xfId="40887"/>
    <cellStyle name="표준 7 2 5 2 7 3" xfId="40888"/>
    <cellStyle name="표준 7 2 5 2 7 2 2" xfId="40889"/>
    <cellStyle name="표준 7 2 5 2 8 2" xfId="40890"/>
    <cellStyle name="표준 7 2 5 2 9 2" xfId="40891"/>
    <cellStyle name="표준 7 2 5 3 2 2 2 2 2" xfId="40892"/>
    <cellStyle name="표준 7 2 5 3 2 2 3 3" xfId="40893"/>
    <cellStyle name="표준 7 2 5 3 2 2 3 2 2" xfId="40894"/>
    <cellStyle name="표준 7 2 5 3 2 2 4 2" xfId="40895"/>
    <cellStyle name="표준 7 2 5 3 2 2 5 2" xfId="40896"/>
    <cellStyle name="표준 7 2 5 3 2 3 2 2 2" xfId="40897"/>
    <cellStyle name="표준 7 2 5 3 2 3 3 3" xfId="40898"/>
    <cellStyle name="표준 7 2 5 3 2 3 3 2 2" xfId="40899"/>
    <cellStyle name="표준 7 2 5 3 2 3 4 2" xfId="40900"/>
    <cellStyle name="표준 7 2 5 3 2 3 5 2" xfId="40901"/>
    <cellStyle name="표준 7 2 5 3 2 4 2 2" xfId="40902"/>
    <cellStyle name="표준 7 2 5 3 2 5 3" xfId="40903"/>
    <cellStyle name="표준 7 2 5 3 2 5 2 2" xfId="40904"/>
    <cellStyle name="표준 7 2 5 3 2 6 2" xfId="40905"/>
    <cellStyle name="표준 7 2 5 3 2 7 2" xfId="40906"/>
    <cellStyle name="표준 7 2 5 3 3 2 2 2" xfId="40907"/>
    <cellStyle name="표준 7 2 5 3 3 3 3" xfId="40908"/>
    <cellStyle name="표준 7 2 5 3 3 3 2 2" xfId="40909"/>
    <cellStyle name="표준 7 2 5 3 3 4 2" xfId="40910"/>
    <cellStyle name="표준 7 2 5 3 3 5 2" xfId="40911"/>
    <cellStyle name="표준 7 2 5 3 4 2 2 2" xfId="40912"/>
    <cellStyle name="표준 7 2 5 3 4 3 3" xfId="40913"/>
    <cellStyle name="표준 7 2 5 3 4 3 2 2" xfId="40914"/>
    <cellStyle name="표준 7 2 5 3 4 4 2" xfId="40915"/>
    <cellStyle name="표준 7 2 5 3 4 5 2" xfId="40916"/>
    <cellStyle name="표준 7 2 5 3 5 2 2" xfId="40917"/>
    <cellStyle name="표준 7 2 5 3 6 3" xfId="40918"/>
    <cellStyle name="표준 7 2 5 3 6 2 2" xfId="40919"/>
    <cellStyle name="표준 7 2 5 3 7 2" xfId="40920"/>
    <cellStyle name="표준 7 2 5 3 8 2" xfId="40921"/>
    <cellStyle name="표준 7 2 5 4 2 2 2 2" xfId="40922"/>
    <cellStyle name="표준 7 2 5 4 2 3 3" xfId="40923"/>
    <cellStyle name="표준 7 2 5 4 2 3 2 2" xfId="40924"/>
    <cellStyle name="표준 7 2 5 4 2 4 2" xfId="40925"/>
    <cellStyle name="표준 7 2 5 4 2 5 2" xfId="40926"/>
    <cellStyle name="표준 7 2 5 4 3 2 2 2" xfId="40927"/>
    <cellStyle name="표준 7 2 5 4 3 3 3" xfId="40928"/>
    <cellStyle name="표준 7 2 5 4 3 3 2 2" xfId="40929"/>
    <cellStyle name="표준 7 2 5 4 3 4 2" xfId="40930"/>
    <cellStyle name="표준 7 2 5 4 3 5 2" xfId="40931"/>
    <cellStyle name="표준 7 2 5 4 4 2 2" xfId="40932"/>
    <cellStyle name="표준 7 2 5 4 5 3" xfId="40933"/>
    <cellStyle name="표준 7 2 5 4 5 2 2" xfId="40934"/>
    <cellStyle name="표준 7 2 5 4 6 2" xfId="40935"/>
    <cellStyle name="표준 7 2 5 4 7 2" xfId="40936"/>
    <cellStyle name="표준 7 2 5 5 2 2 2" xfId="40937"/>
    <cellStyle name="표준 7 2 5 5 3 3" xfId="40938"/>
    <cellStyle name="표준 7 2 5 5 3 2 2" xfId="40939"/>
    <cellStyle name="표준 7 2 5 5 4 2" xfId="40940"/>
    <cellStyle name="표준 7 2 5 5 5 2" xfId="40941"/>
    <cellStyle name="표준 7 2 5 6 2 2 2" xfId="40942"/>
    <cellStyle name="표준 7 2 5 6 3 3" xfId="40943"/>
    <cellStyle name="표준 7 2 5 6 3 2 2" xfId="40944"/>
    <cellStyle name="표준 7 2 5 6 4 2" xfId="40945"/>
    <cellStyle name="표준 7 2 5 6 5 2" xfId="40946"/>
    <cellStyle name="표준 7 2 5 7 2 2" xfId="40947"/>
    <cellStyle name="표준 7 2 5 8 3" xfId="40948"/>
    <cellStyle name="표준 7 2 5 8 2 2" xfId="40949"/>
    <cellStyle name="표준 7 2 5 9 2" xfId="40950"/>
    <cellStyle name="표준 7 2 6 2 2 2 2 2 2" xfId="40951"/>
    <cellStyle name="표준 7 2 6 2 2 2 3 3" xfId="40952"/>
    <cellStyle name="표준 7 2 6 2 2 2 3 2 2" xfId="40953"/>
    <cellStyle name="표준 7 2 6 2 2 2 4 2" xfId="40954"/>
    <cellStyle name="표준 7 2 6 2 2 2 5 2" xfId="40955"/>
    <cellStyle name="표준 7 2 6 2 2 3 2 2 2" xfId="40956"/>
    <cellStyle name="표준 7 2 6 2 2 3 3 3" xfId="40957"/>
    <cellStyle name="표준 7 2 6 2 2 3 3 2 2" xfId="40958"/>
    <cellStyle name="표준 7 2 6 2 2 3 4 2" xfId="40959"/>
    <cellStyle name="표준 7 2 6 2 2 3 5 2" xfId="40960"/>
    <cellStyle name="표준 7 2 6 2 2 4 2 2" xfId="40961"/>
    <cellStyle name="표준 7 2 6 2 2 5 3" xfId="40962"/>
    <cellStyle name="표준 7 2 6 2 2 5 2 2" xfId="40963"/>
    <cellStyle name="표준 7 2 6 2 2 6 2" xfId="40964"/>
    <cellStyle name="표준 7 2 6 2 2 7 2" xfId="40965"/>
    <cellStyle name="표준 7 2 6 2 3 2 2 2" xfId="40966"/>
    <cellStyle name="표준 7 2 6 2 3 3 3" xfId="40967"/>
    <cellStyle name="표준 7 2 6 2 3 3 2 2" xfId="40968"/>
    <cellStyle name="표준 7 2 6 2 3 4 2" xfId="40969"/>
    <cellStyle name="표준 7 2 6 2 3 5 2" xfId="40970"/>
    <cellStyle name="표준 7 2 6 2 4 2 2 2" xfId="40971"/>
    <cellStyle name="표준 7 2 6 2 4 3 3" xfId="40972"/>
    <cellStyle name="표준 7 2 6 2 4 3 2 2" xfId="40973"/>
    <cellStyle name="표준 7 2 6 2 4 4 2" xfId="40974"/>
    <cellStyle name="표준 7 2 6 2 4 5 2" xfId="40975"/>
    <cellStyle name="표준 7 2 6 2 5 2 2" xfId="40976"/>
    <cellStyle name="표준 7 2 6 2 6 3" xfId="40977"/>
    <cellStyle name="표준 7 2 6 2 6 2 2" xfId="40978"/>
    <cellStyle name="표준 7 2 6 2 7 2" xfId="40979"/>
    <cellStyle name="표준 7 2 6 2 8 2" xfId="40980"/>
    <cellStyle name="표준 7 2 6 3 2 2 2 2" xfId="40981"/>
    <cellStyle name="표준 7 2 6 3 2 3 3" xfId="40982"/>
    <cellStyle name="표준 7 2 6 3 2 3 2 2" xfId="40983"/>
    <cellStyle name="표준 7 2 6 3 2 4 2" xfId="40984"/>
    <cellStyle name="표준 7 2 6 3 2 5 2" xfId="40985"/>
    <cellStyle name="표준 7 2 6 3 3 2 2 2" xfId="40986"/>
    <cellStyle name="표준 7 2 6 3 3 3 3" xfId="40987"/>
    <cellStyle name="표준 7 2 6 3 3 3 2 2" xfId="40988"/>
    <cellStyle name="표준 7 2 6 3 3 4 2" xfId="40989"/>
    <cellStyle name="표준 7 2 6 3 3 5 2" xfId="40990"/>
    <cellStyle name="표준 7 2 6 3 4 2 2" xfId="40991"/>
    <cellStyle name="표준 7 2 6 3 5 3" xfId="40992"/>
    <cellStyle name="표준 7 2 6 3 5 2 2" xfId="40993"/>
    <cellStyle name="표준 7 2 6 3 6 2" xfId="40994"/>
    <cellStyle name="표준 7 2 6 3 7 2" xfId="40995"/>
    <cellStyle name="표준 7 2 6 4 2 2 2" xfId="40996"/>
    <cellStyle name="표준 7 2 6 4 3 3" xfId="40997"/>
    <cellStyle name="표준 7 2 6 4 3 2 2" xfId="40998"/>
    <cellStyle name="표준 7 2 6 4 4 2" xfId="40999"/>
    <cellStyle name="표준 7 2 6 4 5 2" xfId="41000"/>
    <cellStyle name="표준 7 2 6 5 2 2 2" xfId="41001"/>
    <cellStyle name="표준 7 2 6 5 3 3" xfId="41002"/>
    <cellStyle name="표준 7 2 6 5 3 2 2" xfId="41003"/>
    <cellStyle name="표준 7 2 6 5 4 2" xfId="41004"/>
    <cellStyle name="표준 7 2 6 5 5 2" xfId="41005"/>
    <cellStyle name="표준 7 2 6 6 2 2" xfId="41006"/>
    <cellStyle name="표준 7 2 6 7 3" xfId="41007"/>
    <cellStyle name="표준 7 2 6 7 2 2" xfId="41008"/>
    <cellStyle name="표준 7 2 6 8 2" xfId="41009"/>
    <cellStyle name="표준 7 2 6 9 2" xfId="41010"/>
    <cellStyle name="표준 7 2 7 2 2 2 2 2" xfId="41011"/>
    <cellStyle name="표준 7 2 7 2 2 3 3" xfId="41012"/>
    <cellStyle name="표준 7 2 7 2 2 3 2 2" xfId="41013"/>
    <cellStyle name="표준 7 2 7 2 2 4 2" xfId="41014"/>
    <cellStyle name="표준 7 2 7 2 2 5 2" xfId="41015"/>
    <cellStyle name="표준 7 2 7 2 3 2 2 2" xfId="41016"/>
    <cellStyle name="표준 7 2 7 2 3 3 3" xfId="41017"/>
    <cellStyle name="표준 7 2 7 2 3 3 2 2" xfId="41018"/>
    <cellStyle name="표준 7 2 7 2 3 4 2" xfId="41019"/>
    <cellStyle name="표준 7 2 7 2 3 5 2" xfId="41020"/>
    <cellStyle name="표준 7 2 7 2 4 2 2" xfId="41021"/>
    <cellStyle name="표준 7 2 7 2 5 3" xfId="41022"/>
    <cellStyle name="표준 7 2 7 2 5 2 2" xfId="41023"/>
    <cellStyle name="표준 7 2 7 2 6 2" xfId="41024"/>
    <cellStyle name="표준 7 2 7 2 7 2" xfId="41025"/>
    <cellStyle name="표준 7 2 7 3 2 2 2" xfId="41026"/>
    <cellStyle name="표준 7 2 7 3 3 3" xfId="41027"/>
    <cellStyle name="표준 7 2 7 3 3 2 2" xfId="41028"/>
    <cellStyle name="표준 7 2 7 3 4 2" xfId="41029"/>
    <cellStyle name="표준 7 2 7 3 5 2" xfId="41030"/>
    <cellStyle name="표준 7 2 7 4 2 2 2" xfId="41031"/>
    <cellStyle name="표준 7 2 7 4 3 3" xfId="41032"/>
    <cellStyle name="표준 7 2 7 4 3 2 2" xfId="41033"/>
    <cellStyle name="표준 7 2 7 4 4 2" xfId="41034"/>
    <cellStyle name="표준 7 2 7 4 5 2" xfId="41035"/>
    <cellStyle name="표준 7 2 7 5 2 2" xfId="41036"/>
    <cellStyle name="표준 7 2 7 6 3" xfId="41037"/>
    <cellStyle name="표준 7 2 7 6 2 2" xfId="41038"/>
    <cellStyle name="표준 7 2 7 7 2" xfId="41039"/>
    <cellStyle name="표준 7 2 7 8 2" xfId="41040"/>
    <cellStyle name="표준 7 2 8 2 2 2 2" xfId="41041"/>
    <cellStyle name="표준 7 2 8 2 3 3" xfId="41042"/>
    <cellStyle name="표준 7 2 8 2 3 2 2" xfId="41043"/>
    <cellStyle name="표준 7 2 8 2 4 2" xfId="41044"/>
    <cellStyle name="표준 7 2 8 2 5 2" xfId="41045"/>
    <cellStyle name="표준 7 2 8 3 2 2 2" xfId="41046"/>
    <cellStyle name="표준 7 2 8 3 3 3" xfId="41047"/>
    <cellStyle name="표준 7 2 8 3 3 2 2" xfId="41048"/>
    <cellStyle name="표준 7 2 8 3 4 2" xfId="41049"/>
    <cellStyle name="표준 7 2 8 3 5 2" xfId="41050"/>
    <cellStyle name="표준 7 2 8 4 2 2" xfId="41051"/>
    <cellStyle name="표준 7 2 8 5 3" xfId="41052"/>
    <cellStyle name="표준 7 2 8 5 2 2" xfId="41053"/>
    <cellStyle name="표준 7 2 8 6 2" xfId="41054"/>
    <cellStyle name="표준 7 2 8 7 2" xfId="41055"/>
    <cellStyle name="표준 7 2 9 2 2 2" xfId="41056"/>
    <cellStyle name="표준 7 2 9 3 3" xfId="41057"/>
    <cellStyle name="표준 7 2 9 3 2 2" xfId="41058"/>
    <cellStyle name="표준 7 2 9 4 2" xfId="41059"/>
    <cellStyle name="표준 7 2 9 5 2" xfId="41060"/>
    <cellStyle name="표준 7 20 2 2 2 2 2 2" xfId="41061"/>
    <cellStyle name="표준 7 20 2 2 2 3 3" xfId="41062"/>
    <cellStyle name="표준 7 20 2 2 2 3 2 2" xfId="41063"/>
    <cellStyle name="표준 7 20 2 2 2 4 2" xfId="41064"/>
    <cellStyle name="표준 7 20 2 2 2 5 2" xfId="41065"/>
    <cellStyle name="표준 7 20 2 2 3 2 2 2" xfId="41066"/>
    <cellStyle name="표준 7 20 2 2 3 3 3" xfId="41067"/>
    <cellStyle name="표준 7 20 2 2 3 3 2 2" xfId="41068"/>
    <cellStyle name="표준 7 20 2 2 3 4 2" xfId="41069"/>
    <cellStyle name="표준 7 20 2 2 3 5 2" xfId="41070"/>
    <cellStyle name="표준 7 20 2 2 4 2 2" xfId="41071"/>
    <cellStyle name="표준 7 20 2 2 5 3" xfId="41072"/>
    <cellStyle name="표준 7 20 2 2 5 2 2" xfId="41073"/>
    <cellStyle name="표준 7 20 2 2 6 2" xfId="41074"/>
    <cellStyle name="표준 7 20 2 2 7 2" xfId="41075"/>
    <cellStyle name="표준 7 20 2 3 2 2 2" xfId="41076"/>
    <cellStyle name="표준 7 20 2 3 3 3" xfId="41077"/>
    <cellStyle name="표준 7 20 2 3 3 2 2" xfId="41078"/>
    <cellStyle name="표준 7 20 2 3 4 2" xfId="41079"/>
    <cellStyle name="표준 7 20 2 3 5 2" xfId="41080"/>
    <cellStyle name="표준 7 20 2 4 2 2 2" xfId="41081"/>
    <cellStyle name="표준 7 20 2 4 3 3" xfId="41082"/>
    <cellStyle name="표준 7 20 2 4 3 2 2" xfId="41083"/>
    <cellStyle name="표준 7 20 2 4 4 2" xfId="41084"/>
    <cellStyle name="표준 7 20 2 4 5 2" xfId="41085"/>
    <cellStyle name="표준 7 20 2 5 2 2" xfId="41086"/>
    <cellStyle name="표준 7 20 2 6 3" xfId="41087"/>
    <cellStyle name="표준 7 20 2 6 2 2" xfId="41088"/>
    <cellStyle name="표준 7 20 2 7 2" xfId="41089"/>
    <cellStyle name="표준 7 20 2 8 2" xfId="41090"/>
    <cellStyle name="표준 7 20 3 2 2 2 2" xfId="41091"/>
    <cellStyle name="표준 7 20 3 2 3 3" xfId="41092"/>
    <cellStyle name="표준 7 20 3 2 3 2 2" xfId="41093"/>
    <cellStyle name="표준 7 20 3 2 4 2" xfId="41094"/>
    <cellStyle name="표준 7 20 3 2 5 2" xfId="41095"/>
    <cellStyle name="표준 7 20 3 3 2 2 2" xfId="41096"/>
    <cellStyle name="표준 7 20 3 3 3 3" xfId="41097"/>
    <cellStyle name="표준 7 20 3 3 3 2 2" xfId="41098"/>
    <cellStyle name="표준 7 20 3 3 4 2" xfId="41099"/>
    <cellStyle name="표준 7 20 3 3 5 2" xfId="41100"/>
    <cellStyle name="표준 7 20 3 4 2 2" xfId="41101"/>
    <cellStyle name="표준 7 20 3 5 3" xfId="41102"/>
    <cellStyle name="표준 7 20 3 5 2 2" xfId="41103"/>
    <cellStyle name="표준 7 20 3 6 2" xfId="41104"/>
    <cellStyle name="표준 7 20 3 7 2" xfId="41105"/>
    <cellStyle name="표준 7 20 4 2 2 2" xfId="41106"/>
    <cellStyle name="표준 7 20 4 3 3" xfId="41107"/>
    <cellStyle name="표준 7 20 4 3 2 2" xfId="41108"/>
    <cellStyle name="표준 7 20 4 4 2" xfId="41109"/>
    <cellStyle name="표준 7 20 4 5 2" xfId="41110"/>
    <cellStyle name="표준 7 20 5 2 2 2" xfId="41111"/>
    <cellStyle name="표준 7 20 5 3 3" xfId="41112"/>
    <cellStyle name="표준 7 20 5 3 2 2" xfId="41113"/>
    <cellStyle name="표준 7 20 5 4 2" xfId="41114"/>
    <cellStyle name="표준 7 20 5 5 2" xfId="41115"/>
    <cellStyle name="표준 7 20 6 2 2" xfId="41116"/>
    <cellStyle name="표준 7 20 7 3" xfId="41117"/>
    <cellStyle name="표준 7 20 7 2 2" xfId="41118"/>
    <cellStyle name="표준 7 20 8 2" xfId="41119"/>
    <cellStyle name="표준 7 20 9 2" xfId="41120"/>
    <cellStyle name="표준 7 21 2 2 2 2 2" xfId="41121"/>
    <cellStyle name="표준 7 21 2 2 3 3" xfId="41122"/>
    <cellStyle name="표준 7 21 2 2 3 2 2" xfId="41123"/>
    <cellStyle name="표준 7 21 2 2 4 2" xfId="41124"/>
    <cellStyle name="표준 7 21 2 2 5 2" xfId="41125"/>
    <cellStyle name="표준 7 21 2 3 2 2 2" xfId="41126"/>
    <cellStyle name="표준 7 21 2 3 3 3" xfId="41127"/>
    <cellStyle name="표준 7 21 2 3 3 2 2" xfId="41128"/>
    <cellStyle name="표준 7 21 2 3 4 2" xfId="41129"/>
    <cellStyle name="표준 7 21 2 3 5 2" xfId="41130"/>
    <cellStyle name="표준 7 21 2 4 2 2" xfId="41131"/>
    <cellStyle name="표준 7 21 2 5 3" xfId="41132"/>
    <cellStyle name="표준 7 21 2 5 2 2" xfId="41133"/>
    <cellStyle name="표준 7 21 2 6 2" xfId="41134"/>
    <cellStyle name="표준 7 21 2 7 2" xfId="41135"/>
    <cellStyle name="표준 7 21 3 2 2 2" xfId="41136"/>
    <cellStyle name="표준 7 21 3 3 3" xfId="41137"/>
    <cellStyle name="표준 7 21 3 3 2 2" xfId="41138"/>
    <cellStyle name="표준 7 21 3 4 2" xfId="41139"/>
    <cellStyle name="표준 7 21 3 5 2" xfId="41140"/>
    <cellStyle name="표준 7 21 4 2 2 2" xfId="41141"/>
    <cellStyle name="표준 7 21 4 3 3" xfId="41142"/>
    <cellStyle name="표준 7 21 4 3 2 2" xfId="41143"/>
    <cellStyle name="표준 7 21 4 4 2" xfId="41144"/>
    <cellStyle name="표준 7 21 4 5 2" xfId="41145"/>
    <cellStyle name="표준 7 21 5 2 2" xfId="41146"/>
    <cellStyle name="표준 7 21 6 3" xfId="41147"/>
    <cellStyle name="표준 7 21 6 2 2" xfId="41148"/>
    <cellStyle name="표준 7 21 7 2" xfId="41149"/>
    <cellStyle name="표준 7 21 8 2" xfId="41150"/>
    <cellStyle name="표준 7 22 2 2 2 2" xfId="41151"/>
    <cellStyle name="표준 7 22 2 3 3" xfId="41152"/>
    <cellStyle name="표준 7 22 2 3 2 2" xfId="41153"/>
    <cellStyle name="표준 7 22 2 4 2" xfId="41154"/>
    <cellStyle name="표준 7 22 2 5 2" xfId="41155"/>
    <cellStyle name="표준 7 22 3 2 2 2" xfId="41156"/>
    <cellStyle name="표준 7 22 3 3 3" xfId="41157"/>
    <cellStyle name="표준 7 22 3 3 2 2" xfId="41158"/>
    <cellStyle name="표준 7 22 3 4 2" xfId="41159"/>
    <cellStyle name="표준 7 22 3 5 2" xfId="41160"/>
    <cellStyle name="표준 7 22 4 2 2" xfId="41161"/>
    <cellStyle name="표준 7 22 5 3" xfId="41162"/>
    <cellStyle name="표준 7 22 5 2 2" xfId="41163"/>
    <cellStyle name="표준 7 22 6 2" xfId="41164"/>
    <cellStyle name="표준 7 22 7 2" xfId="41165"/>
    <cellStyle name="표준 7 23 2 2 2" xfId="41166"/>
    <cellStyle name="표준 7 23 3 3" xfId="41167"/>
    <cellStyle name="표준 7 23 3 2 2" xfId="41168"/>
    <cellStyle name="표준 7 23 4 2" xfId="41169"/>
    <cellStyle name="표준 7 23 5 2" xfId="41170"/>
    <cellStyle name="표준 7 24 2 2 2" xfId="41171"/>
    <cellStyle name="표준 7 24 3 3" xfId="41172"/>
    <cellStyle name="표준 7 24 3 2 2" xfId="41173"/>
    <cellStyle name="표준 7 24 4 2" xfId="41174"/>
    <cellStyle name="표준 7 24 5 2" xfId="41175"/>
    <cellStyle name="표준 7 25 2 2" xfId="41176"/>
    <cellStyle name="표준 7 26 3" xfId="41177"/>
    <cellStyle name="표준 7 26 2 2" xfId="41178"/>
    <cellStyle name="표준 7 27 2" xfId="41179"/>
    <cellStyle name="표준 7 28 2" xfId="41180"/>
    <cellStyle name="표준 8 10 10 2" xfId="41181"/>
    <cellStyle name="표준 8 10 2 2 2 2 2 2 2" xfId="41182"/>
    <cellStyle name="표준 8 10 2 2 2 2 3 3" xfId="41183"/>
    <cellStyle name="표준 8 10 2 2 2 2 3 2 2" xfId="41184"/>
    <cellStyle name="표준 8 10 2 2 2 2 4 2" xfId="41185"/>
    <cellStyle name="표준 8 10 2 2 2 2 5 2" xfId="41186"/>
    <cellStyle name="표준 8 10 2 2 2 3 2 2 2" xfId="41187"/>
    <cellStyle name="표준 8 10 2 2 2 3 3 3" xfId="41188"/>
    <cellStyle name="표준 8 10 2 2 2 3 3 2 2" xfId="41189"/>
    <cellStyle name="표준 8 10 2 2 2 3 4 2" xfId="41190"/>
    <cellStyle name="표준 8 10 2 2 2 3 5 2" xfId="41191"/>
    <cellStyle name="표준 8 10 2 2 2 4 2 2" xfId="41192"/>
    <cellStyle name="표준 8 10 2 2 2 5 3" xfId="41193"/>
    <cellStyle name="표준 8 10 2 2 2 5 2 2" xfId="41194"/>
    <cellStyle name="표준 8 10 2 2 2 6 2" xfId="41195"/>
    <cellStyle name="표준 8 10 2 2 2 7 2" xfId="41196"/>
    <cellStyle name="표준 8 10 2 2 3 2 2 2" xfId="41197"/>
    <cellStyle name="표준 8 10 2 2 3 3 3" xfId="41198"/>
    <cellStyle name="표준 8 10 2 2 3 3 2 2" xfId="41199"/>
    <cellStyle name="표준 8 10 2 2 3 4 2" xfId="41200"/>
    <cellStyle name="표준 8 10 2 2 3 5 2" xfId="41201"/>
    <cellStyle name="표준 8 10 2 2 4 2 2 2" xfId="41202"/>
    <cellStyle name="표준 8 10 2 2 4 3 3" xfId="41203"/>
    <cellStyle name="표준 8 10 2 2 4 3 2 2" xfId="41204"/>
    <cellStyle name="표준 8 10 2 2 4 4 2" xfId="41205"/>
    <cellStyle name="표준 8 10 2 2 4 5 2" xfId="41206"/>
    <cellStyle name="표준 8 10 2 2 5 2 2" xfId="41207"/>
    <cellStyle name="표준 8 10 2 2 6 3" xfId="41208"/>
    <cellStyle name="표준 8 10 2 2 6 2 2" xfId="41209"/>
    <cellStyle name="표준 8 10 2 2 7 2" xfId="41210"/>
    <cellStyle name="표준 8 10 2 2 8 2" xfId="41211"/>
    <cellStyle name="표준 8 10 2 3 2 2 2 2" xfId="41212"/>
    <cellStyle name="표준 8 10 2 3 2 3 3" xfId="41213"/>
    <cellStyle name="표준 8 10 2 3 2 3 2 2" xfId="41214"/>
    <cellStyle name="표준 8 10 2 3 2 4 2" xfId="41215"/>
    <cellStyle name="표준 8 10 2 3 2 5 2" xfId="41216"/>
    <cellStyle name="표준 8 10 2 3 3 2 2 2" xfId="41217"/>
    <cellStyle name="표준 8 10 2 3 3 3 3" xfId="41218"/>
    <cellStyle name="표준 8 10 2 3 3 3 2 2" xfId="41219"/>
    <cellStyle name="표준 8 10 2 3 3 4 2" xfId="41220"/>
    <cellStyle name="표준 8 10 2 3 3 5 2" xfId="41221"/>
    <cellStyle name="표준 8 10 2 3 4 2 2" xfId="41222"/>
    <cellStyle name="표준 8 10 2 3 5 3" xfId="41223"/>
    <cellStyle name="표준 8 10 2 3 5 2 2" xfId="41224"/>
    <cellStyle name="표준 8 10 2 3 6 2" xfId="41225"/>
    <cellStyle name="표준 8 10 2 3 7 2" xfId="41226"/>
    <cellStyle name="표준 8 10 2 4 2 2 2" xfId="41227"/>
    <cellStyle name="표준 8 10 2 4 3 3" xfId="41228"/>
    <cellStyle name="표준 8 10 2 4 3 2 2" xfId="41229"/>
    <cellStyle name="표준 8 10 2 4 4 2" xfId="41230"/>
    <cellStyle name="표준 8 10 2 4 5 2" xfId="41231"/>
    <cellStyle name="표준 8 10 2 5 2 2 2" xfId="41232"/>
    <cellStyle name="표준 8 10 2 5 3 3" xfId="41233"/>
    <cellStyle name="표준 8 10 2 5 3 2 2" xfId="41234"/>
    <cellStyle name="표준 8 10 2 5 4 2" xfId="41235"/>
    <cellStyle name="표준 8 10 2 5 5 2" xfId="41236"/>
    <cellStyle name="표준 8 10 2 6 2 2" xfId="41237"/>
    <cellStyle name="표준 8 10 2 7 3" xfId="41238"/>
    <cellStyle name="표준 8 10 2 7 2 2" xfId="41239"/>
    <cellStyle name="표준 8 10 2 8 2" xfId="41240"/>
    <cellStyle name="표준 8 10 2 9 2" xfId="41241"/>
    <cellStyle name="표준 8 10 3 2 2 2 2 2" xfId="41242"/>
    <cellStyle name="표준 8 10 3 2 2 3 3" xfId="41243"/>
    <cellStyle name="표준 8 10 3 2 2 3 2 2" xfId="41244"/>
    <cellStyle name="표준 8 10 3 2 2 4 2" xfId="41245"/>
    <cellStyle name="표준 8 10 3 2 2 5 2" xfId="41246"/>
    <cellStyle name="표준 8 10 3 2 3 2 2 2" xfId="41247"/>
    <cellStyle name="표준 8 10 3 2 3 3 3" xfId="41248"/>
    <cellStyle name="표준 8 10 3 2 3 3 2 2" xfId="41249"/>
    <cellStyle name="표준 8 10 3 2 3 4 2" xfId="41250"/>
    <cellStyle name="표준 8 10 3 2 3 5 2" xfId="41251"/>
    <cellStyle name="표준 8 10 3 2 4 2 2" xfId="41252"/>
    <cellStyle name="표준 8 10 3 2 5 3" xfId="41253"/>
    <cellStyle name="표준 8 10 3 2 5 2 2" xfId="41254"/>
    <cellStyle name="표준 8 10 3 2 6 2" xfId="41255"/>
    <cellStyle name="표준 8 10 3 2 7 2" xfId="41256"/>
    <cellStyle name="표준 8 10 3 3 2 2 2" xfId="41257"/>
    <cellStyle name="표준 8 10 3 3 3 3" xfId="41258"/>
    <cellStyle name="표준 8 10 3 3 3 2 2" xfId="41259"/>
    <cellStyle name="표준 8 10 3 3 4 2" xfId="41260"/>
    <cellStyle name="표준 8 10 3 3 5 2" xfId="41261"/>
    <cellStyle name="표준 8 10 3 4 2 2 2" xfId="41262"/>
    <cellStyle name="표준 8 10 3 4 3 3" xfId="41263"/>
    <cellStyle name="표준 8 10 3 4 3 2 2" xfId="41264"/>
    <cellStyle name="표준 8 10 3 4 4 2" xfId="41265"/>
    <cellStyle name="표준 8 10 3 4 5 2" xfId="41266"/>
    <cellStyle name="표준 8 10 3 5 2 2" xfId="41267"/>
    <cellStyle name="표준 8 10 3 6 3" xfId="41268"/>
    <cellStyle name="표준 8 10 3 6 2 2" xfId="41269"/>
    <cellStyle name="표준 8 10 3 7 2" xfId="41270"/>
    <cellStyle name="표준 8 10 3 8 2" xfId="41271"/>
    <cellStyle name="표준 8 10 4 2 2 2 2" xfId="41272"/>
    <cellStyle name="표준 8 10 4 2 3 3" xfId="41273"/>
    <cellStyle name="표준 8 10 4 2 3 2 2" xfId="41274"/>
    <cellStyle name="표준 8 10 4 2 4 2" xfId="41275"/>
    <cellStyle name="표준 8 10 4 2 5 2" xfId="41276"/>
    <cellStyle name="표준 8 10 4 3 2 2 2" xfId="41277"/>
    <cellStyle name="표준 8 10 4 3 3 3" xfId="41278"/>
    <cellStyle name="표준 8 10 4 3 3 2 2" xfId="41279"/>
    <cellStyle name="표준 8 10 4 3 4 2" xfId="41280"/>
    <cellStyle name="표준 8 10 4 3 5 2" xfId="41281"/>
    <cellStyle name="표준 8 10 4 4 2 2" xfId="41282"/>
    <cellStyle name="표준 8 10 4 5 3" xfId="41283"/>
    <cellStyle name="표준 8 10 4 5 2 2" xfId="41284"/>
    <cellStyle name="표준 8 10 4 6 2" xfId="41285"/>
    <cellStyle name="표준 8 10 4 7 2" xfId="41286"/>
    <cellStyle name="표준 8 10 5 2 2 2" xfId="41287"/>
    <cellStyle name="표준 8 10 5 3 3" xfId="41288"/>
    <cellStyle name="표준 8 10 5 3 2 2" xfId="41289"/>
    <cellStyle name="표준 8 10 5 4 2" xfId="41290"/>
    <cellStyle name="표준 8 10 5 5 2" xfId="41291"/>
    <cellStyle name="표준 8 10 6 2 2 2" xfId="41292"/>
    <cellStyle name="표준 8 10 6 3 3" xfId="41293"/>
    <cellStyle name="표준 8 10 6 3 2 2" xfId="41294"/>
    <cellStyle name="표준 8 10 6 4 2" xfId="41295"/>
    <cellStyle name="표준 8 10 6 5 2" xfId="41296"/>
    <cellStyle name="표준 8 10 7 2 2" xfId="41297"/>
    <cellStyle name="표준 8 10 8 3" xfId="41298"/>
    <cellStyle name="표준 8 10 8 2 2" xfId="41299"/>
    <cellStyle name="표준 8 10 9 2" xfId="41300"/>
    <cellStyle name="표준 8 11 10 2" xfId="41301"/>
    <cellStyle name="표준 8 11 2 2 2 2 2 2 2" xfId="41302"/>
    <cellStyle name="표준 8 11 2 2 2 2 3 3" xfId="41303"/>
    <cellStyle name="표준 8 11 2 2 2 2 3 2 2" xfId="41304"/>
    <cellStyle name="표준 8 11 2 2 2 2 4 2" xfId="41305"/>
    <cellStyle name="표준 8 11 2 2 2 2 5 2" xfId="41306"/>
    <cellStyle name="표준 8 11 2 2 2 3 2 2 2" xfId="41307"/>
    <cellStyle name="표준 8 11 2 2 2 3 3 3" xfId="41308"/>
    <cellStyle name="표준 8 11 2 2 2 3 3 2 2" xfId="41309"/>
    <cellStyle name="표준 8 11 2 2 2 3 4 2" xfId="41310"/>
    <cellStyle name="표준 8 11 2 2 2 3 5 2" xfId="41311"/>
    <cellStyle name="표준 8 11 2 2 2 4 2 2" xfId="41312"/>
    <cellStyle name="표준 8 11 2 2 2 5 3" xfId="41313"/>
    <cellStyle name="표준 8 11 2 2 2 5 2 2" xfId="41314"/>
    <cellStyle name="표준 8 11 2 2 2 6 2" xfId="41315"/>
    <cellStyle name="표준 8 11 2 2 2 7 2" xfId="41316"/>
    <cellStyle name="표준 8 11 2 2 3 2 2 2" xfId="41317"/>
    <cellStyle name="표준 8 11 2 2 3 3 3" xfId="41318"/>
    <cellStyle name="표준 8 11 2 2 3 3 2 2" xfId="41319"/>
    <cellStyle name="표준 8 11 2 2 3 4 2" xfId="41320"/>
    <cellStyle name="표준 8 11 2 2 3 5 2" xfId="41321"/>
    <cellStyle name="표준 8 11 2 2 4 2 2 2" xfId="41322"/>
    <cellStyle name="표준 8 11 2 2 4 3 3" xfId="41323"/>
    <cellStyle name="표준 8 11 2 2 4 3 2 2" xfId="41324"/>
    <cellStyle name="표준 8 11 2 2 4 4 2" xfId="41325"/>
    <cellStyle name="표준 8 11 2 2 4 5 2" xfId="41326"/>
    <cellStyle name="표준 8 11 2 2 5 2 2" xfId="41327"/>
    <cellStyle name="표준 8 11 2 2 6 3" xfId="41328"/>
    <cellStyle name="표준 8 11 2 2 6 2 2" xfId="41329"/>
    <cellStyle name="표준 8 11 2 2 7 2" xfId="41330"/>
    <cellStyle name="표준 8 11 2 2 8 2" xfId="41331"/>
    <cellStyle name="표준 8 11 2 3 2 2 2 2" xfId="41332"/>
    <cellStyle name="표준 8 11 2 3 2 3 3" xfId="41333"/>
    <cellStyle name="표준 8 11 2 3 2 3 2 2" xfId="41334"/>
    <cellStyle name="표준 8 11 2 3 2 4 2" xfId="41335"/>
    <cellStyle name="표준 8 11 2 3 2 5 2" xfId="41336"/>
    <cellStyle name="표준 8 11 2 3 3 2 2 2" xfId="41337"/>
    <cellStyle name="표준 8 11 2 3 3 3 3" xfId="41338"/>
    <cellStyle name="표준 8 11 2 3 3 3 2 2" xfId="41339"/>
    <cellStyle name="표준 8 11 2 3 3 4 2" xfId="41340"/>
    <cellStyle name="표준 8 11 2 3 3 5 2" xfId="41341"/>
    <cellStyle name="표준 8 11 2 3 4 2 2" xfId="41342"/>
    <cellStyle name="표준 8 11 2 3 5 3" xfId="41343"/>
    <cellStyle name="표준 8 11 2 3 5 2 2" xfId="41344"/>
    <cellStyle name="표준 8 11 2 3 6 2" xfId="41345"/>
    <cellStyle name="표준 8 11 2 3 7 2" xfId="41346"/>
    <cellStyle name="표준 8 11 2 4 2 2 2" xfId="41347"/>
    <cellStyle name="표준 8 11 2 4 3 3" xfId="41348"/>
    <cellStyle name="표준 8 11 2 4 3 2 2" xfId="41349"/>
    <cellStyle name="표준 8 11 2 4 4 2" xfId="41350"/>
    <cellStyle name="표준 8 11 2 4 5 2" xfId="41351"/>
    <cellStyle name="표준 8 11 2 5 2 2 2" xfId="41352"/>
    <cellStyle name="표준 8 11 2 5 3 3" xfId="41353"/>
    <cellStyle name="표준 8 11 2 5 3 2 2" xfId="41354"/>
    <cellStyle name="표준 8 11 2 5 4 2" xfId="41355"/>
    <cellStyle name="표준 8 11 2 5 5 2" xfId="41356"/>
    <cellStyle name="표준 8 11 2 6 2 2" xfId="41357"/>
    <cellStyle name="표준 8 11 2 7 3" xfId="41358"/>
    <cellStyle name="표준 8 11 2 7 2 2" xfId="41359"/>
    <cellStyle name="표준 8 11 2 8 2" xfId="41360"/>
    <cellStyle name="표준 8 11 2 9 2" xfId="41361"/>
    <cellStyle name="표준 8 11 3 2 2 2 2 2" xfId="41362"/>
    <cellStyle name="표준 8 11 3 2 2 3 3" xfId="41363"/>
    <cellStyle name="표준 8 11 3 2 2 3 2 2" xfId="41364"/>
    <cellStyle name="표준 8 11 3 2 2 4 2" xfId="41365"/>
    <cellStyle name="표준 8 11 3 2 2 5 2" xfId="41366"/>
    <cellStyle name="표준 8 11 3 2 3 2 2 2" xfId="41367"/>
    <cellStyle name="표준 8 11 3 2 3 3 3" xfId="41368"/>
    <cellStyle name="표준 8 11 3 2 3 3 2 2" xfId="41369"/>
    <cellStyle name="표준 8 11 3 2 3 4 2" xfId="41370"/>
    <cellStyle name="표준 8 11 3 2 3 5 2" xfId="41371"/>
    <cellStyle name="표준 8 11 3 2 4 2 2" xfId="41372"/>
    <cellStyle name="표준 8 11 3 2 5 3" xfId="41373"/>
    <cellStyle name="표준 8 11 3 2 5 2 2" xfId="41374"/>
    <cellStyle name="표준 8 11 3 2 6 2" xfId="41375"/>
    <cellStyle name="표준 8 11 3 2 7 2" xfId="41376"/>
    <cellStyle name="표준 8 11 3 3 2 2 2" xfId="41377"/>
    <cellStyle name="표준 8 11 3 3 3 3" xfId="41378"/>
    <cellStyle name="표준 8 11 3 3 3 2 2" xfId="41379"/>
    <cellStyle name="표준 8 11 3 3 4 2" xfId="41380"/>
    <cellStyle name="표준 8 11 3 3 5 2" xfId="41381"/>
    <cellStyle name="표준 8 11 3 4 2 2 2" xfId="41382"/>
    <cellStyle name="표준 8 11 3 4 3 3" xfId="41383"/>
    <cellStyle name="표준 8 11 3 4 3 2 2" xfId="41384"/>
    <cellStyle name="표준 8 11 3 4 4 2" xfId="41385"/>
    <cellStyle name="표준 8 11 3 4 5 2" xfId="41386"/>
    <cellStyle name="표준 8 11 3 5 2 2" xfId="41387"/>
    <cellStyle name="표준 8 11 3 6 3" xfId="41388"/>
    <cellStyle name="표준 8 11 3 6 2 2" xfId="41389"/>
    <cellStyle name="표준 8 11 3 7 2" xfId="41390"/>
    <cellStyle name="표준 8 11 3 8 2" xfId="41391"/>
    <cellStyle name="표준 8 11 4 2 2 2 2" xfId="41392"/>
    <cellStyle name="표준 8 11 4 2 3 3" xfId="41393"/>
    <cellStyle name="표준 8 11 4 2 3 2 2" xfId="41394"/>
    <cellStyle name="표준 8 11 4 2 4 2" xfId="41395"/>
    <cellStyle name="표준 8 11 4 2 5 2" xfId="41396"/>
    <cellStyle name="표준 8 11 4 3 2 2 2" xfId="41397"/>
    <cellStyle name="표준 8 11 4 3 3 3" xfId="41398"/>
    <cellStyle name="표준 8 11 4 3 3 2 2" xfId="41399"/>
    <cellStyle name="표준 8 11 4 3 4 2" xfId="41400"/>
    <cellStyle name="표준 8 11 4 3 5 2" xfId="41401"/>
    <cellStyle name="표준 8 11 4 4 2 2" xfId="41402"/>
    <cellStyle name="표준 8 11 4 5 3" xfId="41403"/>
    <cellStyle name="표준 8 11 4 5 2 2" xfId="41404"/>
    <cellStyle name="표준 8 11 4 6 2" xfId="41405"/>
    <cellStyle name="표준 8 11 4 7 2" xfId="41406"/>
    <cellStyle name="표준 8 11 5 2 2 2" xfId="41407"/>
    <cellStyle name="표준 8 11 5 3 3" xfId="41408"/>
    <cellStyle name="표준 8 11 5 3 2 2" xfId="41409"/>
    <cellStyle name="표준 8 11 5 4 2" xfId="41410"/>
    <cellStyle name="표준 8 11 5 5 2" xfId="41411"/>
    <cellStyle name="표준 8 11 6 2 2 2" xfId="41412"/>
    <cellStyle name="표준 8 11 6 3 3" xfId="41413"/>
    <cellStyle name="표준 8 11 6 3 2 2" xfId="41414"/>
    <cellStyle name="표준 8 11 6 4 2" xfId="41415"/>
    <cellStyle name="표준 8 11 6 5 2" xfId="41416"/>
    <cellStyle name="표준 8 11 7 2 2" xfId="41417"/>
    <cellStyle name="표준 8 11 8 3" xfId="41418"/>
    <cellStyle name="표준 8 11 8 2 2" xfId="41419"/>
    <cellStyle name="표준 8 11 9 2" xfId="41420"/>
    <cellStyle name="표준 8 12 10 2" xfId="41421"/>
    <cellStyle name="표준 8 12 2 2 2 2 2 2 2" xfId="41422"/>
    <cellStyle name="표준 8 12 2 2 2 2 3 3" xfId="41423"/>
    <cellStyle name="표준 8 12 2 2 2 2 3 2 2" xfId="41424"/>
    <cellStyle name="표준 8 12 2 2 2 2 4 2" xfId="41425"/>
    <cellStyle name="표준 8 12 2 2 2 2 5 2" xfId="41426"/>
    <cellStyle name="표준 8 12 2 2 2 3 2 2 2" xfId="41427"/>
    <cellStyle name="표준 8 12 2 2 2 3 3 3" xfId="41428"/>
    <cellStyle name="표준 8 12 2 2 2 3 3 2 2" xfId="41429"/>
    <cellStyle name="표준 8 12 2 2 2 3 4 2" xfId="41430"/>
    <cellStyle name="표준 8 12 2 2 2 3 5 2" xfId="41431"/>
    <cellStyle name="표준 8 12 2 2 2 4 2 2" xfId="41432"/>
    <cellStyle name="표준 8 12 2 2 2 5 3" xfId="41433"/>
    <cellStyle name="표준 8 12 2 2 2 5 2 2" xfId="41434"/>
    <cellStyle name="표준 8 12 2 2 2 6 2" xfId="41435"/>
    <cellStyle name="표준 8 12 2 2 2 7 2" xfId="41436"/>
    <cellStyle name="표준 8 12 2 2 3 2 2 2" xfId="41437"/>
    <cellStyle name="표준 8 12 2 2 3 3 3" xfId="41438"/>
    <cellStyle name="표준 8 12 2 2 3 3 2 2" xfId="41439"/>
    <cellStyle name="표준 8 12 2 2 3 4 2" xfId="41440"/>
    <cellStyle name="표준 8 12 2 2 3 5 2" xfId="41441"/>
    <cellStyle name="표준 8 12 2 2 4 2 2 2" xfId="41442"/>
    <cellStyle name="표준 8 12 2 2 4 3 3" xfId="41443"/>
    <cellStyle name="표준 8 12 2 2 4 3 2 2" xfId="41444"/>
    <cellStyle name="표준 8 12 2 2 4 4 2" xfId="41445"/>
    <cellStyle name="표준 8 12 2 2 4 5 2" xfId="41446"/>
    <cellStyle name="표준 8 12 2 2 5 2 2" xfId="41447"/>
    <cellStyle name="표준 8 12 2 2 6 3" xfId="41448"/>
    <cellStyle name="표준 8 12 2 2 6 2 2" xfId="41449"/>
    <cellStyle name="표준 8 12 2 2 7 2" xfId="41450"/>
    <cellStyle name="표준 8 12 2 2 8 2" xfId="41451"/>
    <cellStyle name="표준 8 12 2 3 2 2 2 2" xfId="41452"/>
    <cellStyle name="표준 8 12 2 3 2 3 3" xfId="41453"/>
    <cellStyle name="표준 8 12 2 3 2 3 2 2" xfId="41454"/>
    <cellStyle name="표준 8 12 2 3 2 4 2" xfId="41455"/>
    <cellStyle name="표준 8 12 2 3 2 5 2" xfId="41456"/>
    <cellStyle name="표준 8 12 2 3 3 2 2 2" xfId="41457"/>
    <cellStyle name="표준 8 12 2 3 3 3 3" xfId="41458"/>
    <cellStyle name="표준 8 12 2 3 3 3 2 2" xfId="41459"/>
    <cellStyle name="표준 8 12 2 3 3 4 2" xfId="41460"/>
    <cellStyle name="표준 8 12 2 3 3 5 2" xfId="41461"/>
    <cellStyle name="표준 8 12 2 3 4 2 2" xfId="41462"/>
    <cellStyle name="표준 8 12 2 3 5 3" xfId="41463"/>
    <cellStyle name="표준 8 12 2 3 5 2 2" xfId="41464"/>
    <cellStyle name="표준 8 12 2 3 6 2" xfId="41465"/>
    <cellStyle name="표준 8 12 2 3 7 2" xfId="41466"/>
    <cellStyle name="표준 8 12 2 4 2 2 2" xfId="41467"/>
    <cellStyle name="표준 8 12 2 4 3 3" xfId="41468"/>
    <cellStyle name="표준 8 12 2 4 3 2 2" xfId="41469"/>
    <cellStyle name="표준 8 12 2 4 4 2" xfId="41470"/>
    <cellStyle name="표준 8 12 2 4 5 2" xfId="41471"/>
    <cellStyle name="표준 8 12 2 5 2 2 2" xfId="41472"/>
    <cellStyle name="표준 8 12 2 5 3 3" xfId="41473"/>
    <cellStyle name="표준 8 12 2 5 3 2 2" xfId="41474"/>
    <cellStyle name="표준 8 12 2 5 4 2" xfId="41475"/>
    <cellStyle name="표준 8 12 2 5 5 2" xfId="41476"/>
    <cellStyle name="표준 8 12 2 6 2 2" xfId="41477"/>
    <cellStyle name="표준 8 12 2 7 3" xfId="41478"/>
    <cellStyle name="표준 8 12 2 7 2 2" xfId="41479"/>
    <cellStyle name="표준 8 12 2 8 2" xfId="41480"/>
    <cellStyle name="표준 8 12 2 9 2" xfId="41481"/>
    <cellStyle name="표준 8 12 3 2 2 2 2 2" xfId="41482"/>
    <cellStyle name="표준 8 12 3 2 2 3 3" xfId="41483"/>
    <cellStyle name="표준 8 12 3 2 2 3 2 2" xfId="41484"/>
    <cellStyle name="표준 8 12 3 2 2 4 2" xfId="41485"/>
    <cellStyle name="표준 8 12 3 2 2 5 2" xfId="41486"/>
    <cellStyle name="표준 8 12 3 2 3 2 2 2" xfId="41487"/>
    <cellStyle name="표준 8 12 3 2 3 3 3" xfId="41488"/>
    <cellStyle name="표준 8 12 3 2 3 3 2 2" xfId="41489"/>
    <cellStyle name="표준 8 12 3 2 3 4 2" xfId="41490"/>
    <cellStyle name="표준 8 12 3 2 3 5 2" xfId="41491"/>
    <cellStyle name="표준 8 12 3 2 4 2 2" xfId="41492"/>
    <cellStyle name="표준 8 12 3 2 5 3" xfId="41493"/>
    <cellStyle name="표준 8 12 3 2 5 2 2" xfId="41494"/>
    <cellStyle name="표준 8 12 3 2 6 2" xfId="41495"/>
    <cellStyle name="표준 8 12 3 2 7 2" xfId="41496"/>
    <cellStyle name="표준 8 12 3 3 2 2 2" xfId="41497"/>
    <cellStyle name="표준 8 12 3 3 3 3" xfId="41498"/>
    <cellStyle name="표준 8 12 3 3 3 2 2" xfId="41499"/>
    <cellStyle name="표준 8 12 3 3 4 2" xfId="41500"/>
    <cellStyle name="표준 8 12 3 3 5 2" xfId="41501"/>
    <cellStyle name="표준 8 12 3 4 2 2 2" xfId="41502"/>
    <cellStyle name="표준 8 12 3 4 3 3" xfId="41503"/>
    <cellStyle name="표준 8 12 3 4 3 2 2" xfId="41504"/>
    <cellStyle name="표준 8 12 3 4 4 2" xfId="41505"/>
    <cellStyle name="표준 8 12 3 4 5 2" xfId="41506"/>
    <cellStyle name="표준 8 12 3 5 2 2" xfId="41507"/>
    <cellStyle name="표준 8 12 3 6 3" xfId="41508"/>
    <cellStyle name="표준 8 12 3 6 2 2" xfId="41509"/>
    <cellStyle name="표준 8 12 3 7 2" xfId="41510"/>
    <cellStyle name="표준 8 12 3 8 2" xfId="41511"/>
    <cellStyle name="표준 8 12 4 2 2 2 2" xfId="41512"/>
    <cellStyle name="표준 8 12 4 2 3 3" xfId="41513"/>
    <cellStyle name="표준 8 12 4 2 3 2 2" xfId="41514"/>
    <cellStyle name="표준 8 12 4 2 4 2" xfId="41515"/>
    <cellStyle name="표준 8 12 4 2 5 2" xfId="41516"/>
    <cellStyle name="표준 8 12 4 3 2 2 2" xfId="41517"/>
    <cellStyle name="표준 8 12 4 3 3 3" xfId="41518"/>
    <cellStyle name="표준 8 12 4 3 3 2 2" xfId="41519"/>
    <cellStyle name="표준 8 12 4 3 4 2" xfId="41520"/>
    <cellStyle name="표준 8 12 4 3 5 2" xfId="41521"/>
    <cellStyle name="표준 8 12 4 4 2 2" xfId="41522"/>
    <cellStyle name="표준 8 12 4 5 3" xfId="41523"/>
    <cellStyle name="표준 8 12 4 5 2 2" xfId="41524"/>
    <cellStyle name="표준 8 12 4 6 2" xfId="41525"/>
    <cellStyle name="표준 8 12 4 7 2" xfId="41526"/>
    <cellStyle name="표준 8 12 5 2 2 2" xfId="41527"/>
    <cellStyle name="표준 8 12 5 3 3" xfId="41528"/>
    <cellStyle name="표준 8 12 5 3 2 2" xfId="41529"/>
    <cellStyle name="표준 8 12 5 4 2" xfId="41530"/>
    <cellStyle name="표준 8 12 5 5 2" xfId="41531"/>
    <cellStyle name="표준 8 12 6 2 2 2" xfId="41532"/>
    <cellStyle name="표준 8 12 6 3 3" xfId="41533"/>
    <cellStyle name="표준 8 12 6 3 2 2" xfId="41534"/>
    <cellStyle name="표준 8 12 6 4 2" xfId="41535"/>
    <cellStyle name="표준 8 12 6 5 2" xfId="41536"/>
    <cellStyle name="표준 8 12 7 2 2" xfId="41537"/>
    <cellStyle name="표준 8 12 8 3" xfId="41538"/>
    <cellStyle name="표준 8 12 8 2 2" xfId="41539"/>
    <cellStyle name="표준 8 12 9 2" xfId="41540"/>
    <cellStyle name="표준 8 14 2 2 2 2 2 2" xfId="41541"/>
    <cellStyle name="표준 8 14 2 2 2 3 3" xfId="41542"/>
    <cellStyle name="표준 8 14 2 2 2 3 2 2" xfId="41543"/>
    <cellStyle name="표준 8 14 2 2 2 4 2" xfId="41544"/>
    <cellStyle name="표준 8 14 2 2 2 5 2" xfId="41545"/>
    <cellStyle name="표준 8 14 2 2 3 2 2 2" xfId="41546"/>
    <cellStyle name="표준 8 14 2 2 3 3 3" xfId="41547"/>
    <cellStyle name="표준 8 14 2 2 3 3 2 2" xfId="41548"/>
    <cellStyle name="표준 8 14 2 2 3 4 2" xfId="41549"/>
    <cellStyle name="표준 8 14 2 2 3 5 2" xfId="41550"/>
    <cellStyle name="표준 8 14 2 2 4 2 2" xfId="41551"/>
    <cellStyle name="표준 8 14 2 2 5 3" xfId="41552"/>
    <cellStyle name="표준 8 14 2 2 5 2 2" xfId="41553"/>
    <cellStyle name="표준 8 14 2 2 6 2" xfId="41554"/>
    <cellStyle name="표준 8 14 2 2 7 2" xfId="41555"/>
    <cellStyle name="표준 8 14 2 3 2 2 2" xfId="41556"/>
    <cellStyle name="표준 8 14 2 3 3 3" xfId="41557"/>
    <cellStyle name="표준 8 14 2 3 3 2 2" xfId="41558"/>
    <cellStyle name="표준 8 14 2 3 4 2" xfId="41559"/>
    <cellStyle name="표준 8 14 2 3 5 2" xfId="41560"/>
    <cellStyle name="표준 8 14 2 4 2 2 2" xfId="41561"/>
    <cellStyle name="표준 8 14 2 4 3 3" xfId="41562"/>
    <cellStyle name="표준 8 14 2 4 3 2 2" xfId="41563"/>
    <cellStyle name="표준 8 14 2 4 4 2" xfId="41564"/>
    <cellStyle name="표준 8 14 2 4 5 2" xfId="41565"/>
    <cellStyle name="표준 8 14 2 5 2 2" xfId="41566"/>
    <cellStyle name="표준 8 14 2 6 3" xfId="41567"/>
    <cellStyle name="표준 8 14 2 6 2 2" xfId="41568"/>
    <cellStyle name="표준 8 14 2 7 2" xfId="41569"/>
    <cellStyle name="표준 8 14 2 8 2" xfId="41570"/>
    <cellStyle name="표준 8 14 3 2 2 2 2" xfId="41571"/>
    <cellStyle name="표준 8 14 3 2 3 3" xfId="41572"/>
    <cellStyle name="표준 8 14 3 2 3 2 2" xfId="41573"/>
    <cellStyle name="표준 8 14 3 2 4 2" xfId="41574"/>
    <cellStyle name="표준 8 14 3 2 5 2" xfId="41575"/>
    <cellStyle name="표준 8 14 3 3 2 2 2" xfId="41576"/>
    <cellStyle name="표준 8 14 3 3 3 3" xfId="41577"/>
    <cellStyle name="표준 8 14 3 3 3 2 2" xfId="41578"/>
    <cellStyle name="표준 8 14 3 3 4 2" xfId="41579"/>
    <cellStyle name="표준 8 14 3 3 5 2" xfId="41580"/>
    <cellStyle name="표준 8 14 3 4 2 2" xfId="41581"/>
    <cellStyle name="표준 8 14 3 5 3" xfId="41582"/>
    <cellStyle name="표준 8 14 3 5 2 2" xfId="41583"/>
    <cellStyle name="표준 8 14 3 6 2" xfId="41584"/>
    <cellStyle name="표준 8 14 3 7 2" xfId="41585"/>
    <cellStyle name="표준 8 14 4 2 2 2" xfId="41586"/>
    <cellStyle name="표준 8 14 4 3 3" xfId="41587"/>
    <cellStyle name="표준 8 14 4 3 2 2" xfId="41588"/>
    <cellStyle name="표준 8 14 4 4 2" xfId="41589"/>
    <cellStyle name="표준 8 14 4 5 2" xfId="41590"/>
    <cellStyle name="표준 8 14 5 2 2 2" xfId="41591"/>
    <cellStyle name="표준 8 14 5 3 3" xfId="41592"/>
    <cellStyle name="표준 8 14 5 3 2 2" xfId="41593"/>
    <cellStyle name="표준 8 14 5 4 2" xfId="41594"/>
    <cellStyle name="표준 8 14 5 5 2" xfId="41595"/>
    <cellStyle name="표준 8 14 6 2 2" xfId="41596"/>
    <cellStyle name="표준 8 14 7 3" xfId="41597"/>
    <cellStyle name="표준 8 14 7 2 2" xfId="41598"/>
    <cellStyle name="표준 8 14 8 2" xfId="41599"/>
    <cellStyle name="표준 8 14 9 2" xfId="41600"/>
    <cellStyle name="표준 8 15 2 2 2 2 2" xfId="41601"/>
    <cellStyle name="표준 8 15 2 2 3 3" xfId="41602"/>
    <cellStyle name="표준 8 15 2 2 3 2 2" xfId="41603"/>
    <cellStyle name="표준 8 15 2 2 4 2" xfId="41604"/>
    <cellStyle name="표준 8 15 2 2 5 2" xfId="41605"/>
    <cellStyle name="표준 8 15 2 3 2 2 2" xfId="41606"/>
    <cellStyle name="표준 8 15 2 3 3 3" xfId="41607"/>
    <cellStyle name="표준 8 15 2 3 3 2 2" xfId="41608"/>
    <cellStyle name="표준 8 15 2 3 4 2" xfId="41609"/>
    <cellStyle name="표준 8 15 2 3 5 2" xfId="41610"/>
    <cellStyle name="표준 8 15 2 4 2 2" xfId="41611"/>
    <cellStyle name="표준 8 15 2 5 3" xfId="41612"/>
    <cellStyle name="표준 8 15 2 5 2 2" xfId="41613"/>
    <cellStyle name="표준 8 15 2 6 2" xfId="41614"/>
    <cellStyle name="표준 8 15 2 7 2" xfId="41615"/>
    <cellStyle name="표준 8 15 3 2 2 2" xfId="41616"/>
    <cellStyle name="표준 8 15 3 3 3" xfId="41617"/>
    <cellStyle name="표준 8 15 3 3 2 2" xfId="41618"/>
    <cellStyle name="표준 8 15 3 4 2" xfId="41619"/>
    <cellStyle name="표준 8 15 3 5 2" xfId="41620"/>
    <cellStyle name="표준 8 15 4 2 2 2" xfId="41621"/>
    <cellStyle name="표준 8 15 4 3 3" xfId="41622"/>
    <cellStyle name="표준 8 15 4 3 2 2" xfId="41623"/>
    <cellStyle name="표준 8 15 4 4 2" xfId="41624"/>
    <cellStyle name="표준 8 15 4 5 2" xfId="41625"/>
    <cellStyle name="표준 8 15 5 2 2" xfId="41626"/>
    <cellStyle name="표준 8 15 6 3" xfId="41627"/>
    <cellStyle name="표준 8 15 6 2 2" xfId="41628"/>
    <cellStyle name="표준 8 15 7 2" xfId="41629"/>
    <cellStyle name="표준 8 15 8 2" xfId="41630"/>
    <cellStyle name="표준 8 16 2 2 2 2" xfId="41631"/>
    <cellStyle name="표준 8 16 2 3 3" xfId="41632"/>
    <cellStyle name="표준 8 16 2 3 2 2" xfId="41633"/>
    <cellStyle name="표준 8 16 2 4 2" xfId="41634"/>
    <cellStyle name="표준 8 16 2 5 2" xfId="41635"/>
    <cellStyle name="표준 8 16 3 2 2 2" xfId="41636"/>
    <cellStyle name="표준 8 16 3 3 3" xfId="41637"/>
    <cellStyle name="표준 8 16 3 3 2 2" xfId="41638"/>
    <cellStyle name="표준 8 16 3 4 2" xfId="41639"/>
    <cellStyle name="표준 8 16 3 5 2" xfId="41640"/>
    <cellStyle name="표준 8 16 4 2 2" xfId="41641"/>
    <cellStyle name="표준 8 16 5 3" xfId="41642"/>
    <cellStyle name="표준 8 16 5 2 2" xfId="41643"/>
    <cellStyle name="표준 8 16 6 2" xfId="41644"/>
    <cellStyle name="표준 8 16 7 2" xfId="41645"/>
    <cellStyle name="표준 8 17 2 2 2" xfId="41646"/>
    <cellStyle name="표준 8 17 3 3" xfId="41647"/>
    <cellStyle name="표준 8 17 3 2 2" xfId="41648"/>
    <cellStyle name="표준 8 17 4 2" xfId="41649"/>
    <cellStyle name="표준 8 17 5 2" xfId="41650"/>
    <cellStyle name="표준 8 18 2 2 2" xfId="41651"/>
    <cellStyle name="표준 8 18 3 3" xfId="41652"/>
    <cellStyle name="표준 8 18 3 2 2" xfId="41653"/>
    <cellStyle name="표준 8 18 4 2" xfId="41654"/>
    <cellStyle name="표준 8 18 5 2" xfId="41655"/>
    <cellStyle name="표준 8 19 2 2" xfId="41656"/>
    <cellStyle name="표준 8 2 10 2 2" xfId="41657"/>
    <cellStyle name="표준 8 2 11 3" xfId="41658"/>
    <cellStyle name="표준 8 2 11 2 2" xfId="41659"/>
    <cellStyle name="표준 8 2 12 2" xfId="41660"/>
    <cellStyle name="표준 8 2 13 2" xfId="41661"/>
    <cellStyle name="표준 8 2 2 10 2" xfId="41662"/>
    <cellStyle name="표준 8 2 2 2 2 2 2 2 2 2" xfId="41663"/>
    <cellStyle name="표준 8 2 2 2 2 2 2 3 3" xfId="41664"/>
    <cellStyle name="표준 8 2 2 2 2 2 2 3 2 2" xfId="41665"/>
    <cellStyle name="표준 8 2 2 2 2 2 2 4 2" xfId="41666"/>
    <cellStyle name="표준 8 2 2 2 2 2 2 5 2" xfId="41667"/>
    <cellStyle name="표준 8 2 2 2 2 2 3 2 2 2" xfId="41668"/>
    <cellStyle name="표준 8 2 2 2 2 2 3 3 3" xfId="41669"/>
    <cellStyle name="표준 8 2 2 2 2 2 3 3 2 2" xfId="41670"/>
    <cellStyle name="표준 8 2 2 2 2 2 3 4 2" xfId="41671"/>
    <cellStyle name="표준 8 2 2 2 2 2 3 5 2" xfId="41672"/>
    <cellStyle name="표준 8 2 2 2 2 2 4 2 2" xfId="41673"/>
    <cellStyle name="표준 8 2 2 2 2 2 5 3" xfId="41674"/>
    <cellStyle name="표준 8 2 2 2 2 2 5 2 2" xfId="41675"/>
    <cellStyle name="표준 8 2 2 2 2 2 6 2" xfId="41676"/>
    <cellStyle name="표준 8 2 2 2 2 2 7 2" xfId="41677"/>
    <cellStyle name="표준 8 2 2 2 2 3 2 2 2" xfId="41678"/>
    <cellStyle name="표준 8 2 2 2 2 3 3 3" xfId="41679"/>
    <cellStyle name="표준 8 2 2 2 2 3 3 2 2" xfId="41680"/>
    <cellStyle name="표준 8 2 2 2 2 3 4 2" xfId="41681"/>
    <cellStyle name="표준 8 2 2 2 2 3 5 2" xfId="41682"/>
    <cellStyle name="표준 8 2 2 2 2 4 2 2 2" xfId="41683"/>
    <cellStyle name="표준 8 2 2 2 2 4 3 3" xfId="41684"/>
    <cellStyle name="표준 8 2 2 2 2 4 3 2 2" xfId="41685"/>
    <cellStyle name="표준 8 2 2 2 2 4 4 2" xfId="41686"/>
    <cellStyle name="표준 8 2 2 2 2 4 5 2" xfId="41687"/>
    <cellStyle name="표준 8 2 2 2 2 5 2 2" xfId="41688"/>
    <cellStyle name="표준 8 2 2 2 2 6 3" xfId="41689"/>
    <cellStyle name="표준 8 2 2 2 2 6 2 2" xfId="41690"/>
    <cellStyle name="표준 8 2 2 2 2 7 2" xfId="41691"/>
    <cellStyle name="표준 8 2 2 2 2 8 2" xfId="41692"/>
    <cellStyle name="표준 8 2 2 2 3 2 2 2 2" xfId="41693"/>
    <cellStyle name="표준 8 2 2 2 3 2 3 3" xfId="41694"/>
    <cellStyle name="표준 8 2 2 2 3 2 3 2 2" xfId="41695"/>
    <cellStyle name="표준 8 2 2 2 3 2 4 2" xfId="41696"/>
    <cellStyle name="표준 8 2 2 2 3 2 5 2" xfId="41697"/>
    <cellStyle name="표준 8 2 2 2 3 3 2 2 2" xfId="41698"/>
    <cellStyle name="표준 8 2 2 2 3 3 3 3" xfId="41699"/>
    <cellStyle name="표준 8 2 2 2 3 3 3 2 2" xfId="41700"/>
    <cellStyle name="표준 8 2 2 2 3 3 4 2" xfId="41701"/>
    <cellStyle name="표준 8 2 2 2 3 3 5 2" xfId="41702"/>
    <cellStyle name="표준 8 2 2 2 3 4 2 2" xfId="41703"/>
    <cellStyle name="표준 8 2 2 2 3 5 3" xfId="41704"/>
    <cellStyle name="표준 8 2 2 2 3 5 2 2" xfId="41705"/>
    <cellStyle name="표준 8 2 2 2 3 6 2" xfId="41706"/>
    <cellStyle name="표준 8 2 2 2 3 7 2" xfId="41707"/>
    <cellStyle name="표준 8 2 2 2 4 2 2 2" xfId="41708"/>
    <cellStyle name="표준 8 2 2 2 4 3 3" xfId="41709"/>
    <cellStyle name="표준 8 2 2 2 4 3 2 2" xfId="41710"/>
    <cellStyle name="표준 8 2 2 2 4 4 2" xfId="41711"/>
    <cellStyle name="표준 8 2 2 2 4 5 2" xfId="41712"/>
    <cellStyle name="표준 8 2 2 2 5 2 2 2" xfId="41713"/>
    <cellStyle name="표준 8 2 2 2 5 3 3" xfId="41714"/>
    <cellStyle name="표준 8 2 2 2 5 3 2 2" xfId="41715"/>
    <cellStyle name="표준 8 2 2 2 5 4 2" xfId="41716"/>
    <cellStyle name="표준 8 2 2 2 5 5 2" xfId="41717"/>
    <cellStyle name="표준 8 2 2 2 6 2 2" xfId="41718"/>
    <cellStyle name="표준 8 2 2 2 7 3" xfId="41719"/>
    <cellStyle name="표준 8 2 2 2 7 2 2" xfId="41720"/>
    <cellStyle name="표준 8 2 2 2 8 2" xfId="41721"/>
    <cellStyle name="표준 8 2 2 2 9 2" xfId="41722"/>
    <cellStyle name="표준 8 2 2 3 2 2 2 2 2" xfId="41723"/>
    <cellStyle name="표준 8 2 2 3 2 2 3 3" xfId="41724"/>
    <cellStyle name="표준 8 2 2 3 2 2 3 2 2" xfId="41725"/>
    <cellStyle name="표준 8 2 2 3 2 2 4 2" xfId="41726"/>
    <cellStyle name="표준 8 2 2 3 2 2 5 2" xfId="41727"/>
    <cellStyle name="표준 8 2 2 3 2 3 2 2 2" xfId="41728"/>
    <cellStyle name="표준 8 2 2 3 2 3 3 3" xfId="41729"/>
    <cellStyle name="표준 8 2 2 3 2 3 3 2 2" xfId="41730"/>
    <cellStyle name="표준 8 2 2 3 2 3 4 2" xfId="41731"/>
    <cellStyle name="표준 8 2 2 3 2 3 5 2" xfId="41732"/>
    <cellStyle name="표준 8 2 2 3 2 4 2 2" xfId="41733"/>
    <cellStyle name="표준 8 2 2 3 2 5 3" xfId="41734"/>
    <cellStyle name="표준 8 2 2 3 2 5 2 2" xfId="41735"/>
    <cellStyle name="표준 8 2 2 3 2 6 2" xfId="41736"/>
    <cellStyle name="표준 8 2 2 3 2 7 2" xfId="41737"/>
    <cellStyle name="표준 8 2 2 3 3 2 2 2" xfId="41738"/>
    <cellStyle name="표준 8 2 2 3 3 3 3" xfId="41739"/>
    <cellStyle name="표준 8 2 2 3 3 3 2 2" xfId="41740"/>
    <cellStyle name="표준 8 2 2 3 3 4 2" xfId="41741"/>
    <cellStyle name="표준 8 2 2 3 3 5 2" xfId="41742"/>
    <cellStyle name="표준 8 2 2 3 4 2 2 2" xfId="41743"/>
    <cellStyle name="표준 8 2 2 3 4 3 3" xfId="41744"/>
    <cellStyle name="표준 8 2 2 3 4 3 2 2" xfId="41745"/>
    <cellStyle name="표준 8 2 2 3 4 4 2" xfId="41746"/>
    <cellStyle name="표준 8 2 2 3 4 5 2" xfId="41747"/>
    <cellStyle name="표준 8 2 2 3 5 2 2" xfId="41748"/>
    <cellStyle name="표준 8 2 2 3 6 3" xfId="41749"/>
    <cellStyle name="표준 8 2 2 3 6 2 2" xfId="41750"/>
    <cellStyle name="표준 8 2 2 3 7 2" xfId="41751"/>
    <cellStyle name="표준 8 2 2 3 8 2" xfId="41752"/>
    <cellStyle name="표준 8 2 2 4 2 2 2 2" xfId="41753"/>
    <cellStyle name="표준 8 2 2 4 2 3 3" xfId="41754"/>
    <cellStyle name="표준 8 2 2 4 2 3 2 2" xfId="41755"/>
    <cellStyle name="표준 8 2 2 4 2 4 2" xfId="41756"/>
    <cellStyle name="표준 8 2 2 4 2 5 2" xfId="41757"/>
    <cellStyle name="표준 8 2 2 4 3 2 2 2" xfId="41758"/>
    <cellStyle name="표준 8 2 2 4 3 3 3" xfId="41759"/>
    <cellStyle name="표준 8 2 2 4 3 3 2 2" xfId="41760"/>
    <cellStyle name="표준 8 2 2 4 3 4 2" xfId="41761"/>
    <cellStyle name="표준 8 2 2 4 3 5 2" xfId="41762"/>
    <cellStyle name="표준 8 2 2 4 4 2 2" xfId="41763"/>
    <cellStyle name="표준 8 2 2 4 5 3" xfId="41764"/>
    <cellStyle name="표준 8 2 2 4 5 2 2" xfId="41765"/>
    <cellStyle name="표준 8 2 2 4 6 2" xfId="41766"/>
    <cellStyle name="표준 8 2 2 4 7 2" xfId="41767"/>
    <cellStyle name="표준 8 2 2 5 2 2 2" xfId="41768"/>
    <cellStyle name="표준 8 2 2 5 3 3" xfId="41769"/>
    <cellStyle name="표준 8 2 2 5 3 2 2" xfId="41770"/>
    <cellStyle name="표준 8 2 2 5 4 2" xfId="41771"/>
    <cellStyle name="표준 8 2 2 5 5 2" xfId="41772"/>
    <cellStyle name="표준 8 2 2 6 2 2 2" xfId="41773"/>
    <cellStyle name="표준 8 2 2 6 3 3" xfId="41774"/>
    <cellStyle name="표준 8 2 2 6 3 2 2" xfId="41775"/>
    <cellStyle name="표준 8 2 2 6 4 2" xfId="41776"/>
    <cellStyle name="표준 8 2 2 6 5 2" xfId="41777"/>
    <cellStyle name="표준 8 2 2 7 2 2" xfId="41778"/>
    <cellStyle name="표준 8 2 2 8 3" xfId="41779"/>
    <cellStyle name="표준 8 2 2 8 2 2" xfId="41780"/>
    <cellStyle name="표준 8 2 2 9 2" xfId="41781"/>
    <cellStyle name="표준 8 2 3 10 2" xfId="41782"/>
    <cellStyle name="표준 8 2 3 2 2 2 2 2 2 2" xfId="41783"/>
    <cellStyle name="표준 8 2 3 2 2 2 2 3 3" xfId="41784"/>
    <cellStyle name="표준 8 2 3 2 2 2 2 3 2 2" xfId="41785"/>
    <cellStyle name="표준 8 2 3 2 2 2 2 4 2" xfId="41786"/>
    <cellStyle name="표준 8 2 3 2 2 2 2 5 2" xfId="41787"/>
    <cellStyle name="표준 8 2 3 2 2 2 3 2 2 2" xfId="41788"/>
    <cellStyle name="표준 8 2 3 2 2 2 3 3 3" xfId="41789"/>
    <cellStyle name="표준 8 2 3 2 2 2 3 3 2 2" xfId="41790"/>
    <cellStyle name="표준 8 2 3 2 2 2 3 4 2" xfId="41791"/>
    <cellStyle name="표준 8 2 3 2 2 2 3 5 2" xfId="41792"/>
    <cellStyle name="표준 8 2 3 2 2 2 4 2 2" xfId="41793"/>
    <cellStyle name="표준 8 2 3 2 2 2 5 3" xfId="41794"/>
    <cellStyle name="표준 8 2 3 2 2 2 5 2 2" xfId="41795"/>
    <cellStyle name="표준 8 2 3 2 2 2 6 2" xfId="41796"/>
    <cellStyle name="표준 8 2 3 2 2 2 7 2" xfId="41797"/>
    <cellStyle name="표준 8 2 3 2 2 3 2 2 2" xfId="41798"/>
    <cellStyle name="표준 8 2 3 2 2 3 3 3" xfId="41799"/>
    <cellStyle name="표준 8 2 3 2 2 3 3 2 2" xfId="41800"/>
    <cellStyle name="표준 8 2 3 2 2 3 4 2" xfId="41801"/>
    <cellStyle name="표준 8 2 3 2 2 3 5 2" xfId="41802"/>
    <cellStyle name="표준 8 2 3 2 2 4 2 2 2" xfId="41803"/>
    <cellStyle name="표준 8 2 3 2 2 4 3 3" xfId="41804"/>
    <cellStyle name="표준 8 2 3 2 2 4 3 2 2" xfId="41805"/>
    <cellStyle name="표준 8 2 3 2 2 4 4 2" xfId="41806"/>
    <cellStyle name="표준 8 2 3 2 2 4 5 2" xfId="41807"/>
    <cellStyle name="표준 8 2 3 2 2 5 2 2" xfId="41808"/>
    <cellStyle name="표준 8 2 3 2 2 6 3" xfId="41809"/>
    <cellStyle name="표준 8 2 3 2 2 6 2 2" xfId="41810"/>
    <cellStyle name="표준 8 2 3 2 2 7 2" xfId="41811"/>
    <cellStyle name="표준 8 2 3 2 2 8 2" xfId="41812"/>
    <cellStyle name="표준 8 2 3 2 3 2 2 2 2" xfId="41813"/>
    <cellStyle name="표준 8 2 3 2 3 2 3 3" xfId="41814"/>
    <cellStyle name="표준 8 2 3 2 3 2 3 2 2" xfId="41815"/>
    <cellStyle name="표준 8 2 3 2 3 2 4 2" xfId="41816"/>
    <cellStyle name="표준 8 2 3 2 3 2 5 2" xfId="41817"/>
    <cellStyle name="표준 8 2 3 2 3 3 2 2 2" xfId="41818"/>
    <cellStyle name="표준 8 2 3 2 3 3 3 3" xfId="41819"/>
    <cellStyle name="표준 8 2 3 2 3 3 3 2 2" xfId="41820"/>
    <cellStyle name="표준 8 2 3 2 3 3 4 2" xfId="41821"/>
    <cellStyle name="표준 8 2 3 2 3 3 5 2" xfId="41822"/>
    <cellStyle name="표준 8 2 3 2 3 4 2 2" xfId="41823"/>
    <cellStyle name="표준 8 2 3 2 3 5 3" xfId="41824"/>
    <cellStyle name="표준 8 2 3 2 3 5 2 2" xfId="41825"/>
    <cellStyle name="표준 8 2 3 2 3 6 2" xfId="41826"/>
    <cellStyle name="표준 8 2 3 2 3 7 2" xfId="41827"/>
    <cellStyle name="표준 8 2 3 2 4 2 2 2" xfId="41828"/>
    <cellStyle name="표준 8 2 3 2 4 3 3" xfId="41829"/>
    <cellStyle name="표준 8 2 3 2 4 3 2 2" xfId="41830"/>
    <cellStyle name="표준 8 2 3 2 4 4 2" xfId="41831"/>
    <cellStyle name="표준 8 2 3 2 4 5 2" xfId="41832"/>
    <cellStyle name="표준 8 2 3 2 5 2 2 2" xfId="41833"/>
    <cellStyle name="표준 8 2 3 2 5 3 3" xfId="41834"/>
    <cellStyle name="표준 8 2 3 2 5 3 2 2" xfId="41835"/>
    <cellStyle name="표준 8 2 3 2 5 4 2" xfId="41836"/>
    <cellStyle name="표준 8 2 3 2 5 5 2" xfId="41837"/>
    <cellStyle name="표준 8 2 3 2 6 2 2" xfId="41838"/>
    <cellStyle name="표준 8 2 3 2 7 3" xfId="41839"/>
    <cellStyle name="표준 8 2 3 2 7 2 2" xfId="41840"/>
    <cellStyle name="표준 8 2 3 2 8 2" xfId="41841"/>
    <cellStyle name="표준 8 2 3 2 9 2" xfId="41842"/>
    <cellStyle name="표준 8 2 3 3 2 2 2 2 2" xfId="41843"/>
    <cellStyle name="표준 8 2 3 3 2 2 3 3" xfId="41844"/>
    <cellStyle name="표준 8 2 3 3 2 2 3 2 2" xfId="41845"/>
    <cellStyle name="표준 8 2 3 3 2 2 4 2" xfId="41846"/>
    <cellStyle name="표준 8 2 3 3 2 2 5 2" xfId="41847"/>
    <cellStyle name="표준 8 2 3 3 2 3 2 2 2" xfId="41848"/>
    <cellStyle name="표준 8 2 3 3 2 3 3 3" xfId="41849"/>
    <cellStyle name="표준 8 2 3 3 2 3 3 2 2" xfId="41850"/>
    <cellStyle name="표준 8 2 3 3 2 3 4 2" xfId="41851"/>
    <cellStyle name="표준 8 2 3 3 2 3 5 2" xfId="41852"/>
    <cellStyle name="표준 8 2 3 3 2 4 2 2" xfId="41853"/>
    <cellStyle name="표준 8 2 3 3 2 5 3" xfId="41854"/>
    <cellStyle name="표준 8 2 3 3 2 5 2 2" xfId="41855"/>
    <cellStyle name="표준 8 2 3 3 2 6 2" xfId="41856"/>
    <cellStyle name="표준 8 2 3 3 2 7 2" xfId="41857"/>
    <cellStyle name="표준 8 2 3 3 3 2 2 2" xfId="41858"/>
    <cellStyle name="표준 8 2 3 3 3 3 3" xfId="41859"/>
    <cellStyle name="표준 8 2 3 3 3 3 2 2" xfId="41860"/>
    <cellStyle name="표준 8 2 3 3 3 4 2" xfId="41861"/>
    <cellStyle name="표준 8 2 3 3 3 5 2" xfId="41862"/>
    <cellStyle name="표준 8 2 3 3 4 2 2 2" xfId="41863"/>
    <cellStyle name="표준 8 2 3 3 4 3 3" xfId="41864"/>
    <cellStyle name="표준 8 2 3 3 4 3 2 2" xfId="41865"/>
    <cellStyle name="표준 8 2 3 3 4 4 2" xfId="41866"/>
    <cellStyle name="표준 8 2 3 3 4 5 2" xfId="41867"/>
    <cellStyle name="표준 8 2 3 3 5 2 2" xfId="41868"/>
    <cellStyle name="표준 8 2 3 3 6 3" xfId="41869"/>
    <cellStyle name="표준 8 2 3 3 6 2 2" xfId="41870"/>
    <cellStyle name="표준 8 2 3 3 7 2" xfId="41871"/>
    <cellStyle name="표준 8 2 3 3 8 2" xfId="41872"/>
    <cellStyle name="표준 8 2 3 4 2 2 2 2" xfId="41873"/>
    <cellStyle name="표준 8 2 3 4 2 3 3" xfId="41874"/>
    <cellStyle name="표준 8 2 3 4 2 3 2 2" xfId="41875"/>
    <cellStyle name="표준 8 2 3 4 2 4 2" xfId="41876"/>
    <cellStyle name="표준 8 2 3 4 2 5 2" xfId="41877"/>
    <cellStyle name="표준 8 2 3 4 3 2 2 2" xfId="41878"/>
    <cellStyle name="표준 8 2 3 4 3 3 3" xfId="41879"/>
    <cellStyle name="표준 8 2 3 4 3 3 2 2" xfId="41880"/>
    <cellStyle name="표준 8 2 3 4 3 4 2" xfId="41881"/>
    <cellStyle name="표준 8 2 3 4 3 5 2" xfId="41882"/>
    <cellStyle name="표준 8 2 3 4 4 2 2" xfId="41883"/>
    <cellStyle name="표준 8 2 3 4 5 3" xfId="41884"/>
    <cellStyle name="표준 8 2 3 4 5 2 2" xfId="41885"/>
    <cellStyle name="표준 8 2 3 4 6 2" xfId="41886"/>
    <cellStyle name="표준 8 2 3 4 7 2" xfId="41887"/>
    <cellStyle name="표준 8 2 3 5 2 2 2" xfId="41888"/>
    <cellStyle name="표준 8 2 3 5 3 3" xfId="41889"/>
    <cellStyle name="표준 8 2 3 5 3 2 2" xfId="41890"/>
    <cellStyle name="표준 8 2 3 5 4 2" xfId="41891"/>
    <cellStyle name="표준 8 2 3 5 5 2" xfId="41892"/>
    <cellStyle name="표준 8 2 3 6 2 2 2" xfId="41893"/>
    <cellStyle name="표준 8 2 3 6 3 3" xfId="41894"/>
    <cellStyle name="표준 8 2 3 6 3 2 2" xfId="41895"/>
    <cellStyle name="표준 8 2 3 6 4 2" xfId="41896"/>
    <cellStyle name="표준 8 2 3 6 5 2" xfId="41897"/>
    <cellStyle name="표준 8 2 3 7 2 2" xfId="41898"/>
    <cellStyle name="표준 8 2 3 8 3" xfId="41899"/>
    <cellStyle name="표준 8 2 3 8 2 2" xfId="41900"/>
    <cellStyle name="표준 8 2 3 9 2" xfId="41901"/>
    <cellStyle name="표준 8 2 4 10 2" xfId="41902"/>
    <cellStyle name="표준 8 2 4 2 2 2 2 2 2 2" xfId="41903"/>
    <cellStyle name="표준 8 2 4 2 2 2 2 3 3" xfId="41904"/>
    <cellStyle name="표준 8 2 4 2 2 2 2 3 2 2" xfId="41905"/>
    <cellStyle name="표준 8 2 4 2 2 2 2 4 2" xfId="41906"/>
    <cellStyle name="표준 8 2 4 2 2 2 2 5 2" xfId="41907"/>
    <cellStyle name="표준 8 2 4 2 2 2 3 2 2 2" xfId="41908"/>
    <cellStyle name="표준 8 2 4 2 2 2 3 3 3" xfId="41909"/>
    <cellStyle name="표준 8 2 4 2 2 2 3 3 2 2" xfId="41910"/>
    <cellStyle name="표준 8 2 4 2 2 2 3 4 2" xfId="41911"/>
    <cellStyle name="표준 8 2 4 2 2 2 3 5 2" xfId="41912"/>
    <cellStyle name="표준 8 2 4 2 2 2 4 2 2" xfId="41913"/>
    <cellStyle name="표준 8 2 4 2 2 2 5 3" xfId="41914"/>
    <cellStyle name="표준 8 2 4 2 2 2 5 2 2" xfId="41915"/>
    <cellStyle name="표준 8 2 4 2 2 2 6 2" xfId="41916"/>
    <cellStyle name="표준 8 2 4 2 2 2 7 2" xfId="41917"/>
    <cellStyle name="표준 8 2 4 2 2 3 2 2 2" xfId="41918"/>
    <cellStyle name="표준 8 2 4 2 2 3 3 3" xfId="41919"/>
    <cellStyle name="표준 8 2 4 2 2 3 3 2 2" xfId="41920"/>
    <cellStyle name="표준 8 2 4 2 2 3 4 2" xfId="41921"/>
    <cellStyle name="표준 8 2 4 2 2 3 5 2" xfId="41922"/>
    <cellStyle name="표준 8 2 4 2 2 4 2 2 2" xfId="41923"/>
    <cellStyle name="표준 8 2 4 2 2 4 3 3" xfId="41924"/>
    <cellStyle name="표준 8 2 4 2 2 4 3 2 2" xfId="41925"/>
    <cellStyle name="표준 8 2 4 2 2 4 4 2" xfId="41926"/>
    <cellStyle name="표준 8 2 4 2 2 4 5 2" xfId="41927"/>
    <cellStyle name="표준 8 2 4 2 2 5 2 2" xfId="41928"/>
    <cellStyle name="표준 8 2 4 2 2 6 3" xfId="41929"/>
    <cellStyle name="표준 8 2 4 2 2 6 2 2" xfId="41930"/>
    <cellStyle name="표준 8 2 4 2 2 7 2" xfId="41931"/>
    <cellStyle name="표준 8 2 4 2 2 8 2" xfId="41932"/>
    <cellStyle name="표준 8 2 4 2 3 2 2 2 2" xfId="41933"/>
    <cellStyle name="표준 8 2 4 2 3 2 3 3" xfId="41934"/>
    <cellStyle name="표준 8 2 4 2 3 2 3 2 2" xfId="41935"/>
    <cellStyle name="표준 8 2 4 2 3 2 4 2" xfId="41936"/>
    <cellStyle name="표준 8 2 4 2 3 2 5 2" xfId="41937"/>
    <cellStyle name="표준 8 2 4 2 3 3 2 2 2" xfId="41938"/>
    <cellStyle name="표준 8 2 4 2 3 3 3 3" xfId="41939"/>
    <cellStyle name="표준 8 2 4 2 3 3 3 2 2" xfId="41940"/>
    <cellStyle name="표준 8 2 4 2 3 3 4 2" xfId="41941"/>
    <cellStyle name="표준 8 2 4 2 3 3 5 2" xfId="41942"/>
    <cellStyle name="표준 8 2 4 2 3 4 2 2" xfId="41943"/>
    <cellStyle name="표준 8 2 4 2 3 5 3" xfId="41944"/>
    <cellStyle name="표준 8 2 4 2 3 5 2 2" xfId="41945"/>
    <cellStyle name="표준 8 2 4 2 3 6 2" xfId="41946"/>
    <cellStyle name="표준 8 2 4 2 3 7 2" xfId="41947"/>
    <cellStyle name="표준 8 2 4 2 4 2 2 2" xfId="41948"/>
    <cellStyle name="표준 8 2 4 2 4 3 3" xfId="41949"/>
    <cellStyle name="표준 8 2 4 2 4 3 2 2" xfId="41950"/>
    <cellStyle name="표준 8 2 4 2 4 4 2" xfId="41951"/>
    <cellStyle name="표준 8 2 4 2 4 5 2" xfId="41952"/>
    <cellStyle name="표준 8 2 4 2 5 2 2 2" xfId="41953"/>
    <cellStyle name="표준 8 2 4 2 5 3 3" xfId="41954"/>
    <cellStyle name="표준 8 2 4 2 5 3 2 2" xfId="41955"/>
    <cellStyle name="표준 8 2 4 2 5 4 2" xfId="41956"/>
    <cellStyle name="표준 8 2 4 2 5 5 2" xfId="41957"/>
    <cellStyle name="표준 8 2 4 2 6 2 2" xfId="41958"/>
    <cellStyle name="표준 8 2 4 2 7 3" xfId="41959"/>
    <cellStyle name="표준 8 2 4 2 7 2 2" xfId="41960"/>
    <cellStyle name="표준 8 2 4 2 8 2" xfId="41961"/>
    <cellStyle name="표준 8 2 4 2 9 2" xfId="41962"/>
    <cellStyle name="표준 8 2 4 3 2 2 2 2 2" xfId="41963"/>
    <cellStyle name="표준 8 2 4 3 2 2 3 3" xfId="41964"/>
    <cellStyle name="표준 8 2 4 3 2 2 3 2 2" xfId="41965"/>
    <cellStyle name="표준 8 2 4 3 2 2 4 2" xfId="41966"/>
    <cellStyle name="표준 8 2 4 3 2 2 5 2" xfId="41967"/>
    <cellStyle name="표준 8 2 4 3 2 3 2 2 2" xfId="41968"/>
    <cellStyle name="표준 8 2 4 3 2 3 3 3" xfId="41969"/>
    <cellStyle name="표준 8 2 4 3 2 3 3 2 2" xfId="41970"/>
    <cellStyle name="표준 8 2 4 3 2 3 4 2" xfId="41971"/>
    <cellStyle name="표준 8 2 4 3 2 3 5 2" xfId="41972"/>
    <cellStyle name="표준 8 2 4 3 2 4 2 2" xfId="41973"/>
    <cellStyle name="표준 8 2 4 3 2 5 3" xfId="41974"/>
    <cellStyle name="표준 8 2 4 3 2 5 2 2" xfId="41975"/>
    <cellStyle name="표준 8 2 4 3 2 6 2" xfId="41976"/>
    <cellStyle name="표준 8 2 4 3 2 7 2" xfId="41977"/>
    <cellStyle name="표준 8 2 4 3 3 2 2 2" xfId="41978"/>
    <cellStyle name="표준 8 2 4 3 3 3 3" xfId="41979"/>
    <cellStyle name="표준 8 2 4 3 3 3 2 2" xfId="41980"/>
    <cellStyle name="표준 8 2 4 3 3 4 2" xfId="41981"/>
    <cellStyle name="표준 8 2 4 3 3 5 2" xfId="41982"/>
    <cellStyle name="표준 8 2 4 3 4 2 2 2" xfId="41983"/>
    <cellStyle name="표준 8 2 4 3 4 3 3" xfId="41984"/>
    <cellStyle name="표준 8 2 4 3 4 3 2 2" xfId="41985"/>
    <cellStyle name="표준 8 2 4 3 4 4 2" xfId="41986"/>
    <cellStyle name="표준 8 2 4 3 4 5 2" xfId="41987"/>
    <cellStyle name="표준 8 2 4 3 5 2 2" xfId="41988"/>
    <cellStyle name="표준 8 2 4 3 6 3" xfId="41989"/>
    <cellStyle name="표준 8 2 4 3 6 2 2" xfId="41990"/>
    <cellStyle name="표준 8 2 4 3 7 2" xfId="41991"/>
    <cellStyle name="표준 8 2 4 3 8 2" xfId="41992"/>
    <cellStyle name="표준 8 2 4 4 2 2 2 2" xfId="41993"/>
    <cellStyle name="표준 8 2 4 4 2 3 3" xfId="41994"/>
    <cellStyle name="표준 8 2 4 4 2 3 2 2" xfId="41995"/>
    <cellStyle name="표준 8 2 4 4 2 4 2" xfId="41996"/>
    <cellStyle name="표준 8 2 4 4 2 5 2" xfId="41997"/>
    <cellStyle name="표준 8 2 4 4 3 2 2 2" xfId="41998"/>
    <cellStyle name="표준 8 2 4 4 3 3 3" xfId="41999"/>
    <cellStyle name="표준 8 2 4 4 3 3 2 2" xfId="42000"/>
    <cellStyle name="표준 8 2 4 4 3 4 2" xfId="42001"/>
    <cellStyle name="표준 8 2 4 4 3 5 2" xfId="42002"/>
    <cellStyle name="표준 8 2 4 4 4 2 2" xfId="42003"/>
    <cellStyle name="표준 8 2 4 4 5 3" xfId="42004"/>
    <cellStyle name="표준 8 2 4 4 5 2 2" xfId="42005"/>
    <cellStyle name="표준 8 2 4 4 6 2" xfId="42006"/>
    <cellStyle name="표준 8 2 4 4 7 2" xfId="42007"/>
    <cellStyle name="표준 8 2 4 5 2 2 2" xfId="42008"/>
    <cellStyle name="표준 8 2 4 5 3 3" xfId="42009"/>
    <cellStyle name="표준 8 2 4 5 3 2 2" xfId="42010"/>
    <cellStyle name="표준 8 2 4 5 4 2" xfId="42011"/>
    <cellStyle name="표준 8 2 4 5 5 2" xfId="42012"/>
    <cellStyle name="표준 8 2 4 6 2 2 2" xfId="42013"/>
    <cellStyle name="표준 8 2 4 6 3 3" xfId="42014"/>
    <cellStyle name="표준 8 2 4 6 3 2 2" xfId="42015"/>
    <cellStyle name="표준 8 2 4 6 4 2" xfId="42016"/>
    <cellStyle name="표준 8 2 4 6 5 2" xfId="42017"/>
    <cellStyle name="표준 8 2 4 7 2 2" xfId="42018"/>
    <cellStyle name="표준 8 2 4 8 3" xfId="42019"/>
    <cellStyle name="표준 8 2 4 8 2 2" xfId="42020"/>
    <cellStyle name="표준 8 2 4 9 2" xfId="42021"/>
    <cellStyle name="표준 8 2 5 2 2 2 2 2 2" xfId="42022"/>
    <cellStyle name="표준 8 2 5 2 2 2 3 3" xfId="42023"/>
    <cellStyle name="표준 8 2 5 2 2 2 3 2 2" xfId="42024"/>
    <cellStyle name="표준 8 2 5 2 2 2 4 2" xfId="42025"/>
    <cellStyle name="표준 8 2 5 2 2 2 5 2" xfId="42026"/>
    <cellStyle name="표준 8 2 5 2 2 3 2 2 2" xfId="42027"/>
    <cellStyle name="표준 8 2 5 2 2 3 3 3" xfId="42028"/>
    <cellStyle name="표준 8 2 5 2 2 3 3 2 2" xfId="42029"/>
    <cellStyle name="표준 8 2 5 2 2 3 4 2" xfId="42030"/>
    <cellStyle name="표준 8 2 5 2 2 3 5 2" xfId="42031"/>
    <cellStyle name="표준 8 2 5 2 2 4 2 2" xfId="42032"/>
    <cellStyle name="표준 8 2 5 2 2 5 3" xfId="42033"/>
    <cellStyle name="표준 8 2 5 2 2 5 2 2" xfId="42034"/>
    <cellStyle name="표준 8 2 5 2 2 6 2" xfId="42035"/>
    <cellStyle name="표준 8 2 5 2 2 7 2" xfId="42036"/>
    <cellStyle name="표준 8 2 5 2 3 2 2 2" xfId="42037"/>
    <cellStyle name="표준 8 2 5 2 3 3 3" xfId="42038"/>
    <cellStyle name="표준 8 2 5 2 3 3 2 2" xfId="42039"/>
    <cellStyle name="표준 8 2 5 2 3 4 2" xfId="42040"/>
    <cellStyle name="표준 8 2 5 2 3 5 2" xfId="42041"/>
    <cellStyle name="표준 8 2 5 2 4 2 2 2" xfId="42042"/>
    <cellStyle name="표준 8 2 5 2 4 3 3" xfId="42043"/>
    <cellStyle name="표준 8 2 5 2 4 3 2 2" xfId="42044"/>
    <cellStyle name="표준 8 2 5 2 4 4 2" xfId="42045"/>
    <cellStyle name="표준 8 2 5 2 4 5 2" xfId="42046"/>
    <cellStyle name="표준 8 2 5 2 5 2 2" xfId="42047"/>
    <cellStyle name="표준 8 2 5 2 6 3" xfId="42048"/>
    <cellStyle name="표준 8 2 5 2 6 2 2" xfId="42049"/>
    <cellStyle name="표준 8 2 5 2 7 2" xfId="42050"/>
    <cellStyle name="표준 8 2 5 2 8 2" xfId="42051"/>
    <cellStyle name="표준 8 2 5 3 2 2 2 2" xfId="42052"/>
    <cellStyle name="표준 8 2 5 3 2 3 3" xfId="42053"/>
    <cellStyle name="표준 8 2 5 3 2 3 2 2" xfId="42054"/>
    <cellStyle name="표준 8 2 5 3 2 4 2" xfId="42055"/>
    <cellStyle name="표준 8 2 5 3 2 5 2" xfId="42056"/>
    <cellStyle name="표준 8 2 5 3 3 2 2 2" xfId="42057"/>
    <cellStyle name="표준 8 2 5 3 3 3 3" xfId="42058"/>
    <cellStyle name="표준 8 2 5 3 3 3 2 2" xfId="42059"/>
    <cellStyle name="표준 8 2 5 3 3 4 2" xfId="42060"/>
    <cellStyle name="표준 8 2 5 3 3 5 2" xfId="42061"/>
    <cellStyle name="표준 8 2 5 3 4 2 2" xfId="42062"/>
    <cellStyle name="표준 8 2 5 3 5 3" xfId="42063"/>
    <cellStyle name="표준 8 2 5 3 5 2 2" xfId="42064"/>
    <cellStyle name="표준 8 2 5 3 6 2" xfId="42065"/>
    <cellStyle name="표준 8 2 5 3 7 2" xfId="42066"/>
    <cellStyle name="표준 8 2 5 4 2 2 2" xfId="42067"/>
    <cellStyle name="표준 8 2 5 4 3 3" xfId="42068"/>
    <cellStyle name="표준 8 2 5 4 3 2 2" xfId="42069"/>
    <cellStyle name="표준 8 2 5 4 4 2" xfId="42070"/>
    <cellStyle name="표준 8 2 5 4 5 2" xfId="42071"/>
    <cellStyle name="표준 8 2 5 5 2 2 2" xfId="42072"/>
    <cellStyle name="표준 8 2 5 5 3 3" xfId="42073"/>
    <cellStyle name="표준 8 2 5 5 3 2 2" xfId="42074"/>
    <cellStyle name="표준 8 2 5 5 4 2" xfId="42075"/>
    <cellStyle name="표준 8 2 5 5 5 2" xfId="42076"/>
    <cellStyle name="표준 8 2 5 6 2 2" xfId="42077"/>
    <cellStyle name="표준 8 2 5 7 3" xfId="42078"/>
    <cellStyle name="표준 8 2 5 7 2 2" xfId="42079"/>
    <cellStyle name="표준 8 2 5 8 2" xfId="42080"/>
    <cellStyle name="표준 8 2 5 9 2" xfId="42081"/>
    <cellStyle name="표준 8 2 6 2 2 2 2 2" xfId="42082"/>
    <cellStyle name="표준 8 2 6 2 2 3 3" xfId="42083"/>
    <cellStyle name="표준 8 2 6 2 2 3 2 2" xfId="42084"/>
    <cellStyle name="표준 8 2 6 2 2 4 2" xfId="42085"/>
    <cellStyle name="표준 8 2 6 2 2 5 2" xfId="42086"/>
    <cellStyle name="표준 8 2 6 2 3 2 2 2" xfId="42087"/>
    <cellStyle name="표준 8 2 6 2 3 3 3" xfId="42088"/>
    <cellStyle name="표준 8 2 6 2 3 3 2 2" xfId="42089"/>
    <cellStyle name="표준 8 2 6 2 3 4 2" xfId="42090"/>
    <cellStyle name="표준 8 2 6 2 3 5 2" xfId="42091"/>
    <cellStyle name="표준 8 2 6 2 4 2 2" xfId="42092"/>
    <cellStyle name="표준 8 2 6 2 5 3" xfId="42093"/>
    <cellStyle name="표준 8 2 6 2 5 2 2" xfId="42094"/>
    <cellStyle name="표준 8 2 6 2 6 2" xfId="42095"/>
    <cellStyle name="표준 8 2 6 2 7 2" xfId="42096"/>
    <cellStyle name="표준 8 2 6 3 2 2 2" xfId="42097"/>
    <cellStyle name="표준 8 2 6 3 3 3" xfId="42098"/>
    <cellStyle name="표준 8 2 6 3 3 2 2" xfId="42099"/>
    <cellStyle name="표준 8 2 6 3 4 2" xfId="42100"/>
    <cellStyle name="표준 8 2 6 3 5 2" xfId="42101"/>
    <cellStyle name="표준 8 2 6 4 2 2 2" xfId="42102"/>
    <cellStyle name="표준 8 2 6 4 3 3" xfId="42103"/>
    <cellStyle name="표준 8 2 6 4 3 2 2" xfId="42104"/>
    <cellStyle name="표준 8 2 6 4 4 2" xfId="42105"/>
    <cellStyle name="표준 8 2 6 4 5 2" xfId="42106"/>
    <cellStyle name="표준 8 2 6 5 2 2" xfId="42107"/>
    <cellStyle name="표준 8 2 6 6 3" xfId="42108"/>
    <cellStyle name="표준 8 2 6 6 2 2" xfId="42109"/>
    <cellStyle name="표준 8 2 6 7 2" xfId="42110"/>
    <cellStyle name="표준 8 2 6 8 2" xfId="42111"/>
    <cellStyle name="표준 8 2 7 2 2 2 2" xfId="42112"/>
    <cellStyle name="표준 8 2 7 2 3 3" xfId="42113"/>
    <cellStyle name="표준 8 2 7 2 3 2 2" xfId="42114"/>
    <cellStyle name="표준 8 2 7 2 4 2" xfId="42115"/>
    <cellStyle name="표준 8 2 7 2 5 2" xfId="42116"/>
    <cellStyle name="표준 8 2 7 3 2 2 2" xfId="42117"/>
    <cellStyle name="표준 8 2 7 3 3 3" xfId="42118"/>
    <cellStyle name="표준 8 2 7 3 3 2 2" xfId="42119"/>
    <cellStyle name="표준 8 2 7 3 4 2" xfId="42120"/>
    <cellStyle name="표준 8 2 7 3 5 2" xfId="42121"/>
    <cellStyle name="표준 8 2 7 4 2 2" xfId="42122"/>
    <cellStyle name="표준 8 2 7 5 3" xfId="42123"/>
    <cellStyle name="표준 8 2 7 5 2 2" xfId="42124"/>
    <cellStyle name="표준 8 2 7 6 2" xfId="42125"/>
    <cellStyle name="표준 8 2 7 7 2" xfId="42126"/>
    <cellStyle name="표준 8 2 8 2 2 2" xfId="42127"/>
    <cellStyle name="표준 8 2 8 3 3" xfId="42128"/>
    <cellStyle name="표준 8 2 8 3 2 2" xfId="42129"/>
    <cellStyle name="표준 8 2 8 4 2" xfId="42130"/>
    <cellStyle name="표준 8 2 8 5 2" xfId="42131"/>
    <cellStyle name="표준 8 2 9 2 2 2" xfId="42132"/>
    <cellStyle name="표준 8 2 9 3 3" xfId="42133"/>
    <cellStyle name="표준 8 2 9 3 2 2" xfId="42134"/>
    <cellStyle name="표준 8 2 9 4 2" xfId="42135"/>
    <cellStyle name="표준 8 2 9 5 2" xfId="42136"/>
    <cellStyle name="표준 8 20 3" xfId="42137"/>
    <cellStyle name="표준 8 20 2 2" xfId="42138"/>
    <cellStyle name="표준 8 21 2" xfId="42139"/>
    <cellStyle name="표준 8 22 2" xfId="42140"/>
    <cellStyle name="표준 8 4 10 2 2" xfId="42141"/>
    <cellStyle name="표준 8 4 11 3" xfId="42142"/>
    <cellStyle name="표준 8 4 11 2 2" xfId="42143"/>
    <cellStyle name="표준 8 4 12 2" xfId="42144"/>
    <cellStyle name="표준 8 4 13 2" xfId="42145"/>
    <cellStyle name="표준 8 4 2 10 2" xfId="42146"/>
    <cellStyle name="표준 8 4 2 2 2 2 2 2 2 2" xfId="42147"/>
    <cellStyle name="표준 8 4 2 2 2 2 2 3 3" xfId="42148"/>
    <cellStyle name="표준 8 4 2 2 2 2 2 3 2 2" xfId="42149"/>
    <cellStyle name="표준 8 4 2 2 2 2 2 4 2" xfId="42150"/>
    <cellStyle name="표준 8 4 2 2 2 2 2 5 2" xfId="42151"/>
    <cellStyle name="표준 8 4 2 2 2 2 3 2 2 2" xfId="42152"/>
    <cellStyle name="표준 8 4 2 2 2 2 3 3 3" xfId="42153"/>
    <cellStyle name="표준 8 4 2 2 2 2 3 3 2 2" xfId="42154"/>
    <cellStyle name="표준 8 4 2 2 2 2 3 4 2" xfId="42155"/>
    <cellStyle name="표준 8 4 2 2 2 2 3 5 2" xfId="42156"/>
    <cellStyle name="표준 8 4 2 2 2 2 4 2 2" xfId="42157"/>
    <cellStyle name="표준 8 4 2 2 2 2 5 3" xfId="42158"/>
    <cellStyle name="표준 8 4 2 2 2 2 5 2 2" xfId="42159"/>
    <cellStyle name="표준 8 4 2 2 2 2 6 2" xfId="42160"/>
    <cellStyle name="표준 8 4 2 2 2 2 7 2" xfId="42161"/>
    <cellStyle name="표준 8 4 2 2 2 3 2 2 2" xfId="42162"/>
    <cellStyle name="표준 8 4 2 2 2 3 3 3" xfId="42163"/>
    <cellStyle name="표준 8 4 2 2 2 3 3 2 2" xfId="42164"/>
    <cellStyle name="표준 8 4 2 2 2 3 4 2" xfId="42165"/>
    <cellStyle name="표준 8 4 2 2 2 3 5 2" xfId="42166"/>
    <cellStyle name="표준 8 4 2 2 2 4 2 2 2" xfId="42167"/>
    <cellStyle name="표준 8 4 2 2 2 4 3 3" xfId="42168"/>
    <cellStyle name="표준 8 4 2 2 2 4 3 2 2" xfId="42169"/>
    <cellStyle name="표준 8 4 2 2 2 4 4 2" xfId="42170"/>
    <cellStyle name="표준 8 4 2 2 2 4 5 2" xfId="42171"/>
    <cellStyle name="표준 8 4 2 2 2 5 2 2" xfId="42172"/>
    <cellStyle name="표준 8 4 2 2 2 6 3" xfId="42173"/>
    <cellStyle name="표준 8 4 2 2 2 6 2 2" xfId="42174"/>
    <cellStyle name="표준 8 4 2 2 2 7 2" xfId="42175"/>
    <cellStyle name="표준 8 4 2 2 2 8 2" xfId="42176"/>
    <cellStyle name="표준 8 4 2 2 3 2 2 2 2" xfId="42177"/>
    <cellStyle name="표준 8 4 2 2 3 2 3 3" xfId="42178"/>
    <cellStyle name="표준 8 4 2 2 3 2 3 2 2" xfId="42179"/>
    <cellStyle name="표준 8 4 2 2 3 2 4 2" xfId="42180"/>
    <cellStyle name="표준 8 4 2 2 3 2 5 2" xfId="42181"/>
    <cellStyle name="표준 8 4 2 2 3 3 2 2 2" xfId="42182"/>
    <cellStyle name="표준 8 4 2 2 3 3 3 3" xfId="42183"/>
    <cellStyle name="표준 8 4 2 2 3 3 3 2 2" xfId="42184"/>
    <cellStyle name="표준 8 4 2 2 3 3 4 2" xfId="42185"/>
    <cellStyle name="표준 8 4 2 2 3 3 5 2" xfId="42186"/>
    <cellStyle name="표준 8 4 2 2 3 4 2 2" xfId="42187"/>
    <cellStyle name="표준 8 4 2 2 3 5 3" xfId="42188"/>
    <cellStyle name="표준 8 4 2 2 3 5 2 2" xfId="42189"/>
    <cellStyle name="표준 8 4 2 2 3 6 2" xfId="42190"/>
    <cellStyle name="표준 8 4 2 2 3 7 2" xfId="42191"/>
    <cellStyle name="표준 8 4 2 2 4 2 2 2" xfId="42192"/>
    <cellStyle name="표준 8 4 2 2 4 3 3" xfId="42193"/>
    <cellStyle name="표준 8 4 2 2 4 3 2 2" xfId="42194"/>
    <cellStyle name="표준 8 4 2 2 4 4 2" xfId="42195"/>
    <cellStyle name="표준 8 4 2 2 4 5 2" xfId="42196"/>
    <cellStyle name="표준 8 4 2 2 5 2 2 2" xfId="42197"/>
    <cellStyle name="표준 8 4 2 2 5 3 3" xfId="42198"/>
    <cellStyle name="표준 8 4 2 2 5 3 2 2" xfId="42199"/>
    <cellStyle name="표준 8 4 2 2 5 4 2" xfId="42200"/>
    <cellStyle name="표준 8 4 2 2 5 5 2" xfId="42201"/>
    <cellStyle name="표준 8 4 2 2 6 2 2" xfId="42202"/>
    <cellStyle name="표준 8 4 2 2 7 3" xfId="42203"/>
    <cellStyle name="표준 8 4 2 2 7 2 2" xfId="42204"/>
    <cellStyle name="표준 8 4 2 2 8 2" xfId="42205"/>
    <cellStyle name="표준 8 4 2 2 9 2" xfId="42206"/>
    <cellStyle name="표준 8 4 2 3 2 2 2 2 2" xfId="42207"/>
    <cellStyle name="표준 8 4 2 3 2 2 3 3" xfId="42208"/>
    <cellStyle name="표준 8 4 2 3 2 2 3 2 2" xfId="42209"/>
    <cellStyle name="표준 8 4 2 3 2 2 4 2" xfId="42210"/>
    <cellStyle name="표준 8 4 2 3 2 2 5 2" xfId="42211"/>
    <cellStyle name="표준 8 4 2 3 2 3 2 2 2" xfId="42212"/>
    <cellStyle name="표준 8 4 2 3 2 3 3 3" xfId="42213"/>
    <cellStyle name="표준 8 4 2 3 2 3 3 2 2" xfId="42214"/>
    <cellStyle name="표준 8 4 2 3 2 3 4 2" xfId="42215"/>
    <cellStyle name="표준 8 4 2 3 2 3 5 2" xfId="42216"/>
    <cellStyle name="표준 8 4 2 3 2 4 2 2" xfId="42217"/>
    <cellStyle name="표준 8 4 2 3 2 5 3" xfId="42218"/>
    <cellStyle name="표준 8 4 2 3 2 5 2 2" xfId="42219"/>
    <cellStyle name="표준 8 4 2 3 2 6 2" xfId="42220"/>
    <cellStyle name="표준 8 4 2 3 2 7 2" xfId="42221"/>
    <cellStyle name="표준 8 4 2 3 3 2 2 2" xfId="42222"/>
    <cellStyle name="표준 8 4 2 3 3 3 3" xfId="42223"/>
    <cellStyle name="표준 8 4 2 3 3 3 2 2" xfId="42224"/>
    <cellStyle name="표준 8 4 2 3 3 4 2" xfId="42225"/>
    <cellStyle name="표준 8 4 2 3 3 5 2" xfId="42226"/>
    <cellStyle name="표준 8 4 2 3 4 2 2 2" xfId="42227"/>
    <cellStyle name="표준 8 4 2 3 4 3 3" xfId="42228"/>
    <cellStyle name="표준 8 4 2 3 4 3 2 2" xfId="42229"/>
    <cellStyle name="표준 8 4 2 3 4 4 2" xfId="42230"/>
    <cellStyle name="표준 8 4 2 3 4 5 2" xfId="42231"/>
    <cellStyle name="표준 8 4 2 3 5 2 2" xfId="42232"/>
    <cellStyle name="표준 8 4 2 3 6 3" xfId="42233"/>
    <cellStyle name="표준 8 4 2 3 6 2 2" xfId="42234"/>
    <cellStyle name="표준 8 4 2 3 7 2" xfId="42235"/>
    <cellStyle name="표준 8 4 2 3 8 2" xfId="42236"/>
    <cellStyle name="표준 8 4 2 4 2 2 2 2" xfId="42237"/>
    <cellStyle name="표준 8 4 2 4 2 3 3" xfId="42238"/>
    <cellStyle name="표준 8 4 2 4 2 3 2 2" xfId="42239"/>
    <cellStyle name="표준 8 4 2 4 2 4 2" xfId="42240"/>
    <cellStyle name="표준 8 4 2 4 2 5 2" xfId="42241"/>
    <cellStyle name="표준 8 4 2 4 3 2 2 2" xfId="42242"/>
    <cellStyle name="표준 8 4 2 4 3 3 3" xfId="42243"/>
    <cellStyle name="표준 8 4 2 4 3 3 2 2" xfId="42244"/>
    <cellStyle name="표준 8 4 2 4 3 4 2" xfId="42245"/>
    <cellStyle name="표준 8 4 2 4 3 5 2" xfId="42246"/>
    <cellStyle name="표준 8 4 2 4 4 2 2" xfId="42247"/>
    <cellStyle name="표준 8 4 2 4 5 3" xfId="42248"/>
    <cellStyle name="표준 8 4 2 4 5 2 2" xfId="42249"/>
    <cellStyle name="표준 8 4 2 4 6 2" xfId="42250"/>
    <cellStyle name="표준 8 4 2 4 7 2" xfId="42251"/>
    <cellStyle name="표준 8 4 2 5 2 2 2" xfId="42252"/>
    <cellStyle name="표준 8 4 2 5 3 3" xfId="42253"/>
    <cellStyle name="표준 8 4 2 5 3 2 2" xfId="42254"/>
    <cellStyle name="표준 8 4 2 5 4 2" xfId="42255"/>
    <cellStyle name="표준 8 4 2 5 5 2" xfId="42256"/>
    <cellStyle name="표준 8 4 2 6 2 2 2" xfId="42257"/>
    <cellStyle name="표준 8 4 2 6 3 3" xfId="42258"/>
    <cellStyle name="표준 8 4 2 6 3 2 2" xfId="42259"/>
    <cellStyle name="표준 8 4 2 6 4 2" xfId="42260"/>
    <cellStyle name="표준 8 4 2 6 5 2" xfId="42261"/>
    <cellStyle name="표준 8 4 2 7 2 2" xfId="42262"/>
    <cellStyle name="표준 8 4 2 8 3" xfId="42263"/>
    <cellStyle name="표준 8 4 2 8 2 2" xfId="42264"/>
    <cellStyle name="표준 8 4 2 9 2" xfId="42265"/>
    <cellStyle name="표준 8 4 3 10 2" xfId="42266"/>
    <cellStyle name="표준 8 4 3 2 2 2 2 2 2 2" xfId="42267"/>
    <cellStyle name="표준 8 4 3 2 2 2 2 3 3" xfId="42268"/>
    <cellStyle name="표준 8 4 3 2 2 2 2 3 2 2" xfId="42269"/>
    <cellStyle name="표준 8 4 3 2 2 2 2 4 2" xfId="42270"/>
    <cellStyle name="표준 8 4 3 2 2 2 2 5 2" xfId="42271"/>
    <cellStyle name="표준 8 4 3 2 2 2 3 2 2 2" xfId="42272"/>
    <cellStyle name="표준 8 4 3 2 2 2 3 3 3" xfId="42273"/>
    <cellStyle name="표준 8 4 3 2 2 2 3 3 2 2" xfId="42274"/>
    <cellStyle name="표준 8 4 3 2 2 2 3 4 2" xfId="42275"/>
    <cellStyle name="표준 8 4 3 2 2 2 3 5 2" xfId="42276"/>
    <cellStyle name="표준 8 4 3 2 2 2 4 2 2" xfId="42277"/>
    <cellStyle name="표준 8 4 3 2 2 2 5 3" xfId="42278"/>
    <cellStyle name="표준 8 4 3 2 2 2 5 2 2" xfId="42279"/>
    <cellStyle name="표준 8 4 3 2 2 2 6 2" xfId="42280"/>
    <cellStyle name="표준 8 4 3 2 2 2 7 2" xfId="42281"/>
    <cellStyle name="표준 8 4 3 2 2 3 2 2 2" xfId="42282"/>
    <cellStyle name="표준 8 4 3 2 2 3 3 3" xfId="42283"/>
    <cellStyle name="표준 8 4 3 2 2 3 3 2 2" xfId="42284"/>
    <cellStyle name="표준 8 4 3 2 2 3 4 2" xfId="42285"/>
    <cellStyle name="표준 8 4 3 2 2 3 5 2" xfId="42286"/>
    <cellStyle name="표준 8 4 3 2 2 4 2 2 2" xfId="42287"/>
    <cellStyle name="표준 8 4 3 2 2 4 3 3" xfId="42288"/>
    <cellStyle name="표준 8 4 3 2 2 4 3 2 2" xfId="42289"/>
    <cellStyle name="표준 8 4 3 2 2 4 4 2" xfId="42290"/>
    <cellStyle name="표준 8 4 3 2 2 4 5 2" xfId="42291"/>
    <cellStyle name="표준 8 4 3 2 2 5 2 2" xfId="42292"/>
    <cellStyle name="표준 8 4 3 2 2 6 3" xfId="42293"/>
    <cellStyle name="표준 8 4 3 2 2 6 2 2" xfId="42294"/>
    <cellStyle name="표준 8 4 3 2 2 7 2" xfId="42295"/>
    <cellStyle name="표준 8 4 3 2 2 8 2" xfId="42296"/>
    <cellStyle name="표준 8 4 3 2 3 2 2 2 2" xfId="42297"/>
    <cellStyle name="표준 8 4 3 2 3 2 3 3" xfId="42298"/>
    <cellStyle name="표준 8 4 3 2 3 2 3 2 2" xfId="42299"/>
    <cellStyle name="표준 8 4 3 2 3 2 4 2" xfId="42300"/>
    <cellStyle name="표준 8 4 3 2 3 2 5 2" xfId="42301"/>
    <cellStyle name="표준 8 4 3 2 3 3 2 2 2" xfId="42302"/>
    <cellStyle name="표준 8 4 3 2 3 3 3 3" xfId="42303"/>
    <cellStyle name="표준 8 4 3 2 3 3 3 2 2" xfId="42304"/>
    <cellStyle name="표준 8 4 3 2 3 3 4 2" xfId="42305"/>
    <cellStyle name="표준 8 4 3 2 3 3 5 2" xfId="42306"/>
    <cellStyle name="표준 8 4 3 2 3 4 2 2" xfId="42307"/>
    <cellStyle name="표준 8 4 3 2 3 5 3" xfId="42308"/>
    <cellStyle name="표준 8 4 3 2 3 5 2 2" xfId="42309"/>
    <cellStyle name="표준 8 4 3 2 3 6 2" xfId="42310"/>
    <cellStyle name="표준 8 4 3 2 3 7 2" xfId="42311"/>
    <cellStyle name="표준 8 4 3 2 4 2 2 2" xfId="42312"/>
    <cellStyle name="표준 8 4 3 2 4 3 3" xfId="42313"/>
    <cellStyle name="표준 8 4 3 2 4 3 2 2" xfId="42314"/>
    <cellStyle name="표준 8 4 3 2 4 4 2" xfId="42315"/>
    <cellStyle name="표준 8 4 3 2 4 5 2" xfId="42316"/>
    <cellStyle name="표준 8 4 3 2 5 2 2 2" xfId="42317"/>
    <cellStyle name="표준 8 4 3 2 5 3 3" xfId="42318"/>
    <cellStyle name="표준 8 4 3 2 5 3 2 2" xfId="42319"/>
    <cellStyle name="표준 8 4 3 2 5 4 2" xfId="42320"/>
    <cellStyle name="표준 8 4 3 2 5 5 2" xfId="42321"/>
    <cellStyle name="표준 8 4 3 2 6 2 2" xfId="42322"/>
    <cellStyle name="표준 8 4 3 2 7 3" xfId="42323"/>
    <cellStyle name="표준 8 4 3 2 7 2 2" xfId="42324"/>
    <cellStyle name="표준 8 4 3 2 8 2" xfId="42325"/>
    <cellStyle name="표준 8 4 3 2 9 2" xfId="42326"/>
    <cellStyle name="표준 8 4 3 3 2 2 2 2 2" xfId="42327"/>
    <cellStyle name="표준 8 4 3 3 2 2 3 3" xfId="42328"/>
    <cellStyle name="표준 8 4 3 3 2 2 3 2 2" xfId="42329"/>
    <cellStyle name="표준 8 4 3 3 2 2 4 2" xfId="42330"/>
    <cellStyle name="표준 8 4 3 3 2 2 5 2" xfId="42331"/>
    <cellStyle name="표준 8 4 3 3 2 3 2 2 2" xfId="42332"/>
    <cellStyle name="표준 8 4 3 3 2 3 3 3" xfId="42333"/>
    <cellStyle name="표준 8 4 3 3 2 3 3 2 2" xfId="42334"/>
    <cellStyle name="표준 8 4 3 3 2 3 4 2" xfId="42335"/>
    <cellStyle name="표준 8 4 3 3 2 3 5 2" xfId="42336"/>
    <cellStyle name="표준 8 4 3 3 2 4 2 2" xfId="42337"/>
    <cellStyle name="표준 8 4 3 3 2 5 3" xfId="42338"/>
    <cellStyle name="표준 8 4 3 3 2 5 2 2" xfId="42339"/>
    <cellStyle name="표준 8 4 3 3 2 6 2" xfId="42340"/>
    <cellStyle name="표준 8 4 3 3 2 7 2" xfId="42341"/>
    <cellStyle name="표준 8 4 3 3 3 2 2 2" xfId="42342"/>
    <cellStyle name="표준 8 4 3 3 3 3 3" xfId="42343"/>
    <cellStyle name="표준 8 4 3 3 3 3 2 2" xfId="42344"/>
    <cellStyle name="표준 8 4 3 3 3 4 2" xfId="42345"/>
    <cellStyle name="표준 8 4 3 3 3 5 2" xfId="42346"/>
    <cellStyle name="표준 8 4 3 3 4 2 2 2" xfId="42347"/>
    <cellStyle name="표준 8 4 3 3 4 3 3" xfId="42348"/>
    <cellStyle name="표준 8 4 3 3 4 3 2 2" xfId="42349"/>
    <cellStyle name="표준 8 4 3 3 4 4 2" xfId="42350"/>
    <cellStyle name="표준 8 4 3 3 4 5 2" xfId="42351"/>
    <cellStyle name="표준 8 4 3 3 5 2 2" xfId="42352"/>
    <cellStyle name="표준 8 4 3 3 6 3" xfId="42353"/>
    <cellStyle name="표준 8 4 3 3 6 2 2" xfId="42354"/>
    <cellStyle name="표준 8 4 3 3 7 2" xfId="42355"/>
    <cellStyle name="표준 8 4 3 3 8 2" xfId="42356"/>
    <cellStyle name="표준 8 4 3 4 2 2 2 2" xfId="42357"/>
    <cellStyle name="표준 8 4 3 4 2 3 3" xfId="42358"/>
    <cellStyle name="표준 8 4 3 4 2 3 2 2" xfId="42359"/>
    <cellStyle name="표준 8 4 3 4 2 4 2" xfId="42360"/>
    <cellStyle name="표준 8 4 3 4 2 5 2" xfId="42361"/>
    <cellStyle name="표준 8 4 3 4 3 2 2 2" xfId="42362"/>
    <cellStyle name="표준 8 4 3 4 3 3 3" xfId="42363"/>
    <cellStyle name="표준 8 4 3 4 3 3 2 2" xfId="42364"/>
    <cellStyle name="표준 8 4 3 4 3 4 2" xfId="42365"/>
    <cellStyle name="표준 8 4 3 4 3 5 2" xfId="42366"/>
    <cellStyle name="표준 8 4 3 4 4 2 2" xfId="42367"/>
    <cellStyle name="표준 8 4 3 4 5 3" xfId="42368"/>
    <cellStyle name="표준 8 4 3 4 5 2 2" xfId="42369"/>
    <cellStyle name="표준 8 4 3 4 6 2" xfId="42370"/>
    <cellStyle name="표준 8 4 3 4 7 2" xfId="42371"/>
    <cellStyle name="표준 8 4 3 5 2 2 2" xfId="42372"/>
    <cellStyle name="표준 8 4 3 5 3 3" xfId="42373"/>
    <cellStyle name="표준 8 4 3 5 3 2 2" xfId="42374"/>
    <cellStyle name="표준 8 4 3 5 4 2" xfId="42375"/>
    <cellStyle name="표준 8 4 3 5 5 2" xfId="42376"/>
    <cellStyle name="표준 8 4 3 6 2 2 2" xfId="42377"/>
    <cellStyle name="표준 8 4 3 6 3 3" xfId="42378"/>
    <cellStyle name="표준 8 4 3 6 3 2 2" xfId="42379"/>
    <cellStyle name="표준 8 4 3 6 4 2" xfId="42380"/>
    <cellStyle name="표준 8 4 3 6 5 2" xfId="42381"/>
    <cellStyle name="표준 8 4 3 7 2 2" xfId="42382"/>
    <cellStyle name="표준 8 4 3 8 3" xfId="42383"/>
    <cellStyle name="표준 8 4 3 8 2 2" xfId="42384"/>
    <cellStyle name="표준 8 4 3 9 2" xfId="42385"/>
    <cellStyle name="표준 8 4 4 10 2" xfId="42386"/>
    <cellStyle name="표준 8 4 4 2 2 2 2 2 2 2" xfId="42387"/>
    <cellStyle name="표준 8 4 4 2 2 2 2 3 3" xfId="42388"/>
    <cellStyle name="표준 8 4 4 2 2 2 2 3 2 2" xfId="42389"/>
    <cellStyle name="표준 8 4 4 2 2 2 2 4 2" xfId="42390"/>
    <cellStyle name="표준 8 4 4 2 2 2 2 5 2" xfId="42391"/>
    <cellStyle name="표준 8 4 4 2 2 2 3 2 2 2" xfId="42392"/>
    <cellStyle name="표준 8 4 4 2 2 2 3 3 3" xfId="42393"/>
    <cellStyle name="표준 8 4 4 2 2 2 3 3 2 2" xfId="42394"/>
    <cellStyle name="표준 8 4 4 2 2 2 3 4 2" xfId="42395"/>
    <cellStyle name="표준 8 4 4 2 2 2 3 5 2" xfId="42396"/>
    <cellStyle name="표준 8 4 4 2 2 2 4 2 2" xfId="42397"/>
    <cellStyle name="표준 8 4 4 2 2 2 5 3" xfId="42398"/>
    <cellStyle name="표준 8 4 4 2 2 2 5 2 2" xfId="42399"/>
    <cellStyle name="표준 8 4 4 2 2 2 6 2" xfId="42400"/>
    <cellStyle name="표준 8 4 4 2 2 2 7 2" xfId="42401"/>
    <cellStyle name="표준 8 4 4 2 2 3 2 2 2" xfId="42402"/>
    <cellStyle name="표준 8 4 4 2 2 3 3 3" xfId="42403"/>
    <cellStyle name="표준 8 4 4 2 2 3 3 2 2" xfId="42404"/>
    <cellStyle name="표준 8 4 4 2 2 3 4 2" xfId="42405"/>
    <cellStyle name="표준 8 4 4 2 2 3 5 2" xfId="42406"/>
    <cellStyle name="표준 8 4 4 2 2 4 2 2 2" xfId="42407"/>
    <cellStyle name="표준 8 4 4 2 2 4 3 3" xfId="42408"/>
    <cellStyle name="표준 8 4 4 2 2 4 3 2 2" xfId="42409"/>
    <cellStyle name="표준 8 4 4 2 2 4 4 2" xfId="42410"/>
    <cellStyle name="표준 8 4 4 2 2 4 5 2" xfId="42411"/>
    <cellStyle name="표준 8 4 4 2 2 5 2 2" xfId="42412"/>
    <cellStyle name="표준 8 4 4 2 2 6 3" xfId="42413"/>
    <cellStyle name="표준 8 4 4 2 2 6 2 2" xfId="42414"/>
    <cellStyle name="표준 8 4 4 2 2 7 2" xfId="42415"/>
    <cellStyle name="표준 8 4 4 2 2 8 2" xfId="42416"/>
    <cellStyle name="표준 8 4 4 2 3 2 2 2 2" xfId="42417"/>
    <cellStyle name="표준 8 4 4 2 3 2 3 3" xfId="42418"/>
    <cellStyle name="표준 8 4 4 2 3 2 3 2 2" xfId="42419"/>
    <cellStyle name="표준 8 4 4 2 3 2 4 2" xfId="42420"/>
    <cellStyle name="표준 8 4 4 2 3 2 5 2" xfId="42421"/>
    <cellStyle name="표준 8 4 4 2 3 3 2 2 2" xfId="42422"/>
    <cellStyle name="표준 8 4 4 2 3 3 3 3" xfId="42423"/>
    <cellStyle name="표준 8 4 4 2 3 3 3 2 2" xfId="42424"/>
    <cellStyle name="표준 8 4 4 2 3 3 4 2" xfId="42425"/>
    <cellStyle name="표준 8 4 4 2 3 3 5 2" xfId="42426"/>
    <cellStyle name="표준 8 4 4 2 3 4 2 2" xfId="42427"/>
    <cellStyle name="표준 8 4 4 2 3 5 3" xfId="42428"/>
    <cellStyle name="표준 8 4 4 2 3 5 2 2" xfId="42429"/>
    <cellStyle name="표준 8 4 4 2 3 6 2" xfId="42430"/>
    <cellStyle name="표준 8 4 4 2 3 7 2" xfId="42431"/>
    <cellStyle name="표준 8 4 4 2 4 2 2 2" xfId="42432"/>
    <cellStyle name="표준 8 4 4 2 4 3 3" xfId="42433"/>
    <cellStyle name="표준 8 4 4 2 4 3 2 2" xfId="42434"/>
    <cellStyle name="표준 8 4 4 2 4 4 2" xfId="42435"/>
    <cellStyle name="표준 8 4 4 2 4 5 2" xfId="42436"/>
    <cellStyle name="표준 8 4 4 2 5 2 2 2" xfId="42437"/>
    <cellStyle name="표준 8 4 4 2 5 3 3" xfId="42438"/>
    <cellStyle name="표준 8 4 4 2 5 3 2 2" xfId="42439"/>
    <cellStyle name="표준 8 4 4 2 5 4 2" xfId="42440"/>
    <cellStyle name="표준 8 4 4 2 5 5 2" xfId="42441"/>
    <cellStyle name="표준 8 4 4 2 6 2 2" xfId="42442"/>
    <cellStyle name="표준 8 4 4 2 7 3" xfId="42443"/>
    <cellStyle name="표준 8 4 4 2 7 2 2" xfId="42444"/>
    <cellStyle name="표준 8 4 4 2 8 2" xfId="42445"/>
    <cellStyle name="표준 8 4 4 2 9 2" xfId="42446"/>
    <cellStyle name="표준 8 4 4 3 2 2 2 2 2" xfId="42447"/>
    <cellStyle name="표준 8 4 4 3 2 2 3 3" xfId="42448"/>
    <cellStyle name="표준 8 4 4 3 2 2 3 2 2" xfId="42449"/>
    <cellStyle name="표준 8 4 4 3 2 2 4 2" xfId="42450"/>
    <cellStyle name="표준 8 4 4 3 2 2 5 2" xfId="42451"/>
    <cellStyle name="표준 8 4 4 3 2 3 2 2 2" xfId="42452"/>
    <cellStyle name="표준 8 4 4 3 2 3 3 3" xfId="42453"/>
    <cellStyle name="표준 8 4 4 3 2 3 3 2 2" xfId="42454"/>
    <cellStyle name="표준 8 4 4 3 2 3 4 2" xfId="42455"/>
    <cellStyle name="표준 8 4 4 3 2 3 5 2" xfId="42456"/>
    <cellStyle name="표준 8 4 4 3 2 4 2 2" xfId="42457"/>
    <cellStyle name="표준 8 4 4 3 2 5 3" xfId="42458"/>
    <cellStyle name="표준 8 4 4 3 2 5 2 2" xfId="42459"/>
    <cellStyle name="표준 8 4 4 3 2 6 2" xfId="42460"/>
    <cellStyle name="표준 8 4 4 3 2 7 2" xfId="42461"/>
    <cellStyle name="표준 8 4 4 3 3 2 2 2" xfId="42462"/>
    <cellStyle name="표준 8 4 4 3 3 3 3" xfId="42463"/>
    <cellStyle name="표준 8 4 4 3 3 3 2 2" xfId="42464"/>
    <cellStyle name="표준 8 4 4 3 3 4 2" xfId="42465"/>
    <cellStyle name="표준 8 4 4 3 3 5 2" xfId="42466"/>
    <cellStyle name="표준 8 4 4 3 4 2 2 2" xfId="42467"/>
    <cellStyle name="표준 8 4 4 3 4 3 3" xfId="42468"/>
    <cellStyle name="표준 8 4 4 3 4 3 2 2" xfId="42469"/>
    <cellStyle name="표준 8 4 4 3 4 4 2" xfId="42470"/>
    <cellStyle name="표준 8 4 4 3 4 5 2" xfId="42471"/>
    <cellStyle name="표준 8 4 4 3 5 2 2" xfId="42472"/>
    <cellStyle name="표준 8 4 4 3 6 3" xfId="42473"/>
    <cellStyle name="표준 8 4 4 3 6 2 2" xfId="42474"/>
    <cellStyle name="표준 8 4 4 3 7 2" xfId="42475"/>
    <cellStyle name="표준 8 4 4 3 8 2" xfId="42476"/>
    <cellStyle name="표준 8 4 4 4 2 2 2 2" xfId="42477"/>
    <cellStyle name="표준 8 4 4 4 2 3 3" xfId="42478"/>
    <cellStyle name="표준 8 4 4 4 2 3 2 2" xfId="42479"/>
    <cellStyle name="표준 8 4 4 4 2 4 2" xfId="42480"/>
    <cellStyle name="표준 8 4 4 4 2 5 2" xfId="42481"/>
    <cellStyle name="표준 8 4 4 4 3 2 2 2" xfId="42482"/>
    <cellStyle name="표준 8 4 4 4 3 3 3" xfId="42483"/>
    <cellStyle name="표준 8 4 4 4 3 3 2 2" xfId="42484"/>
    <cellStyle name="표준 8 4 4 4 3 4 2" xfId="42485"/>
    <cellStyle name="표준 8 4 4 4 3 5 2" xfId="42486"/>
    <cellStyle name="표준 8 4 4 4 4 2 2" xfId="42487"/>
    <cellStyle name="표준 8 4 4 4 5 3" xfId="42488"/>
    <cellStyle name="표준 8 4 4 4 5 2 2" xfId="42489"/>
    <cellStyle name="표준 8 4 4 4 6 2" xfId="42490"/>
    <cellStyle name="표준 8 4 4 4 7 2" xfId="42491"/>
    <cellStyle name="표준 8 4 4 5 2 2 2" xfId="42492"/>
    <cellStyle name="표준 8 4 4 5 3 3" xfId="42493"/>
    <cellStyle name="표준 8 4 4 5 3 2 2" xfId="42494"/>
    <cellStyle name="표준 8 4 4 5 4 2" xfId="42495"/>
    <cellStyle name="표준 8 4 4 5 5 2" xfId="42496"/>
    <cellStyle name="표준 8 4 4 6 2 2 2" xfId="42497"/>
    <cellStyle name="표준 8 4 4 6 3 3" xfId="42498"/>
    <cellStyle name="표준 8 4 4 6 3 2 2" xfId="42499"/>
    <cellStyle name="표준 8 4 4 6 4 2" xfId="42500"/>
    <cellStyle name="표준 8 4 4 6 5 2" xfId="42501"/>
    <cellStyle name="표준 8 4 4 7 2 2" xfId="42502"/>
    <cellStyle name="표준 8 4 4 8 3" xfId="42503"/>
    <cellStyle name="표준 8 4 4 8 2 2" xfId="42504"/>
    <cellStyle name="표준 8 4 4 9 2" xfId="42505"/>
    <cellStyle name="표준 8 4 5 2 2 2 2 2 2" xfId="42506"/>
    <cellStyle name="표준 8 4 5 2 2 2 3 3" xfId="42507"/>
    <cellStyle name="표준 8 4 5 2 2 2 3 2 2" xfId="42508"/>
    <cellStyle name="표준 8 4 5 2 2 2 4 2" xfId="42509"/>
    <cellStyle name="표준 8 4 5 2 2 2 5 2" xfId="42510"/>
    <cellStyle name="표준 8 4 5 2 2 3 2 2 2" xfId="42511"/>
    <cellStyle name="표준 8 4 5 2 2 3 3 3" xfId="42512"/>
    <cellStyle name="표준 8 4 5 2 2 3 3 2 2" xfId="42513"/>
    <cellStyle name="표준 8 4 5 2 2 3 4 2" xfId="42514"/>
    <cellStyle name="표준 8 4 5 2 2 3 5 2" xfId="42515"/>
    <cellStyle name="표준 8 4 5 2 2 4 2 2" xfId="42516"/>
    <cellStyle name="표준 8 4 5 2 2 5 3" xfId="42517"/>
    <cellStyle name="표준 8 4 5 2 2 5 2 2" xfId="42518"/>
    <cellStyle name="표준 8 4 5 2 2 6 2" xfId="42519"/>
    <cellStyle name="표준 8 4 5 2 2 7 2" xfId="42520"/>
    <cellStyle name="표준 8 4 5 2 3 2 2 2" xfId="42521"/>
    <cellStyle name="표준 8 4 5 2 3 3 3" xfId="42522"/>
    <cellStyle name="표준 8 4 5 2 3 3 2 2" xfId="42523"/>
    <cellStyle name="표준 8 4 5 2 3 4 2" xfId="42524"/>
    <cellStyle name="표준 8 4 5 2 3 5 2" xfId="42525"/>
    <cellStyle name="표준 8 4 5 2 4 2 2 2" xfId="42526"/>
    <cellStyle name="표준 8 4 5 2 4 3 3" xfId="42527"/>
    <cellStyle name="표준 8 4 5 2 4 3 2 2" xfId="42528"/>
    <cellStyle name="표준 8 4 5 2 4 4 2" xfId="42529"/>
    <cellStyle name="표준 8 4 5 2 4 5 2" xfId="42530"/>
    <cellStyle name="표준 8 4 5 2 5 2 2" xfId="42531"/>
    <cellStyle name="표준 8 4 5 2 6 3" xfId="42532"/>
    <cellStyle name="표준 8 4 5 2 6 2 2" xfId="42533"/>
    <cellStyle name="표준 8 4 5 2 7 2" xfId="42534"/>
    <cellStyle name="표준 8 4 5 2 8 2" xfId="42535"/>
    <cellStyle name="표준 8 4 5 3 2 2 2 2" xfId="42536"/>
    <cellStyle name="표준 8 4 5 3 2 3 3" xfId="42537"/>
    <cellStyle name="표준 8 4 5 3 2 3 2 2" xfId="42538"/>
    <cellStyle name="표준 8 4 5 3 2 4 2" xfId="42539"/>
    <cellStyle name="표준 8 4 5 3 2 5 2" xfId="42540"/>
    <cellStyle name="표준 8 4 5 3 3 2 2 2" xfId="42541"/>
    <cellStyle name="표준 8 4 5 3 3 3 3" xfId="42542"/>
    <cellStyle name="표준 8 4 5 3 3 3 2 2" xfId="42543"/>
    <cellStyle name="표준 8 4 5 3 3 4 2" xfId="42544"/>
    <cellStyle name="표준 8 4 5 3 3 5 2" xfId="42545"/>
    <cellStyle name="표준 8 4 5 3 4 2 2" xfId="42546"/>
    <cellStyle name="표준 8 4 5 3 5 3" xfId="42547"/>
    <cellStyle name="표준 8 4 5 3 5 2 2" xfId="42548"/>
    <cellStyle name="표준 8 4 5 3 6 2" xfId="42549"/>
    <cellStyle name="표준 8 4 5 3 7 2" xfId="42550"/>
    <cellStyle name="표준 8 4 5 4 2 2 2" xfId="42551"/>
    <cellStyle name="표준 8 4 5 4 3 3" xfId="42552"/>
    <cellStyle name="표준 8 4 5 4 3 2 2" xfId="42553"/>
    <cellStyle name="표준 8 4 5 4 4 2" xfId="42554"/>
    <cellStyle name="표준 8 4 5 4 5 2" xfId="42555"/>
    <cellStyle name="표준 8 4 5 5 2 2 2" xfId="42556"/>
    <cellStyle name="표준 8 4 5 5 3 3" xfId="42557"/>
    <cellStyle name="표준 8 4 5 5 3 2 2" xfId="42558"/>
    <cellStyle name="표준 8 4 5 5 4 2" xfId="42559"/>
    <cellStyle name="표준 8 4 5 5 5 2" xfId="42560"/>
    <cellStyle name="표준 8 4 5 6 2 2" xfId="42561"/>
    <cellStyle name="표준 8 4 5 7 3" xfId="42562"/>
    <cellStyle name="표준 8 4 5 7 2 2" xfId="42563"/>
    <cellStyle name="표준 8 4 5 8 2" xfId="42564"/>
    <cellStyle name="표준 8 4 5 9 2" xfId="42565"/>
    <cellStyle name="표준 8 4 6 2 2 2 2 2" xfId="42566"/>
    <cellStyle name="표준 8 4 6 2 2 3 3" xfId="42567"/>
    <cellStyle name="표준 8 4 6 2 2 3 2 2" xfId="42568"/>
    <cellStyle name="표준 8 4 6 2 2 4 2" xfId="42569"/>
    <cellStyle name="표준 8 4 6 2 2 5 2" xfId="42570"/>
    <cellStyle name="표준 8 4 6 2 3 2 2 2" xfId="42571"/>
    <cellStyle name="표준 8 4 6 2 3 3 3" xfId="42572"/>
    <cellStyle name="표준 8 4 6 2 3 3 2 2" xfId="42573"/>
    <cellStyle name="표준 8 4 6 2 3 4 2" xfId="42574"/>
    <cellStyle name="표준 8 4 6 2 3 5 2" xfId="42575"/>
    <cellStyle name="표준 8 4 6 2 4 2 2" xfId="42576"/>
    <cellStyle name="표준 8 4 6 2 5 3" xfId="42577"/>
    <cellStyle name="표준 8 4 6 2 5 2 2" xfId="42578"/>
    <cellStyle name="표준 8 4 6 2 6 2" xfId="42579"/>
    <cellStyle name="표준 8 4 6 2 7 2" xfId="42580"/>
    <cellStyle name="표준 8 4 6 3 2 2 2" xfId="42581"/>
    <cellStyle name="표준 8 4 6 3 3 3" xfId="42582"/>
    <cellStyle name="표준 8 4 6 3 3 2 2" xfId="42583"/>
    <cellStyle name="표준 8 4 6 3 4 2" xfId="42584"/>
    <cellStyle name="표준 8 4 6 3 5 2" xfId="42585"/>
    <cellStyle name="표준 8 4 6 4 2 2 2" xfId="42586"/>
    <cellStyle name="표준 8 4 6 4 3 3" xfId="42587"/>
    <cellStyle name="표준 8 4 6 4 3 2 2" xfId="42588"/>
    <cellStyle name="표준 8 4 6 4 4 2" xfId="42589"/>
    <cellStyle name="표준 8 4 6 4 5 2" xfId="42590"/>
    <cellStyle name="표준 8 4 6 5 2 2" xfId="42591"/>
    <cellStyle name="표준 8 4 6 6 3" xfId="42592"/>
    <cellStyle name="표준 8 4 6 6 2 2" xfId="42593"/>
    <cellStyle name="표준 8 4 6 7 2" xfId="42594"/>
    <cellStyle name="표준 8 4 6 8 2" xfId="42595"/>
    <cellStyle name="표준 8 4 7 2 2 2 2" xfId="42596"/>
    <cellStyle name="표준 8 4 7 2 3 3" xfId="42597"/>
    <cellStyle name="표준 8 4 7 2 3 2 2" xfId="42598"/>
    <cellStyle name="표준 8 4 7 2 4 2" xfId="42599"/>
    <cellStyle name="표준 8 4 7 2 5 2" xfId="42600"/>
    <cellStyle name="표준 8 4 7 3 2 2 2" xfId="42601"/>
    <cellStyle name="표준 8 4 7 3 3 3" xfId="42602"/>
    <cellStyle name="표준 8 4 7 3 3 2 2" xfId="42603"/>
    <cellStyle name="표준 8 4 7 3 4 2" xfId="42604"/>
    <cellStyle name="표준 8 4 7 3 5 2" xfId="42605"/>
    <cellStyle name="표준 8 4 7 4 2 2" xfId="42606"/>
    <cellStyle name="표준 8 4 7 5 3" xfId="42607"/>
    <cellStyle name="표준 8 4 7 5 2 2" xfId="42608"/>
    <cellStyle name="표준 8 4 7 6 2" xfId="42609"/>
    <cellStyle name="표준 8 4 7 7 2" xfId="42610"/>
    <cellStyle name="표준 8 4 8 2 2 2" xfId="42611"/>
    <cellStyle name="표준 8 4 8 3 3" xfId="42612"/>
    <cellStyle name="표준 8 4 8 3 2 2" xfId="42613"/>
    <cellStyle name="표준 8 4 8 4 2" xfId="42614"/>
    <cellStyle name="표준 8 4 8 5 2" xfId="42615"/>
    <cellStyle name="표준 8 4 9 2 2 2" xfId="42616"/>
    <cellStyle name="표준 8 4 9 3 3" xfId="42617"/>
    <cellStyle name="표준 8 4 9 3 2 2" xfId="42618"/>
    <cellStyle name="표준 8 4 9 4 2" xfId="42619"/>
    <cellStyle name="표준 8 4 9 5 2" xfId="42620"/>
    <cellStyle name="표준 8 5 10 2 2" xfId="42621"/>
    <cellStyle name="표준 8 5 11 3" xfId="42622"/>
    <cellStyle name="표준 8 5 11 2 2" xfId="42623"/>
    <cellStyle name="표준 8 5 12 2" xfId="42624"/>
    <cellStyle name="표준 8 5 13 2" xfId="42625"/>
    <cellStyle name="표준 8 5 2 10 2" xfId="42626"/>
    <cellStyle name="표준 8 5 2 2 2 2 2 2 2 2" xfId="42627"/>
    <cellStyle name="표준 8 5 2 2 2 2 2 3 3" xfId="42628"/>
    <cellStyle name="표준 8 5 2 2 2 2 2 3 2 2" xfId="42629"/>
    <cellStyle name="표준 8 5 2 2 2 2 2 4 2" xfId="42630"/>
    <cellStyle name="표준 8 5 2 2 2 2 2 5 2" xfId="42631"/>
    <cellStyle name="표준 8 5 2 2 2 2 3 2 2 2" xfId="42632"/>
    <cellStyle name="표준 8 5 2 2 2 2 3 3 3" xfId="42633"/>
    <cellStyle name="표준 8 5 2 2 2 2 3 3 2 2" xfId="42634"/>
    <cellStyle name="표준 8 5 2 2 2 2 3 4 2" xfId="42635"/>
    <cellStyle name="표준 8 5 2 2 2 2 3 5 2" xfId="42636"/>
    <cellStyle name="표준 8 5 2 2 2 2 4 2 2" xfId="42637"/>
    <cellStyle name="표준 8 5 2 2 2 2 5 3" xfId="42638"/>
    <cellStyle name="표준 8 5 2 2 2 2 5 2 2" xfId="42639"/>
    <cellStyle name="표준 8 5 2 2 2 2 6 2" xfId="42640"/>
    <cellStyle name="표준 8 5 2 2 2 2 7 2" xfId="42641"/>
    <cellStyle name="표준 8 5 2 2 2 3 2 2 2" xfId="42642"/>
    <cellStyle name="표준 8 5 2 2 2 3 3 3" xfId="42643"/>
    <cellStyle name="표준 8 5 2 2 2 3 3 2 2" xfId="42644"/>
    <cellStyle name="표준 8 5 2 2 2 3 4 2" xfId="42645"/>
    <cellStyle name="표준 8 5 2 2 2 3 5 2" xfId="42646"/>
    <cellStyle name="표준 8 5 2 2 2 4 2 2 2" xfId="42647"/>
    <cellStyle name="표준 8 5 2 2 2 4 3 3" xfId="42648"/>
    <cellStyle name="표준 8 5 2 2 2 4 3 2 2" xfId="42649"/>
    <cellStyle name="표준 8 5 2 2 2 4 4 2" xfId="42650"/>
    <cellStyle name="표준 8 5 2 2 2 4 5 2" xfId="42651"/>
    <cellStyle name="표준 8 5 2 2 2 5 2 2" xfId="42652"/>
    <cellStyle name="표준 8 5 2 2 2 6 3" xfId="42653"/>
    <cellStyle name="표준 8 5 2 2 2 6 2 2" xfId="42654"/>
    <cellStyle name="표준 8 5 2 2 2 7 2" xfId="42655"/>
    <cellStyle name="표준 8 5 2 2 2 8 2" xfId="42656"/>
    <cellStyle name="표준 8 5 2 2 3 2 2 2 2" xfId="42657"/>
    <cellStyle name="표준 8 5 2 2 3 2 3 3" xfId="42658"/>
    <cellStyle name="표준 8 5 2 2 3 2 3 2 2" xfId="42659"/>
    <cellStyle name="표준 8 5 2 2 3 2 4 2" xfId="42660"/>
    <cellStyle name="표준 8 5 2 2 3 2 5 2" xfId="42661"/>
    <cellStyle name="표준 8 5 2 2 3 3 2 2 2" xfId="42662"/>
    <cellStyle name="표준 8 5 2 2 3 3 3 3" xfId="42663"/>
    <cellStyle name="표준 8 5 2 2 3 3 3 2 2" xfId="42664"/>
    <cellStyle name="표준 8 5 2 2 3 3 4 2" xfId="42665"/>
    <cellStyle name="표준 8 5 2 2 3 3 5 2" xfId="42666"/>
    <cellStyle name="표준 8 5 2 2 3 4 2 2" xfId="42667"/>
    <cellStyle name="표준 8 5 2 2 3 5 3" xfId="42668"/>
    <cellStyle name="표준 8 5 2 2 3 5 2 2" xfId="42669"/>
    <cellStyle name="표준 8 5 2 2 3 6 2" xfId="42670"/>
    <cellStyle name="표준 8 5 2 2 3 7 2" xfId="42671"/>
    <cellStyle name="표준 8 5 2 2 4 2 2 2" xfId="42672"/>
    <cellStyle name="표준 8 5 2 2 4 3 3" xfId="42673"/>
    <cellStyle name="표준 8 5 2 2 4 3 2 2" xfId="42674"/>
    <cellStyle name="표준 8 5 2 2 4 4 2" xfId="42675"/>
    <cellStyle name="표준 8 5 2 2 4 5 2" xfId="42676"/>
    <cellStyle name="표준 8 5 2 2 5 2 2 2" xfId="42677"/>
    <cellStyle name="표준 8 5 2 2 5 3 3" xfId="42678"/>
    <cellStyle name="표준 8 5 2 2 5 3 2 2" xfId="42679"/>
    <cellStyle name="표준 8 5 2 2 5 4 2" xfId="42680"/>
    <cellStyle name="표준 8 5 2 2 5 5 2" xfId="42681"/>
    <cellStyle name="표준 8 5 2 2 6 2 2" xfId="42682"/>
    <cellStyle name="표준 8 5 2 2 7 3" xfId="42683"/>
    <cellStyle name="표준 8 5 2 2 7 2 2" xfId="42684"/>
    <cellStyle name="표준 8 5 2 2 8 2" xfId="42685"/>
    <cellStyle name="표준 8 5 2 2 9 2" xfId="42686"/>
    <cellStyle name="표준 8 5 2 3 2 2 2 2 2" xfId="42687"/>
    <cellStyle name="표준 8 5 2 3 2 2 3 3" xfId="42688"/>
    <cellStyle name="표준 8 5 2 3 2 2 3 2 2" xfId="42689"/>
    <cellStyle name="표준 8 5 2 3 2 2 4 2" xfId="42690"/>
    <cellStyle name="표준 8 5 2 3 2 2 5 2" xfId="42691"/>
    <cellStyle name="표준 8 5 2 3 2 3 2 2 2" xfId="42692"/>
    <cellStyle name="표준 8 5 2 3 2 3 3 3" xfId="42693"/>
    <cellStyle name="표준 8 5 2 3 2 3 3 2 2" xfId="42694"/>
    <cellStyle name="표준 8 5 2 3 2 3 4 2" xfId="42695"/>
    <cellStyle name="표준 8 5 2 3 2 3 5 2" xfId="42696"/>
    <cellStyle name="표준 8 5 2 3 2 4 2 2" xfId="42697"/>
    <cellStyle name="표준 8 5 2 3 2 5 3" xfId="42698"/>
    <cellStyle name="표준 8 5 2 3 2 5 2 2" xfId="42699"/>
    <cellStyle name="표준 8 5 2 3 2 6 2" xfId="42700"/>
    <cellStyle name="표준 8 5 2 3 2 7 2" xfId="42701"/>
    <cellStyle name="표준 8 5 2 3 3 2 2 2" xfId="42702"/>
    <cellStyle name="표준 8 5 2 3 3 3 3" xfId="42703"/>
    <cellStyle name="표준 8 5 2 3 3 3 2 2" xfId="42704"/>
    <cellStyle name="표준 8 5 2 3 3 4 2" xfId="42705"/>
    <cellStyle name="표준 8 5 2 3 3 5 2" xfId="42706"/>
    <cellStyle name="표준 8 5 2 3 4 2 2 2" xfId="42707"/>
    <cellStyle name="표준 8 5 2 3 4 3 3" xfId="42708"/>
    <cellStyle name="표준 8 5 2 3 4 3 2 2" xfId="42709"/>
    <cellStyle name="표준 8 5 2 3 4 4 2" xfId="42710"/>
    <cellStyle name="표준 8 5 2 3 4 5 2" xfId="42711"/>
    <cellStyle name="표준 8 5 2 3 5 2 2" xfId="42712"/>
    <cellStyle name="표준 8 5 2 3 6 3" xfId="42713"/>
    <cellStyle name="표준 8 5 2 3 6 2 2" xfId="42714"/>
    <cellStyle name="표준 8 5 2 3 7 2" xfId="42715"/>
    <cellStyle name="표준 8 5 2 3 8 2" xfId="42716"/>
    <cellStyle name="표준 8 5 2 4 2 2 2 2" xfId="42717"/>
    <cellStyle name="표준 8 5 2 4 2 3 3" xfId="42718"/>
    <cellStyle name="표준 8 5 2 4 2 3 2 2" xfId="42719"/>
    <cellStyle name="표준 8 5 2 4 2 4 2" xfId="42720"/>
    <cellStyle name="표준 8 5 2 4 2 5 2" xfId="42721"/>
    <cellStyle name="표준 8 5 2 4 3 2 2 2" xfId="42722"/>
    <cellStyle name="표준 8 5 2 4 3 3 3" xfId="42723"/>
    <cellStyle name="표준 8 5 2 4 3 3 2 2" xfId="42724"/>
    <cellStyle name="표준 8 5 2 4 3 4 2" xfId="42725"/>
    <cellStyle name="표준 8 5 2 4 3 5 2" xfId="42726"/>
    <cellStyle name="표준 8 5 2 4 4 2 2" xfId="42727"/>
    <cellStyle name="표준 8 5 2 4 5 3" xfId="42728"/>
    <cellStyle name="표준 8 5 2 4 5 2 2" xfId="42729"/>
    <cellStyle name="표준 8 5 2 4 6 2" xfId="42730"/>
    <cellStyle name="표준 8 5 2 4 7 2" xfId="42731"/>
    <cellStyle name="표준 8 5 2 5 2 2 2" xfId="42732"/>
    <cellStyle name="표준 8 5 2 5 3 3" xfId="42733"/>
    <cellStyle name="표준 8 5 2 5 3 2 2" xfId="42734"/>
    <cellStyle name="표준 8 5 2 5 4 2" xfId="42735"/>
    <cellStyle name="표준 8 5 2 5 5 2" xfId="42736"/>
    <cellStyle name="표준 8 5 2 6 2 2 2" xfId="42737"/>
    <cellStyle name="표준 8 5 2 6 3 3" xfId="42738"/>
    <cellStyle name="표준 8 5 2 6 3 2 2" xfId="42739"/>
    <cellStyle name="표준 8 5 2 6 4 2" xfId="42740"/>
    <cellStyle name="표준 8 5 2 6 5 2" xfId="42741"/>
    <cellStyle name="표준 8 5 2 7 2 2" xfId="42742"/>
    <cellStyle name="표준 8 5 2 8 3" xfId="42743"/>
    <cellStyle name="표준 8 5 2 8 2 2" xfId="42744"/>
    <cellStyle name="표준 8 5 2 9 2" xfId="42745"/>
    <cellStyle name="표준 8 5 3 10 2" xfId="42746"/>
    <cellStyle name="표준 8 5 3 2 2 2 2 2 2 2" xfId="42747"/>
    <cellStyle name="표준 8 5 3 2 2 2 2 3 3" xfId="42748"/>
    <cellStyle name="표준 8 5 3 2 2 2 2 3 2 2" xfId="42749"/>
    <cellStyle name="표준 8 5 3 2 2 2 2 4 2" xfId="42750"/>
    <cellStyle name="표준 8 5 3 2 2 2 2 5 2" xfId="42751"/>
    <cellStyle name="표준 8 5 3 2 2 2 3 2 2 2" xfId="42752"/>
    <cellStyle name="표준 8 5 3 2 2 2 3 3 3" xfId="42753"/>
    <cellStyle name="표준 8 5 3 2 2 2 3 3 2 2" xfId="42754"/>
    <cellStyle name="표준 8 5 3 2 2 2 3 4 2" xfId="42755"/>
    <cellStyle name="표준 8 5 3 2 2 2 3 5 2" xfId="42756"/>
    <cellStyle name="표준 8 5 3 2 2 2 4 2 2" xfId="42757"/>
    <cellStyle name="표준 8 5 3 2 2 2 5 3" xfId="42758"/>
    <cellStyle name="표준 8 5 3 2 2 2 5 2 2" xfId="42759"/>
    <cellStyle name="표준 8 5 3 2 2 2 6 2" xfId="42760"/>
    <cellStyle name="표준 8 5 3 2 2 2 7 2" xfId="42761"/>
    <cellStyle name="표준 8 5 3 2 2 3 2 2 2" xfId="42762"/>
    <cellStyle name="표준 8 5 3 2 2 3 3 3" xfId="42763"/>
    <cellStyle name="표준 8 5 3 2 2 3 3 2 2" xfId="42764"/>
    <cellStyle name="표준 8 5 3 2 2 3 4 2" xfId="42765"/>
    <cellStyle name="표준 8 5 3 2 2 3 5 2" xfId="42766"/>
    <cellStyle name="표준 8 5 3 2 2 4 2 2 2" xfId="42767"/>
    <cellStyle name="표준 8 5 3 2 2 4 3 3" xfId="42768"/>
    <cellStyle name="표준 8 5 3 2 2 4 3 2 2" xfId="42769"/>
    <cellStyle name="표준 8 5 3 2 2 4 4 2" xfId="42770"/>
    <cellStyle name="표준 8 5 3 2 2 4 5 2" xfId="42771"/>
    <cellStyle name="표준 8 5 3 2 2 5 2 2" xfId="42772"/>
    <cellStyle name="표준 8 5 3 2 2 6 3" xfId="42773"/>
    <cellStyle name="표준 8 5 3 2 2 6 2 2" xfId="42774"/>
    <cellStyle name="표준 8 5 3 2 2 7 2" xfId="42775"/>
    <cellStyle name="표준 8 5 3 2 2 8 2" xfId="42776"/>
    <cellStyle name="표준 8 5 3 2 3 2 2 2 2" xfId="42777"/>
    <cellStyle name="표준 8 5 3 2 3 2 3 3" xfId="42778"/>
    <cellStyle name="표준 8 5 3 2 3 2 3 2 2" xfId="42779"/>
    <cellStyle name="표준 8 5 3 2 3 2 4 2" xfId="42780"/>
    <cellStyle name="표준 8 5 3 2 3 2 5 2" xfId="42781"/>
    <cellStyle name="표준 8 5 3 2 3 3 2 2 2" xfId="42782"/>
    <cellStyle name="표준 8 5 3 2 3 3 3 3" xfId="42783"/>
    <cellStyle name="표준 8 5 3 2 3 3 3 2 2" xfId="42784"/>
    <cellStyle name="표준 8 5 3 2 3 3 4 2" xfId="42785"/>
    <cellStyle name="표준 8 5 3 2 3 3 5 2" xfId="42786"/>
    <cellStyle name="표준 8 5 3 2 3 4 2 2" xfId="42787"/>
    <cellStyle name="표준 8 5 3 2 3 5 3" xfId="42788"/>
    <cellStyle name="표준 8 5 3 2 3 5 2 2" xfId="42789"/>
    <cellStyle name="표준 8 5 3 2 3 6 2" xfId="42790"/>
    <cellStyle name="표준 8 5 3 2 3 7 2" xfId="42791"/>
    <cellStyle name="표준 8 5 3 2 4 2 2 2" xfId="42792"/>
    <cellStyle name="표준 8 5 3 2 4 3 3" xfId="42793"/>
    <cellStyle name="표준 8 5 3 2 4 3 2 2" xfId="42794"/>
    <cellStyle name="표준 8 5 3 2 4 4 2" xfId="42795"/>
    <cellStyle name="표준 8 5 3 2 4 5 2" xfId="42796"/>
    <cellStyle name="표준 8 5 3 2 5 2 2 2" xfId="42797"/>
    <cellStyle name="표준 8 5 3 2 5 3 3" xfId="42798"/>
    <cellStyle name="표준 8 5 3 2 5 3 2 2" xfId="42799"/>
    <cellStyle name="표준 8 5 3 2 5 4 2" xfId="42800"/>
    <cellStyle name="표준 8 5 3 2 5 5 2" xfId="42801"/>
    <cellStyle name="표준 8 5 3 2 6 2 2" xfId="42802"/>
    <cellStyle name="표준 8 5 3 2 7 3" xfId="42803"/>
    <cellStyle name="표준 8 5 3 2 7 2 2" xfId="42804"/>
    <cellStyle name="표준 8 5 3 2 8 2" xfId="42805"/>
    <cellStyle name="표준 8 5 3 2 9 2" xfId="42806"/>
    <cellStyle name="표준 8 5 3 3 2 2 2 2 2" xfId="42807"/>
    <cellStyle name="표준 8 5 3 3 2 2 3 3" xfId="42808"/>
    <cellStyle name="표준 8 5 3 3 2 2 3 2 2" xfId="42809"/>
    <cellStyle name="표준 8 5 3 3 2 2 4 2" xfId="42810"/>
    <cellStyle name="표준 8 5 3 3 2 2 5 2" xfId="42811"/>
    <cellStyle name="표준 8 5 3 3 2 3 2 2 2" xfId="42812"/>
    <cellStyle name="표준 8 5 3 3 2 3 3 3" xfId="42813"/>
    <cellStyle name="표준 8 5 3 3 2 3 3 2 2" xfId="42814"/>
    <cellStyle name="표준 8 5 3 3 2 3 4 2" xfId="42815"/>
    <cellStyle name="표준 8 5 3 3 2 3 5 2" xfId="42816"/>
    <cellStyle name="표준 8 5 3 3 2 4 2 2" xfId="42817"/>
    <cellStyle name="표준 8 5 3 3 2 5 3" xfId="42818"/>
    <cellStyle name="표준 8 5 3 3 2 5 2 2" xfId="42819"/>
    <cellStyle name="표준 8 5 3 3 2 6 2" xfId="42820"/>
    <cellStyle name="표준 8 5 3 3 2 7 2" xfId="42821"/>
    <cellStyle name="표준 8 5 3 3 3 2 2 2" xfId="42822"/>
    <cellStyle name="표준 8 5 3 3 3 3 3" xfId="42823"/>
    <cellStyle name="표준 8 5 3 3 3 3 2 2" xfId="42824"/>
    <cellStyle name="표준 8 5 3 3 3 4 2" xfId="42825"/>
    <cellStyle name="표준 8 5 3 3 3 5 2" xfId="42826"/>
    <cellStyle name="표준 8 5 3 3 4 2 2 2" xfId="42827"/>
    <cellStyle name="표준 8 5 3 3 4 3 3" xfId="42828"/>
    <cellStyle name="표준 8 5 3 3 4 3 2 2" xfId="42829"/>
    <cellStyle name="표준 8 5 3 3 4 4 2" xfId="42830"/>
    <cellStyle name="표준 8 5 3 3 4 5 2" xfId="42831"/>
    <cellStyle name="표준 8 5 3 3 5 2 2" xfId="42832"/>
    <cellStyle name="표준 8 5 3 3 6 3" xfId="42833"/>
    <cellStyle name="표준 8 5 3 3 6 2 2" xfId="42834"/>
    <cellStyle name="표준 8 5 3 3 7 2" xfId="42835"/>
    <cellStyle name="표준 8 5 3 3 8 2" xfId="42836"/>
    <cellStyle name="표준 8 5 3 4 2 2 2 2" xfId="42837"/>
    <cellStyle name="표준 8 5 3 4 2 3 3" xfId="42838"/>
    <cellStyle name="표준 8 5 3 4 2 3 2 2" xfId="42839"/>
    <cellStyle name="표준 8 5 3 4 2 4 2" xfId="42840"/>
    <cellStyle name="표준 8 5 3 4 2 5 2" xfId="42841"/>
    <cellStyle name="표준 8 5 3 4 3 2 2 2" xfId="42842"/>
    <cellStyle name="표준 8 5 3 4 3 3 3" xfId="42843"/>
    <cellStyle name="표준 8 5 3 4 3 3 2 2" xfId="42844"/>
    <cellStyle name="표준 8 5 3 4 3 4 2" xfId="42845"/>
    <cellStyle name="표준 8 5 3 4 3 5 2" xfId="42846"/>
    <cellStyle name="표준 8 5 3 4 4 2 2" xfId="42847"/>
    <cellStyle name="표준 8 5 3 4 5 3" xfId="42848"/>
    <cellStyle name="표준 8 5 3 4 5 2 2" xfId="42849"/>
    <cellStyle name="표준 8 5 3 4 6 2" xfId="42850"/>
    <cellStyle name="표준 8 5 3 4 7 2" xfId="42851"/>
    <cellStyle name="표준 8 5 3 5 2 2 2" xfId="42852"/>
    <cellStyle name="표준 8 5 3 5 3 3" xfId="42853"/>
    <cellStyle name="표준 8 5 3 5 3 2 2" xfId="42854"/>
    <cellStyle name="표준 8 5 3 5 4 2" xfId="42855"/>
    <cellStyle name="표준 8 5 3 5 5 2" xfId="42856"/>
    <cellStyle name="표준 8 5 3 6 2 2 2" xfId="42857"/>
    <cellStyle name="표준 8 5 3 6 3 3" xfId="42858"/>
    <cellStyle name="표준 8 5 3 6 3 2 2" xfId="42859"/>
    <cellStyle name="표준 8 5 3 6 4 2" xfId="42860"/>
    <cellStyle name="표준 8 5 3 6 5 2" xfId="42861"/>
    <cellStyle name="표준 8 5 3 7 2 2" xfId="42862"/>
    <cellStyle name="표준 8 5 3 8 3" xfId="42863"/>
    <cellStyle name="표준 8 5 3 8 2 2" xfId="42864"/>
    <cellStyle name="표준 8 5 3 9 2" xfId="42865"/>
    <cellStyle name="표준 8 5 4 10 2" xfId="42866"/>
    <cellStyle name="표준 8 5 4 2 2 2 2 2 2 2" xfId="42867"/>
    <cellStyle name="표준 8 5 4 2 2 2 2 3 3" xfId="42868"/>
    <cellStyle name="표준 8 5 4 2 2 2 2 3 2 2" xfId="42869"/>
    <cellStyle name="표준 8 5 4 2 2 2 2 4 2" xfId="42870"/>
    <cellStyle name="표준 8 5 4 2 2 2 2 5 2" xfId="42871"/>
    <cellStyle name="표준 8 5 4 2 2 2 3 2 2 2" xfId="42872"/>
    <cellStyle name="표준 8 5 4 2 2 2 3 3 3" xfId="42873"/>
    <cellStyle name="표준 8 5 4 2 2 2 3 3 2 2" xfId="42874"/>
    <cellStyle name="표준 8 5 4 2 2 2 3 4 2" xfId="42875"/>
    <cellStyle name="표준 8 5 4 2 2 2 3 5 2" xfId="42876"/>
    <cellStyle name="표준 8 5 4 2 2 2 4 2 2" xfId="42877"/>
    <cellStyle name="표준 8 5 4 2 2 2 5 3" xfId="42878"/>
    <cellStyle name="표준 8 5 4 2 2 2 5 2 2" xfId="42879"/>
    <cellStyle name="표준 8 5 4 2 2 2 6 2" xfId="42880"/>
    <cellStyle name="표준 8 5 4 2 2 2 7 2" xfId="42881"/>
    <cellStyle name="표준 8 5 4 2 2 3 2 2 2" xfId="42882"/>
    <cellStyle name="표준 8 5 4 2 2 3 3 3" xfId="42883"/>
    <cellStyle name="표준 8 5 4 2 2 3 3 2 2" xfId="42884"/>
    <cellStyle name="표준 8 5 4 2 2 3 4 2" xfId="42885"/>
    <cellStyle name="표준 8 5 4 2 2 3 5 2" xfId="42886"/>
    <cellStyle name="표준 8 5 4 2 2 4 2 2 2" xfId="42887"/>
    <cellStyle name="표준 8 5 4 2 2 4 3 3" xfId="42888"/>
    <cellStyle name="표준 8 5 4 2 2 4 3 2 2" xfId="42889"/>
    <cellStyle name="표준 8 5 4 2 2 4 4 2" xfId="42890"/>
    <cellStyle name="표준 8 5 4 2 2 4 5 2" xfId="42891"/>
    <cellStyle name="표준 8 5 4 2 2 5 2 2" xfId="42892"/>
    <cellStyle name="표준 8 5 4 2 2 6 3" xfId="42893"/>
    <cellStyle name="표준 8 5 4 2 2 6 2 2" xfId="42894"/>
    <cellStyle name="표준 8 5 4 2 2 7 2" xfId="42895"/>
    <cellStyle name="표준 8 5 4 2 2 8 2" xfId="42896"/>
    <cellStyle name="표준 8 5 4 2 3 2 2 2 2" xfId="42897"/>
    <cellStyle name="표준 8 5 4 2 3 2 3 3" xfId="42898"/>
    <cellStyle name="표준 8 5 4 2 3 2 3 2 2" xfId="42899"/>
    <cellStyle name="표준 8 5 4 2 3 2 4 2" xfId="42900"/>
    <cellStyle name="표준 8 5 4 2 3 2 5 2" xfId="42901"/>
    <cellStyle name="표준 8 5 4 2 3 3 2 2 2" xfId="42902"/>
    <cellStyle name="표준 8 5 4 2 3 3 3 3" xfId="42903"/>
    <cellStyle name="표준 8 5 4 2 3 3 3 2 2" xfId="42904"/>
    <cellStyle name="표준 8 5 4 2 3 3 4 2" xfId="42905"/>
    <cellStyle name="표준 8 5 4 2 3 3 5 2" xfId="42906"/>
    <cellStyle name="표준 8 5 4 2 3 4 2 2" xfId="42907"/>
    <cellStyle name="표준 8 5 4 2 3 5 3" xfId="42908"/>
    <cellStyle name="표준 8 5 4 2 3 5 2 2" xfId="42909"/>
    <cellStyle name="표준 8 5 4 2 3 6 2" xfId="42910"/>
    <cellStyle name="표준 8 5 4 2 3 7 2" xfId="42911"/>
    <cellStyle name="표준 8 5 4 2 4 2 2 2" xfId="42912"/>
    <cellStyle name="표준 8 5 4 2 4 3 3" xfId="42913"/>
    <cellStyle name="표준 8 5 4 2 4 3 2 2" xfId="42914"/>
    <cellStyle name="표준 8 5 4 2 4 4 2" xfId="42915"/>
    <cellStyle name="표준 8 5 4 2 4 5 2" xfId="42916"/>
    <cellStyle name="표준 8 5 4 2 5 2 2 2" xfId="42917"/>
    <cellStyle name="표준 8 5 4 2 5 3 3" xfId="42918"/>
    <cellStyle name="표준 8 5 4 2 5 3 2 2" xfId="42919"/>
    <cellStyle name="표준 8 5 4 2 5 4 2" xfId="42920"/>
    <cellStyle name="표준 8 5 4 2 5 5 2" xfId="42921"/>
    <cellStyle name="표준 8 5 4 2 6 2 2" xfId="42922"/>
    <cellStyle name="표준 8 5 4 2 7 3" xfId="42923"/>
    <cellStyle name="표준 8 5 4 2 7 2 2" xfId="42924"/>
    <cellStyle name="표준 8 5 4 2 8 2" xfId="42925"/>
    <cellStyle name="표준 8 5 4 2 9 2" xfId="42926"/>
    <cellStyle name="표준 8 5 4 3 2 2 2 2 2" xfId="42927"/>
    <cellStyle name="표준 8 5 4 3 2 2 3 3" xfId="42928"/>
    <cellStyle name="표준 8 5 4 3 2 2 3 2 2" xfId="42929"/>
    <cellStyle name="표준 8 5 4 3 2 2 4 2" xfId="42930"/>
    <cellStyle name="표준 8 5 4 3 2 2 5 2" xfId="42931"/>
    <cellStyle name="표준 8 5 4 3 2 3 2 2 2" xfId="42932"/>
    <cellStyle name="표준 8 5 4 3 2 3 3 3" xfId="42933"/>
    <cellStyle name="표준 8 5 4 3 2 3 3 2 2" xfId="42934"/>
    <cellStyle name="표준 8 5 4 3 2 3 4 2" xfId="42935"/>
    <cellStyle name="표준 8 5 4 3 2 3 5 2" xfId="42936"/>
    <cellStyle name="표준 8 5 4 3 2 4 2 2" xfId="42937"/>
    <cellStyle name="표준 8 5 4 3 2 5 3" xfId="42938"/>
    <cellStyle name="표준 8 5 4 3 2 5 2 2" xfId="42939"/>
    <cellStyle name="표준 8 5 4 3 2 6 2" xfId="42940"/>
    <cellStyle name="표준 8 5 4 3 2 7 2" xfId="42941"/>
    <cellStyle name="표준 8 5 4 3 3 2 2 2" xfId="42942"/>
    <cellStyle name="표준 8 5 4 3 3 3 3" xfId="42943"/>
    <cellStyle name="표준 8 5 4 3 3 3 2 2" xfId="42944"/>
    <cellStyle name="표준 8 5 4 3 3 4 2" xfId="42945"/>
    <cellStyle name="표준 8 5 4 3 3 5 2" xfId="42946"/>
    <cellStyle name="표준 8 5 4 3 4 2 2 2" xfId="42947"/>
    <cellStyle name="표준 8 5 4 3 4 3 3" xfId="42948"/>
    <cellStyle name="표준 8 5 4 3 4 3 2 2" xfId="42949"/>
    <cellStyle name="표준 8 5 4 3 4 4 2" xfId="42950"/>
    <cellStyle name="표준 8 5 4 3 4 5 2" xfId="42951"/>
    <cellStyle name="표준 8 5 4 3 5 2 2" xfId="42952"/>
    <cellStyle name="표준 8 5 4 3 6 3" xfId="42953"/>
    <cellStyle name="표준 8 5 4 3 6 2 2" xfId="42954"/>
    <cellStyle name="표준 8 5 4 3 7 2" xfId="42955"/>
    <cellStyle name="표준 8 5 4 3 8 2" xfId="42956"/>
    <cellStyle name="표준 8 5 4 4 2 2 2 2" xfId="42957"/>
    <cellStyle name="표준 8 5 4 4 2 3 3" xfId="42958"/>
    <cellStyle name="표준 8 5 4 4 2 3 2 2" xfId="42959"/>
    <cellStyle name="표준 8 5 4 4 2 4 2" xfId="42960"/>
    <cellStyle name="표준 8 5 4 4 2 5 2" xfId="42961"/>
    <cellStyle name="표준 8 5 4 4 3 2 2 2" xfId="42962"/>
    <cellStyle name="표준 8 5 4 4 3 3 3" xfId="42963"/>
    <cellStyle name="표준 8 5 4 4 3 3 2 2" xfId="42964"/>
    <cellStyle name="표준 8 5 4 4 3 4 2" xfId="42965"/>
    <cellStyle name="표준 8 5 4 4 3 5 2" xfId="42966"/>
    <cellStyle name="표준 8 5 4 4 4 2 2" xfId="42967"/>
    <cellStyle name="표준 8 5 4 4 5 3" xfId="42968"/>
    <cellStyle name="표준 8 5 4 4 5 2 2" xfId="42969"/>
    <cellStyle name="표준 8 5 4 4 6 2" xfId="42970"/>
    <cellStyle name="표준 8 5 4 4 7 2" xfId="42971"/>
    <cellStyle name="표준 8 5 4 5 2 2 2" xfId="42972"/>
    <cellStyle name="표준 8 5 4 5 3 3" xfId="42973"/>
    <cellStyle name="표준 8 5 4 5 3 2 2" xfId="42974"/>
    <cellStyle name="표준 8 5 4 5 4 2" xfId="42975"/>
    <cellStyle name="표준 8 5 4 5 5 2" xfId="42976"/>
    <cellStyle name="표준 8 5 4 6 2 2 2" xfId="42977"/>
    <cellStyle name="표준 8 5 4 6 3 3" xfId="42978"/>
    <cellStyle name="표준 8 5 4 6 3 2 2" xfId="42979"/>
    <cellStyle name="표준 8 5 4 6 4 2" xfId="42980"/>
    <cellStyle name="표준 8 5 4 6 5 2" xfId="42981"/>
    <cellStyle name="표준 8 5 4 7 2 2" xfId="42982"/>
    <cellStyle name="표준 8 5 4 8 3" xfId="42983"/>
    <cellStyle name="표준 8 5 4 8 2 2" xfId="42984"/>
    <cellStyle name="표준 8 5 4 9 2" xfId="42985"/>
    <cellStyle name="표준 8 5 5 2 2 2 2 2 2" xfId="42986"/>
    <cellStyle name="표준 8 5 5 2 2 2 3 3" xfId="42987"/>
    <cellStyle name="표준 8 5 5 2 2 2 3 2 2" xfId="42988"/>
    <cellStyle name="표준 8 5 5 2 2 2 4 2" xfId="42989"/>
    <cellStyle name="표준 8 5 5 2 2 2 5 2" xfId="42990"/>
    <cellStyle name="표준 8 5 5 2 2 3 2 2 2" xfId="42991"/>
    <cellStyle name="표준 8 5 5 2 2 3 3 3" xfId="42992"/>
    <cellStyle name="표준 8 5 5 2 2 3 3 2 2" xfId="42993"/>
    <cellStyle name="표준 8 5 5 2 2 3 4 2" xfId="42994"/>
    <cellStyle name="표준 8 5 5 2 2 3 5 2" xfId="42995"/>
    <cellStyle name="표준 8 5 5 2 2 4 2 2" xfId="42996"/>
    <cellStyle name="표준 8 5 5 2 2 5 3" xfId="42997"/>
    <cellStyle name="표준 8 5 5 2 2 5 2 2" xfId="42998"/>
    <cellStyle name="표준 8 5 5 2 2 6 2" xfId="42999"/>
    <cellStyle name="표준 8 5 5 2 2 7 2" xfId="43000"/>
    <cellStyle name="표준 8 5 5 2 3 2 2 2" xfId="43001"/>
    <cellStyle name="표준 8 5 5 2 3 3 3" xfId="43002"/>
    <cellStyle name="표준 8 5 5 2 3 3 2 2" xfId="43003"/>
    <cellStyle name="표준 8 5 5 2 3 4 2" xfId="43004"/>
    <cellStyle name="표준 8 5 5 2 3 5 2" xfId="43005"/>
    <cellStyle name="표준 8 5 5 2 4 2 2 2" xfId="43006"/>
    <cellStyle name="표준 8 5 5 2 4 3 3" xfId="43007"/>
    <cellStyle name="표준 8 5 5 2 4 3 2 2" xfId="43008"/>
    <cellStyle name="표준 8 5 5 2 4 4 2" xfId="43009"/>
    <cellStyle name="표준 8 5 5 2 4 5 2" xfId="43010"/>
    <cellStyle name="표준 8 5 5 2 5 2 2" xfId="43011"/>
    <cellStyle name="표준 8 5 5 2 6 3" xfId="43012"/>
    <cellStyle name="표준 8 5 5 2 6 2 2" xfId="43013"/>
    <cellStyle name="표준 8 5 5 2 7 2" xfId="43014"/>
    <cellStyle name="표준 8 5 5 2 8 2" xfId="43015"/>
    <cellStyle name="표준 8 5 5 3 2 2 2 2" xfId="43016"/>
    <cellStyle name="표준 8 5 5 3 2 3 3" xfId="43017"/>
    <cellStyle name="표준 8 5 5 3 2 3 2 2" xfId="43018"/>
    <cellStyle name="표준 8 5 5 3 2 4 2" xfId="43019"/>
    <cellStyle name="표준 8 5 5 3 2 5 2" xfId="43020"/>
    <cellStyle name="표준 8 5 5 3 3 2 2 2" xfId="43021"/>
    <cellStyle name="표준 8 5 5 3 3 3 3" xfId="43022"/>
    <cellStyle name="표준 8 5 5 3 3 3 2 2" xfId="43023"/>
    <cellStyle name="표준 8 5 5 3 3 4 2" xfId="43024"/>
    <cellStyle name="표준 8 5 5 3 3 5 2" xfId="43025"/>
    <cellStyle name="표준 8 5 5 3 4 2 2" xfId="43026"/>
    <cellStyle name="표준 8 5 5 3 5 3" xfId="43027"/>
    <cellStyle name="표준 8 5 5 3 5 2 2" xfId="43028"/>
    <cellStyle name="표준 8 5 5 3 6 2" xfId="43029"/>
    <cellStyle name="표준 8 5 5 3 7 2" xfId="43030"/>
    <cellStyle name="표준 8 5 5 4 2 2 2" xfId="43031"/>
    <cellStyle name="표준 8 5 5 4 3 3" xfId="43032"/>
    <cellStyle name="표준 8 5 5 4 3 2 2" xfId="43033"/>
    <cellStyle name="표준 8 5 5 4 4 2" xfId="43034"/>
    <cellStyle name="표준 8 5 5 4 5 2" xfId="43035"/>
    <cellStyle name="표준 8 5 5 5 2 2 2" xfId="43036"/>
    <cellStyle name="표준 8 5 5 5 3 3" xfId="43037"/>
    <cellStyle name="표준 8 5 5 5 3 2 2" xfId="43038"/>
    <cellStyle name="표준 8 5 5 5 4 2" xfId="43039"/>
    <cellStyle name="표준 8 5 5 5 5 2" xfId="43040"/>
    <cellStyle name="표준 8 5 5 6 2 2" xfId="43041"/>
    <cellStyle name="표준 8 5 5 7 3" xfId="43042"/>
    <cellStyle name="표준 8 5 5 7 2 2" xfId="43043"/>
    <cellStyle name="표준 8 5 5 8 2" xfId="43044"/>
    <cellStyle name="표준 8 5 5 9 2" xfId="43045"/>
    <cellStyle name="표준 8 5 6 2 2 2 2 2" xfId="43046"/>
    <cellStyle name="표준 8 5 6 2 2 3 3" xfId="43047"/>
    <cellStyle name="표준 8 5 6 2 2 3 2 2" xfId="43048"/>
    <cellStyle name="표준 8 5 6 2 2 4 2" xfId="43049"/>
    <cellStyle name="표준 8 5 6 2 2 5 2" xfId="43050"/>
    <cellStyle name="표준 8 5 6 2 3 2 2 2" xfId="43051"/>
    <cellStyle name="표준 8 5 6 2 3 3 3" xfId="43052"/>
    <cellStyle name="표준 8 5 6 2 3 3 2 2" xfId="43053"/>
    <cellStyle name="표준 8 5 6 2 3 4 2" xfId="43054"/>
    <cellStyle name="표준 8 5 6 2 3 5 2" xfId="43055"/>
    <cellStyle name="표준 8 5 6 2 4 2 2" xfId="43056"/>
    <cellStyle name="표준 8 5 6 2 5 3" xfId="43057"/>
    <cellStyle name="표준 8 5 6 2 5 2 2" xfId="43058"/>
    <cellStyle name="표준 8 5 6 2 6 2" xfId="43059"/>
    <cellStyle name="표준 8 5 6 2 7 2" xfId="43060"/>
    <cellStyle name="표준 8 5 6 3 2 2 2" xfId="43061"/>
    <cellStyle name="표준 8 5 6 3 3 3" xfId="43062"/>
    <cellStyle name="표준 8 5 6 3 3 2 2" xfId="43063"/>
    <cellStyle name="표준 8 5 6 3 4 2" xfId="43064"/>
    <cellStyle name="표준 8 5 6 3 5 2" xfId="43065"/>
    <cellStyle name="표준 8 5 6 4 2 2 2" xfId="43066"/>
    <cellStyle name="표준 8 5 6 4 3 3" xfId="43067"/>
    <cellStyle name="표준 8 5 6 4 3 2 2" xfId="43068"/>
    <cellStyle name="표준 8 5 6 4 4 2" xfId="43069"/>
    <cellStyle name="표준 8 5 6 4 5 2" xfId="43070"/>
    <cellStyle name="표준 8 5 6 5 2 2" xfId="43071"/>
    <cellStyle name="표준 8 5 6 6 3" xfId="43072"/>
    <cellStyle name="표준 8 5 6 6 2 2" xfId="43073"/>
    <cellStyle name="표준 8 5 6 7 2" xfId="43074"/>
    <cellStyle name="표준 8 5 6 8 2" xfId="43075"/>
    <cellStyle name="표준 8 5 7 2 2 2 2" xfId="43076"/>
    <cellStyle name="표준 8 5 7 2 3 3" xfId="43077"/>
    <cellStyle name="표준 8 5 7 2 3 2 2" xfId="43078"/>
    <cellStyle name="표준 8 5 7 2 4 2" xfId="43079"/>
    <cellStyle name="표준 8 5 7 2 5 2" xfId="43080"/>
    <cellStyle name="표준 8 5 7 3 2 2 2" xfId="43081"/>
    <cellStyle name="표준 8 5 7 3 3 3" xfId="43082"/>
    <cellStyle name="표준 8 5 7 3 3 2 2" xfId="43083"/>
    <cellStyle name="표준 8 5 7 3 4 2" xfId="43084"/>
    <cellStyle name="표준 8 5 7 3 5 2" xfId="43085"/>
    <cellStyle name="표준 8 5 7 4 2 2" xfId="43086"/>
    <cellStyle name="표준 8 5 7 5 3" xfId="43087"/>
    <cellStyle name="표준 8 5 7 5 2 2" xfId="43088"/>
    <cellStyle name="표준 8 5 7 6 2" xfId="43089"/>
    <cellStyle name="표준 8 5 7 7 2" xfId="43090"/>
    <cellStyle name="표준 8 5 8 2 2 2" xfId="43091"/>
    <cellStyle name="표준 8 5 8 3 3" xfId="43092"/>
    <cellStyle name="표준 8 5 8 3 2 2" xfId="43093"/>
    <cellStyle name="표준 8 5 8 4 2" xfId="43094"/>
    <cellStyle name="표준 8 5 8 5 2" xfId="43095"/>
    <cellStyle name="표준 8 5 9 2 2 2" xfId="43096"/>
    <cellStyle name="표준 8 5 9 3 3" xfId="43097"/>
    <cellStyle name="표준 8 5 9 3 2 2" xfId="43098"/>
    <cellStyle name="표준 8 5 9 4 2" xfId="43099"/>
    <cellStyle name="표준 8 5 9 5 2" xfId="43100"/>
    <cellStyle name="표준 8 6 10 2 2" xfId="43101"/>
    <cellStyle name="표준 8 6 11 3" xfId="43102"/>
    <cellStyle name="표준 8 6 11 2 2" xfId="43103"/>
    <cellStyle name="표준 8 6 12 2" xfId="43104"/>
    <cellStyle name="표준 8 6 13 2" xfId="43105"/>
    <cellStyle name="표준 8 6 2 10 2" xfId="43106"/>
    <cellStyle name="표준 8 6 2 2 2 2 2 2 2 2" xfId="43107"/>
    <cellStyle name="표준 8 6 2 2 2 2 2 3 3" xfId="43108"/>
    <cellStyle name="표준 8 6 2 2 2 2 2 3 2 2" xfId="43109"/>
    <cellStyle name="표준 8 6 2 2 2 2 2 4 2" xfId="43110"/>
    <cellStyle name="표준 8 6 2 2 2 2 2 5 2" xfId="43111"/>
    <cellStyle name="표준 8 6 2 2 2 2 3 2 2 2" xfId="43112"/>
    <cellStyle name="표준 8 6 2 2 2 2 3 3 3" xfId="43113"/>
    <cellStyle name="표준 8 6 2 2 2 2 3 3 2 2" xfId="43114"/>
    <cellStyle name="표준 8 6 2 2 2 2 3 4 2" xfId="43115"/>
    <cellStyle name="표준 8 6 2 2 2 2 3 5 2" xfId="43116"/>
    <cellStyle name="표준 8 6 2 2 2 2 4 2 2" xfId="43117"/>
    <cellStyle name="표준 8 6 2 2 2 2 5 3" xfId="43118"/>
    <cellStyle name="표준 8 6 2 2 2 2 5 2 2" xfId="43119"/>
    <cellStyle name="표준 8 6 2 2 2 2 6 2" xfId="43120"/>
    <cellStyle name="표준 8 6 2 2 2 2 7 2" xfId="43121"/>
    <cellStyle name="표준 8 6 2 2 2 3 2 2 2" xfId="43122"/>
    <cellStyle name="표준 8 6 2 2 2 3 3 3" xfId="43123"/>
    <cellStyle name="표준 8 6 2 2 2 3 3 2 2" xfId="43124"/>
    <cellStyle name="표준 8 6 2 2 2 3 4 2" xfId="43125"/>
    <cellStyle name="표준 8 6 2 2 2 3 5 2" xfId="43126"/>
    <cellStyle name="표준 8 6 2 2 2 4 2 2 2" xfId="43127"/>
    <cellStyle name="표준 8 6 2 2 2 4 3 3" xfId="43128"/>
    <cellStyle name="표준 8 6 2 2 2 4 3 2 2" xfId="43129"/>
    <cellStyle name="표준 8 6 2 2 2 4 4 2" xfId="43130"/>
    <cellStyle name="표준 8 6 2 2 2 4 5 2" xfId="43131"/>
    <cellStyle name="표준 8 6 2 2 2 5 2 2" xfId="43132"/>
    <cellStyle name="표준 8 6 2 2 2 6 3" xfId="43133"/>
    <cellStyle name="표준 8 6 2 2 2 6 2 2" xfId="43134"/>
    <cellStyle name="표준 8 6 2 2 2 7 2" xfId="43135"/>
    <cellStyle name="표준 8 6 2 2 2 8 2" xfId="43136"/>
    <cellStyle name="표준 8 6 2 2 3 2 2 2 2" xfId="43137"/>
    <cellStyle name="표준 8 6 2 2 3 2 3 3" xfId="43138"/>
    <cellStyle name="표준 8 6 2 2 3 2 3 2 2" xfId="43139"/>
    <cellStyle name="표준 8 6 2 2 3 2 4 2" xfId="43140"/>
    <cellStyle name="표준 8 6 2 2 3 2 5 2" xfId="43141"/>
    <cellStyle name="표준 8 6 2 2 3 3 2 2 2" xfId="43142"/>
    <cellStyle name="표준 8 6 2 2 3 3 3 3" xfId="43143"/>
    <cellStyle name="표준 8 6 2 2 3 3 3 2 2" xfId="43144"/>
    <cellStyle name="표준 8 6 2 2 3 3 4 2" xfId="43145"/>
    <cellStyle name="표준 8 6 2 2 3 3 5 2" xfId="43146"/>
    <cellStyle name="표준 8 6 2 2 3 4 2 2" xfId="43147"/>
    <cellStyle name="표준 8 6 2 2 3 5 3" xfId="43148"/>
    <cellStyle name="표준 8 6 2 2 3 5 2 2" xfId="43149"/>
    <cellStyle name="표준 8 6 2 2 3 6 2" xfId="43150"/>
    <cellStyle name="표준 8 6 2 2 3 7 2" xfId="43151"/>
    <cellStyle name="표준 8 6 2 2 4 2 2 2" xfId="43152"/>
    <cellStyle name="표준 8 6 2 2 4 3 3" xfId="43153"/>
    <cellStyle name="표준 8 6 2 2 4 3 2 2" xfId="43154"/>
    <cellStyle name="표준 8 6 2 2 4 4 2" xfId="43155"/>
    <cellStyle name="표준 8 6 2 2 4 5 2" xfId="43156"/>
    <cellStyle name="표준 8 6 2 2 5 2 2 2" xfId="43157"/>
    <cellStyle name="표준 8 6 2 2 5 3 3" xfId="43158"/>
    <cellStyle name="표준 8 6 2 2 5 3 2 2" xfId="43159"/>
    <cellStyle name="표준 8 6 2 2 5 4 2" xfId="43160"/>
    <cellStyle name="표준 8 6 2 2 5 5 2" xfId="43161"/>
    <cellStyle name="표준 8 6 2 2 6 2 2" xfId="43162"/>
    <cellStyle name="표준 8 6 2 2 7 3" xfId="43163"/>
    <cellStyle name="표준 8 6 2 2 7 2 2" xfId="43164"/>
    <cellStyle name="표준 8 6 2 2 8 2" xfId="43165"/>
    <cellStyle name="표준 8 6 2 2 9 2" xfId="43166"/>
    <cellStyle name="표준 8 6 2 3 2 2 2 2 2" xfId="43167"/>
    <cellStyle name="표준 8 6 2 3 2 2 3 3" xfId="43168"/>
    <cellStyle name="표준 8 6 2 3 2 2 3 2 2" xfId="43169"/>
    <cellStyle name="표준 8 6 2 3 2 2 4 2" xfId="43170"/>
    <cellStyle name="표준 8 6 2 3 2 2 5 2" xfId="43171"/>
    <cellStyle name="표준 8 6 2 3 2 3 2 2 2" xfId="43172"/>
    <cellStyle name="표준 8 6 2 3 2 3 3 3" xfId="43173"/>
    <cellStyle name="표준 8 6 2 3 2 3 3 2 2" xfId="43174"/>
    <cellStyle name="표준 8 6 2 3 2 3 4 2" xfId="43175"/>
    <cellStyle name="표준 8 6 2 3 2 3 5 2" xfId="43176"/>
    <cellStyle name="표준 8 6 2 3 2 4 2 2" xfId="43177"/>
    <cellStyle name="표준 8 6 2 3 2 5 3" xfId="43178"/>
    <cellStyle name="표준 8 6 2 3 2 5 2 2" xfId="43179"/>
    <cellStyle name="표준 8 6 2 3 2 6 2" xfId="43180"/>
    <cellStyle name="표준 8 6 2 3 2 7 2" xfId="43181"/>
    <cellStyle name="표준 8 6 2 3 3 2 2 2" xfId="43182"/>
    <cellStyle name="표준 8 6 2 3 3 3 3" xfId="43183"/>
    <cellStyle name="표준 8 6 2 3 3 3 2 2" xfId="43184"/>
    <cellStyle name="표준 8 6 2 3 3 4 2" xfId="43185"/>
    <cellStyle name="표준 8 6 2 3 3 5 2" xfId="43186"/>
    <cellStyle name="표준 8 6 2 3 4 2 2 2" xfId="43187"/>
    <cellStyle name="표준 8 6 2 3 4 3 3" xfId="43188"/>
    <cellStyle name="표준 8 6 2 3 4 3 2 2" xfId="43189"/>
    <cellStyle name="표준 8 6 2 3 4 4 2" xfId="43190"/>
    <cellStyle name="표준 8 6 2 3 4 5 2" xfId="43191"/>
    <cellStyle name="표준 8 6 2 3 5 2 2" xfId="43192"/>
    <cellStyle name="표준 8 6 2 3 6 3" xfId="43193"/>
    <cellStyle name="표준 8 6 2 3 6 2 2" xfId="43194"/>
    <cellStyle name="표준 8 6 2 3 7 2" xfId="43195"/>
    <cellStyle name="표준 8 6 2 3 8 2" xfId="43196"/>
    <cellStyle name="표준 8 6 2 4 2 2 2 2" xfId="43197"/>
    <cellStyle name="표준 8 6 2 4 2 3 3" xfId="43198"/>
    <cellStyle name="표준 8 6 2 4 2 3 2 2" xfId="43199"/>
    <cellStyle name="표준 8 6 2 4 2 4 2" xfId="43200"/>
    <cellStyle name="표준 8 6 2 4 2 5 2" xfId="43201"/>
    <cellStyle name="표준 8 6 2 4 3 2 2 2" xfId="43202"/>
    <cellStyle name="표준 8 6 2 4 3 3 3" xfId="43203"/>
    <cellStyle name="표준 8 6 2 4 3 3 2 2" xfId="43204"/>
    <cellStyle name="표준 8 6 2 4 3 4 2" xfId="43205"/>
    <cellStyle name="표준 8 6 2 4 3 5 2" xfId="43206"/>
    <cellStyle name="표준 8 6 2 4 4 2 2" xfId="43207"/>
    <cellStyle name="표준 8 6 2 4 5 3" xfId="43208"/>
    <cellStyle name="표준 8 6 2 4 5 2 2" xfId="43209"/>
    <cellStyle name="표준 8 6 2 4 6 2" xfId="43210"/>
    <cellStyle name="표준 8 6 2 4 7 2" xfId="43211"/>
    <cellStyle name="표준 8 6 2 5 2 2 2" xfId="43212"/>
    <cellStyle name="표준 8 6 2 5 3 3" xfId="43213"/>
    <cellStyle name="표준 8 6 2 5 3 2 2" xfId="43214"/>
    <cellStyle name="표준 8 6 2 5 4 2" xfId="43215"/>
    <cellStyle name="표준 8 6 2 5 5 2" xfId="43216"/>
    <cellStyle name="표준 8 6 2 6 2 2 2" xfId="43217"/>
    <cellStyle name="표준 8 6 2 6 3 3" xfId="43218"/>
    <cellStyle name="표준 8 6 2 6 3 2 2" xfId="43219"/>
    <cellStyle name="표준 8 6 2 6 4 2" xfId="43220"/>
    <cellStyle name="표준 8 6 2 6 5 2" xfId="43221"/>
    <cellStyle name="표준 8 6 2 7 2 2" xfId="43222"/>
    <cellStyle name="표준 8 6 2 8 3" xfId="43223"/>
    <cellStyle name="표준 8 6 2 8 2 2" xfId="43224"/>
    <cellStyle name="표준 8 6 2 9 2" xfId="43225"/>
    <cellStyle name="표준 8 6 3 10 2" xfId="43226"/>
    <cellStyle name="표준 8 6 3 2 2 2 2 2 2 2" xfId="43227"/>
    <cellStyle name="표준 8 6 3 2 2 2 2 3 3" xfId="43228"/>
    <cellStyle name="표준 8 6 3 2 2 2 2 3 2 2" xfId="43229"/>
    <cellStyle name="표준 8 6 3 2 2 2 2 4 2" xfId="43230"/>
    <cellStyle name="표준 8 6 3 2 2 2 2 5 2" xfId="43231"/>
    <cellStyle name="표준 8 6 3 2 2 2 3 2 2 2" xfId="43232"/>
    <cellStyle name="표준 8 6 3 2 2 2 3 3 3" xfId="43233"/>
    <cellStyle name="표준 8 6 3 2 2 2 3 3 2 2" xfId="43234"/>
    <cellStyle name="표준 8 6 3 2 2 2 3 4 2" xfId="43235"/>
    <cellStyle name="표준 8 6 3 2 2 2 3 5 2" xfId="43236"/>
    <cellStyle name="표준 8 6 3 2 2 2 4 2 2" xfId="43237"/>
    <cellStyle name="표준 8 6 3 2 2 2 5 3" xfId="43238"/>
    <cellStyle name="표준 8 6 3 2 2 2 5 2 2" xfId="43239"/>
    <cellStyle name="표준 8 6 3 2 2 2 6 2" xfId="43240"/>
    <cellStyle name="표준 8 6 3 2 2 2 7 2" xfId="43241"/>
    <cellStyle name="표준 8 6 3 2 2 3 2 2 2" xfId="43242"/>
    <cellStyle name="표준 8 6 3 2 2 3 3 3" xfId="43243"/>
    <cellStyle name="표준 8 6 3 2 2 3 3 2 2" xfId="43244"/>
    <cellStyle name="표준 8 6 3 2 2 3 4 2" xfId="43245"/>
    <cellStyle name="표준 8 6 3 2 2 3 5 2" xfId="43246"/>
    <cellStyle name="표준 8 6 3 2 2 4 2 2 2" xfId="43247"/>
    <cellStyle name="표준 8 6 3 2 2 4 3 3" xfId="43248"/>
    <cellStyle name="표준 8 6 3 2 2 4 3 2 2" xfId="43249"/>
    <cellStyle name="표준 8 6 3 2 2 4 4 2" xfId="43250"/>
    <cellStyle name="표준 8 6 3 2 2 4 5 2" xfId="43251"/>
    <cellStyle name="표준 8 6 3 2 2 5 2 2" xfId="43252"/>
    <cellStyle name="표준 8 6 3 2 2 6 3" xfId="43253"/>
    <cellStyle name="표준 8 6 3 2 2 6 2 2" xfId="43254"/>
    <cellStyle name="표준 8 6 3 2 2 7 2" xfId="43255"/>
    <cellStyle name="표준 8 6 3 2 2 8 2" xfId="43256"/>
    <cellStyle name="표준 8 6 3 2 3 2 2 2 2" xfId="43257"/>
    <cellStyle name="표준 8 6 3 2 3 2 3 3" xfId="43258"/>
    <cellStyle name="표준 8 6 3 2 3 2 3 2 2" xfId="43259"/>
    <cellStyle name="표준 8 6 3 2 3 2 4 2" xfId="43260"/>
    <cellStyle name="표준 8 6 3 2 3 2 5 2" xfId="43261"/>
    <cellStyle name="표준 8 6 3 2 3 3 2 2 2" xfId="43262"/>
    <cellStyle name="표준 8 6 3 2 3 3 3 3" xfId="43263"/>
    <cellStyle name="표준 8 6 3 2 3 3 3 2 2" xfId="43264"/>
    <cellStyle name="표준 8 6 3 2 3 3 4 2" xfId="43265"/>
    <cellStyle name="표준 8 6 3 2 3 3 5 2" xfId="43266"/>
    <cellStyle name="표준 8 6 3 2 3 4 2 2" xfId="43267"/>
    <cellStyle name="표준 8 6 3 2 3 5 3" xfId="43268"/>
    <cellStyle name="표준 8 6 3 2 3 5 2 2" xfId="43269"/>
    <cellStyle name="표준 8 6 3 2 3 6 2" xfId="43270"/>
    <cellStyle name="표준 8 6 3 2 3 7 2" xfId="43271"/>
    <cellStyle name="표준 8 6 3 2 4 2 2 2" xfId="43272"/>
    <cellStyle name="표준 8 6 3 2 4 3 3" xfId="43273"/>
    <cellStyle name="표준 8 6 3 2 4 3 2 2" xfId="43274"/>
    <cellStyle name="표준 8 6 3 2 4 4 2" xfId="43275"/>
    <cellStyle name="표준 8 6 3 2 4 5 2" xfId="43276"/>
    <cellStyle name="표준 8 6 3 2 5 2 2 2" xfId="43277"/>
    <cellStyle name="표준 8 6 3 2 5 3 3" xfId="43278"/>
    <cellStyle name="표준 8 6 3 2 5 3 2 2" xfId="43279"/>
    <cellStyle name="표준 8 6 3 2 5 4 2" xfId="43280"/>
    <cellStyle name="표준 8 6 3 2 5 5 2" xfId="43281"/>
    <cellStyle name="표준 8 6 3 2 6 2 2" xfId="43282"/>
    <cellStyle name="표준 8 6 3 2 7 3" xfId="43283"/>
    <cellStyle name="표준 8 6 3 2 7 2 2" xfId="43284"/>
    <cellStyle name="표준 8 6 3 2 8 2" xfId="43285"/>
    <cellStyle name="표준 8 6 3 2 9 2" xfId="43286"/>
    <cellStyle name="표준 8 6 3 3 2 2 2 2 2" xfId="43287"/>
    <cellStyle name="표준 8 6 3 3 2 2 3 3" xfId="43288"/>
    <cellStyle name="표준 8 6 3 3 2 2 3 2 2" xfId="43289"/>
    <cellStyle name="표준 8 6 3 3 2 2 4 2" xfId="43290"/>
    <cellStyle name="표준 8 6 3 3 2 2 5 2" xfId="43291"/>
    <cellStyle name="표준 8 6 3 3 2 3 2 2 2" xfId="43292"/>
    <cellStyle name="표준 8 6 3 3 2 3 3 3" xfId="43293"/>
    <cellStyle name="표준 8 6 3 3 2 3 3 2 2" xfId="43294"/>
    <cellStyle name="표준 8 6 3 3 2 3 4 2" xfId="43295"/>
    <cellStyle name="표준 8 6 3 3 2 3 5 2" xfId="43296"/>
    <cellStyle name="표준 8 6 3 3 2 4 2 2" xfId="43297"/>
    <cellStyle name="표준 8 6 3 3 2 5 3" xfId="43298"/>
    <cellStyle name="표준 8 6 3 3 2 5 2 2" xfId="43299"/>
    <cellStyle name="표준 8 6 3 3 2 6 2" xfId="43300"/>
    <cellStyle name="표준 8 6 3 3 2 7 2" xfId="43301"/>
    <cellStyle name="표준 8 6 3 3 3 2 2 2" xfId="43302"/>
    <cellStyle name="표준 8 6 3 3 3 3 3" xfId="43303"/>
    <cellStyle name="표준 8 6 3 3 3 3 2 2" xfId="43304"/>
    <cellStyle name="표준 8 6 3 3 3 4 2" xfId="43305"/>
    <cellStyle name="표준 8 6 3 3 3 5 2" xfId="43306"/>
    <cellStyle name="표준 8 6 3 3 4 2 2 2" xfId="43307"/>
    <cellStyle name="표준 8 6 3 3 4 3 3" xfId="43308"/>
    <cellStyle name="표준 8 6 3 3 4 3 2 2" xfId="43309"/>
    <cellStyle name="표준 8 6 3 3 4 4 2" xfId="43310"/>
    <cellStyle name="표준 8 6 3 3 4 5 2" xfId="43311"/>
    <cellStyle name="표준 8 6 3 3 5 2 2" xfId="43312"/>
    <cellStyle name="표준 8 6 3 3 6 3" xfId="43313"/>
    <cellStyle name="표준 8 6 3 3 6 2 2" xfId="43314"/>
    <cellStyle name="표준 8 6 3 3 7 2" xfId="43315"/>
    <cellStyle name="표준 8 6 3 3 8 2" xfId="43316"/>
    <cellStyle name="표준 8 6 3 4 2 2 2 2" xfId="43317"/>
    <cellStyle name="표준 8 6 3 4 2 3 3" xfId="43318"/>
    <cellStyle name="표준 8 6 3 4 2 3 2 2" xfId="43319"/>
    <cellStyle name="표준 8 6 3 4 2 4 2" xfId="43320"/>
    <cellStyle name="표준 8 6 3 4 2 5 2" xfId="43321"/>
    <cellStyle name="표준 8 6 3 4 3 2 2 2" xfId="43322"/>
    <cellStyle name="표준 8 6 3 4 3 3 3" xfId="43323"/>
    <cellStyle name="표준 8 6 3 4 3 3 2 2" xfId="43324"/>
    <cellStyle name="표준 8 6 3 4 3 4 2" xfId="43325"/>
    <cellStyle name="표준 8 6 3 4 3 5 2" xfId="43326"/>
    <cellStyle name="표준 8 6 3 4 4 2 2" xfId="43327"/>
    <cellStyle name="표준 8 6 3 4 5 3" xfId="43328"/>
    <cellStyle name="표준 8 6 3 4 5 2 2" xfId="43329"/>
    <cellStyle name="표준 8 6 3 4 6 2" xfId="43330"/>
    <cellStyle name="표준 8 6 3 4 7 2" xfId="43331"/>
    <cellStyle name="표준 8 6 3 5 2 2 2" xfId="43332"/>
    <cellStyle name="표준 8 6 3 5 3 3" xfId="43333"/>
    <cellStyle name="표준 8 6 3 5 3 2 2" xfId="43334"/>
    <cellStyle name="표준 8 6 3 5 4 2" xfId="43335"/>
    <cellStyle name="표준 8 6 3 5 5 2" xfId="43336"/>
    <cellStyle name="표준 8 6 3 6 2 2 2" xfId="43337"/>
    <cellStyle name="표준 8 6 3 6 3 3" xfId="43338"/>
    <cellStyle name="표준 8 6 3 6 3 2 2" xfId="43339"/>
    <cellStyle name="표준 8 6 3 6 4 2" xfId="43340"/>
    <cellStyle name="표준 8 6 3 6 5 2" xfId="43341"/>
    <cellStyle name="표준 8 6 3 7 2 2" xfId="43342"/>
    <cellStyle name="표준 8 6 3 8 3" xfId="43343"/>
    <cellStyle name="표준 8 6 3 8 2 2" xfId="43344"/>
    <cellStyle name="표준 8 6 3 9 2" xfId="43345"/>
    <cellStyle name="표준 8 6 4 10 2" xfId="43346"/>
    <cellStyle name="표준 8 6 4 2 2 2 2 2 2 2" xfId="43347"/>
    <cellStyle name="표준 8 6 4 2 2 2 2 3 3" xfId="43348"/>
    <cellStyle name="표준 8 6 4 2 2 2 2 3 2 2" xfId="43349"/>
    <cellStyle name="표준 8 6 4 2 2 2 2 4 2" xfId="43350"/>
    <cellStyle name="표준 8 6 4 2 2 2 2 5 2" xfId="43351"/>
    <cellStyle name="표준 8 6 4 2 2 2 3 2 2 2" xfId="43352"/>
    <cellStyle name="표준 8 6 4 2 2 2 3 3 3" xfId="43353"/>
    <cellStyle name="표준 8 6 4 2 2 2 3 3 2 2" xfId="43354"/>
    <cellStyle name="표준 8 6 4 2 2 2 3 4 2" xfId="43355"/>
    <cellStyle name="표준 8 6 4 2 2 2 3 5 2" xfId="43356"/>
    <cellStyle name="표준 8 6 4 2 2 2 4 2 2" xfId="43357"/>
    <cellStyle name="표준 8 6 4 2 2 2 5 3" xfId="43358"/>
    <cellStyle name="표준 8 6 4 2 2 2 5 2 2" xfId="43359"/>
    <cellStyle name="표준 8 6 4 2 2 2 6 2" xfId="43360"/>
    <cellStyle name="표준 8 6 4 2 2 2 7 2" xfId="43361"/>
    <cellStyle name="표준 8 6 4 2 2 3 2 2 2" xfId="43362"/>
    <cellStyle name="표준 8 6 4 2 2 3 3 3" xfId="43363"/>
    <cellStyle name="표준 8 6 4 2 2 3 3 2 2" xfId="43364"/>
    <cellStyle name="표준 8 6 4 2 2 3 4 2" xfId="43365"/>
    <cellStyle name="표준 8 6 4 2 2 3 5 2" xfId="43366"/>
    <cellStyle name="표준 8 6 4 2 2 4 2 2 2" xfId="43367"/>
    <cellStyle name="표준 8 6 4 2 2 4 3 3" xfId="43368"/>
    <cellStyle name="표준 8 6 4 2 2 4 3 2 2" xfId="43369"/>
    <cellStyle name="표준 8 6 4 2 2 4 4 2" xfId="43370"/>
    <cellStyle name="표준 8 6 4 2 2 4 5 2" xfId="43371"/>
    <cellStyle name="표준 8 6 4 2 2 5 2 2" xfId="43372"/>
    <cellStyle name="표준 8 6 4 2 2 6 3" xfId="43373"/>
    <cellStyle name="표준 8 6 4 2 2 6 2 2" xfId="43374"/>
    <cellStyle name="표준 8 6 4 2 2 7 2" xfId="43375"/>
    <cellStyle name="표준 8 6 4 2 2 8 2" xfId="43376"/>
    <cellStyle name="표준 8 6 4 2 3 2 2 2 2" xfId="43377"/>
    <cellStyle name="표준 8 6 4 2 3 2 3 3" xfId="43378"/>
    <cellStyle name="표준 8 6 4 2 3 2 3 2 2" xfId="43379"/>
    <cellStyle name="표준 8 6 4 2 3 2 4 2" xfId="43380"/>
    <cellStyle name="표준 8 6 4 2 3 2 5 2" xfId="43381"/>
    <cellStyle name="표준 8 6 4 2 3 3 2 2 2" xfId="43382"/>
    <cellStyle name="표준 8 6 4 2 3 3 3 3" xfId="43383"/>
    <cellStyle name="표준 8 6 4 2 3 3 3 2 2" xfId="43384"/>
    <cellStyle name="표준 8 6 4 2 3 3 4 2" xfId="43385"/>
    <cellStyle name="표준 8 6 4 2 3 3 5 2" xfId="43386"/>
    <cellStyle name="표준 8 6 4 2 3 4 2 2" xfId="43387"/>
    <cellStyle name="표준 8 6 4 2 3 5 3" xfId="43388"/>
    <cellStyle name="표준 8 6 4 2 3 5 2 2" xfId="43389"/>
    <cellStyle name="표준 8 6 4 2 3 6 2" xfId="43390"/>
    <cellStyle name="표준 8 6 4 2 3 7 2" xfId="43391"/>
    <cellStyle name="표준 8 6 4 2 4 2 2 2" xfId="43392"/>
    <cellStyle name="표준 8 6 4 2 4 3 3" xfId="43393"/>
    <cellStyle name="표준 8 6 4 2 4 3 2 2" xfId="43394"/>
    <cellStyle name="표준 8 6 4 2 4 4 2" xfId="43395"/>
    <cellStyle name="표준 8 6 4 2 4 5 2" xfId="43396"/>
    <cellStyle name="표준 8 6 4 2 5 2 2 2" xfId="43397"/>
    <cellStyle name="표준 8 6 4 2 5 3 3" xfId="43398"/>
    <cellStyle name="표준 8 6 4 2 5 3 2 2" xfId="43399"/>
    <cellStyle name="표준 8 6 4 2 5 4 2" xfId="43400"/>
    <cellStyle name="표준 8 6 4 2 5 5 2" xfId="43401"/>
    <cellStyle name="표준 8 6 4 2 6 2 2" xfId="43402"/>
    <cellStyle name="표준 8 6 4 2 7 3" xfId="43403"/>
    <cellStyle name="표준 8 6 4 2 7 2 2" xfId="43404"/>
    <cellStyle name="표준 8 6 4 2 8 2" xfId="43405"/>
    <cellStyle name="표준 8 6 4 2 9 2" xfId="43406"/>
    <cellStyle name="표준 8 6 4 3 2 2 2 2 2" xfId="43407"/>
    <cellStyle name="표준 8 6 4 3 2 2 3 3" xfId="43408"/>
    <cellStyle name="표준 8 6 4 3 2 2 3 2 2" xfId="43409"/>
    <cellStyle name="표준 8 6 4 3 2 2 4 2" xfId="43410"/>
    <cellStyle name="표준 8 6 4 3 2 2 5 2" xfId="43411"/>
    <cellStyle name="표준 8 6 4 3 2 3 2 2 2" xfId="43412"/>
    <cellStyle name="표준 8 6 4 3 2 3 3 3" xfId="43413"/>
    <cellStyle name="표준 8 6 4 3 2 3 3 2 2" xfId="43414"/>
    <cellStyle name="표준 8 6 4 3 2 3 4 2" xfId="43415"/>
    <cellStyle name="표준 8 6 4 3 2 3 5 2" xfId="43416"/>
    <cellStyle name="표준 8 6 4 3 2 4 2 2" xfId="43417"/>
    <cellStyle name="표준 8 6 4 3 2 5 3" xfId="43418"/>
    <cellStyle name="표준 8 6 4 3 2 5 2 2" xfId="43419"/>
    <cellStyle name="표준 8 6 4 3 2 6 2" xfId="43420"/>
    <cellStyle name="표준 8 6 4 3 2 7 2" xfId="43421"/>
    <cellStyle name="표준 8 6 4 3 3 2 2 2" xfId="43422"/>
    <cellStyle name="표준 8 6 4 3 3 3 3" xfId="43423"/>
    <cellStyle name="표준 8 6 4 3 3 3 2 2" xfId="43424"/>
    <cellStyle name="표준 8 6 4 3 3 4 2" xfId="43425"/>
    <cellStyle name="표준 8 6 4 3 3 5 2" xfId="43426"/>
    <cellStyle name="표준 8 6 4 3 4 2 2 2" xfId="43427"/>
    <cellStyle name="표준 8 6 4 3 4 3 3" xfId="43428"/>
    <cellStyle name="표준 8 6 4 3 4 3 2 2" xfId="43429"/>
    <cellStyle name="표준 8 6 4 3 4 4 2" xfId="43430"/>
    <cellStyle name="표준 8 6 4 3 4 5 2" xfId="43431"/>
    <cellStyle name="표준 8 6 4 3 5 2 2" xfId="43432"/>
    <cellStyle name="표준 8 6 4 3 6 3" xfId="43433"/>
    <cellStyle name="표준 8 6 4 3 6 2 2" xfId="43434"/>
    <cellStyle name="표준 8 6 4 3 7 2" xfId="43435"/>
    <cellStyle name="표준 8 6 4 3 8 2" xfId="43436"/>
    <cellStyle name="표준 8 6 4 4 2 2 2 2" xfId="43437"/>
    <cellStyle name="표준 8 6 4 4 2 3 3" xfId="43438"/>
    <cellStyle name="표준 8 6 4 4 2 3 2 2" xfId="43439"/>
    <cellStyle name="표준 8 6 4 4 2 4 2" xfId="43440"/>
    <cellStyle name="표준 8 6 4 4 2 5 2" xfId="43441"/>
    <cellStyle name="표준 8 6 4 4 3 2 2 2" xfId="43442"/>
    <cellStyle name="표준 8 6 4 4 3 3 3" xfId="43443"/>
    <cellStyle name="표준 8 6 4 4 3 3 2 2" xfId="43444"/>
    <cellStyle name="표준 8 6 4 4 3 4 2" xfId="43445"/>
    <cellStyle name="표준 8 6 4 4 3 5 2" xfId="43446"/>
    <cellStyle name="표준 8 6 4 4 4 2 2" xfId="43447"/>
    <cellStyle name="표준 8 6 4 4 5 3" xfId="43448"/>
    <cellStyle name="표준 8 6 4 4 5 2 2" xfId="43449"/>
    <cellStyle name="표준 8 6 4 4 6 2" xfId="43450"/>
    <cellStyle name="표준 8 6 4 4 7 2" xfId="43451"/>
    <cellStyle name="표준 8 6 4 5 2 2 2" xfId="43452"/>
    <cellStyle name="표준 8 6 4 5 3 3" xfId="43453"/>
    <cellStyle name="표준 8 6 4 5 3 2 2" xfId="43454"/>
    <cellStyle name="표준 8 6 4 5 4 2" xfId="43455"/>
    <cellStyle name="표준 8 6 4 5 5 2" xfId="43456"/>
    <cellStyle name="표준 8 6 4 6 2 2 2" xfId="43457"/>
    <cellStyle name="표준 8 6 4 6 3 3" xfId="43458"/>
    <cellStyle name="표준 8 6 4 6 3 2 2" xfId="43459"/>
    <cellStyle name="표준 8 6 4 6 4 2" xfId="43460"/>
    <cellStyle name="표준 8 6 4 6 5 2" xfId="43461"/>
    <cellStyle name="표준 8 6 4 7 2 2" xfId="43462"/>
    <cellStyle name="표준 8 6 4 8 3" xfId="43463"/>
    <cellStyle name="표준 8 6 4 8 2 2" xfId="43464"/>
    <cellStyle name="표준 8 6 4 9 2" xfId="43465"/>
    <cellStyle name="표준 8 6 5 2 2 2 2 2 2" xfId="43466"/>
    <cellStyle name="표준 8 6 5 2 2 2 3 3" xfId="43467"/>
    <cellStyle name="표준 8 6 5 2 2 2 3 2 2" xfId="43468"/>
    <cellStyle name="표준 8 6 5 2 2 2 4 2" xfId="43469"/>
    <cellStyle name="표준 8 6 5 2 2 2 5 2" xfId="43470"/>
    <cellStyle name="표준 8 6 5 2 2 3 2 2 2" xfId="43471"/>
    <cellStyle name="표준 8 6 5 2 2 3 3 3" xfId="43472"/>
    <cellStyle name="표준 8 6 5 2 2 3 3 2 2" xfId="43473"/>
    <cellStyle name="표준 8 6 5 2 2 3 4 2" xfId="43474"/>
    <cellStyle name="표준 8 6 5 2 2 3 5 2" xfId="43475"/>
    <cellStyle name="표준 8 6 5 2 2 4 2 2" xfId="43476"/>
    <cellStyle name="표준 8 6 5 2 2 5 3" xfId="43477"/>
    <cellStyle name="표준 8 6 5 2 2 5 2 2" xfId="43478"/>
    <cellStyle name="표준 8 6 5 2 2 6 2" xfId="43479"/>
    <cellStyle name="표준 8 6 5 2 2 7 2" xfId="43480"/>
    <cellStyle name="표준 8 6 5 2 3 2 2 2" xfId="43481"/>
    <cellStyle name="표준 8 6 5 2 3 3 3" xfId="43482"/>
    <cellStyle name="표준 8 6 5 2 3 3 2 2" xfId="43483"/>
    <cellStyle name="표준 8 6 5 2 3 4 2" xfId="43484"/>
    <cellStyle name="표준 8 6 5 2 3 5 2" xfId="43485"/>
    <cellStyle name="표준 8 6 5 2 4 2 2 2" xfId="43486"/>
    <cellStyle name="표준 8 6 5 2 4 3 3" xfId="43487"/>
    <cellStyle name="표준 8 6 5 2 4 3 2 2" xfId="43488"/>
    <cellStyle name="표준 8 6 5 2 4 4 2" xfId="43489"/>
    <cellStyle name="표준 8 6 5 2 4 5 2" xfId="43490"/>
    <cellStyle name="표준 8 6 5 2 5 2 2" xfId="43491"/>
    <cellStyle name="표준 8 6 5 2 6 3" xfId="43492"/>
    <cellStyle name="표준 8 6 5 2 6 2 2" xfId="43493"/>
    <cellStyle name="표준 8 6 5 2 7 2" xfId="43494"/>
    <cellStyle name="표준 8 6 5 2 8 2" xfId="43495"/>
    <cellStyle name="표준 8 6 5 3 2 2 2 2" xfId="43496"/>
    <cellStyle name="표준 8 6 5 3 2 3 3" xfId="43497"/>
    <cellStyle name="표준 8 6 5 3 2 3 2 2" xfId="43498"/>
    <cellStyle name="표준 8 6 5 3 2 4 2" xfId="43499"/>
    <cellStyle name="표준 8 6 5 3 2 5 2" xfId="43500"/>
    <cellStyle name="표준 8 6 5 3 3 2 2 2" xfId="43501"/>
    <cellStyle name="표준 8 6 5 3 3 3 3" xfId="43502"/>
    <cellStyle name="표준 8 6 5 3 3 3 2 2" xfId="43503"/>
    <cellStyle name="표준 8 6 5 3 3 4 2" xfId="43504"/>
    <cellStyle name="표준 8 6 5 3 3 5 2" xfId="43505"/>
    <cellStyle name="표준 8 6 5 3 4 2 2" xfId="43506"/>
    <cellStyle name="표준 8 6 5 3 5 3" xfId="43507"/>
    <cellStyle name="표준 8 6 5 3 5 2 2" xfId="43508"/>
    <cellStyle name="표준 8 6 5 3 6 2" xfId="43509"/>
    <cellStyle name="표준 8 6 5 3 7 2" xfId="43510"/>
    <cellStyle name="표준 8 6 5 4 2 2 2" xfId="43511"/>
    <cellStyle name="표준 8 6 5 4 3 3" xfId="43512"/>
    <cellStyle name="표준 8 6 5 4 3 2 2" xfId="43513"/>
    <cellStyle name="표준 8 6 5 4 4 2" xfId="43514"/>
    <cellStyle name="표준 8 6 5 4 5 2" xfId="43515"/>
    <cellStyle name="표준 8 6 5 5 2 2 2" xfId="43516"/>
    <cellStyle name="표준 8 6 5 5 3 3" xfId="43517"/>
    <cellStyle name="표준 8 6 5 5 3 2 2" xfId="43518"/>
    <cellStyle name="표준 8 6 5 5 4 2" xfId="43519"/>
    <cellStyle name="표준 8 6 5 5 5 2" xfId="43520"/>
    <cellStyle name="표준 8 6 5 6 2 2" xfId="43521"/>
    <cellStyle name="표준 8 6 5 7 3" xfId="43522"/>
    <cellStyle name="표준 8 6 5 7 2 2" xfId="43523"/>
    <cellStyle name="표준 8 6 5 8 2" xfId="43524"/>
    <cellStyle name="표준 8 6 5 9 2" xfId="43525"/>
    <cellStyle name="표준 8 6 6 2 2 2 2 2" xfId="43526"/>
    <cellStyle name="표준 8 6 6 2 2 3 3" xfId="43527"/>
    <cellStyle name="표준 8 6 6 2 2 3 2 2" xfId="43528"/>
    <cellStyle name="표준 8 6 6 2 2 4 2" xfId="43529"/>
    <cellStyle name="표준 8 6 6 2 2 5 2" xfId="43530"/>
    <cellStyle name="표준 8 6 6 2 3 2 2 2" xfId="43531"/>
    <cellStyle name="표준 8 6 6 2 3 3 3" xfId="43532"/>
    <cellStyle name="표준 8 6 6 2 3 3 2 2" xfId="43533"/>
    <cellStyle name="표준 8 6 6 2 3 4 2" xfId="43534"/>
    <cellStyle name="표준 8 6 6 2 3 5 2" xfId="43535"/>
    <cellStyle name="표준 8 6 6 2 4 2 2" xfId="43536"/>
    <cellStyle name="표준 8 6 6 2 5 3" xfId="43537"/>
    <cellStyle name="표준 8 6 6 2 5 2 2" xfId="43538"/>
    <cellStyle name="표준 8 6 6 2 6 2" xfId="43539"/>
    <cellStyle name="표준 8 6 6 2 7 2" xfId="43540"/>
    <cellStyle name="표준 8 6 6 3 2 2 2" xfId="43541"/>
    <cellStyle name="표준 8 6 6 3 3 3" xfId="43542"/>
    <cellStyle name="표준 8 6 6 3 3 2 2" xfId="43543"/>
    <cellStyle name="표준 8 6 6 3 4 2" xfId="43544"/>
    <cellStyle name="표준 8 6 6 3 5 2" xfId="43545"/>
    <cellStyle name="표준 8 6 6 4 2 2 2" xfId="43546"/>
    <cellStyle name="표준 8 6 6 4 3 3" xfId="43547"/>
    <cellStyle name="표준 8 6 6 4 3 2 2" xfId="43548"/>
    <cellStyle name="표준 8 6 6 4 4 2" xfId="43549"/>
    <cellStyle name="표준 8 6 6 4 5 2" xfId="43550"/>
    <cellStyle name="표준 8 6 6 5 2 2" xfId="43551"/>
    <cellStyle name="표준 8 6 6 6 3" xfId="43552"/>
    <cellStyle name="표준 8 6 6 6 2 2" xfId="43553"/>
    <cellStyle name="표준 8 6 6 7 2" xfId="43554"/>
    <cellStyle name="표준 8 6 6 8 2" xfId="43555"/>
    <cellStyle name="표준 8 6 7 2 2 2 2" xfId="43556"/>
    <cellStyle name="표준 8 6 7 2 3 3" xfId="43557"/>
    <cellStyle name="표준 8 6 7 2 3 2 2" xfId="43558"/>
    <cellStyle name="표준 8 6 7 2 4 2" xfId="43559"/>
    <cellStyle name="표준 8 6 7 2 5 2" xfId="43560"/>
    <cellStyle name="표준 8 6 7 3 2 2 2" xfId="43561"/>
    <cellStyle name="표준 8 6 7 3 3 3" xfId="43562"/>
    <cellStyle name="표준 8 6 7 3 3 2 2" xfId="43563"/>
    <cellStyle name="표준 8 6 7 3 4 2" xfId="43564"/>
    <cellStyle name="표준 8 6 7 3 5 2" xfId="43565"/>
    <cellStyle name="표준 8 6 7 4 2 2" xfId="43566"/>
    <cellStyle name="표준 8 6 7 5 3" xfId="43567"/>
    <cellStyle name="표준 8 6 7 5 2 2" xfId="43568"/>
    <cellStyle name="표준 8 6 7 6 2" xfId="43569"/>
    <cellStyle name="표준 8 6 7 7 2" xfId="43570"/>
    <cellStyle name="표준 8 6 8 2 2 2" xfId="43571"/>
    <cellStyle name="표준 8 6 8 3 3" xfId="43572"/>
    <cellStyle name="표준 8 6 8 3 2 2" xfId="43573"/>
    <cellStyle name="표준 8 6 8 4 2" xfId="43574"/>
    <cellStyle name="표준 8 6 8 5 2" xfId="43575"/>
    <cellStyle name="표준 8 6 9 2 2 2" xfId="43576"/>
    <cellStyle name="표준 8 6 9 3 3" xfId="43577"/>
    <cellStyle name="표준 8 6 9 3 2 2" xfId="43578"/>
    <cellStyle name="표준 8 6 9 4 2" xfId="43579"/>
    <cellStyle name="표준 8 6 9 5 2" xfId="43580"/>
    <cellStyle name="표준 8 7 10 2 2" xfId="43581"/>
    <cellStyle name="표준 8 7 11 3" xfId="43582"/>
    <cellStyle name="표준 8 7 11 2 2" xfId="43583"/>
    <cellStyle name="표준 8 7 12 2" xfId="43584"/>
    <cellStyle name="표준 8 7 13 2" xfId="43585"/>
    <cellStyle name="표준 8 7 2 10 2" xfId="43586"/>
    <cellStyle name="표준 8 7 2 2 2 2 2 2 2 2" xfId="43587"/>
    <cellStyle name="표준 8 7 2 2 2 2 2 3 3" xfId="43588"/>
    <cellStyle name="표준 8 7 2 2 2 2 2 3 2 2" xfId="43589"/>
    <cellStyle name="표준 8 7 2 2 2 2 2 4 2" xfId="43590"/>
    <cellStyle name="표준 8 7 2 2 2 2 2 5 2" xfId="43591"/>
    <cellStyle name="표준 8 7 2 2 2 2 3 2 2 2" xfId="43592"/>
    <cellStyle name="표준 8 7 2 2 2 2 3 3 3" xfId="43593"/>
    <cellStyle name="표준 8 7 2 2 2 2 3 3 2 2" xfId="43594"/>
    <cellStyle name="표준 8 7 2 2 2 2 3 4 2" xfId="43595"/>
    <cellStyle name="표준 8 7 2 2 2 2 3 5 2" xfId="43596"/>
    <cellStyle name="표준 8 7 2 2 2 2 4 2 2" xfId="43597"/>
    <cellStyle name="표준 8 7 2 2 2 2 5 3" xfId="43598"/>
    <cellStyle name="표준 8 7 2 2 2 2 5 2 2" xfId="43599"/>
    <cellStyle name="표준 8 7 2 2 2 2 6 2" xfId="43600"/>
    <cellStyle name="표준 8 7 2 2 2 2 7 2" xfId="43601"/>
    <cellStyle name="표준 8 7 2 2 2 3 2 2 2" xfId="43602"/>
    <cellStyle name="표준 8 7 2 2 2 3 3 3" xfId="43603"/>
    <cellStyle name="표준 8 7 2 2 2 3 3 2 2" xfId="43604"/>
    <cellStyle name="표준 8 7 2 2 2 3 4 2" xfId="43605"/>
    <cellStyle name="표준 8 7 2 2 2 3 5 2" xfId="43606"/>
    <cellStyle name="표준 8 7 2 2 2 4 2 2 2" xfId="43607"/>
    <cellStyle name="표준 8 7 2 2 2 4 3 3" xfId="43608"/>
    <cellStyle name="표준 8 7 2 2 2 4 3 2 2" xfId="43609"/>
    <cellStyle name="표준 8 7 2 2 2 4 4 2" xfId="43610"/>
    <cellStyle name="표준 8 7 2 2 2 4 5 2" xfId="43611"/>
    <cellStyle name="표준 8 7 2 2 2 5 2 2" xfId="43612"/>
    <cellStyle name="표준 8 7 2 2 2 6 3" xfId="43613"/>
    <cellStyle name="표준 8 7 2 2 2 6 2 2" xfId="43614"/>
    <cellStyle name="표준 8 7 2 2 2 7 2" xfId="43615"/>
    <cellStyle name="표준 8 7 2 2 2 8 2" xfId="43616"/>
    <cellStyle name="표준 8 7 2 2 3 2 2 2 2" xfId="43617"/>
    <cellStyle name="표준 8 7 2 2 3 2 3 3" xfId="43618"/>
    <cellStyle name="표준 8 7 2 2 3 2 3 2 2" xfId="43619"/>
    <cellStyle name="표준 8 7 2 2 3 2 4 2" xfId="43620"/>
    <cellStyle name="표준 8 7 2 2 3 2 5 2" xfId="43621"/>
    <cellStyle name="표준 8 7 2 2 3 3 2 2 2" xfId="43622"/>
    <cellStyle name="표준 8 7 2 2 3 3 3 3" xfId="43623"/>
    <cellStyle name="표준 8 7 2 2 3 3 3 2 2" xfId="43624"/>
    <cellStyle name="표준 8 7 2 2 3 3 4 2" xfId="43625"/>
    <cellStyle name="표준 8 7 2 2 3 3 5 2" xfId="43626"/>
    <cellStyle name="표준 8 7 2 2 3 4 2 2" xfId="43627"/>
    <cellStyle name="표준 8 7 2 2 3 5 3" xfId="43628"/>
    <cellStyle name="표준 8 7 2 2 3 5 2 2" xfId="43629"/>
    <cellStyle name="표준 8 7 2 2 3 6 2" xfId="43630"/>
    <cellStyle name="표준 8 7 2 2 3 7 2" xfId="43631"/>
    <cellStyle name="표준 8 7 2 2 4 2 2 2" xfId="43632"/>
    <cellStyle name="표준 8 7 2 2 4 3 3" xfId="43633"/>
    <cellStyle name="표준 8 7 2 2 4 3 2 2" xfId="43634"/>
    <cellStyle name="표준 8 7 2 2 4 4 2" xfId="43635"/>
    <cellStyle name="표준 8 7 2 2 4 5 2" xfId="43636"/>
    <cellStyle name="표준 8 7 2 2 5 2 2 2" xfId="43637"/>
    <cellStyle name="표준 8 7 2 2 5 3 3" xfId="43638"/>
    <cellStyle name="표준 8 7 2 2 5 3 2 2" xfId="43639"/>
    <cellStyle name="표준 8 7 2 2 5 4 2" xfId="43640"/>
    <cellStyle name="표준 8 7 2 2 5 5 2" xfId="43641"/>
    <cellStyle name="표준 8 7 2 2 6 2 2" xfId="43642"/>
    <cellStyle name="표준 8 7 2 2 7 3" xfId="43643"/>
    <cellStyle name="표준 8 7 2 2 7 2 2" xfId="43644"/>
    <cellStyle name="표준 8 7 2 2 8 2" xfId="43645"/>
    <cellStyle name="표준 8 7 2 2 9 2" xfId="43646"/>
    <cellStyle name="표준 8 7 2 3 2 2 2 2 2" xfId="43647"/>
    <cellStyle name="표준 8 7 2 3 2 2 3 3" xfId="43648"/>
    <cellStyle name="표준 8 7 2 3 2 2 3 2 2" xfId="43649"/>
    <cellStyle name="표준 8 7 2 3 2 2 4 2" xfId="43650"/>
    <cellStyle name="표준 8 7 2 3 2 2 5 2" xfId="43651"/>
    <cellStyle name="표준 8 7 2 3 2 3 2 2 2" xfId="43652"/>
    <cellStyle name="표준 8 7 2 3 2 3 3 3" xfId="43653"/>
    <cellStyle name="표준 8 7 2 3 2 3 3 2 2" xfId="43654"/>
    <cellStyle name="표준 8 7 2 3 2 3 4 2" xfId="43655"/>
    <cellStyle name="표준 8 7 2 3 2 3 5 2" xfId="43656"/>
    <cellStyle name="표준 8 7 2 3 2 4 2 2" xfId="43657"/>
    <cellStyle name="표준 8 7 2 3 2 5 3" xfId="43658"/>
    <cellStyle name="표준 8 7 2 3 2 5 2 2" xfId="43659"/>
    <cellStyle name="표준 8 7 2 3 2 6 2" xfId="43660"/>
    <cellStyle name="표준 8 7 2 3 2 7 2" xfId="43661"/>
    <cellStyle name="표준 8 7 2 3 3 2 2 2" xfId="43662"/>
    <cellStyle name="표준 8 7 2 3 3 3 3" xfId="43663"/>
    <cellStyle name="표준 8 7 2 3 3 3 2 2" xfId="43664"/>
    <cellStyle name="표준 8 7 2 3 3 4 2" xfId="43665"/>
    <cellStyle name="표준 8 7 2 3 3 5 2" xfId="43666"/>
    <cellStyle name="표준 8 7 2 3 4 2 2 2" xfId="43667"/>
    <cellStyle name="표준 8 7 2 3 4 3 3" xfId="43668"/>
    <cellStyle name="표준 8 7 2 3 4 3 2 2" xfId="43669"/>
    <cellStyle name="표준 8 7 2 3 4 4 2" xfId="43670"/>
    <cellStyle name="표준 8 7 2 3 4 5 2" xfId="43671"/>
    <cellStyle name="표준 8 7 2 3 5 2 2" xfId="43672"/>
    <cellStyle name="표준 8 7 2 3 6 3" xfId="43673"/>
    <cellStyle name="표준 8 7 2 3 6 2 2" xfId="43674"/>
    <cellStyle name="표준 8 7 2 3 7 2" xfId="43675"/>
    <cellStyle name="표준 8 7 2 3 8 2" xfId="43676"/>
    <cellStyle name="표준 8 7 2 4 2 2 2 2" xfId="43677"/>
    <cellStyle name="표준 8 7 2 4 2 3 3" xfId="43678"/>
    <cellStyle name="표준 8 7 2 4 2 3 2 2" xfId="43679"/>
    <cellStyle name="표준 8 7 2 4 2 4 2" xfId="43680"/>
    <cellStyle name="표준 8 7 2 4 2 5 2" xfId="43681"/>
    <cellStyle name="표준 8 7 2 4 3 2 2 2" xfId="43682"/>
    <cellStyle name="표준 8 7 2 4 3 3 3" xfId="43683"/>
    <cellStyle name="표준 8 7 2 4 3 3 2 2" xfId="43684"/>
    <cellStyle name="표준 8 7 2 4 3 4 2" xfId="43685"/>
    <cellStyle name="표준 8 7 2 4 3 5 2" xfId="43686"/>
    <cellStyle name="표준 8 7 2 4 4 2 2" xfId="43687"/>
    <cellStyle name="표준 8 7 2 4 5 3" xfId="43688"/>
    <cellStyle name="표준 8 7 2 4 5 2 2" xfId="43689"/>
    <cellStyle name="표준 8 7 2 4 6 2" xfId="43690"/>
    <cellStyle name="표준 8 7 2 4 7 2" xfId="43691"/>
    <cellStyle name="표준 8 7 2 5 2 2 2" xfId="43692"/>
    <cellStyle name="표준 8 7 2 5 3 3" xfId="43693"/>
    <cellStyle name="표준 8 7 2 5 3 2 2" xfId="43694"/>
    <cellStyle name="표준 8 7 2 5 4 2" xfId="43695"/>
    <cellStyle name="표준 8 7 2 5 5 2" xfId="43696"/>
    <cellStyle name="표준 8 7 2 6 2 2 2" xfId="43697"/>
    <cellStyle name="표준 8 7 2 6 3 3" xfId="43698"/>
    <cellStyle name="표준 8 7 2 6 3 2 2" xfId="43699"/>
    <cellStyle name="표준 8 7 2 6 4 2" xfId="43700"/>
    <cellStyle name="표준 8 7 2 6 5 2" xfId="43701"/>
    <cellStyle name="표준 8 7 2 7 2 2" xfId="43702"/>
    <cellStyle name="표준 8 7 2 8 3" xfId="43703"/>
    <cellStyle name="표준 8 7 2 8 2 2" xfId="43704"/>
    <cellStyle name="표준 8 7 2 9 2" xfId="43705"/>
    <cellStyle name="표준 8 7 3 10 2" xfId="43706"/>
    <cellStyle name="표준 8 7 3 2 2 2 2 2 2 2" xfId="43707"/>
    <cellStyle name="표준 8 7 3 2 2 2 2 3 3" xfId="43708"/>
    <cellStyle name="표준 8 7 3 2 2 2 2 3 2 2" xfId="43709"/>
    <cellStyle name="표준 8 7 3 2 2 2 2 4 2" xfId="43710"/>
    <cellStyle name="표준 8 7 3 2 2 2 2 5 2" xfId="43711"/>
    <cellStyle name="표준 8 7 3 2 2 2 3 2 2 2" xfId="43712"/>
    <cellStyle name="표준 8 7 3 2 2 2 3 3 3" xfId="43713"/>
    <cellStyle name="표준 8 7 3 2 2 2 3 3 2 2" xfId="43714"/>
    <cellStyle name="표준 8 7 3 2 2 2 3 4 2" xfId="43715"/>
    <cellStyle name="표준 8 7 3 2 2 2 3 5 2" xfId="43716"/>
    <cellStyle name="표준 8 7 3 2 2 2 4 2 2" xfId="43717"/>
    <cellStyle name="표준 8 7 3 2 2 2 5 3" xfId="43718"/>
    <cellStyle name="표준 8 7 3 2 2 2 5 2 2" xfId="43719"/>
    <cellStyle name="표준 8 7 3 2 2 2 6 2" xfId="43720"/>
    <cellStyle name="표준 8 7 3 2 2 2 7 2" xfId="43721"/>
    <cellStyle name="표준 8 7 3 2 2 3 2 2 2" xfId="43722"/>
    <cellStyle name="표준 8 7 3 2 2 3 3 3" xfId="43723"/>
    <cellStyle name="표준 8 7 3 2 2 3 3 2 2" xfId="43724"/>
    <cellStyle name="표준 8 7 3 2 2 3 4 2" xfId="43725"/>
    <cellStyle name="표준 8 7 3 2 2 3 5 2" xfId="43726"/>
    <cellStyle name="표준 8 7 3 2 2 4 2 2 2" xfId="43727"/>
    <cellStyle name="표준 8 7 3 2 2 4 3 3" xfId="43728"/>
    <cellStyle name="표준 8 7 3 2 2 4 3 2 2" xfId="43729"/>
    <cellStyle name="표준 8 7 3 2 2 4 4 2" xfId="43730"/>
    <cellStyle name="표준 8 7 3 2 2 4 5 2" xfId="43731"/>
    <cellStyle name="표준 8 7 3 2 2 5 2 2" xfId="43732"/>
    <cellStyle name="표준 8 7 3 2 2 6 3" xfId="43733"/>
    <cellStyle name="표준 8 7 3 2 2 6 2 2" xfId="43734"/>
    <cellStyle name="표준 8 7 3 2 2 7 2" xfId="43735"/>
    <cellStyle name="표준 8 7 3 2 2 8 2" xfId="43736"/>
    <cellStyle name="표준 8 7 3 2 3 2 2 2 2" xfId="43737"/>
    <cellStyle name="표준 8 7 3 2 3 2 3 3" xfId="43738"/>
    <cellStyle name="표준 8 7 3 2 3 2 3 2 2" xfId="43739"/>
    <cellStyle name="표준 8 7 3 2 3 2 4 2" xfId="43740"/>
    <cellStyle name="표준 8 7 3 2 3 2 5 2" xfId="43741"/>
    <cellStyle name="표준 8 7 3 2 3 3 2 2 2" xfId="43742"/>
    <cellStyle name="표준 8 7 3 2 3 3 3 3" xfId="43743"/>
    <cellStyle name="표준 8 7 3 2 3 3 3 2 2" xfId="43744"/>
    <cellStyle name="표준 8 7 3 2 3 3 4 2" xfId="43745"/>
    <cellStyle name="표준 8 7 3 2 3 3 5 2" xfId="43746"/>
    <cellStyle name="표준 8 7 3 2 3 4 2 2" xfId="43747"/>
    <cellStyle name="표준 8 7 3 2 3 5 3" xfId="43748"/>
    <cellStyle name="표준 8 7 3 2 3 5 2 2" xfId="43749"/>
    <cellStyle name="표준 8 7 3 2 3 6 2" xfId="43750"/>
    <cellStyle name="표준 8 7 3 2 3 7 2" xfId="43751"/>
    <cellStyle name="표준 8 7 3 2 4 2 2 2" xfId="43752"/>
    <cellStyle name="표준 8 7 3 2 4 3 3" xfId="43753"/>
    <cellStyle name="표준 8 7 3 2 4 3 2 2" xfId="43754"/>
    <cellStyle name="표준 8 7 3 2 4 4 2" xfId="43755"/>
    <cellStyle name="표준 8 7 3 2 4 5 2" xfId="43756"/>
    <cellStyle name="표준 8 7 3 2 5 2 2 2" xfId="43757"/>
    <cellStyle name="표준 8 7 3 2 5 3 3" xfId="43758"/>
    <cellStyle name="표준 8 7 3 2 5 3 2 2" xfId="43759"/>
    <cellStyle name="표준 8 7 3 2 5 4 2" xfId="43760"/>
    <cellStyle name="표준 8 7 3 2 5 5 2" xfId="43761"/>
    <cellStyle name="표준 8 7 3 2 6 2 2" xfId="43762"/>
    <cellStyle name="표준 8 7 3 2 7 3" xfId="43763"/>
    <cellStyle name="표준 8 7 3 2 7 2 2" xfId="43764"/>
    <cellStyle name="표준 8 7 3 2 8 2" xfId="43765"/>
    <cellStyle name="표준 8 7 3 2 9 2" xfId="43766"/>
    <cellStyle name="표준 8 7 3 3 2 2 2 2 2" xfId="43767"/>
    <cellStyle name="표준 8 7 3 3 2 2 3 3" xfId="43768"/>
    <cellStyle name="표준 8 7 3 3 2 2 3 2 2" xfId="43769"/>
    <cellStyle name="표준 8 7 3 3 2 2 4 2" xfId="43770"/>
    <cellStyle name="표준 8 7 3 3 2 2 5 2" xfId="43771"/>
    <cellStyle name="표준 8 7 3 3 2 3 2 2 2" xfId="43772"/>
    <cellStyle name="표준 8 7 3 3 2 3 3 3" xfId="43773"/>
    <cellStyle name="표준 8 7 3 3 2 3 3 2 2" xfId="43774"/>
    <cellStyle name="표준 8 7 3 3 2 3 4 2" xfId="43775"/>
    <cellStyle name="표준 8 7 3 3 2 3 5 2" xfId="43776"/>
    <cellStyle name="표준 8 7 3 3 2 4 2 2" xfId="43777"/>
    <cellStyle name="표준 8 7 3 3 2 5 3" xfId="43778"/>
    <cellStyle name="표준 8 7 3 3 2 5 2 2" xfId="43779"/>
    <cellStyle name="표준 8 7 3 3 2 6 2" xfId="43780"/>
    <cellStyle name="표준 8 7 3 3 2 7 2" xfId="43781"/>
    <cellStyle name="표준 8 7 3 3 3 2 2 2" xfId="43782"/>
    <cellStyle name="표준 8 7 3 3 3 3 3" xfId="43783"/>
    <cellStyle name="표준 8 7 3 3 3 3 2 2" xfId="43784"/>
    <cellStyle name="표준 8 7 3 3 3 4 2" xfId="43785"/>
    <cellStyle name="표준 8 7 3 3 3 5 2" xfId="43786"/>
    <cellStyle name="표준 8 7 3 3 4 2 2 2" xfId="43787"/>
    <cellStyle name="표준 8 7 3 3 4 3 3" xfId="43788"/>
    <cellStyle name="표준 8 7 3 3 4 3 2 2" xfId="43789"/>
    <cellStyle name="표준 8 7 3 3 4 4 2" xfId="43790"/>
    <cellStyle name="표준 8 7 3 3 4 5 2" xfId="43791"/>
    <cellStyle name="표준 8 7 3 3 5 2 2" xfId="43792"/>
    <cellStyle name="표준 8 7 3 3 6 3" xfId="43793"/>
    <cellStyle name="표준 8 7 3 3 6 2 2" xfId="43794"/>
    <cellStyle name="표준 8 7 3 3 7 2" xfId="43795"/>
    <cellStyle name="표준 8 7 3 3 8 2" xfId="43796"/>
    <cellStyle name="표준 8 7 3 4 2 2 2 2" xfId="43797"/>
    <cellStyle name="표준 8 7 3 4 2 3 3" xfId="43798"/>
    <cellStyle name="표준 8 7 3 4 2 3 2 2" xfId="43799"/>
    <cellStyle name="표준 8 7 3 4 2 4 2" xfId="43800"/>
    <cellStyle name="표준 8 7 3 4 2 5 2" xfId="43801"/>
    <cellStyle name="표준 8 7 3 4 3 2 2 2" xfId="43802"/>
    <cellStyle name="표준 8 7 3 4 3 3 3" xfId="43803"/>
    <cellStyle name="표준 8 7 3 4 3 3 2 2" xfId="43804"/>
    <cellStyle name="표준 8 7 3 4 3 4 2" xfId="43805"/>
    <cellStyle name="표준 8 7 3 4 3 5 2" xfId="43806"/>
    <cellStyle name="표준 8 7 3 4 4 2 2" xfId="43807"/>
    <cellStyle name="표준 8 7 3 4 5 3" xfId="43808"/>
    <cellStyle name="표준 8 7 3 4 5 2 2" xfId="43809"/>
    <cellStyle name="표준 8 7 3 4 6 2" xfId="43810"/>
    <cellStyle name="표준 8 7 3 4 7 2" xfId="43811"/>
    <cellStyle name="표준 8 7 3 5 2 2 2" xfId="43812"/>
    <cellStyle name="표준 8 7 3 5 3 3" xfId="43813"/>
    <cellStyle name="표준 8 7 3 5 3 2 2" xfId="43814"/>
    <cellStyle name="표준 8 7 3 5 4 2" xfId="43815"/>
    <cellStyle name="표준 8 7 3 5 5 2" xfId="43816"/>
    <cellStyle name="표준 8 7 3 6 2 2 2" xfId="43817"/>
    <cellStyle name="표준 8 7 3 6 3 3" xfId="43818"/>
    <cellStyle name="표준 8 7 3 6 3 2 2" xfId="43819"/>
    <cellStyle name="표준 8 7 3 6 4 2" xfId="43820"/>
    <cellStyle name="표준 8 7 3 6 5 2" xfId="43821"/>
    <cellStyle name="표준 8 7 3 7 2 2" xfId="43822"/>
    <cellStyle name="표준 8 7 3 8 3" xfId="43823"/>
    <cellStyle name="표준 8 7 3 8 2 2" xfId="43824"/>
    <cellStyle name="표준 8 7 3 9 2" xfId="43825"/>
    <cellStyle name="표준 8 7 4 10 2" xfId="43826"/>
    <cellStyle name="표준 8 7 4 2 2 2 2 2 2 2" xfId="43827"/>
    <cellStyle name="표준 8 7 4 2 2 2 2 3 3" xfId="43828"/>
    <cellStyle name="표준 8 7 4 2 2 2 2 3 2 2" xfId="43829"/>
    <cellStyle name="표준 8 7 4 2 2 2 2 4 2" xfId="43830"/>
    <cellStyle name="표준 8 7 4 2 2 2 2 5 2" xfId="43831"/>
    <cellStyle name="표준 8 7 4 2 2 2 3 2 2 2" xfId="43832"/>
    <cellStyle name="표준 8 7 4 2 2 2 3 3 3" xfId="43833"/>
    <cellStyle name="표준 8 7 4 2 2 2 3 3 2 2" xfId="43834"/>
    <cellStyle name="표준 8 7 4 2 2 2 3 4 2" xfId="43835"/>
    <cellStyle name="표준 8 7 4 2 2 2 3 5 2" xfId="43836"/>
    <cellStyle name="표준 8 7 4 2 2 2 4 2 2" xfId="43837"/>
    <cellStyle name="표준 8 7 4 2 2 2 5 3" xfId="43838"/>
    <cellStyle name="표준 8 7 4 2 2 2 5 2 2" xfId="43839"/>
    <cellStyle name="표준 8 7 4 2 2 2 6 2" xfId="43840"/>
    <cellStyle name="표준 8 7 4 2 2 2 7 2" xfId="43841"/>
    <cellStyle name="표준 8 7 4 2 2 3 2 2 2" xfId="43842"/>
    <cellStyle name="표준 8 7 4 2 2 3 3 3" xfId="43843"/>
    <cellStyle name="표준 8 7 4 2 2 3 3 2 2" xfId="43844"/>
    <cellStyle name="표준 8 7 4 2 2 3 4 2" xfId="43845"/>
    <cellStyle name="표준 8 7 4 2 2 3 5 2" xfId="43846"/>
    <cellStyle name="표준 8 7 4 2 2 4 2 2 2" xfId="43847"/>
    <cellStyle name="표준 8 7 4 2 2 4 3 3" xfId="43848"/>
    <cellStyle name="표준 8 7 4 2 2 4 3 2 2" xfId="43849"/>
    <cellStyle name="표준 8 7 4 2 2 4 4 2" xfId="43850"/>
    <cellStyle name="표준 8 7 4 2 2 4 5 2" xfId="43851"/>
    <cellStyle name="표준 8 7 4 2 2 5 2 2" xfId="43852"/>
    <cellStyle name="표준 8 7 4 2 2 6 3" xfId="43853"/>
    <cellStyle name="표준 8 7 4 2 2 6 2 2" xfId="43854"/>
    <cellStyle name="표준 8 7 4 2 2 7 2" xfId="43855"/>
    <cellStyle name="표준 8 7 4 2 2 8 2" xfId="43856"/>
    <cellStyle name="표준 8 7 4 2 3 2 2 2 2" xfId="43857"/>
    <cellStyle name="표준 8 7 4 2 3 2 3 3" xfId="43858"/>
    <cellStyle name="표준 8 7 4 2 3 2 3 2 2" xfId="43859"/>
    <cellStyle name="표준 8 7 4 2 3 2 4 2" xfId="43860"/>
    <cellStyle name="표준 8 7 4 2 3 2 5 2" xfId="43861"/>
    <cellStyle name="표준 8 7 4 2 3 3 2 2 2" xfId="43862"/>
    <cellStyle name="표준 8 7 4 2 3 3 3 3" xfId="43863"/>
    <cellStyle name="표준 8 7 4 2 3 3 3 2 2" xfId="43864"/>
    <cellStyle name="표준 8 7 4 2 3 3 4 2" xfId="43865"/>
    <cellStyle name="표준 8 7 4 2 3 3 5 2" xfId="43866"/>
    <cellStyle name="표준 8 7 4 2 3 4 2 2" xfId="43867"/>
    <cellStyle name="표준 8 7 4 2 3 5 3" xfId="43868"/>
    <cellStyle name="표준 8 7 4 2 3 5 2 2" xfId="43869"/>
    <cellStyle name="표준 8 7 4 2 3 6 2" xfId="43870"/>
    <cellStyle name="표준 8 7 4 2 3 7 2" xfId="43871"/>
    <cellStyle name="표준 8 7 4 2 4 2 2 2" xfId="43872"/>
    <cellStyle name="표준 8 7 4 2 4 3 3" xfId="43873"/>
    <cellStyle name="표준 8 7 4 2 4 3 2 2" xfId="43874"/>
    <cellStyle name="표준 8 7 4 2 4 4 2" xfId="43875"/>
    <cellStyle name="표준 8 7 4 2 4 5 2" xfId="43876"/>
    <cellStyle name="표준 8 7 4 2 5 2 2 2" xfId="43877"/>
    <cellStyle name="표준 8 7 4 2 5 3 3" xfId="43878"/>
    <cellStyle name="표준 8 7 4 2 5 3 2 2" xfId="43879"/>
    <cellStyle name="표준 8 7 4 2 5 4 2" xfId="43880"/>
    <cellStyle name="표준 8 7 4 2 5 5 2" xfId="43881"/>
    <cellStyle name="표준 8 7 4 2 6 2 2" xfId="43882"/>
    <cellStyle name="표준 8 7 4 2 7 3" xfId="43883"/>
    <cellStyle name="표준 8 7 4 2 7 2 2" xfId="43884"/>
    <cellStyle name="표준 8 7 4 2 8 2" xfId="43885"/>
    <cellStyle name="표준 8 7 4 2 9 2" xfId="43886"/>
    <cellStyle name="표준 8 7 4 3 2 2 2 2 2" xfId="43887"/>
    <cellStyle name="표준 8 7 4 3 2 2 3 3" xfId="43888"/>
    <cellStyle name="표준 8 7 4 3 2 2 3 2 2" xfId="43889"/>
    <cellStyle name="표준 8 7 4 3 2 2 4 2" xfId="43890"/>
    <cellStyle name="표준 8 7 4 3 2 2 5 2" xfId="43891"/>
    <cellStyle name="표준 8 7 4 3 2 3 2 2 2" xfId="43892"/>
    <cellStyle name="표준 8 7 4 3 2 3 3 3" xfId="43893"/>
    <cellStyle name="표준 8 7 4 3 2 3 3 2 2" xfId="43894"/>
    <cellStyle name="표준 8 7 4 3 2 3 4 2" xfId="43895"/>
    <cellStyle name="표준 8 7 4 3 2 3 5 2" xfId="43896"/>
    <cellStyle name="표준 8 7 4 3 2 4 2 2" xfId="43897"/>
    <cellStyle name="표준 8 7 4 3 2 5 3" xfId="43898"/>
    <cellStyle name="표준 8 7 4 3 2 5 2 2" xfId="43899"/>
    <cellStyle name="표준 8 7 4 3 2 6 2" xfId="43900"/>
    <cellStyle name="표준 8 7 4 3 2 7 2" xfId="43901"/>
    <cellStyle name="표준 8 7 4 3 3 2 2 2" xfId="43902"/>
    <cellStyle name="표준 8 7 4 3 3 3 3" xfId="43903"/>
    <cellStyle name="표준 8 7 4 3 3 3 2 2" xfId="43904"/>
    <cellStyle name="표준 8 7 4 3 3 4 2" xfId="43905"/>
    <cellStyle name="표준 8 7 4 3 3 5 2" xfId="43906"/>
    <cellStyle name="표준 8 7 4 3 4 2 2 2" xfId="43907"/>
    <cellStyle name="표준 8 7 4 3 4 3 3" xfId="43908"/>
    <cellStyle name="표준 8 7 4 3 4 3 2 2" xfId="43909"/>
    <cellStyle name="표준 8 7 4 3 4 4 2" xfId="43910"/>
    <cellStyle name="표준 8 7 4 3 4 5 2" xfId="43911"/>
    <cellStyle name="표준 8 7 4 3 5 2 2" xfId="43912"/>
    <cellStyle name="표준 8 7 4 3 6 3" xfId="43913"/>
    <cellStyle name="표준 8 7 4 3 6 2 2" xfId="43914"/>
    <cellStyle name="표준 8 7 4 3 7 2" xfId="43915"/>
    <cellStyle name="표준 8 7 4 3 8 2" xfId="43916"/>
    <cellStyle name="표준 8 7 4 4 2 2 2 2" xfId="43917"/>
    <cellStyle name="표준 8 7 4 4 2 3 3" xfId="43918"/>
    <cellStyle name="표준 8 7 4 4 2 3 2 2" xfId="43919"/>
    <cellStyle name="표준 8 7 4 4 2 4 2" xfId="43920"/>
    <cellStyle name="표준 8 7 4 4 2 5 2" xfId="43921"/>
    <cellStyle name="표준 8 7 4 4 3 2 2 2" xfId="43922"/>
    <cellStyle name="표준 8 7 4 4 3 3 3" xfId="43923"/>
    <cellStyle name="표준 8 7 4 4 3 3 2 2" xfId="43924"/>
    <cellStyle name="표준 8 7 4 4 3 4 2" xfId="43925"/>
    <cellStyle name="표준 8 7 4 4 3 5 2" xfId="43926"/>
    <cellStyle name="표준 8 7 4 4 4 2 2" xfId="43927"/>
    <cellStyle name="표준 8 7 4 4 5 3" xfId="43928"/>
    <cellStyle name="표준 8 7 4 4 5 2 2" xfId="43929"/>
    <cellStyle name="표준 8 7 4 4 6 2" xfId="43930"/>
    <cellStyle name="표준 8 7 4 4 7 2" xfId="43931"/>
    <cellStyle name="표준 8 7 4 5 2 2 2" xfId="43932"/>
    <cellStyle name="표준 8 7 4 5 3 3" xfId="43933"/>
    <cellStyle name="표준 8 7 4 5 3 2 2" xfId="43934"/>
    <cellStyle name="표준 8 7 4 5 4 2" xfId="43935"/>
    <cellStyle name="표준 8 7 4 5 5 2" xfId="43936"/>
    <cellStyle name="표준 8 7 4 6 2 2 2" xfId="43937"/>
    <cellStyle name="표준 8 7 4 6 3 3" xfId="43938"/>
    <cellStyle name="표준 8 7 4 6 3 2 2" xfId="43939"/>
    <cellStyle name="표준 8 7 4 6 4 2" xfId="43940"/>
    <cellStyle name="표준 8 7 4 6 5 2" xfId="43941"/>
    <cellStyle name="표준 8 7 4 7 2 2" xfId="43942"/>
    <cellStyle name="표준 8 7 4 8 3" xfId="43943"/>
    <cellStyle name="표준 8 7 4 8 2 2" xfId="43944"/>
    <cellStyle name="표준 8 7 4 9 2" xfId="43945"/>
    <cellStyle name="표준 8 7 5 2 2 2 2 2 2" xfId="43946"/>
    <cellStyle name="표준 8 7 5 2 2 2 3 3" xfId="43947"/>
    <cellStyle name="표준 8 7 5 2 2 2 3 2 2" xfId="43948"/>
    <cellStyle name="표준 8 7 5 2 2 2 4 2" xfId="43949"/>
    <cellStyle name="표준 8 7 5 2 2 2 5 2" xfId="43950"/>
    <cellStyle name="표준 8 7 5 2 2 3 2 2 2" xfId="43951"/>
    <cellStyle name="표준 8 7 5 2 2 3 3 3" xfId="43952"/>
    <cellStyle name="표준 8 7 5 2 2 3 3 2 2" xfId="43953"/>
    <cellStyle name="표준 8 7 5 2 2 3 4 2" xfId="43954"/>
    <cellStyle name="표준 8 7 5 2 2 3 5 2" xfId="43955"/>
    <cellStyle name="표준 8 7 5 2 2 4 2 2" xfId="43956"/>
    <cellStyle name="표준 8 7 5 2 2 5 3" xfId="43957"/>
    <cellStyle name="표준 8 7 5 2 2 5 2 2" xfId="43958"/>
    <cellStyle name="표준 8 7 5 2 2 6 2" xfId="43959"/>
    <cellStyle name="표준 8 7 5 2 2 7 2" xfId="43960"/>
    <cellStyle name="표준 8 7 5 2 3 2 2 2" xfId="43961"/>
    <cellStyle name="표준 8 7 5 2 3 3 3" xfId="43962"/>
    <cellStyle name="표준 8 7 5 2 3 3 2 2" xfId="43963"/>
    <cellStyle name="표준 8 7 5 2 3 4 2" xfId="43964"/>
    <cellStyle name="표준 8 7 5 2 3 5 2" xfId="43965"/>
    <cellStyle name="표준 8 7 5 2 4 2 2 2" xfId="43966"/>
    <cellStyle name="표준 8 7 5 2 4 3 3" xfId="43967"/>
    <cellStyle name="표준 8 7 5 2 4 3 2 2" xfId="43968"/>
    <cellStyle name="표준 8 7 5 2 4 4 2" xfId="43969"/>
    <cellStyle name="표준 8 7 5 2 4 5 2" xfId="43970"/>
    <cellStyle name="표준 8 7 5 2 5 2 2" xfId="43971"/>
    <cellStyle name="표준 8 7 5 2 6 3" xfId="43972"/>
    <cellStyle name="표준 8 7 5 2 6 2 2" xfId="43973"/>
    <cellStyle name="표준 8 7 5 2 7 2" xfId="43974"/>
    <cellStyle name="표준 8 7 5 2 8 2" xfId="43975"/>
    <cellStyle name="표준 8 7 5 3 2 2 2 2" xfId="43976"/>
    <cellStyle name="표준 8 7 5 3 2 3 3" xfId="43977"/>
    <cellStyle name="표준 8 7 5 3 2 3 2 2" xfId="43978"/>
    <cellStyle name="표준 8 7 5 3 2 4 2" xfId="43979"/>
    <cellStyle name="표준 8 7 5 3 2 5 2" xfId="43980"/>
    <cellStyle name="표준 8 7 5 3 3 2 2 2" xfId="43981"/>
    <cellStyle name="표준 8 7 5 3 3 3 3" xfId="43982"/>
    <cellStyle name="표준 8 7 5 3 3 3 2 2" xfId="43983"/>
    <cellStyle name="표준 8 7 5 3 3 4 2" xfId="43984"/>
    <cellStyle name="표준 8 7 5 3 3 5 2" xfId="43985"/>
    <cellStyle name="표준 8 7 5 3 4 2 2" xfId="43986"/>
    <cellStyle name="표준 8 7 5 3 5 3" xfId="43987"/>
    <cellStyle name="표준 8 7 5 3 5 2 2" xfId="43988"/>
    <cellStyle name="표준 8 7 5 3 6 2" xfId="43989"/>
    <cellStyle name="표준 8 7 5 3 7 2" xfId="43990"/>
    <cellStyle name="표준 8 7 5 4 2 2 2" xfId="43991"/>
    <cellStyle name="표준 8 7 5 4 3 3" xfId="43992"/>
    <cellStyle name="표준 8 7 5 4 3 2 2" xfId="43993"/>
    <cellStyle name="표준 8 7 5 4 4 2" xfId="43994"/>
    <cellStyle name="표준 8 7 5 4 5 2" xfId="43995"/>
    <cellStyle name="표준 8 7 5 5 2 2 2" xfId="43996"/>
    <cellStyle name="표준 8 7 5 5 3 3" xfId="43997"/>
    <cellStyle name="표준 8 7 5 5 3 2 2" xfId="43998"/>
    <cellStyle name="표준 8 7 5 5 4 2" xfId="43999"/>
    <cellStyle name="표준 8 7 5 5 5 2" xfId="44000"/>
    <cellStyle name="표준 8 7 5 6 2 2" xfId="44001"/>
    <cellStyle name="표준 8 7 5 7 3" xfId="44002"/>
    <cellStyle name="표준 8 7 5 7 2 2" xfId="44003"/>
    <cellStyle name="표준 8 7 5 8 2" xfId="44004"/>
    <cellStyle name="표준 8 7 5 9 2" xfId="44005"/>
    <cellStyle name="표준 8 7 6 2 2 2 2 2" xfId="44006"/>
    <cellStyle name="표준 8 7 6 2 2 3 3" xfId="44007"/>
    <cellStyle name="표준 8 7 6 2 2 3 2 2" xfId="44008"/>
    <cellStyle name="표준 8 7 6 2 2 4 2" xfId="44009"/>
    <cellStyle name="표준 8 7 6 2 2 5 2" xfId="44010"/>
    <cellStyle name="표준 8 7 6 2 3 2 2 2" xfId="44011"/>
    <cellStyle name="표준 8 7 6 2 3 3 3" xfId="44012"/>
    <cellStyle name="표준 8 7 6 2 3 3 2 2" xfId="44013"/>
    <cellStyle name="표준 8 7 6 2 3 4 2" xfId="44014"/>
    <cellStyle name="표준 8 7 6 2 3 5 2" xfId="44015"/>
    <cellStyle name="표준 8 7 6 2 4 2 2" xfId="44016"/>
    <cellStyle name="표준 8 7 6 2 5 3" xfId="44017"/>
    <cellStyle name="표준 8 7 6 2 5 2 2" xfId="44018"/>
    <cellStyle name="표준 8 7 6 2 6 2" xfId="44019"/>
    <cellStyle name="표준 8 7 6 2 7 2" xfId="44020"/>
    <cellStyle name="표준 8 7 6 3 2 2 2" xfId="44021"/>
    <cellStyle name="표준 8 7 6 3 3 3" xfId="44022"/>
    <cellStyle name="표준 8 7 6 3 3 2 2" xfId="44023"/>
    <cellStyle name="표준 8 7 6 3 4 2" xfId="44024"/>
    <cellStyle name="표준 8 7 6 3 5 2" xfId="44025"/>
    <cellStyle name="표준 8 7 6 4 2 2 2" xfId="44026"/>
    <cellStyle name="표준 8 7 6 4 3 3" xfId="44027"/>
    <cellStyle name="표준 8 7 6 4 3 2 2" xfId="44028"/>
    <cellStyle name="표준 8 7 6 4 4 2" xfId="44029"/>
    <cellStyle name="표준 8 7 6 4 5 2" xfId="44030"/>
    <cellStyle name="표준 8 7 6 5 2 2" xfId="44031"/>
    <cellStyle name="표준 8 7 6 6 3" xfId="44032"/>
    <cellStyle name="표준 8 7 6 6 2 2" xfId="44033"/>
    <cellStyle name="표준 8 7 6 7 2" xfId="44034"/>
    <cellStyle name="표준 8 7 6 8 2" xfId="44035"/>
    <cellStyle name="표준 8 7 7 2 2 2 2" xfId="44036"/>
    <cellStyle name="표준 8 7 7 2 3 3" xfId="44037"/>
    <cellStyle name="표준 8 7 7 2 3 2 2" xfId="44038"/>
    <cellStyle name="표준 8 7 7 2 4 2" xfId="44039"/>
    <cellStyle name="표준 8 7 7 2 5 2" xfId="44040"/>
    <cellStyle name="표준 8 7 7 3 2 2 2" xfId="44041"/>
    <cellStyle name="표준 8 7 7 3 3 3" xfId="44042"/>
    <cellStyle name="표준 8 7 7 3 3 2 2" xfId="44043"/>
    <cellStyle name="표준 8 7 7 3 4 2" xfId="44044"/>
    <cellStyle name="표준 8 7 7 3 5 2" xfId="44045"/>
    <cellStyle name="표준 8 7 7 4 2 2" xfId="44046"/>
    <cellStyle name="표준 8 7 7 5 3" xfId="44047"/>
    <cellStyle name="표준 8 7 7 5 2 2" xfId="44048"/>
    <cellStyle name="표준 8 7 7 6 2" xfId="44049"/>
    <cellStyle name="표준 8 7 7 7 2" xfId="44050"/>
    <cellStyle name="표준 8 7 8 2 2 2" xfId="44051"/>
    <cellStyle name="표준 8 7 8 3 3" xfId="44052"/>
    <cellStyle name="표준 8 7 8 3 2 2" xfId="44053"/>
    <cellStyle name="표준 8 7 8 4 2" xfId="44054"/>
    <cellStyle name="표준 8 7 8 5 2" xfId="44055"/>
    <cellStyle name="표준 8 7 9 2 2 2" xfId="44056"/>
    <cellStyle name="표준 8 7 9 3 3" xfId="44057"/>
    <cellStyle name="표준 8 7 9 3 2 2" xfId="44058"/>
    <cellStyle name="표준 8 7 9 4 2" xfId="44059"/>
    <cellStyle name="표준 8 7 9 5 2" xfId="44060"/>
    <cellStyle name="표준 8 8 10 2 2" xfId="44061"/>
    <cellStyle name="표준 8 8 11 3" xfId="44062"/>
    <cellStyle name="표준 8 8 11 2 2" xfId="44063"/>
    <cellStyle name="표준 8 8 12 2" xfId="44064"/>
    <cellStyle name="표준 8 8 13 2" xfId="44065"/>
    <cellStyle name="표준 8 8 2 10 2" xfId="44066"/>
    <cellStyle name="표준 8 8 2 2 2 2 2 2 2 2" xfId="44067"/>
    <cellStyle name="표준 8 8 2 2 2 2 2 3 3" xfId="44068"/>
    <cellStyle name="표준 8 8 2 2 2 2 2 3 2 2" xfId="44069"/>
    <cellStyle name="표준 8 8 2 2 2 2 2 4 2" xfId="44070"/>
    <cellStyle name="표준 8 8 2 2 2 2 2 5 2" xfId="44071"/>
    <cellStyle name="표준 8 8 2 2 2 2 3 2 2 2" xfId="44072"/>
    <cellStyle name="표준 8 8 2 2 2 2 3 3 3" xfId="44073"/>
    <cellStyle name="표준 8 8 2 2 2 2 3 3 2 2" xfId="44074"/>
    <cellStyle name="표준 8 8 2 2 2 2 3 4 2" xfId="44075"/>
    <cellStyle name="표준 8 8 2 2 2 2 3 5 2" xfId="44076"/>
    <cellStyle name="표준 8 8 2 2 2 2 4 2 2" xfId="44077"/>
    <cellStyle name="표준 8 8 2 2 2 2 5 3" xfId="44078"/>
    <cellStyle name="표준 8 8 2 2 2 2 5 2 2" xfId="44079"/>
    <cellStyle name="표준 8 8 2 2 2 2 6 2" xfId="44080"/>
    <cellStyle name="표준 8 8 2 2 2 2 7 2" xfId="44081"/>
    <cellStyle name="표준 8 8 2 2 2 3 2 2 2" xfId="44082"/>
    <cellStyle name="표준 8 8 2 2 2 3 3 3" xfId="44083"/>
    <cellStyle name="표준 8 8 2 2 2 3 3 2 2" xfId="44084"/>
    <cellStyle name="표준 8 8 2 2 2 3 4 2" xfId="44085"/>
    <cellStyle name="표준 8 8 2 2 2 3 5 2" xfId="44086"/>
    <cellStyle name="표준 8 8 2 2 2 4 2 2 2" xfId="44087"/>
    <cellStyle name="표준 8 8 2 2 2 4 3 3" xfId="44088"/>
    <cellStyle name="표준 8 8 2 2 2 4 3 2 2" xfId="44089"/>
    <cellStyle name="표준 8 8 2 2 2 4 4 2" xfId="44090"/>
    <cellStyle name="표준 8 8 2 2 2 4 5 2" xfId="44091"/>
    <cellStyle name="표준 8 8 2 2 2 5 2 2" xfId="44092"/>
    <cellStyle name="표준 8 8 2 2 2 6 3" xfId="44093"/>
    <cellStyle name="표준 8 8 2 2 2 6 2 2" xfId="44094"/>
    <cellStyle name="표준 8 8 2 2 2 7 2" xfId="44095"/>
    <cellStyle name="표준 8 8 2 2 2 8 2" xfId="44096"/>
    <cellStyle name="표준 8 8 2 2 3 2 2 2 2" xfId="44097"/>
    <cellStyle name="표준 8 8 2 2 3 2 3 3" xfId="44098"/>
    <cellStyle name="표준 8 8 2 2 3 2 3 2 2" xfId="44099"/>
    <cellStyle name="표준 8 8 2 2 3 2 4 2" xfId="44100"/>
    <cellStyle name="표준 8 8 2 2 3 2 5 2" xfId="44101"/>
    <cellStyle name="표준 8 8 2 2 3 3 2 2 2" xfId="44102"/>
    <cellStyle name="표준 8 8 2 2 3 3 3 3" xfId="44103"/>
    <cellStyle name="표준 8 8 2 2 3 3 3 2 2" xfId="44104"/>
    <cellStyle name="표준 8 8 2 2 3 3 4 2" xfId="44105"/>
    <cellStyle name="표준 8 8 2 2 3 3 5 2" xfId="44106"/>
    <cellStyle name="표준 8 8 2 2 3 4 2 2" xfId="44107"/>
    <cellStyle name="표준 8 8 2 2 3 5 3" xfId="44108"/>
    <cellStyle name="표준 8 8 2 2 3 5 2 2" xfId="44109"/>
    <cellStyle name="표준 8 8 2 2 3 6 2" xfId="44110"/>
    <cellStyle name="표준 8 8 2 2 3 7 2" xfId="44111"/>
    <cellStyle name="표준 8 8 2 2 4 2 2 2" xfId="44112"/>
    <cellStyle name="표준 8 8 2 2 4 3 3" xfId="44113"/>
    <cellStyle name="표준 8 8 2 2 4 3 2 2" xfId="44114"/>
    <cellStyle name="표준 8 8 2 2 4 4 2" xfId="44115"/>
    <cellStyle name="표준 8 8 2 2 4 5 2" xfId="44116"/>
    <cellStyle name="표준 8 8 2 2 5 2 2 2" xfId="44117"/>
    <cellStyle name="표준 8 8 2 2 5 3 3" xfId="44118"/>
    <cellStyle name="표준 8 8 2 2 5 3 2 2" xfId="44119"/>
    <cellStyle name="표준 8 8 2 2 5 4 2" xfId="44120"/>
    <cellStyle name="표준 8 8 2 2 5 5 2" xfId="44121"/>
    <cellStyle name="표준 8 8 2 2 6 2 2" xfId="44122"/>
    <cellStyle name="표준 8 8 2 2 7 3" xfId="44123"/>
    <cellStyle name="표준 8 8 2 2 7 2 2" xfId="44124"/>
    <cellStyle name="표준 8 8 2 2 8 2" xfId="44125"/>
    <cellStyle name="표준 8 8 2 2 9 2" xfId="44126"/>
    <cellStyle name="표준 8 8 2 3 2 2 2 2 2" xfId="44127"/>
    <cellStyle name="표준 8 8 2 3 2 2 3 3" xfId="44128"/>
    <cellStyle name="표준 8 8 2 3 2 2 3 2 2" xfId="44129"/>
    <cellStyle name="표준 8 8 2 3 2 2 4 2" xfId="44130"/>
    <cellStyle name="표준 8 8 2 3 2 2 5 2" xfId="44131"/>
    <cellStyle name="표준 8 8 2 3 2 3 2 2 2" xfId="44132"/>
    <cellStyle name="표준 8 8 2 3 2 3 3 3" xfId="44133"/>
    <cellStyle name="표준 8 8 2 3 2 3 3 2 2" xfId="44134"/>
    <cellStyle name="표준 8 8 2 3 2 3 4 2" xfId="44135"/>
    <cellStyle name="표준 8 8 2 3 2 3 5 2" xfId="44136"/>
    <cellStyle name="표준 8 8 2 3 2 4 2 2" xfId="44137"/>
    <cellStyle name="표준 8 8 2 3 2 5 3" xfId="44138"/>
    <cellStyle name="표준 8 8 2 3 2 5 2 2" xfId="44139"/>
    <cellStyle name="표준 8 8 2 3 2 6 2" xfId="44140"/>
    <cellStyle name="표준 8 8 2 3 2 7 2" xfId="44141"/>
    <cellStyle name="표준 8 8 2 3 3 2 2 2" xfId="44142"/>
    <cellStyle name="표준 8 8 2 3 3 3 3" xfId="44143"/>
    <cellStyle name="표준 8 8 2 3 3 3 2 2" xfId="44144"/>
    <cellStyle name="표준 8 8 2 3 3 4 2" xfId="44145"/>
    <cellStyle name="표준 8 8 2 3 3 5 2" xfId="44146"/>
    <cellStyle name="표준 8 8 2 3 4 2 2 2" xfId="44147"/>
    <cellStyle name="표준 8 8 2 3 4 3 3" xfId="44148"/>
    <cellStyle name="표준 8 8 2 3 4 3 2 2" xfId="44149"/>
    <cellStyle name="표준 8 8 2 3 4 4 2" xfId="44150"/>
    <cellStyle name="표준 8 8 2 3 4 5 2" xfId="44151"/>
    <cellStyle name="표준 8 8 2 3 5 2 2" xfId="44152"/>
    <cellStyle name="표준 8 8 2 3 6 3" xfId="44153"/>
    <cellStyle name="표준 8 8 2 3 6 2 2" xfId="44154"/>
    <cellStyle name="표준 8 8 2 3 7 2" xfId="44155"/>
    <cellStyle name="표준 8 8 2 3 8 2" xfId="44156"/>
    <cellStyle name="표준 8 8 2 4 2 2 2 2" xfId="44157"/>
    <cellStyle name="표준 8 8 2 4 2 3 3" xfId="44158"/>
    <cellStyle name="표준 8 8 2 4 2 3 2 2" xfId="44159"/>
    <cellStyle name="표준 8 8 2 4 2 4 2" xfId="44160"/>
    <cellStyle name="표준 8 8 2 4 2 5 2" xfId="44161"/>
    <cellStyle name="표준 8 8 2 4 3 2 2 2" xfId="44162"/>
    <cellStyle name="표준 8 8 2 4 3 3 3" xfId="44163"/>
    <cellStyle name="표준 8 8 2 4 3 3 2 2" xfId="44164"/>
    <cellStyle name="표준 8 8 2 4 3 4 2" xfId="44165"/>
    <cellStyle name="표준 8 8 2 4 3 5 2" xfId="44166"/>
    <cellStyle name="표준 8 8 2 4 4 2 2" xfId="44167"/>
    <cellStyle name="표준 8 8 2 4 5 3" xfId="44168"/>
    <cellStyle name="표준 8 8 2 4 5 2 2" xfId="44169"/>
    <cellStyle name="표준 8 8 2 4 6 2" xfId="44170"/>
    <cellStyle name="표준 8 8 2 4 7 2" xfId="44171"/>
    <cellStyle name="표준 8 8 2 5 2 2 2" xfId="44172"/>
    <cellStyle name="표준 8 8 2 5 3 3" xfId="44173"/>
    <cellStyle name="표준 8 8 2 5 3 2 2" xfId="44174"/>
    <cellStyle name="표준 8 8 2 5 4 2" xfId="44175"/>
    <cellStyle name="표준 8 8 2 5 5 2" xfId="44176"/>
    <cellStyle name="표준 8 8 2 6 2 2 2" xfId="44177"/>
    <cellStyle name="표준 8 8 2 6 3 3" xfId="44178"/>
    <cellStyle name="표준 8 8 2 6 3 2 2" xfId="44179"/>
    <cellStyle name="표준 8 8 2 6 4 2" xfId="44180"/>
    <cellStyle name="표준 8 8 2 6 5 2" xfId="44181"/>
    <cellStyle name="표준 8 8 2 7 2 2" xfId="44182"/>
    <cellStyle name="표준 8 8 2 8 3" xfId="44183"/>
    <cellStyle name="표준 8 8 2 8 2 2" xfId="44184"/>
    <cellStyle name="표준 8 8 2 9 2" xfId="44185"/>
    <cellStyle name="표준 8 8 3 10 2" xfId="44186"/>
    <cellStyle name="표준 8 8 3 2 2 2 2 2 2 2" xfId="44187"/>
    <cellStyle name="표준 8 8 3 2 2 2 2 3 3" xfId="44188"/>
    <cellStyle name="표준 8 8 3 2 2 2 2 3 2 2" xfId="44189"/>
    <cellStyle name="표준 8 8 3 2 2 2 2 4 2" xfId="44190"/>
    <cellStyle name="표준 8 8 3 2 2 2 2 5 2" xfId="44191"/>
    <cellStyle name="표준 8 8 3 2 2 2 3 2 2 2" xfId="44192"/>
    <cellStyle name="표준 8 8 3 2 2 2 3 3 3" xfId="44193"/>
    <cellStyle name="표준 8 8 3 2 2 2 3 3 2 2" xfId="44194"/>
    <cellStyle name="표준 8 8 3 2 2 2 3 4 2" xfId="44195"/>
    <cellStyle name="표준 8 8 3 2 2 2 3 5 2" xfId="44196"/>
    <cellStyle name="표준 8 8 3 2 2 2 4 2 2" xfId="44197"/>
    <cellStyle name="표준 8 8 3 2 2 2 5 3" xfId="44198"/>
    <cellStyle name="표준 8 8 3 2 2 2 5 2 2" xfId="44199"/>
    <cellStyle name="표준 8 8 3 2 2 2 6 2" xfId="44200"/>
    <cellStyle name="표준 8 8 3 2 2 2 7 2" xfId="44201"/>
    <cellStyle name="표준 8 8 3 2 2 3 2 2 2" xfId="44202"/>
    <cellStyle name="표준 8 8 3 2 2 3 3 3" xfId="44203"/>
    <cellStyle name="표준 8 8 3 2 2 3 3 2 2" xfId="44204"/>
    <cellStyle name="표준 8 8 3 2 2 3 4 2" xfId="44205"/>
    <cellStyle name="표준 8 8 3 2 2 3 5 2" xfId="44206"/>
    <cellStyle name="표준 8 8 3 2 2 4 2 2 2" xfId="44207"/>
    <cellStyle name="표준 8 8 3 2 2 4 3 3" xfId="44208"/>
    <cellStyle name="표준 8 8 3 2 2 4 3 2 2" xfId="44209"/>
    <cellStyle name="표준 8 8 3 2 2 4 4 2" xfId="44210"/>
    <cellStyle name="표준 8 8 3 2 2 4 5 2" xfId="44211"/>
    <cellStyle name="표준 8 8 3 2 2 5 2 2" xfId="44212"/>
    <cellStyle name="표준 8 8 3 2 2 6 3" xfId="44213"/>
    <cellStyle name="표준 8 8 3 2 2 6 2 2" xfId="44214"/>
    <cellStyle name="표준 8 8 3 2 2 7 2" xfId="44215"/>
    <cellStyle name="표준 8 8 3 2 2 8 2" xfId="44216"/>
    <cellStyle name="표준 8 8 3 2 3 2 2 2 2" xfId="44217"/>
    <cellStyle name="표준 8 8 3 2 3 2 3 3" xfId="44218"/>
    <cellStyle name="표준 8 8 3 2 3 2 3 2 2" xfId="44219"/>
    <cellStyle name="표준 8 8 3 2 3 2 4 2" xfId="44220"/>
    <cellStyle name="표준 8 8 3 2 3 2 5 2" xfId="44221"/>
    <cellStyle name="표준 8 8 3 2 3 3 2 2 2" xfId="44222"/>
    <cellStyle name="표준 8 8 3 2 3 3 3 3" xfId="44223"/>
    <cellStyle name="표준 8 8 3 2 3 3 3 2 2" xfId="44224"/>
    <cellStyle name="표준 8 8 3 2 3 3 4 2" xfId="44225"/>
    <cellStyle name="표준 8 8 3 2 3 3 5 2" xfId="44226"/>
    <cellStyle name="표준 8 8 3 2 3 4 2 2" xfId="44227"/>
    <cellStyle name="표준 8 8 3 2 3 5 3" xfId="44228"/>
    <cellStyle name="표준 8 8 3 2 3 5 2 2" xfId="44229"/>
    <cellStyle name="표준 8 8 3 2 3 6 2" xfId="44230"/>
    <cellStyle name="표준 8 8 3 2 3 7 2" xfId="44231"/>
    <cellStyle name="표준 8 8 3 2 4 2 2 2" xfId="44232"/>
    <cellStyle name="표준 8 8 3 2 4 3 3" xfId="44233"/>
    <cellStyle name="표준 8 8 3 2 4 3 2 2" xfId="44234"/>
    <cellStyle name="표준 8 8 3 2 4 4 2" xfId="44235"/>
    <cellStyle name="표준 8 8 3 2 4 5 2" xfId="44236"/>
    <cellStyle name="표준 8 8 3 2 5 2 2 2" xfId="44237"/>
    <cellStyle name="표준 8 8 3 2 5 3 3" xfId="44238"/>
    <cellStyle name="표준 8 8 3 2 5 3 2 2" xfId="44239"/>
    <cellStyle name="표준 8 8 3 2 5 4 2" xfId="44240"/>
    <cellStyle name="표준 8 8 3 2 5 5 2" xfId="44241"/>
    <cellStyle name="표준 8 8 3 2 6 2 2" xfId="44242"/>
    <cellStyle name="표준 8 8 3 2 7 3" xfId="44243"/>
    <cellStyle name="표준 8 8 3 2 7 2 2" xfId="44244"/>
    <cellStyle name="표준 8 8 3 2 8 2" xfId="44245"/>
    <cellStyle name="표준 8 8 3 2 9 2" xfId="44246"/>
    <cellStyle name="표준 8 8 3 3 2 2 2 2 2" xfId="44247"/>
    <cellStyle name="표준 8 8 3 3 2 2 3 3" xfId="44248"/>
    <cellStyle name="표준 8 8 3 3 2 2 3 2 2" xfId="44249"/>
    <cellStyle name="표준 8 8 3 3 2 2 4 2" xfId="44250"/>
    <cellStyle name="표준 8 8 3 3 2 2 5 2" xfId="44251"/>
    <cellStyle name="표준 8 8 3 3 2 3 2 2 2" xfId="44252"/>
    <cellStyle name="표준 8 8 3 3 2 3 3 3" xfId="44253"/>
    <cellStyle name="표준 8 8 3 3 2 3 3 2 2" xfId="44254"/>
    <cellStyle name="표준 8 8 3 3 2 3 4 2" xfId="44255"/>
    <cellStyle name="표준 8 8 3 3 2 3 5 2" xfId="44256"/>
    <cellStyle name="표준 8 8 3 3 2 4 2 2" xfId="44257"/>
    <cellStyle name="표준 8 8 3 3 2 5 3" xfId="44258"/>
    <cellStyle name="표준 8 8 3 3 2 5 2 2" xfId="44259"/>
    <cellStyle name="표준 8 8 3 3 2 6 2" xfId="44260"/>
    <cellStyle name="표준 8 8 3 3 2 7 2" xfId="44261"/>
    <cellStyle name="표준 8 8 3 3 3 2 2 2" xfId="44262"/>
    <cellStyle name="표준 8 8 3 3 3 3 3" xfId="44263"/>
    <cellStyle name="표준 8 8 3 3 3 3 2 2" xfId="44264"/>
    <cellStyle name="표준 8 8 3 3 3 4 2" xfId="44265"/>
    <cellStyle name="표준 8 8 3 3 3 5 2" xfId="44266"/>
    <cellStyle name="표준 8 8 3 3 4 2 2 2" xfId="44267"/>
    <cellStyle name="표준 8 8 3 3 4 3 3" xfId="44268"/>
    <cellStyle name="표준 8 8 3 3 4 3 2 2" xfId="44269"/>
    <cellStyle name="표준 8 8 3 3 4 4 2" xfId="44270"/>
    <cellStyle name="표준 8 8 3 3 4 5 2" xfId="44271"/>
    <cellStyle name="표준 8 8 3 3 5 2 2" xfId="44272"/>
    <cellStyle name="표준 8 8 3 3 6 3" xfId="44273"/>
    <cellStyle name="표준 8 8 3 3 6 2 2" xfId="44274"/>
    <cellStyle name="표준 8 8 3 3 7 2" xfId="44275"/>
    <cellStyle name="표준 8 8 3 3 8 2" xfId="44276"/>
    <cellStyle name="표준 8 8 3 4 2 2 2 2" xfId="44277"/>
    <cellStyle name="표준 8 8 3 4 2 3 3" xfId="44278"/>
    <cellStyle name="표준 8 8 3 4 2 3 2 2" xfId="44279"/>
    <cellStyle name="표준 8 8 3 4 2 4 2" xfId="44280"/>
    <cellStyle name="표준 8 8 3 4 2 5 2" xfId="44281"/>
    <cellStyle name="표준 8 8 3 4 3 2 2 2" xfId="44282"/>
    <cellStyle name="표준 8 8 3 4 3 3 3" xfId="44283"/>
    <cellStyle name="표준 8 8 3 4 3 3 2 2" xfId="44284"/>
    <cellStyle name="표준 8 8 3 4 3 4 2" xfId="44285"/>
    <cellStyle name="표준 8 8 3 4 3 5 2" xfId="44286"/>
    <cellStyle name="표준 8 8 3 4 4 2 2" xfId="44287"/>
    <cellStyle name="표준 8 8 3 4 5 3" xfId="44288"/>
    <cellStyle name="표준 8 8 3 4 5 2 2" xfId="44289"/>
    <cellStyle name="표준 8 8 3 4 6 2" xfId="44290"/>
    <cellStyle name="표준 8 8 3 4 7 2" xfId="44291"/>
    <cellStyle name="표준 8 8 3 5 2 2 2" xfId="44292"/>
    <cellStyle name="표준 8 8 3 5 3 3" xfId="44293"/>
    <cellStyle name="표준 8 8 3 5 3 2 2" xfId="44294"/>
    <cellStyle name="표준 8 8 3 5 4 2" xfId="44295"/>
    <cellStyle name="표준 8 8 3 5 5 2" xfId="44296"/>
    <cellStyle name="표준 8 8 3 6 2 2 2" xfId="44297"/>
    <cellStyle name="표준 8 8 3 6 3 3" xfId="44298"/>
    <cellStyle name="표준 8 8 3 6 3 2 2" xfId="44299"/>
    <cellStyle name="표준 8 8 3 6 4 2" xfId="44300"/>
    <cellStyle name="표준 8 8 3 6 5 2" xfId="44301"/>
    <cellStyle name="표준 8 8 3 7 2 2" xfId="44302"/>
    <cellStyle name="표준 8 8 3 8 3" xfId="44303"/>
    <cellStyle name="표준 8 8 3 8 2 2" xfId="44304"/>
    <cellStyle name="표준 8 8 3 9 2" xfId="44305"/>
    <cellStyle name="표준 8 8 4 10 2" xfId="44306"/>
    <cellStyle name="표준 8 8 4 2 2 2 2 2 2 2" xfId="44307"/>
    <cellStyle name="표준 8 8 4 2 2 2 2 3 3" xfId="44308"/>
    <cellStyle name="표준 8 8 4 2 2 2 2 3 2 2" xfId="44309"/>
    <cellStyle name="표준 8 8 4 2 2 2 2 4 2" xfId="44310"/>
    <cellStyle name="표준 8 8 4 2 2 2 2 5 2" xfId="44311"/>
    <cellStyle name="표준 8 8 4 2 2 2 3 2 2 2" xfId="44312"/>
    <cellStyle name="표준 8 8 4 2 2 2 3 3 3" xfId="44313"/>
    <cellStyle name="표준 8 8 4 2 2 2 3 3 2 2" xfId="44314"/>
    <cellStyle name="표준 8 8 4 2 2 2 3 4 2" xfId="44315"/>
    <cellStyle name="표준 8 8 4 2 2 2 3 5 2" xfId="44316"/>
    <cellStyle name="표준 8 8 4 2 2 2 4 2 2" xfId="44317"/>
    <cellStyle name="표준 8 8 4 2 2 2 5 3" xfId="44318"/>
    <cellStyle name="표준 8 8 4 2 2 2 5 2 2" xfId="44319"/>
    <cellStyle name="표준 8 8 4 2 2 2 6 2" xfId="44320"/>
    <cellStyle name="표준 8 8 4 2 2 2 7 2" xfId="44321"/>
    <cellStyle name="표준 8 8 4 2 2 3 2 2 2" xfId="44322"/>
    <cellStyle name="표준 8 8 4 2 2 3 3 3" xfId="44323"/>
    <cellStyle name="표준 8 8 4 2 2 3 3 2 2" xfId="44324"/>
    <cellStyle name="표준 8 8 4 2 2 3 4 2" xfId="44325"/>
    <cellStyle name="표준 8 8 4 2 2 3 5 2" xfId="44326"/>
    <cellStyle name="표준 8 8 4 2 2 4 2 2 2" xfId="44327"/>
    <cellStyle name="표준 8 8 4 2 2 4 3 3" xfId="44328"/>
    <cellStyle name="표준 8 8 4 2 2 4 3 2 2" xfId="44329"/>
    <cellStyle name="표준 8 8 4 2 2 4 4 2" xfId="44330"/>
    <cellStyle name="표준 8 8 4 2 2 4 5 2" xfId="44331"/>
    <cellStyle name="표준 8 8 4 2 2 5 2 2" xfId="44332"/>
    <cellStyle name="표준 8 8 4 2 2 6 3" xfId="44333"/>
    <cellStyle name="표준 8 8 4 2 2 6 2 2" xfId="44334"/>
    <cellStyle name="표준 8 8 4 2 2 7 2" xfId="44335"/>
    <cellStyle name="표준 8 8 4 2 2 8 2" xfId="44336"/>
    <cellStyle name="표준 8 8 4 2 3 2 2 2 2" xfId="44337"/>
    <cellStyle name="표준 8 8 4 2 3 2 3 3" xfId="44338"/>
    <cellStyle name="표준 8 8 4 2 3 2 3 2 2" xfId="44339"/>
    <cellStyle name="표준 8 8 4 2 3 2 4 2" xfId="44340"/>
    <cellStyle name="표준 8 8 4 2 3 2 5 2" xfId="44341"/>
    <cellStyle name="표준 8 8 4 2 3 3 2 2 2" xfId="44342"/>
    <cellStyle name="표준 8 8 4 2 3 3 3 3" xfId="44343"/>
    <cellStyle name="표준 8 8 4 2 3 3 3 2 2" xfId="44344"/>
    <cellStyle name="표준 8 8 4 2 3 3 4 2" xfId="44345"/>
    <cellStyle name="표준 8 8 4 2 3 3 5 2" xfId="44346"/>
    <cellStyle name="표준 8 8 4 2 3 4 2 2" xfId="44347"/>
    <cellStyle name="표준 8 8 4 2 3 5 3" xfId="44348"/>
    <cellStyle name="표준 8 8 4 2 3 5 2 2" xfId="44349"/>
    <cellStyle name="표준 8 8 4 2 3 6 2" xfId="44350"/>
    <cellStyle name="표준 8 8 4 2 3 7 2" xfId="44351"/>
    <cellStyle name="표준 8 8 4 2 4 2 2 2" xfId="44352"/>
    <cellStyle name="표준 8 8 4 2 4 3 3" xfId="44353"/>
    <cellStyle name="표준 8 8 4 2 4 3 2 2" xfId="44354"/>
    <cellStyle name="표준 8 8 4 2 4 4 2" xfId="44355"/>
    <cellStyle name="표준 8 8 4 2 4 5 2" xfId="44356"/>
    <cellStyle name="표준 8 8 4 2 5 2 2 2" xfId="44357"/>
    <cellStyle name="표준 8 8 4 2 5 3 3" xfId="44358"/>
    <cellStyle name="표준 8 8 4 2 5 3 2 2" xfId="44359"/>
    <cellStyle name="표준 8 8 4 2 5 4 2" xfId="44360"/>
    <cellStyle name="표준 8 8 4 2 5 5 2" xfId="44361"/>
    <cellStyle name="표준 8 8 4 2 6 2 2" xfId="44362"/>
    <cellStyle name="표준 8 8 4 2 7 3" xfId="44363"/>
    <cellStyle name="표준 8 8 4 2 7 2 2" xfId="44364"/>
    <cellStyle name="표준 8 8 4 2 8 2" xfId="44365"/>
    <cellStyle name="표준 8 8 4 2 9 2" xfId="44366"/>
    <cellStyle name="표준 8 8 4 3 2 2 2 2 2" xfId="44367"/>
    <cellStyle name="표준 8 8 4 3 2 2 3 3" xfId="44368"/>
    <cellStyle name="표준 8 8 4 3 2 2 3 2 2" xfId="44369"/>
    <cellStyle name="표준 8 8 4 3 2 2 4 2" xfId="44370"/>
    <cellStyle name="표준 8 8 4 3 2 2 5 2" xfId="44371"/>
    <cellStyle name="표준 8 8 4 3 2 3 2 2 2" xfId="44372"/>
    <cellStyle name="표준 8 8 4 3 2 3 3 3" xfId="44373"/>
    <cellStyle name="표준 8 8 4 3 2 3 3 2 2" xfId="44374"/>
    <cellStyle name="표준 8 8 4 3 2 3 4 2" xfId="44375"/>
    <cellStyle name="표준 8 8 4 3 2 3 5 2" xfId="44376"/>
    <cellStyle name="표준 8 8 4 3 2 4 2 2" xfId="44377"/>
    <cellStyle name="표준 8 8 4 3 2 5 3" xfId="44378"/>
    <cellStyle name="표준 8 8 4 3 2 5 2 2" xfId="44379"/>
    <cellStyle name="표준 8 8 4 3 2 6 2" xfId="44380"/>
    <cellStyle name="표준 8 8 4 3 2 7 2" xfId="44381"/>
    <cellStyle name="표준 8 8 4 3 3 2 2 2" xfId="44382"/>
    <cellStyle name="표준 8 8 4 3 3 3 3" xfId="44383"/>
    <cellStyle name="표준 8 8 4 3 3 3 2 2" xfId="44384"/>
    <cellStyle name="표준 8 8 4 3 3 4 2" xfId="44385"/>
    <cellStyle name="표준 8 8 4 3 3 5 2" xfId="44386"/>
    <cellStyle name="표준 8 8 4 3 4 2 2 2" xfId="44387"/>
    <cellStyle name="표준 8 8 4 3 4 3 3" xfId="44388"/>
    <cellStyle name="표준 8 8 4 3 4 3 2 2" xfId="44389"/>
    <cellStyle name="표준 8 8 4 3 4 4 2" xfId="44390"/>
    <cellStyle name="표준 8 8 4 3 4 5 2" xfId="44391"/>
    <cellStyle name="표준 8 8 4 3 5 2 2" xfId="44392"/>
    <cellStyle name="표준 8 8 4 3 6 3" xfId="44393"/>
    <cellStyle name="표준 8 8 4 3 6 2 2" xfId="44394"/>
    <cellStyle name="표준 8 8 4 3 7 2" xfId="44395"/>
    <cellStyle name="표준 8 8 4 3 8 2" xfId="44396"/>
    <cellStyle name="표준 8 8 4 4 2 2 2 2" xfId="44397"/>
    <cellStyle name="표준 8 8 4 4 2 3 3" xfId="44398"/>
    <cellStyle name="표준 8 8 4 4 2 3 2 2" xfId="44399"/>
    <cellStyle name="표준 8 8 4 4 2 4 2" xfId="44400"/>
    <cellStyle name="표준 8 8 4 4 2 5 2" xfId="44401"/>
    <cellStyle name="표준 8 8 4 4 3 2 2 2" xfId="44402"/>
    <cellStyle name="표준 8 8 4 4 3 3 3" xfId="44403"/>
    <cellStyle name="표준 8 8 4 4 3 3 2 2" xfId="44404"/>
    <cellStyle name="표준 8 8 4 4 3 4 2" xfId="44405"/>
    <cellStyle name="표준 8 8 4 4 3 5 2" xfId="44406"/>
    <cellStyle name="표준 8 8 4 4 4 2 2" xfId="44407"/>
    <cellStyle name="표준 8 8 4 4 5 3" xfId="44408"/>
    <cellStyle name="표준 8 8 4 4 5 2 2" xfId="44409"/>
    <cellStyle name="표준 8 8 4 4 6 2" xfId="44410"/>
    <cellStyle name="표준 8 8 4 4 7 2" xfId="44411"/>
    <cellStyle name="표준 8 8 4 5 2 2 2" xfId="44412"/>
    <cellStyle name="표준 8 8 4 5 3 3" xfId="44413"/>
    <cellStyle name="표준 8 8 4 5 3 2 2" xfId="44414"/>
    <cellStyle name="표준 8 8 4 5 4 2" xfId="44415"/>
    <cellStyle name="표준 8 8 4 5 5 2" xfId="44416"/>
    <cellStyle name="표준 8 8 4 6 2 2 2" xfId="44417"/>
    <cellStyle name="표준 8 8 4 6 3 3" xfId="44418"/>
    <cellStyle name="표준 8 8 4 6 3 2 2" xfId="44419"/>
    <cellStyle name="표준 8 8 4 6 4 2" xfId="44420"/>
    <cellStyle name="표준 8 8 4 6 5 2" xfId="44421"/>
    <cellStyle name="표준 8 8 4 7 2 2" xfId="44422"/>
    <cellStyle name="표준 8 8 4 8 3" xfId="44423"/>
    <cellStyle name="표준 8 8 4 8 2 2" xfId="44424"/>
    <cellStyle name="표준 8 8 4 9 2" xfId="44425"/>
    <cellStyle name="표준 8 8 5 2 2 2 2 2 2" xfId="44426"/>
    <cellStyle name="표준 8 8 5 2 2 2 3 3" xfId="44427"/>
    <cellStyle name="표준 8 8 5 2 2 2 3 2 2" xfId="44428"/>
    <cellStyle name="표준 8 8 5 2 2 2 4 2" xfId="44429"/>
    <cellStyle name="표준 8 8 5 2 2 2 5 2" xfId="44430"/>
    <cellStyle name="표준 8 8 5 2 2 3 2 2 2" xfId="44431"/>
    <cellStyle name="표준 8 8 5 2 2 3 3 3" xfId="44432"/>
    <cellStyle name="표준 8 8 5 2 2 3 3 2 2" xfId="44433"/>
    <cellStyle name="표준 8 8 5 2 2 3 4 2" xfId="44434"/>
    <cellStyle name="표준 8 8 5 2 2 3 5 2" xfId="44435"/>
    <cellStyle name="표준 8 8 5 2 2 4 2 2" xfId="44436"/>
    <cellStyle name="표준 8 8 5 2 2 5 3" xfId="44437"/>
    <cellStyle name="표준 8 8 5 2 2 5 2 2" xfId="44438"/>
    <cellStyle name="표준 8 8 5 2 2 6 2" xfId="44439"/>
    <cellStyle name="표준 8 8 5 2 2 7 2" xfId="44440"/>
    <cellStyle name="표준 8 8 5 2 3 2 2 2" xfId="44441"/>
    <cellStyle name="표준 8 8 5 2 3 3 3" xfId="44442"/>
    <cellStyle name="표준 8 8 5 2 3 3 2 2" xfId="44443"/>
    <cellStyle name="표준 8 8 5 2 3 4 2" xfId="44444"/>
    <cellStyle name="표준 8 8 5 2 3 5 2" xfId="44445"/>
    <cellStyle name="표준 8 8 5 2 4 2 2 2" xfId="44446"/>
    <cellStyle name="표준 8 8 5 2 4 3 3" xfId="44447"/>
    <cellStyle name="표준 8 8 5 2 4 3 2 2" xfId="44448"/>
    <cellStyle name="표준 8 8 5 2 4 4 2" xfId="44449"/>
    <cellStyle name="표준 8 8 5 2 4 5 2" xfId="44450"/>
    <cellStyle name="표준 8 8 5 2 5 2 2" xfId="44451"/>
    <cellStyle name="표준 8 8 5 2 6 3" xfId="44452"/>
    <cellStyle name="표준 8 8 5 2 6 2 2" xfId="44453"/>
    <cellStyle name="표준 8 8 5 2 7 2" xfId="44454"/>
    <cellStyle name="표준 8 8 5 2 8 2" xfId="44455"/>
    <cellStyle name="표준 8 8 5 3 2 2 2 2" xfId="44456"/>
    <cellStyle name="표준 8 8 5 3 2 3 3" xfId="44457"/>
    <cellStyle name="표준 8 8 5 3 2 3 2 2" xfId="44458"/>
    <cellStyle name="표준 8 8 5 3 2 4 2" xfId="44459"/>
    <cellStyle name="표준 8 8 5 3 2 5 2" xfId="44460"/>
    <cellStyle name="표준 8 8 5 3 3 2 2 2" xfId="44461"/>
    <cellStyle name="표준 8 8 5 3 3 3 3" xfId="44462"/>
    <cellStyle name="표준 8 8 5 3 3 3 2 2" xfId="44463"/>
    <cellStyle name="표준 8 8 5 3 3 4 2" xfId="44464"/>
    <cellStyle name="표준 8 8 5 3 3 5 2" xfId="44465"/>
    <cellStyle name="표준 8 8 5 3 4 2 2" xfId="44466"/>
    <cellStyle name="표준 8 8 5 3 5 3" xfId="44467"/>
    <cellStyle name="표준 8 8 5 3 5 2 2" xfId="44468"/>
    <cellStyle name="표준 8 8 5 3 6 2" xfId="44469"/>
    <cellStyle name="표준 8 8 5 3 7 2" xfId="44470"/>
    <cellStyle name="표준 8 8 5 4 2 2 2" xfId="44471"/>
    <cellStyle name="표준 8 8 5 4 3 3" xfId="44472"/>
    <cellStyle name="표준 8 8 5 4 3 2 2" xfId="44473"/>
    <cellStyle name="표준 8 8 5 4 4 2" xfId="44474"/>
    <cellStyle name="표준 8 8 5 4 5 2" xfId="44475"/>
    <cellStyle name="표준 8 8 5 5 2 2 2" xfId="44476"/>
    <cellStyle name="표준 8 8 5 5 3 3" xfId="44477"/>
    <cellStyle name="표준 8 8 5 5 3 2 2" xfId="44478"/>
    <cellStyle name="표준 8 8 5 5 4 2" xfId="44479"/>
    <cellStyle name="표준 8 8 5 5 5 2" xfId="44480"/>
    <cellStyle name="표준 8 8 5 6 2 2" xfId="44481"/>
    <cellStyle name="표준 8 8 5 7 3" xfId="44482"/>
    <cellStyle name="표준 8 8 5 7 2 2" xfId="44483"/>
    <cellStyle name="표준 8 8 5 8 2" xfId="44484"/>
    <cellStyle name="표준 8 8 5 9 2" xfId="44485"/>
    <cellStyle name="표준 8 8 6 2 2 2 2 2" xfId="44486"/>
    <cellStyle name="표준 8 8 6 2 2 3 3" xfId="44487"/>
    <cellStyle name="표준 8 8 6 2 2 3 2 2" xfId="44488"/>
    <cellStyle name="표준 8 8 6 2 2 4 2" xfId="44489"/>
    <cellStyle name="표준 8 8 6 2 2 5 2" xfId="44490"/>
    <cellStyle name="표준 8 8 6 2 3 2 2 2" xfId="44491"/>
    <cellStyle name="표준 8 8 6 2 3 3 3" xfId="44492"/>
    <cellStyle name="표준 8 8 6 2 3 3 2 2" xfId="44493"/>
    <cellStyle name="표준 8 8 6 2 3 4 2" xfId="44494"/>
    <cellStyle name="표준 8 8 6 2 3 5 2" xfId="44495"/>
    <cellStyle name="표준 8 8 6 2 4 2 2" xfId="44496"/>
    <cellStyle name="표준 8 8 6 2 5 3" xfId="44497"/>
    <cellStyle name="표준 8 8 6 2 5 2 2" xfId="44498"/>
    <cellStyle name="표준 8 8 6 2 6 2" xfId="44499"/>
    <cellStyle name="표준 8 8 6 2 7 2" xfId="44500"/>
    <cellStyle name="표준 8 8 6 3 2 2 2" xfId="44501"/>
    <cellStyle name="표준 8 8 6 3 3 3" xfId="44502"/>
    <cellStyle name="표준 8 8 6 3 3 2 2" xfId="44503"/>
    <cellStyle name="표준 8 8 6 3 4 2" xfId="44504"/>
    <cellStyle name="표준 8 8 6 3 5 2" xfId="44505"/>
    <cellStyle name="표준 8 8 6 4 2 2 2" xfId="44506"/>
    <cellStyle name="표준 8 8 6 4 3 3" xfId="44507"/>
    <cellStyle name="표준 8 8 6 4 3 2 2" xfId="44508"/>
    <cellStyle name="표준 8 8 6 4 4 2" xfId="44509"/>
    <cellStyle name="표준 8 8 6 4 5 2" xfId="44510"/>
    <cellStyle name="표준 8 8 6 5 2 2" xfId="44511"/>
    <cellStyle name="표준 8 8 6 6 3" xfId="44512"/>
    <cellStyle name="표준 8 8 6 6 2 2" xfId="44513"/>
    <cellStyle name="표준 8 8 6 7 2" xfId="44514"/>
    <cellStyle name="표준 8 8 6 8 2" xfId="44515"/>
    <cellStyle name="표준 8 8 7 2 2 2 2" xfId="44516"/>
    <cellStyle name="표준 8 8 7 2 3 3" xfId="44517"/>
    <cellStyle name="표준 8 8 7 2 3 2 2" xfId="44518"/>
    <cellStyle name="표준 8 8 7 2 4 2" xfId="44519"/>
    <cellStyle name="표준 8 8 7 2 5 2" xfId="44520"/>
    <cellStyle name="표준 8 8 7 3 2 2 2" xfId="44521"/>
    <cellStyle name="표준 8 8 7 3 3 3" xfId="44522"/>
    <cellStyle name="표준 8 8 7 3 3 2 2" xfId="44523"/>
    <cellStyle name="표준 8 8 7 3 4 2" xfId="44524"/>
    <cellStyle name="표준 8 8 7 3 5 2" xfId="44525"/>
    <cellStyle name="표준 8 8 7 4 2 2" xfId="44526"/>
    <cellStyle name="표준 8 8 7 5 3" xfId="44527"/>
    <cellStyle name="표준 8 8 7 5 2 2" xfId="44528"/>
    <cellStyle name="표준 8 8 7 6 2" xfId="44529"/>
    <cellStyle name="표준 8 8 7 7 2" xfId="44530"/>
    <cellStyle name="표준 8 8 8 2 2 2" xfId="44531"/>
    <cellStyle name="표준 8 8 8 3 3" xfId="44532"/>
    <cellStyle name="표준 8 8 8 3 2 2" xfId="44533"/>
    <cellStyle name="표준 8 8 8 4 2" xfId="44534"/>
    <cellStyle name="표준 8 8 8 5 2" xfId="44535"/>
    <cellStyle name="표준 8 8 9 2 2 2" xfId="44536"/>
    <cellStyle name="표준 8 8 9 3 3" xfId="44537"/>
    <cellStyle name="표준 8 8 9 3 2 2" xfId="44538"/>
    <cellStyle name="표준 8 8 9 4 2" xfId="44539"/>
    <cellStyle name="표준 8 8 9 5 2" xfId="44540"/>
    <cellStyle name="표준 8 9 10 3" xfId="44541"/>
    <cellStyle name="표준 8 9 10 2 2" xfId="44542"/>
    <cellStyle name="표준 8 9 11 2" xfId="44543"/>
    <cellStyle name="표준 8 9 12 2" xfId="44544"/>
    <cellStyle name="표준 8 9 2 10 2" xfId="44545"/>
    <cellStyle name="표준 8 9 2 2 2 2 2 2 2 2" xfId="44546"/>
    <cellStyle name="표준 8 9 2 2 2 2 2 3 3" xfId="44547"/>
    <cellStyle name="표준 8 9 2 2 2 2 2 3 2 2" xfId="44548"/>
    <cellStyle name="표준 8 9 2 2 2 2 2 4 2" xfId="44549"/>
    <cellStyle name="표준 8 9 2 2 2 2 2 5 2" xfId="44550"/>
    <cellStyle name="표준 8 9 2 2 2 2 3 2 2 2" xfId="44551"/>
    <cellStyle name="표준 8 9 2 2 2 2 3 3 3" xfId="44552"/>
    <cellStyle name="표준 8 9 2 2 2 2 3 3 2 2" xfId="44553"/>
    <cellStyle name="표준 8 9 2 2 2 2 3 4 2" xfId="44554"/>
    <cellStyle name="표준 8 9 2 2 2 2 3 5 2" xfId="44555"/>
    <cellStyle name="표준 8 9 2 2 2 2 4 2 2" xfId="44556"/>
    <cellStyle name="표준 8 9 2 2 2 2 5 3" xfId="44557"/>
    <cellStyle name="표준 8 9 2 2 2 2 5 2 2" xfId="44558"/>
    <cellStyle name="표준 8 9 2 2 2 2 6 2" xfId="44559"/>
    <cellStyle name="표준 8 9 2 2 2 2 7 2" xfId="44560"/>
    <cellStyle name="표준 8 9 2 2 2 3 2 2 2" xfId="44561"/>
    <cellStyle name="표준 8 9 2 2 2 3 3 3" xfId="44562"/>
    <cellStyle name="표준 8 9 2 2 2 3 3 2 2" xfId="44563"/>
    <cellStyle name="표준 8 9 2 2 2 3 4 2" xfId="44564"/>
    <cellStyle name="표준 8 9 2 2 2 3 5 2" xfId="44565"/>
    <cellStyle name="표준 8 9 2 2 2 4 2 2 2" xfId="44566"/>
    <cellStyle name="표준 8 9 2 2 2 4 3 3" xfId="44567"/>
    <cellStyle name="표준 8 9 2 2 2 4 3 2 2" xfId="44568"/>
    <cellStyle name="표준 8 9 2 2 2 4 4 2" xfId="44569"/>
    <cellStyle name="표준 8 9 2 2 2 4 5 2" xfId="44570"/>
    <cellStyle name="표준 8 9 2 2 2 5 2 2" xfId="44571"/>
    <cellStyle name="표준 8 9 2 2 2 6 3" xfId="44572"/>
    <cellStyle name="표준 8 9 2 2 2 6 2 2" xfId="44573"/>
    <cellStyle name="표준 8 9 2 2 2 7 2" xfId="44574"/>
    <cellStyle name="표준 8 9 2 2 2 8 2" xfId="44575"/>
    <cellStyle name="표준 8 9 2 2 3 2 2 2 2" xfId="44576"/>
    <cellStyle name="표준 8 9 2 2 3 2 3 3" xfId="44577"/>
    <cellStyle name="표준 8 9 2 2 3 2 3 2 2" xfId="44578"/>
    <cellStyle name="표준 8 9 2 2 3 2 4 2" xfId="44579"/>
    <cellStyle name="표준 8 9 2 2 3 2 5 2" xfId="44580"/>
    <cellStyle name="표준 8 9 2 2 3 3 2 2 2" xfId="44581"/>
    <cellStyle name="표준 8 9 2 2 3 3 3 3" xfId="44582"/>
    <cellStyle name="표준 8 9 2 2 3 3 3 2 2" xfId="44583"/>
    <cellStyle name="표준 8 9 2 2 3 3 4 2" xfId="44584"/>
    <cellStyle name="표준 8 9 2 2 3 3 5 2" xfId="44585"/>
    <cellStyle name="표준 8 9 2 2 3 4 2 2" xfId="44586"/>
    <cellStyle name="표준 8 9 2 2 3 5 3" xfId="44587"/>
    <cellStyle name="표준 8 9 2 2 3 5 2 2" xfId="44588"/>
    <cellStyle name="표준 8 9 2 2 3 6 2" xfId="44589"/>
    <cellStyle name="표준 8 9 2 2 3 7 2" xfId="44590"/>
    <cellStyle name="표준 8 9 2 2 4 2 2 2" xfId="44591"/>
    <cellStyle name="표준 8 9 2 2 4 3 3" xfId="44592"/>
    <cellStyle name="표준 8 9 2 2 4 3 2 2" xfId="44593"/>
    <cellStyle name="표준 8 9 2 2 4 4 2" xfId="44594"/>
    <cellStyle name="표준 8 9 2 2 4 5 2" xfId="44595"/>
    <cellStyle name="표준 8 9 2 2 5 2 2 2" xfId="44596"/>
    <cellStyle name="표준 8 9 2 2 5 3 3" xfId="44597"/>
    <cellStyle name="표준 8 9 2 2 5 3 2 2" xfId="44598"/>
    <cellStyle name="표준 8 9 2 2 5 4 2" xfId="44599"/>
    <cellStyle name="표준 8 9 2 2 5 5 2" xfId="44600"/>
    <cellStyle name="표준 8 9 2 2 6 2 2" xfId="44601"/>
    <cellStyle name="표준 8 9 2 2 7 3" xfId="44602"/>
    <cellStyle name="표준 8 9 2 2 7 2 2" xfId="44603"/>
    <cellStyle name="표준 8 9 2 2 8 2" xfId="44604"/>
    <cellStyle name="표준 8 9 2 2 9 2" xfId="44605"/>
    <cellStyle name="표준 8 9 2 3 2 2 2 2 2" xfId="44606"/>
    <cellStyle name="표준 8 9 2 3 2 2 3 3" xfId="44607"/>
    <cellStyle name="표준 8 9 2 3 2 2 3 2 2" xfId="44608"/>
    <cellStyle name="표준 8 9 2 3 2 2 4 2" xfId="44609"/>
    <cellStyle name="표준 8 9 2 3 2 2 5 2" xfId="44610"/>
    <cellStyle name="표준 8 9 2 3 2 3 2 2 2" xfId="44611"/>
    <cellStyle name="표준 8 9 2 3 2 3 3 3" xfId="44612"/>
    <cellStyle name="표준 8 9 2 3 2 3 3 2 2" xfId="44613"/>
    <cellStyle name="표준 8 9 2 3 2 3 4 2" xfId="44614"/>
    <cellStyle name="표준 8 9 2 3 2 3 5 2" xfId="44615"/>
    <cellStyle name="표준 8 9 2 3 2 4 2 2" xfId="44616"/>
    <cellStyle name="표준 8 9 2 3 2 5 3" xfId="44617"/>
    <cellStyle name="표준 8 9 2 3 2 5 2 2" xfId="44618"/>
    <cellStyle name="표준 8 9 2 3 2 6 2" xfId="44619"/>
    <cellStyle name="표준 8 9 2 3 2 7 2" xfId="44620"/>
    <cellStyle name="표준 8 9 2 3 3 2 2 2" xfId="44621"/>
    <cellStyle name="표준 8 9 2 3 3 3 3" xfId="44622"/>
    <cellStyle name="표준 8 9 2 3 3 3 2 2" xfId="44623"/>
    <cellStyle name="표준 8 9 2 3 3 4 2" xfId="44624"/>
    <cellStyle name="표준 8 9 2 3 3 5 2" xfId="44625"/>
    <cellStyle name="표준 8 9 2 3 4 2 2 2" xfId="44626"/>
    <cellStyle name="표준 8 9 2 3 4 3 3" xfId="44627"/>
    <cellStyle name="표준 8 9 2 3 4 3 2 2" xfId="44628"/>
    <cellStyle name="표준 8 9 2 3 4 4 2" xfId="44629"/>
    <cellStyle name="표준 8 9 2 3 4 5 2" xfId="44630"/>
    <cellStyle name="표준 8 9 2 3 5 2 2" xfId="44631"/>
    <cellStyle name="표준 8 9 2 3 6 3" xfId="44632"/>
    <cellStyle name="표준 8 9 2 3 6 2 2" xfId="44633"/>
    <cellStyle name="표준 8 9 2 3 7 2" xfId="44634"/>
    <cellStyle name="표준 8 9 2 3 8 2" xfId="44635"/>
    <cellStyle name="표준 8 9 2 4 2 2 2 2" xfId="44636"/>
    <cellStyle name="표준 8 9 2 4 2 3 3" xfId="44637"/>
    <cellStyle name="표준 8 9 2 4 2 3 2 2" xfId="44638"/>
    <cellStyle name="표준 8 9 2 4 2 4 2" xfId="44639"/>
    <cellStyle name="표준 8 9 2 4 2 5 2" xfId="44640"/>
    <cellStyle name="표준 8 9 2 4 3 2 2 2" xfId="44641"/>
    <cellStyle name="표준 8 9 2 4 3 3 3" xfId="44642"/>
    <cellStyle name="표준 8 9 2 4 3 3 2 2" xfId="44643"/>
    <cellStyle name="표준 8 9 2 4 3 4 2" xfId="44644"/>
    <cellStyle name="표준 8 9 2 4 3 5 2" xfId="44645"/>
    <cellStyle name="표준 8 9 2 4 4 2 2" xfId="44646"/>
    <cellStyle name="표준 8 9 2 4 5 3" xfId="44647"/>
    <cellStyle name="표준 8 9 2 4 5 2 2" xfId="44648"/>
    <cellStyle name="표준 8 9 2 4 6 2" xfId="44649"/>
    <cellStyle name="표준 8 9 2 4 7 2" xfId="44650"/>
    <cellStyle name="표준 8 9 2 5 2 2 2" xfId="44651"/>
    <cellStyle name="표준 8 9 2 5 3 3" xfId="44652"/>
    <cellStyle name="표준 8 9 2 5 3 2 2" xfId="44653"/>
    <cellStyle name="표준 8 9 2 5 4 2" xfId="44654"/>
    <cellStyle name="표준 8 9 2 5 5 2" xfId="44655"/>
    <cellStyle name="표준 8 9 2 6 2 2 2" xfId="44656"/>
    <cellStyle name="표준 8 9 2 6 3 3" xfId="44657"/>
    <cellStyle name="표준 8 9 2 6 3 2 2" xfId="44658"/>
    <cellStyle name="표준 8 9 2 6 4 2" xfId="44659"/>
    <cellStyle name="표준 8 9 2 6 5 2" xfId="44660"/>
    <cellStyle name="표준 8 9 2 7 2 2" xfId="44661"/>
    <cellStyle name="표준 8 9 2 8 3" xfId="44662"/>
    <cellStyle name="표준 8 9 2 8 2 2" xfId="44663"/>
    <cellStyle name="표준 8 9 2 9 2" xfId="44664"/>
    <cellStyle name="표준 8 9 3 10 2" xfId="44665"/>
    <cellStyle name="표준 8 9 3 2 2 2 2 2 2 2" xfId="44666"/>
    <cellStyle name="표준 8 9 3 2 2 2 2 3 3" xfId="44667"/>
    <cellStyle name="표준 8 9 3 2 2 2 2 3 2 2" xfId="44668"/>
    <cellStyle name="표준 8 9 3 2 2 2 2 4 2" xfId="44669"/>
    <cellStyle name="표준 8 9 3 2 2 2 2 5 2" xfId="44670"/>
    <cellStyle name="표준 8 9 3 2 2 2 3 2 2 2" xfId="44671"/>
    <cellStyle name="표준 8 9 3 2 2 2 3 3 3" xfId="44672"/>
    <cellStyle name="표준 8 9 3 2 2 2 3 3 2 2" xfId="44673"/>
    <cellStyle name="표준 8 9 3 2 2 2 3 4 2" xfId="44674"/>
    <cellStyle name="표준 8 9 3 2 2 2 3 5 2" xfId="44675"/>
    <cellStyle name="표준 8 9 3 2 2 2 4 2 2" xfId="44676"/>
    <cellStyle name="표준 8 9 3 2 2 2 5 3" xfId="44677"/>
    <cellStyle name="표준 8 9 3 2 2 2 5 2 2" xfId="44678"/>
    <cellStyle name="표준 8 9 3 2 2 2 6 2" xfId="44679"/>
    <cellStyle name="표준 8 9 3 2 2 2 7 2" xfId="44680"/>
    <cellStyle name="표준 8 9 3 2 2 3 2 2 2" xfId="44681"/>
    <cellStyle name="표준 8 9 3 2 2 3 3 3" xfId="44682"/>
    <cellStyle name="표준 8 9 3 2 2 3 3 2 2" xfId="44683"/>
    <cellStyle name="표준 8 9 3 2 2 3 4 2" xfId="44684"/>
    <cellStyle name="표준 8 9 3 2 2 3 5 2" xfId="44685"/>
    <cellStyle name="표준 8 9 3 2 2 4 2 2 2" xfId="44686"/>
    <cellStyle name="표준 8 9 3 2 2 4 3 3" xfId="44687"/>
    <cellStyle name="표준 8 9 3 2 2 4 3 2 2" xfId="44688"/>
    <cellStyle name="표준 8 9 3 2 2 4 4 2" xfId="44689"/>
    <cellStyle name="표준 8 9 3 2 2 4 5 2" xfId="44690"/>
    <cellStyle name="표준 8 9 3 2 2 5 2 2" xfId="44691"/>
    <cellStyle name="표준 8 9 3 2 2 6 3" xfId="44692"/>
    <cellStyle name="표준 8 9 3 2 2 6 2 2" xfId="44693"/>
    <cellStyle name="표준 8 9 3 2 2 7 2" xfId="44694"/>
    <cellStyle name="표준 8 9 3 2 2 8 2" xfId="44695"/>
    <cellStyle name="표준 8 9 3 2 3 2 2 2 2" xfId="44696"/>
    <cellStyle name="표준 8 9 3 2 3 2 3 3" xfId="44697"/>
    <cellStyle name="표준 8 9 3 2 3 2 3 2 2" xfId="44698"/>
    <cellStyle name="표준 8 9 3 2 3 2 4 2" xfId="44699"/>
    <cellStyle name="표준 8 9 3 2 3 2 5 2" xfId="44700"/>
    <cellStyle name="표준 8 9 3 2 3 3 2 2 2" xfId="44701"/>
    <cellStyle name="표준 8 9 3 2 3 3 3 3" xfId="44702"/>
    <cellStyle name="표준 8 9 3 2 3 3 3 2 2" xfId="44703"/>
    <cellStyle name="표준 8 9 3 2 3 3 4 2" xfId="44704"/>
    <cellStyle name="표준 8 9 3 2 3 3 5 2" xfId="44705"/>
    <cellStyle name="표준 8 9 3 2 3 4 2 2" xfId="44706"/>
    <cellStyle name="표준 8 9 3 2 3 5 3" xfId="44707"/>
    <cellStyle name="표준 8 9 3 2 3 5 2 2" xfId="44708"/>
    <cellStyle name="표준 8 9 3 2 3 6 2" xfId="44709"/>
    <cellStyle name="표준 8 9 3 2 3 7 2" xfId="44710"/>
    <cellStyle name="표준 8 9 3 2 4 2 2 2" xfId="44711"/>
    <cellStyle name="표준 8 9 3 2 4 3 3" xfId="44712"/>
    <cellStyle name="표준 8 9 3 2 4 3 2 2" xfId="44713"/>
    <cellStyle name="표준 8 9 3 2 4 4 2" xfId="44714"/>
    <cellStyle name="표준 8 9 3 2 4 5 2" xfId="44715"/>
    <cellStyle name="표준 8 9 3 2 5 2 2 2" xfId="44716"/>
    <cellStyle name="표준 8 9 3 2 5 3 3" xfId="44717"/>
    <cellStyle name="표준 8 9 3 2 5 3 2 2" xfId="44718"/>
    <cellStyle name="표준 8 9 3 2 5 4 2" xfId="44719"/>
    <cellStyle name="표준 8 9 3 2 5 5 2" xfId="44720"/>
    <cellStyle name="표준 8 9 3 2 6 2 2" xfId="44721"/>
    <cellStyle name="표준 8 9 3 2 7 3" xfId="44722"/>
    <cellStyle name="표준 8 9 3 2 7 2 2" xfId="44723"/>
    <cellStyle name="표준 8 9 3 2 8 2" xfId="44724"/>
    <cellStyle name="표준 8 9 3 2 9 2" xfId="44725"/>
    <cellStyle name="표준 8 9 3 3 2 2 2 2 2" xfId="44726"/>
    <cellStyle name="표준 8 9 3 3 2 2 3 3" xfId="44727"/>
    <cellStyle name="표준 8 9 3 3 2 2 3 2 2" xfId="44728"/>
    <cellStyle name="표준 8 9 3 3 2 2 4 2" xfId="44729"/>
    <cellStyle name="표준 8 9 3 3 2 2 5 2" xfId="44730"/>
    <cellStyle name="표준 8 9 3 3 2 3 2 2 2" xfId="44731"/>
    <cellStyle name="표준 8 9 3 3 2 3 3 3" xfId="44732"/>
    <cellStyle name="표준 8 9 3 3 2 3 3 2 2" xfId="44733"/>
    <cellStyle name="표준 8 9 3 3 2 3 4 2" xfId="44734"/>
    <cellStyle name="표준 8 9 3 3 2 3 5 2" xfId="44735"/>
    <cellStyle name="표준 8 9 3 3 2 4 2 2" xfId="44736"/>
    <cellStyle name="표준 8 9 3 3 2 5 3" xfId="44737"/>
    <cellStyle name="표준 8 9 3 3 2 5 2 2" xfId="44738"/>
    <cellStyle name="표준 8 9 3 3 2 6 2" xfId="44739"/>
    <cellStyle name="표준 8 9 3 3 2 7 2" xfId="44740"/>
    <cellStyle name="표준 8 9 3 3 3 2 2 2" xfId="44741"/>
    <cellStyle name="표준 8 9 3 3 3 3 3" xfId="44742"/>
    <cellStyle name="표준 8 9 3 3 3 3 2 2" xfId="44743"/>
    <cellStyle name="표준 8 9 3 3 3 4 2" xfId="44744"/>
    <cellStyle name="표준 8 9 3 3 3 5 2" xfId="44745"/>
    <cellStyle name="표준 8 9 3 3 4 2 2 2" xfId="44746"/>
    <cellStyle name="표준 8 9 3 3 4 3 3" xfId="44747"/>
    <cellStyle name="표준 8 9 3 3 4 3 2 2" xfId="44748"/>
    <cellStyle name="표준 8 9 3 3 4 4 2" xfId="44749"/>
    <cellStyle name="표준 8 9 3 3 4 5 2" xfId="44750"/>
    <cellStyle name="표준 8 9 3 3 5 2 2" xfId="44751"/>
    <cellStyle name="표준 8 9 3 3 6 3" xfId="44752"/>
    <cellStyle name="표준 8 9 3 3 6 2 2" xfId="44753"/>
    <cellStyle name="표준 8 9 3 3 7 2" xfId="44754"/>
    <cellStyle name="표준 8 9 3 3 8 2" xfId="44755"/>
    <cellStyle name="표준 8 9 3 4 2 2 2 2" xfId="44756"/>
    <cellStyle name="표준 8 9 3 4 2 3 3" xfId="44757"/>
    <cellStyle name="표준 8 9 3 4 2 3 2 2" xfId="44758"/>
    <cellStyle name="표준 8 9 3 4 2 4 2" xfId="44759"/>
    <cellStyle name="표준 8 9 3 4 2 5 2" xfId="44760"/>
    <cellStyle name="표준 8 9 3 4 3 2 2 2" xfId="44761"/>
    <cellStyle name="표준 8 9 3 4 3 3 3" xfId="44762"/>
    <cellStyle name="표준 8 9 3 4 3 3 2 2" xfId="44763"/>
    <cellStyle name="표준 8 9 3 4 3 4 2" xfId="44764"/>
    <cellStyle name="표준 8 9 3 4 3 5 2" xfId="44765"/>
    <cellStyle name="표준 8 9 3 4 4 2 2" xfId="44766"/>
    <cellStyle name="표준 8 9 3 4 5 3" xfId="44767"/>
    <cellStyle name="표준 8 9 3 4 5 2 2" xfId="44768"/>
    <cellStyle name="표준 8 9 3 4 6 2" xfId="44769"/>
    <cellStyle name="표준 8 9 3 4 7 2" xfId="44770"/>
    <cellStyle name="표준 8 9 3 5 2 2 2" xfId="44771"/>
    <cellStyle name="표준 8 9 3 5 3 3" xfId="44772"/>
    <cellStyle name="표준 8 9 3 5 3 2 2" xfId="44773"/>
    <cellStyle name="표준 8 9 3 5 4 2" xfId="44774"/>
    <cellStyle name="표준 8 9 3 5 5 2" xfId="44775"/>
    <cellStyle name="표준 8 9 3 6 2 2 2" xfId="44776"/>
    <cellStyle name="표준 8 9 3 6 3 3" xfId="44777"/>
    <cellStyle name="표준 8 9 3 6 3 2 2" xfId="44778"/>
    <cellStyle name="표준 8 9 3 6 4 2" xfId="44779"/>
    <cellStyle name="표준 8 9 3 6 5 2" xfId="44780"/>
    <cellStyle name="표준 8 9 3 7 2 2" xfId="44781"/>
    <cellStyle name="표준 8 9 3 8 3" xfId="44782"/>
    <cellStyle name="표준 8 9 3 8 2 2" xfId="44783"/>
    <cellStyle name="표준 8 9 3 9 2" xfId="44784"/>
    <cellStyle name="표준 8 9 4 2 2 2 2 2 2" xfId="44785"/>
    <cellStyle name="표준 8 9 4 2 2 2 3 3" xfId="44786"/>
    <cellStyle name="표준 8 9 4 2 2 2 3 2 2" xfId="44787"/>
    <cellStyle name="표준 8 9 4 2 2 2 4 2" xfId="44788"/>
    <cellStyle name="표준 8 9 4 2 2 2 5 2" xfId="44789"/>
    <cellStyle name="표준 8 9 4 2 2 3 2 2 2" xfId="44790"/>
    <cellStyle name="표준 8 9 4 2 2 3 3 3" xfId="44791"/>
    <cellStyle name="표준 8 9 4 2 2 3 3 2 2" xfId="44792"/>
    <cellStyle name="표준 8 9 4 2 2 3 4 2" xfId="44793"/>
    <cellStyle name="표준 8 9 4 2 2 3 5 2" xfId="44794"/>
    <cellStyle name="표준 8 9 4 2 2 4 2 2" xfId="44795"/>
    <cellStyle name="표준 8 9 4 2 2 5 3" xfId="44796"/>
    <cellStyle name="표준 8 9 4 2 2 5 2 2" xfId="44797"/>
    <cellStyle name="표준 8 9 4 2 2 6 2" xfId="44798"/>
    <cellStyle name="표준 8 9 4 2 2 7 2" xfId="44799"/>
    <cellStyle name="표준 8 9 4 2 3 2 2 2" xfId="44800"/>
    <cellStyle name="표준 8 9 4 2 3 3 3" xfId="44801"/>
    <cellStyle name="표준 8 9 4 2 3 3 2 2" xfId="44802"/>
    <cellStyle name="표준 8 9 4 2 3 4 2" xfId="44803"/>
    <cellStyle name="표준 8 9 4 2 3 5 2" xfId="44804"/>
    <cellStyle name="표준 8 9 4 2 4 2 2 2" xfId="44805"/>
    <cellStyle name="표준 8 9 4 2 4 3 3" xfId="44806"/>
    <cellStyle name="표준 8 9 4 2 4 3 2 2" xfId="44807"/>
    <cellStyle name="표준 8 9 4 2 4 4 2" xfId="44808"/>
    <cellStyle name="표준 8 9 4 2 4 5 2" xfId="44809"/>
    <cellStyle name="표준 8 9 4 2 5 2 2" xfId="44810"/>
    <cellStyle name="표준 8 9 4 2 6 3" xfId="44811"/>
    <cellStyle name="표준 8 9 4 2 6 2 2" xfId="44812"/>
    <cellStyle name="표준 8 9 4 2 7 2" xfId="44813"/>
    <cellStyle name="표준 8 9 4 2 8 2" xfId="44814"/>
    <cellStyle name="표준 8 9 4 3 2 2 2 2" xfId="44815"/>
    <cellStyle name="표준 8 9 4 3 2 3 3" xfId="44816"/>
    <cellStyle name="표준 8 9 4 3 2 3 2 2" xfId="44817"/>
    <cellStyle name="표준 8 9 4 3 2 4 2" xfId="44818"/>
    <cellStyle name="표준 8 9 4 3 2 5 2" xfId="44819"/>
    <cellStyle name="표준 8 9 4 3 3 2 2 2" xfId="44820"/>
    <cellStyle name="표준 8 9 4 3 3 3 3" xfId="44821"/>
    <cellStyle name="표준 8 9 4 3 3 3 2 2" xfId="44822"/>
    <cellStyle name="표준 8 9 4 3 3 4 2" xfId="44823"/>
    <cellStyle name="표준 8 9 4 3 3 5 2" xfId="44824"/>
    <cellStyle name="표준 8 9 4 3 4 2 2" xfId="44825"/>
    <cellStyle name="표준 8 9 4 3 5 3" xfId="44826"/>
    <cellStyle name="표준 8 9 4 3 5 2 2" xfId="44827"/>
    <cellStyle name="표준 8 9 4 3 6 2" xfId="44828"/>
    <cellStyle name="표준 8 9 4 3 7 2" xfId="44829"/>
    <cellStyle name="표준 8 9 4 4 2 2 2" xfId="44830"/>
    <cellStyle name="표준 8 9 4 4 3 3" xfId="44831"/>
    <cellStyle name="표준 8 9 4 4 3 2 2" xfId="44832"/>
    <cellStyle name="표준 8 9 4 4 4 2" xfId="44833"/>
    <cellStyle name="표준 8 9 4 4 5 2" xfId="44834"/>
    <cellStyle name="표준 8 9 4 5 2 2 2" xfId="44835"/>
    <cellStyle name="표준 8 9 4 5 3 3" xfId="44836"/>
    <cellStyle name="표준 8 9 4 5 3 2 2" xfId="44837"/>
    <cellStyle name="표준 8 9 4 5 4 2" xfId="44838"/>
    <cellStyle name="표준 8 9 4 5 5 2" xfId="44839"/>
    <cellStyle name="표준 8 9 4 6 2 2" xfId="44840"/>
    <cellStyle name="표준 8 9 4 7 3" xfId="44841"/>
    <cellStyle name="표준 8 9 4 7 2 2" xfId="44842"/>
    <cellStyle name="표준 8 9 4 8 2" xfId="44843"/>
    <cellStyle name="표준 8 9 4 9 2" xfId="44844"/>
    <cellStyle name="표준 8 9 5 2 2 2 2 2" xfId="44845"/>
    <cellStyle name="표준 8 9 5 2 2 3 3" xfId="44846"/>
    <cellStyle name="표준 8 9 5 2 2 3 2 2" xfId="44847"/>
    <cellStyle name="표준 8 9 5 2 2 4 2" xfId="44848"/>
    <cellStyle name="표준 8 9 5 2 2 5 2" xfId="44849"/>
    <cellStyle name="표준 8 9 5 2 3 2 2 2" xfId="44850"/>
    <cellStyle name="표준 8 9 5 2 3 3 3" xfId="44851"/>
    <cellStyle name="표준 8 9 5 2 3 3 2 2" xfId="44852"/>
    <cellStyle name="표준 8 9 5 2 3 4 2" xfId="44853"/>
    <cellStyle name="표준 8 9 5 2 3 5 2" xfId="44854"/>
    <cellStyle name="표준 8 9 5 2 4 2 2" xfId="44855"/>
    <cellStyle name="표준 8 9 5 2 5 3" xfId="44856"/>
    <cellStyle name="표준 8 9 5 2 5 2 2" xfId="44857"/>
    <cellStyle name="표준 8 9 5 2 6 2" xfId="44858"/>
    <cellStyle name="표준 8 9 5 2 7 2" xfId="44859"/>
    <cellStyle name="표준 8 9 5 3 2 2 2" xfId="44860"/>
    <cellStyle name="표준 8 9 5 3 3 3" xfId="44861"/>
    <cellStyle name="표준 8 9 5 3 3 2 2" xfId="44862"/>
    <cellStyle name="표준 8 9 5 3 4 2" xfId="44863"/>
    <cellStyle name="표준 8 9 5 3 5 2" xfId="44864"/>
    <cellStyle name="표준 8 9 5 4 2 2 2" xfId="44865"/>
    <cellStyle name="표준 8 9 5 4 3 3" xfId="44866"/>
    <cellStyle name="표준 8 9 5 4 3 2 2" xfId="44867"/>
    <cellStyle name="표준 8 9 5 4 4 2" xfId="44868"/>
    <cellStyle name="표준 8 9 5 4 5 2" xfId="44869"/>
    <cellStyle name="표준 8 9 5 5 2 2" xfId="44870"/>
    <cellStyle name="표준 8 9 5 6 3" xfId="44871"/>
    <cellStyle name="표준 8 9 5 6 2 2" xfId="44872"/>
    <cellStyle name="표준 8 9 5 7 2" xfId="44873"/>
    <cellStyle name="표준 8 9 5 8 2" xfId="44874"/>
    <cellStyle name="표준 8 9 6 2 2 2 2" xfId="44875"/>
    <cellStyle name="표준 8 9 6 2 3 3" xfId="44876"/>
    <cellStyle name="표준 8 9 6 2 3 2 2" xfId="44877"/>
    <cellStyle name="표준 8 9 6 2 4 2" xfId="44878"/>
    <cellStyle name="표준 8 9 6 2 5 2" xfId="44879"/>
    <cellStyle name="표준 8 9 6 3 2 2 2" xfId="44880"/>
    <cellStyle name="표준 8 9 6 3 3 3" xfId="44881"/>
    <cellStyle name="표준 8 9 6 3 3 2 2" xfId="44882"/>
    <cellStyle name="표준 8 9 6 3 4 2" xfId="44883"/>
    <cellStyle name="표준 8 9 6 3 5 2" xfId="44884"/>
    <cellStyle name="표준 8 9 6 4 2 2" xfId="44885"/>
    <cellStyle name="표준 8 9 6 5 3" xfId="44886"/>
    <cellStyle name="표준 8 9 6 5 2 2" xfId="44887"/>
    <cellStyle name="표준 8 9 6 6 2" xfId="44888"/>
    <cellStyle name="표준 8 9 6 7 2" xfId="44889"/>
    <cellStyle name="표준 8 9 7 2 2 2" xfId="44890"/>
    <cellStyle name="표준 8 9 7 3 3" xfId="44891"/>
    <cellStyle name="표준 8 9 7 3 2 2" xfId="44892"/>
    <cellStyle name="표준 8 9 7 4 2" xfId="44893"/>
    <cellStyle name="표준 8 9 7 5 2" xfId="44894"/>
    <cellStyle name="표준 8 9 8 2 2 2" xfId="44895"/>
    <cellStyle name="표준 8 9 8 3 3" xfId="44896"/>
    <cellStyle name="표준 8 9 8 3 2 2" xfId="44897"/>
    <cellStyle name="표준 8 9 8 4 2" xfId="44898"/>
    <cellStyle name="표준 8 9 8 5 2" xfId="44899"/>
    <cellStyle name="표준 8 9 9 2 2" xfId="44900"/>
    <cellStyle name="표준 9 10 10 2" xfId="44901"/>
    <cellStyle name="표준 9 10 2 2 2 2 2 2 2" xfId="44902"/>
    <cellStyle name="표준 9 10 2 2 2 2 3 3" xfId="44903"/>
    <cellStyle name="표준 9 10 2 2 2 2 3 2 2" xfId="44904"/>
    <cellStyle name="표준 9 10 2 2 2 2 4 2" xfId="44905"/>
    <cellStyle name="표준 9 10 2 2 2 2 5 2" xfId="44906"/>
    <cellStyle name="표준 9 10 2 2 2 3 2 2 2" xfId="44907"/>
    <cellStyle name="표준 9 10 2 2 2 3 3 3" xfId="44908"/>
    <cellStyle name="표준 9 10 2 2 2 3 3 2 2" xfId="44909"/>
    <cellStyle name="표준 9 10 2 2 2 3 4 2" xfId="44910"/>
    <cellStyle name="표준 9 10 2 2 2 3 5 2" xfId="44911"/>
    <cellStyle name="표준 9 10 2 2 2 4 2 2" xfId="44912"/>
    <cellStyle name="표준 9 10 2 2 2 5 3" xfId="44913"/>
    <cellStyle name="표준 9 10 2 2 2 5 2 2" xfId="44914"/>
    <cellStyle name="표준 9 10 2 2 2 6 2" xfId="44915"/>
    <cellStyle name="표준 9 10 2 2 2 7 2" xfId="44916"/>
    <cellStyle name="표준 9 10 2 2 3 2 2 2" xfId="44917"/>
    <cellStyle name="표준 9 10 2 2 3 3 3" xfId="44918"/>
    <cellStyle name="표준 9 10 2 2 3 3 2 2" xfId="44919"/>
    <cellStyle name="표준 9 10 2 2 3 4 2" xfId="44920"/>
    <cellStyle name="표준 9 10 2 2 3 5 2" xfId="44921"/>
    <cellStyle name="표준 9 10 2 2 4 2 2 2" xfId="44922"/>
    <cellStyle name="표준 9 10 2 2 4 3 3" xfId="44923"/>
    <cellStyle name="표준 9 10 2 2 4 3 2 2" xfId="44924"/>
    <cellStyle name="표준 9 10 2 2 4 4 2" xfId="44925"/>
    <cellStyle name="표준 9 10 2 2 4 5 2" xfId="44926"/>
    <cellStyle name="표준 9 10 2 2 5 2 2" xfId="44927"/>
    <cellStyle name="표준 9 10 2 2 6 3" xfId="44928"/>
    <cellStyle name="표준 9 10 2 2 6 2 2" xfId="44929"/>
    <cellStyle name="표준 9 10 2 2 7 2" xfId="44930"/>
    <cellStyle name="표준 9 10 2 2 8 2" xfId="44931"/>
    <cellStyle name="표준 9 10 2 3 2 2 2 2" xfId="44932"/>
    <cellStyle name="표준 9 10 2 3 2 3 3" xfId="44933"/>
    <cellStyle name="표준 9 10 2 3 2 3 2 2" xfId="44934"/>
    <cellStyle name="표준 9 10 2 3 2 4 2" xfId="44935"/>
    <cellStyle name="표준 9 10 2 3 2 5 2" xfId="44936"/>
    <cellStyle name="표준 9 10 2 3 3 2 2 2" xfId="44937"/>
    <cellStyle name="표준 9 10 2 3 3 3 3" xfId="44938"/>
    <cellStyle name="표준 9 10 2 3 3 3 2 2" xfId="44939"/>
    <cellStyle name="표준 9 10 2 3 3 4 2" xfId="44940"/>
    <cellStyle name="표준 9 10 2 3 3 5 2" xfId="44941"/>
    <cellStyle name="표준 9 10 2 3 4 2 2" xfId="44942"/>
    <cellStyle name="표준 9 10 2 3 5 3" xfId="44943"/>
    <cellStyle name="표준 9 10 2 3 5 2 2" xfId="44944"/>
    <cellStyle name="표준 9 10 2 3 6 2" xfId="44945"/>
    <cellStyle name="표준 9 10 2 3 7 2" xfId="44946"/>
    <cellStyle name="표준 9 10 2 4 2 2 2" xfId="44947"/>
    <cellStyle name="표준 9 10 2 4 3 3" xfId="44948"/>
    <cellStyle name="표준 9 10 2 4 3 2 2" xfId="44949"/>
    <cellStyle name="표준 9 10 2 4 4 2" xfId="44950"/>
    <cellStyle name="표준 9 10 2 4 5 2" xfId="44951"/>
    <cellStyle name="표준 9 10 2 5 2 2 2" xfId="44952"/>
    <cellStyle name="표준 9 10 2 5 3 3" xfId="44953"/>
    <cellStyle name="표준 9 10 2 5 3 2 2" xfId="44954"/>
    <cellStyle name="표준 9 10 2 5 4 2" xfId="44955"/>
    <cellStyle name="표준 9 10 2 5 5 2" xfId="44956"/>
    <cellStyle name="표준 9 10 2 6 2 2" xfId="44957"/>
    <cellStyle name="표준 9 10 2 7 3" xfId="44958"/>
    <cellStyle name="표준 9 10 2 7 2 2" xfId="44959"/>
    <cellStyle name="표준 9 10 2 8 2" xfId="44960"/>
    <cellStyle name="표준 9 10 2 9 2" xfId="44961"/>
    <cellStyle name="표준 9 10 3 2 2 2 2 2" xfId="44962"/>
    <cellStyle name="표준 9 10 3 2 2 3 3" xfId="44963"/>
    <cellStyle name="표준 9 10 3 2 2 3 2 2" xfId="44964"/>
    <cellStyle name="표준 9 10 3 2 2 4 2" xfId="44965"/>
    <cellStyle name="표준 9 10 3 2 2 5 2" xfId="44966"/>
    <cellStyle name="표준 9 10 3 2 3 2 2 2" xfId="44967"/>
    <cellStyle name="표준 9 10 3 2 3 3 3" xfId="44968"/>
    <cellStyle name="표준 9 10 3 2 3 3 2 2" xfId="44969"/>
    <cellStyle name="표준 9 10 3 2 3 4 2" xfId="44970"/>
    <cellStyle name="표준 9 10 3 2 3 5 2" xfId="44971"/>
    <cellStyle name="표준 9 10 3 2 4 2 2" xfId="44972"/>
    <cellStyle name="표준 9 10 3 2 5 3" xfId="44973"/>
    <cellStyle name="표준 9 10 3 2 5 2 2" xfId="44974"/>
    <cellStyle name="표준 9 10 3 2 6 2" xfId="44975"/>
    <cellStyle name="표준 9 10 3 2 7 2" xfId="44976"/>
    <cellStyle name="표준 9 10 3 3 2 2 2" xfId="44977"/>
    <cellStyle name="표준 9 10 3 3 3 3" xfId="44978"/>
    <cellStyle name="표준 9 10 3 3 3 2 2" xfId="44979"/>
    <cellStyle name="표준 9 10 3 3 4 2" xfId="44980"/>
    <cellStyle name="표준 9 10 3 3 5 2" xfId="44981"/>
    <cellStyle name="표준 9 10 3 4 2 2 2" xfId="44982"/>
    <cellStyle name="표준 9 10 3 4 3 3" xfId="44983"/>
    <cellStyle name="표준 9 10 3 4 3 2 2" xfId="44984"/>
    <cellStyle name="표준 9 10 3 4 4 2" xfId="44985"/>
    <cellStyle name="표준 9 10 3 4 5 2" xfId="44986"/>
    <cellStyle name="표준 9 10 3 5 2 2" xfId="44987"/>
    <cellStyle name="표준 9 10 3 6 3" xfId="44988"/>
    <cellStyle name="표준 9 10 3 6 2 2" xfId="44989"/>
    <cellStyle name="표준 9 10 3 7 2" xfId="44990"/>
    <cellStyle name="표준 9 10 3 8 2" xfId="44991"/>
    <cellStyle name="표준 9 10 4 2 2 2 2" xfId="44992"/>
    <cellStyle name="표준 9 10 4 2 3 3" xfId="44993"/>
    <cellStyle name="표준 9 10 4 2 3 2 2" xfId="44994"/>
    <cellStyle name="표준 9 10 4 2 4 2" xfId="44995"/>
    <cellStyle name="표준 9 10 4 2 5 2" xfId="44996"/>
    <cellStyle name="표준 9 10 4 3 2 2 2" xfId="44997"/>
    <cellStyle name="표준 9 10 4 3 3 3" xfId="44998"/>
    <cellStyle name="표준 9 10 4 3 3 2 2" xfId="44999"/>
    <cellStyle name="표준 9 10 4 3 4 2" xfId="45000"/>
    <cellStyle name="표준 9 10 4 3 5 2" xfId="45001"/>
    <cellStyle name="표준 9 10 4 4 2 2" xfId="45002"/>
    <cellStyle name="표준 9 10 4 5 3" xfId="45003"/>
    <cellStyle name="표준 9 10 4 5 2 2" xfId="45004"/>
    <cellStyle name="표준 9 10 4 6 2" xfId="45005"/>
    <cellStyle name="표준 9 10 4 7 2" xfId="45006"/>
    <cellStyle name="표준 9 10 5 2 2 2" xfId="45007"/>
    <cellStyle name="표준 9 10 5 3 3" xfId="45008"/>
    <cellStyle name="표준 9 10 5 3 2 2" xfId="45009"/>
    <cellStyle name="표준 9 10 5 4 2" xfId="45010"/>
    <cellStyle name="표준 9 10 5 5 2" xfId="45011"/>
    <cellStyle name="표준 9 10 6 2 2 2" xfId="45012"/>
    <cellStyle name="표준 9 10 6 3 3" xfId="45013"/>
    <cellStyle name="표준 9 10 6 3 2 2" xfId="45014"/>
    <cellStyle name="표준 9 10 6 4 2" xfId="45015"/>
    <cellStyle name="표준 9 10 6 5 2" xfId="45016"/>
    <cellStyle name="표준 9 10 7 2 2" xfId="45017"/>
    <cellStyle name="표준 9 10 8 3" xfId="45018"/>
    <cellStyle name="표준 9 10 8 2 2" xfId="45019"/>
    <cellStyle name="표준 9 10 9 2" xfId="45020"/>
    <cellStyle name="표준 9 11 10 2" xfId="45021"/>
    <cellStyle name="표준 9 11 2 2 2 2 2 2 2" xfId="45022"/>
    <cellStyle name="표준 9 11 2 2 2 2 3 3" xfId="45023"/>
    <cellStyle name="표준 9 11 2 2 2 2 3 2 2" xfId="45024"/>
    <cellStyle name="표준 9 11 2 2 2 2 4 2" xfId="45025"/>
    <cellStyle name="표준 9 11 2 2 2 2 5 2" xfId="45026"/>
    <cellStyle name="표준 9 11 2 2 2 3 2 2 2" xfId="45027"/>
    <cellStyle name="표준 9 11 2 2 2 3 3 3" xfId="45028"/>
    <cellStyle name="표준 9 11 2 2 2 3 3 2 2" xfId="45029"/>
    <cellStyle name="표준 9 11 2 2 2 3 4 2" xfId="45030"/>
    <cellStyle name="표준 9 11 2 2 2 3 5 2" xfId="45031"/>
    <cellStyle name="표준 9 11 2 2 2 4 2 2" xfId="45032"/>
    <cellStyle name="표준 9 11 2 2 2 5 3" xfId="45033"/>
    <cellStyle name="표준 9 11 2 2 2 5 2 2" xfId="45034"/>
    <cellStyle name="표준 9 11 2 2 2 6 2" xfId="45035"/>
    <cellStyle name="표준 9 11 2 2 2 7 2" xfId="45036"/>
    <cellStyle name="표준 9 11 2 2 3 2 2 2" xfId="45037"/>
    <cellStyle name="표준 9 11 2 2 3 3 3" xfId="45038"/>
    <cellStyle name="표준 9 11 2 2 3 3 2 2" xfId="45039"/>
    <cellStyle name="표준 9 11 2 2 3 4 2" xfId="45040"/>
    <cellStyle name="표준 9 11 2 2 3 5 2" xfId="45041"/>
    <cellStyle name="표준 9 11 2 2 4 2 2 2" xfId="45042"/>
    <cellStyle name="표준 9 11 2 2 4 3 3" xfId="45043"/>
    <cellStyle name="표준 9 11 2 2 4 3 2 2" xfId="45044"/>
    <cellStyle name="표준 9 11 2 2 4 4 2" xfId="45045"/>
    <cellStyle name="표준 9 11 2 2 4 5 2" xfId="45046"/>
    <cellStyle name="표준 9 11 2 2 5 2 2" xfId="45047"/>
    <cellStyle name="표준 9 11 2 2 6 3" xfId="45048"/>
    <cellStyle name="표준 9 11 2 2 6 2 2" xfId="45049"/>
    <cellStyle name="표준 9 11 2 2 7 2" xfId="45050"/>
    <cellStyle name="표준 9 11 2 2 8 2" xfId="45051"/>
    <cellStyle name="표준 9 11 2 3 2 2 2 2" xfId="45052"/>
    <cellStyle name="표준 9 11 2 3 2 3 3" xfId="45053"/>
    <cellStyle name="표준 9 11 2 3 2 3 2 2" xfId="45054"/>
    <cellStyle name="표준 9 11 2 3 2 4 2" xfId="45055"/>
    <cellStyle name="표준 9 11 2 3 2 5 2" xfId="45056"/>
    <cellStyle name="표준 9 11 2 3 3 2 2 2" xfId="45057"/>
    <cellStyle name="표준 9 11 2 3 3 3 3" xfId="45058"/>
    <cellStyle name="표준 9 11 2 3 3 3 2 2" xfId="45059"/>
    <cellStyle name="표준 9 11 2 3 3 4 2" xfId="45060"/>
    <cellStyle name="표준 9 11 2 3 3 5 2" xfId="45061"/>
    <cellStyle name="표준 9 11 2 3 4 2 2" xfId="45062"/>
    <cellStyle name="표준 9 11 2 3 5 3" xfId="45063"/>
    <cellStyle name="표준 9 11 2 3 5 2 2" xfId="45064"/>
    <cellStyle name="표준 9 11 2 3 6 2" xfId="45065"/>
    <cellStyle name="표준 9 11 2 3 7 2" xfId="45066"/>
    <cellStyle name="표준 9 11 2 4 2 2 2" xfId="45067"/>
    <cellStyle name="표준 9 11 2 4 3 3" xfId="45068"/>
    <cellStyle name="표준 9 11 2 4 3 2 2" xfId="45069"/>
    <cellStyle name="표준 9 11 2 4 4 2" xfId="45070"/>
    <cellStyle name="표준 9 11 2 4 5 2" xfId="45071"/>
    <cellStyle name="표준 9 11 2 5 2 2 2" xfId="45072"/>
    <cellStyle name="표준 9 11 2 5 3 3" xfId="45073"/>
    <cellStyle name="표준 9 11 2 5 3 2 2" xfId="45074"/>
    <cellStyle name="표준 9 11 2 5 4 2" xfId="45075"/>
    <cellStyle name="표준 9 11 2 5 5 2" xfId="45076"/>
    <cellStyle name="표준 9 11 2 6 2 2" xfId="45077"/>
    <cellStyle name="표준 9 11 2 7 3" xfId="45078"/>
    <cellStyle name="표준 9 11 2 7 2 2" xfId="45079"/>
    <cellStyle name="표준 9 11 2 8 2" xfId="45080"/>
    <cellStyle name="표준 9 11 2 9 2" xfId="45081"/>
    <cellStyle name="표준 9 11 3 2 2 2 2 2" xfId="45082"/>
    <cellStyle name="표준 9 11 3 2 2 3 3" xfId="45083"/>
    <cellStyle name="표준 9 11 3 2 2 3 2 2" xfId="45084"/>
    <cellStyle name="표준 9 11 3 2 2 4 2" xfId="45085"/>
    <cellStyle name="표준 9 11 3 2 2 5 2" xfId="45086"/>
    <cellStyle name="표준 9 11 3 2 3 2 2 2" xfId="45087"/>
    <cellStyle name="표준 9 11 3 2 3 3 3" xfId="45088"/>
    <cellStyle name="표준 9 11 3 2 3 3 2 2" xfId="45089"/>
    <cellStyle name="표준 9 11 3 2 3 4 2" xfId="45090"/>
    <cellStyle name="표준 9 11 3 2 3 5 2" xfId="45091"/>
    <cellStyle name="표준 9 11 3 2 4 2 2" xfId="45092"/>
    <cellStyle name="표준 9 11 3 2 5 3" xfId="45093"/>
    <cellStyle name="표준 9 11 3 2 5 2 2" xfId="45094"/>
    <cellStyle name="표준 9 11 3 2 6 2" xfId="45095"/>
    <cellStyle name="표준 9 11 3 2 7 2" xfId="45096"/>
    <cellStyle name="표준 9 11 3 3 2 2 2" xfId="45097"/>
    <cellStyle name="표준 9 11 3 3 3 3" xfId="45098"/>
    <cellStyle name="표준 9 11 3 3 3 2 2" xfId="45099"/>
    <cellStyle name="표준 9 11 3 3 4 2" xfId="45100"/>
    <cellStyle name="표준 9 11 3 3 5 2" xfId="45101"/>
    <cellStyle name="표준 9 11 3 4 2 2 2" xfId="45102"/>
    <cellStyle name="표준 9 11 3 4 3 3" xfId="45103"/>
    <cellStyle name="표준 9 11 3 4 3 2 2" xfId="45104"/>
    <cellStyle name="표준 9 11 3 4 4 2" xfId="45105"/>
    <cellStyle name="표준 9 11 3 4 5 2" xfId="45106"/>
    <cellStyle name="표준 9 11 3 5 2 2" xfId="45107"/>
    <cellStyle name="표준 9 11 3 6 3" xfId="45108"/>
    <cellStyle name="표준 9 11 3 6 2 2" xfId="45109"/>
    <cellStyle name="표준 9 11 3 7 2" xfId="45110"/>
    <cellStyle name="표준 9 11 3 8 2" xfId="45111"/>
    <cellStyle name="표준 9 11 4 2 2 2 2" xfId="45112"/>
    <cellStyle name="표준 9 11 4 2 3 3" xfId="45113"/>
    <cellStyle name="표준 9 11 4 2 3 2 2" xfId="45114"/>
    <cellStyle name="표준 9 11 4 2 4 2" xfId="45115"/>
    <cellStyle name="표준 9 11 4 2 5 2" xfId="45116"/>
    <cellStyle name="표준 9 11 4 3 2 2 2" xfId="45117"/>
    <cellStyle name="표준 9 11 4 3 3 3" xfId="45118"/>
    <cellStyle name="표준 9 11 4 3 3 2 2" xfId="45119"/>
    <cellStyle name="표준 9 11 4 3 4 2" xfId="45120"/>
    <cellStyle name="표준 9 11 4 3 5 2" xfId="45121"/>
    <cellStyle name="표준 9 11 4 4 2 2" xfId="45122"/>
    <cellStyle name="표준 9 11 4 5 3" xfId="45123"/>
    <cellStyle name="표준 9 11 4 5 2 2" xfId="45124"/>
    <cellStyle name="표준 9 11 4 6 2" xfId="45125"/>
    <cellStyle name="표준 9 11 4 7 2" xfId="45126"/>
    <cellStyle name="표준 9 11 5 2 2 2" xfId="45127"/>
    <cellStyle name="표준 9 11 5 3 3" xfId="45128"/>
    <cellStyle name="표준 9 11 5 3 2 2" xfId="45129"/>
    <cellStyle name="표준 9 11 5 4 2" xfId="45130"/>
    <cellStyle name="표준 9 11 5 5 2" xfId="45131"/>
    <cellStyle name="표준 9 11 6 2 2 2" xfId="45132"/>
    <cellStyle name="표준 9 11 6 3 3" xfId="45133"/>
    <cellStyle name="표준 9 11 6 3 2 2" xfId="45134"/>
    <cellStyle name="표준 9 11 6 4 2" xfId="45135"/>
    <cellStyle name="표준 9 11 6 5 2" xfId="45136"/>
    <cellStyle name="표준 9 11 7 2 2" xfId="45137"/>
    <cellStyle name="표준 9 11 8 3" xfId="45138"/>
    <cellStyle name="표준 9 11 8 2 2" xfId="45139"/>
    <cellStyle name="표준 9 11 9 2" xfId="45140"/>
    <cellStyle name="표준 9 12 10 2" xfId="45141"/>
    <cellStyle name="표준 9 12 2 2 2 2 2 2 2" xfId="45142"/>
    <cellStyle name="표준 9 12 2 2 2 2 3 3" xfId="45143"/>
    <cellStyle name="표준 9 12 2 2 2 2 3 2 2" xfId="45144"/>
    <cellStyle name="표준 9 12 2 2 2 2 4 2" xfId="45145"/>
    <cellStyle name="표준 9 12 2 2 2 2 5 2" xfId="45146"/>
    <cellStyle name="표준 9 12 2 2 2 3 2 2 2" xfId="45147"/>
    <cellStyle name="표준 9 12 2 2 2 3 3 3" xfId="45148"/>
    <cellStyle name="표준 9 12 2 2 2 3 3 2 2" xfId="45149"/>
    <cellStyle name="표준 9 12 2 2 2 3 4 2" xfId="45150"/>
    <cellStyle name="표준 9 12 2 2 2 3 5 2" xfId="45151"/>
    <cellStyle name="표준 9 12 2 2 2 4 2 2" xfId="45152"/>
    <cellStyle name="표준 9 12 2 2 2 5 3" xfId="45153"/>
    <cellStyle name="표준 9 12 2 2 2 5 2 2" xfId="45154"/>
    <cellStyle name="표준 9 12 2 2 2 6 2" xfId="45155"/>
    <cellStyle name="표준 9 12 2 2 2 7 2" xfId="45156"/>
    <cellStyle name="표준 9 12 2 2 3 2 2 2" xfId="45157"/>
    <cellStyle name="표준 9 12 2 2 3 3 3" xfId="45158"/>
    <cellStyle name="표준 9 12 2 2 3 3 2 2" xfId="45159"/>
    <cellStyle name="표준 9 12 2 2 3 4 2" xfId="45160"/>
    <cellStyle name="표준 9 12 2 2 3 5 2" xfId="45161"/>
    <cellStyle name="표준 9 12 2 2 4 2 2 2" xfId="45162"/>
    <cellStyle name="표준 9 12 2 2 4 3 3" xfId="45163"/>
    <cellStyle name="표준 9 12 2 2 4 3 2 2" xfId="45164"/>
    <cellStyle name="표준 9 12 2 2 4 4 2" xfId="45165"/>
    <cellStyle name="표준 9 12 2 2 4 5 2" xfId="45166"/>
    <cellStyle name="표준 9 12 2 2 5 2 2" xfId="45167"/>
    <cellStyle name="표준 9 12 2 2 6 3" xfId="45168"/>
    <cellStyle name="표준 9 12 2 2 6 2 2" xfId="45169"/>
    <cellStyle name="표준 9 12 2 2 7 2" xfId="45170"/>
    <cellStyle name="표준 9 12 2 2 8 2" xfId="45171"/>
    <cellStyle name="표준 9 12 2 3 2 2 2 2" xfId="45172"/>
    <cellStyle name="표준 9 12 2 3 2 3 3" xfId="45173"/>
    <cellStyle name="표준 9 12 2 3 2 3 2 2" xfId="45174"/>
    <cellStyle name="표준 9 12 2 3 2 4 2" xfId="45175"/>
    <cellStyle name="표준 9 12 2 3 2 5 2" xfId="45176"/>
    <cellStyle name="표준 9 12 2 3 3 2 2 2" xfId="45177"/>
    <cellStyle name="표준 9 12 2 3 3 3 3" xfId="45178"/>
    <cellStyle name="표준 9 12 2 3 3 3 2 2" xfId="45179"/>
    <cellStyle name="표준 9 12 2 3 3 4 2" xfId="45180"/>
    <cellStyle name="표준 9 12 2 3 3 5 2" xfId="45181"/>
    <cellStyle name="표준 9 12 2 3 4 2 2" xfId="45182"/>
    <cellStyle name="표준 9 12 2 3 5 3" xfId="45183"/>
    <cellStyle name="표준 9 12 2 3 5 2 2" xfId="45184"/>
    <cellStyle name="표준 9 12 2 3 6 2" xfId="45185"/>
    <cellStyle name="표준 9 12 2 3 7 2" xfId="45186"/>
    <cellStyle name="표준 9 12 2 4 2 2 2" xfId="45187"/>
    <cellStyle name="표준 9 12 2 4 3 3" xfId="45188"/>
    <cellStyle name="표준 9 12 2 4 3 2 2" xfId="45189"/>
    <cellStyle name="표준 9 12 2 4 4 2" xfId="45190"/>
    <cellStyle name="표준 9 12 2 4 5 2" xfId="45191"/>
    <cellStyle name="표준 9 12 2 5 2 2 2" xfId="45192"/>
    <cellStyle name="표준 9 12 2 5 3 3" xfId="45193"/>
    <cellStyle name="표준 9 12 2 5 3 2 2" xfId="45194"/>
    <cellStyle name="표준 9 12 2 5 4 2" xfId="45195"/>
    <cellStyle name="표준 9 12 2 5 5 2" xfId="45196"/>
    <cellStyle name="표준 9 12 2 6 2 2" xfId="45197"/>
    <cellStyle name="표준 9 12 2 7 3" xfId="45198"/>
    <cellStyle name="표준 9 12 2 7 2 2" xfId="45199"/>
    <cellStyle name="표준 9 12 2 8 2" xfId="45200"/>
    <cellStyle name="표준 9 12 2 9 2" xfId="45201"/>
    <cellStyle name="표준 9 12 3 2 2 2 2 2" xfId="45202"/>
    <cellStyle name="표준 9 12 3 2 2 3 3" xfId="45203"/>
    <cellStyle name="표준 9 12 3 2 2 3 2 2" xfId="45204"/>
    <cellStyle name="표준 9 12 3 2 2 4 2" xfId="45205"/>
    <cellStyle name="표준 9 12 3 2 2 5 2" xfId="45206"/>
    <cellStyle name="표준 9 12 3 2 3 2 2 2" xfId="45207"/>
    <cellStyle name="표준 9 12 3 2 3 3 3" xfId="45208"/>
    <cellStyle name="표준 9 12 3 2 3 3 2 2" xfId="45209"/>
    <cellStyle name="표준 9 12 3 2 3 4 2" xfId="45210"/>
    <cellStyle name="표준 9 12 3 2 3 5 2" xfId="45211"/>
    <cellStyle name="표준 9 12 3 2 4 2 2" xfId="45212"/>
    <cellStyle name="표준 9 12 3 2 5 3" xfId="45213"/>
    <cellStyle name="표준 9 12 3 2 5 2 2" xfId="45214"/>
    <cellStyle name="표준 9 12 3 2 6 2" xfId="45215"/>
    <cellStyle name="표준 9 12 3 2 7 2" xfId="45216"/>
    <cellStyle name="표준 9 12 3 3 2 2 2" xfId="45217"/>
    <cellStyle name="표준 9 12 3 3 3 3" xfId="45218"/>
    <cellStyle name="표준 9 12 3 3 3 2 2" xfId="45219"/>
    <cellStyle name="표준 9 12 3 3 4 2" xfId="45220"/>
    <cellStyle name="표준 9 12 3 3 5 2" xfId="45221"/>
    <cellStyle name="표준 9 12 3 4 2 2 2" xfId="45222"/>
    <cellStyle name="표준 9 12 3 4 3 3" xfId="45223"/>
    <cellStyle name="표준 9 12 3 4 3 2 2" xfId="45224"/>
    <cellStyle name="표준 9 12 3 4 4 2" xfId="45225"/>
    <cellStyle name="표준 9 12 3 4 5 2" xfId="45226"/>
    <cellStyle name="표준 9 12 3 5 2 2" xfId="45227"/>
    <cellStyle name="표준 9 12 3 6 3" xfId="45228"/>
    <cellStyle name="표준 9 12 3 6 2 2" xfId="45229"/>
    <cellStyle name="표준 9 12 3 7 2" xfId="45230"/>
    <cellStyle name="표준 9 12 3 8 2" xfId="45231"/>
    <cellStyle name="표준 9 12 4 2 2 2 2" xfId="45232"/>
    <cellStyle name="표준 9 12 4 2 3 3" xfId="45233"/>
    <cellStyle name="표준 9 12 4 2 3 2 2" xfId="45234"/>
    <cellStyle name="표준 9 12 4 2 4 2" xfId="45235"/>
    <cellStyle name="표준 9 12 4 2 5 2" xfId="45236"/>
    <cellStyle name="표준 9 12 4 3 2 2 2" xfId="45237"/>
    <cellStyle name="표준 9 12 4 3 3 3" xfId="45238"/>
    <cellStyle name="표준 9 12 4 3 3 2 2" xfId="45239"/>
    <cellStyle name="표준 9 12 4 3 4 2" xfId="45240"/>
    <cellStyle name="표준 9 12 4 3 5 2" xfId="45241"/>
    <cellStyle name="표준 9 12 4 4 2 2" xfId="45242"/>
    <cellStyle name="표준 9 12 4 5 3" xfId="45243"/>
    <cellStyle name="표준 9 12 4 5 2 2" xfId="45244"/>
    <cellStyle name="표준 9 12 4 6 2" xfId="45245"/>
    <cellStyle name="표준 9 12 4 7 2" xfId="45246"/>
    <cellStyle name="표준 9 12 5 2 2 2" xfId="45247"/>
    <cellStyle name="표준 9 12 5 3 3" xfId="45248"/>
    <cellStyle name="표준 9 12 5 3 2 2" xfId="45249"/>
    <cellStyle name="표준 9 12 5 4 2" xfId="45250"/>
    <cellStyle name="표준 9 12 5 5 2" xfId="45251"/>
    <cellStyle name="표준 9 12 6 2 2 2" xfId="45252"/>
    <cellStyle name="표준 9 12 6 3 3" xfId="45253"/>
    <cellStyle name="표준 9 12 6 3 2 2" xfId="45254"/>
    <cellStyle name="표준 9 12 6 4 2" xfId="45255"/>
    <cellStyle name="표준 9 12 6 5 2" xfId="45256"/>
    <cellStyle name="표준 9 12 7 2 2" xfId="45257"/>
    <cellStyle name="표준 9 12 8 3" xfId="45258"/>
    <cellStyle name="표준 9 12 8 2 2" xfId="45259"/>
    <cellStyle name="표준 9 12 9 2" xfId="45260"/>
    <cellStyle name="표준 9 14 2 2 2 2 2 2" xfId="45261"/>
    <cellStyle name="표준 9 14 2 2 2 3 3" xfId="45262"/>
    <cellStyle name="표준 9 14 2 2 2 3 2 2" xfId="45263"/>
    <cellStyle name="표준 9 14 2 2 2 4 2" xfId="45264"/>
    <cellStyle name="표준 9 14 2 2 2 5 2" xfId="45265"/>
    <cellStyle name="표준 9 14 2 2 3 2 2 2" xfId="45266"/>
    <cellStyle name="표준 9 14 2 2 3 3 3" xfId="45267"/>
    <cellStyle name="표준 9 14 2 2 3 3 2 2" xfId="45268"/>
    <cellStyle name="표준 9 14 2 2 3 4 2" xfId="45269"/>
    <cellStyle name="표준 9 14 2 2 3 5 2" xfId="45270"/>
    <cellStyle name="표준 9 14 2 2 4 2 2" xfId="45271"/>
    <cellStyle name="표준 9 14 2 2 5 3" xfId="45272"/>
    <cellStyle name="표준 9 14 2 2 5 2 2" xfId="45273"/>
    <cellStyle name="표준 9 14 2 2 6 2" xfId="45274"/>
    <cellStyle name="표준 9 14 2 2 7 2" xfId="45275"/>
    <cellStyle name="표준 9 14 2 3 2 2 2" xfId="45276"/>
    <cellStyle name="표준 9 14 2 3 3 3" xfId="45277"/>
    <cellStyle name="표준 9 14 2 3 3 2 2" xfId="45278"/>
    <cellStyle name="표준 9 14 2 3 4 2" xfId="45279"/>
    <cellStyle name="표준 9 14 2 3 5 2" xfId="45280"/>
    <cellStyle name="표준 9 14 2 4 2 2 2" xfId="45281"/>
    <cellStyle name="표준 9 14 2 4 3 3" xfId="45282"/>
    <cellStyle name="표준 9 14 2 4 3 2 2" xfId="45283"/>
    <cellStyle name="표준 9 14 2 4 4 2" xfId="45284"/>
    <cellStyle name="표준 9 14 2 4 5 2" xfId="45285"/>
    <cellStyle name="표준 9 14 2 5 2 2" xfId="45286"/>
    <cellStyle name="표준 9 14 2 6 3" xfId="45287"/>
    <cellStyle name="표준 9 14 2 6 2 2" xfId="45288"/>
    <cellStyle name="표준 9 14 2 7 2" xfId="45289"/>
    <cellStyle name="표준 9 14 2 8 2" xfId="45290"/>
    <cellStyle name="표준 9 14 3 2 2 2 2" xfId="45291"/>
    <cellStyle name="표준 9 14 3 2 3 3" xfId="45292"/>
    <cellStyle name="표준 9 14 3 2 3 2 2" xfId="45293"/>
    <cellStyle name="표준 9 14 3 2 4 2" xfId="45294"/>
    <cellStyle name="표준 9 14 3 2 5 2" xfId="45295"/>
    <cellStyle name="표준 9 14 3 3 2 2 2" xfId="45296"/>
    <cellStyle name="표준 9 14 3 3 3 3" xfId="45297"/>
    <cellStyle name="표준 9 14 3 3 3 2 2" xfId="45298"/>
    <cellStyle name="표준 9 14 3 3 4 2" xfId="45299"/>
    <cellStyle name="표준 9 14 3 3 5 2" xfId="45300"/>
    <cellStyle name="표준 9 14 3 4 2 2" xfId="45301"/>
    <cellStyle name="표준 9 14 3 5 3" xfId="45302"/>
    <cellStyle name="표준 9 14 3 5 2 2" xfId="45303"/>
    <cellStyle name="표준 9 14 3 6 2" xfId="45304"/>
    <cellStyle name="표준 9 14 3 7 2" xfId="45305"/>
    <cellStyle name="표준 9 14 4 2 2 2" xfId="45306"/>
    <cellStyle name="표준 9 14 4 3 3" xfId="45307"/>
    <cellStyle name="표준 9 14 4 3 2 2" xfId="45308"/>
    <cellStyle name="표준 9 14 4 4 2" xfId="45309"/>
    <cellStyle name="표준 9 14 4 5 2" xfId="45310"/>
    <cellStyle name="표준 9 14 5 2 2 2" xfId="45311"/>
    <cellStyle name="표준 9 14 5 3 3" xfId="45312"/>
    <cellStyle name="표준 9 14 5 3 2 2" xfId="45313"/>
    <cellStyle name="표준 9 14 5 4 2" xfId="45314"/>
    <cellStyle name="표준 9 14 5 5 2" xfId="45315"/>
    <cellStyle name="표준 9 14 6 2 2" xfId="45316"/>
    <cellStyle name="표준 9 14 7 3" xfId="45317"/>
    <cellStyle name="표준 9 14 7 2 2" xfId="45318"/>
    <cellStyle name="표준 9 14 8 2" xfId="45319"/>
    <cellStyle name="표준 9 14 9 2" xfId="45320"/>
    <cellStyle name="표준 9 15 2 2 2 2 2" xfId="45321"/>
    <cellStyle name="표준 9 15 2 2 3 3" xfId="45322"/>
    <cellStyle name="표준 9 15 2 2 3 2 2" xfId="45323"/>
    <cellStyle name="표준 9 15 2 2 4 2" xfId="45324"/>
    <cellStyle name="표준 9 15 2 2 5 2" xfId="45325"/>
    <cellStyle name="표준 9 15 2 3 2 2 2" xfId="45326"/>
    <cellStyle name="표준 9 15 2 3 3 3" xfId="45327"/>
    <cellStyle name="표준 9 15 2 3 3 2 2" xfId="45328"/>
    <cellStyle name="표준 9 15 2 3 4 2" xfId="45329"/>
    <cellStyle name="표준 9 15 2 3 5 2" xfId="45330"/>
    <cellStyle name="표준 9 15 2 4 2 2" xfId="45331"/>
    <cellStyle name="표준 9 15 2 5 3" xfId="45332"/>
    <cellStyle name="표준 9 15 2 5 2 2" xfId="45333"/>
    <cellStyle name="표준 9 15 2 6 2" xfId="45334"/>
    <cellStyle name="표준 9 15 2 7 2" xfId="45335"/>
    <cellStyle name="표준 9 15 3 2 2 2" xfId="45336"/>
    <cellStyle name="표준 9 15 3 3 3" xfId="45337"/>
    <cellStyle name="표준 9 15 3 3 2 2" xfId="45338"/>
    <cellStyle name="표준 9 15 3 4 2" xfId="45339"/>
    <cellStyle name="표준 9 15 3 5 2" xfId="45340"/>
    <cellStyle name="표준 9 15 4 2 2 2" xfId="45341"/>
    <cellStyle name="표준 9 15 4 3 3" xfId="45342"/>
    <cellStyle name="표준 9 15 4 3 2 2" xfId="45343"/>
    <cellStyle name="표준 9 15 4 4 2" xfId="45344"/>
    <cellStyle name="표준 9 15 4 5 2" xfId="45345"/>
    <cellStyle name="표준 9 15 5 2 2" xfId="45346"/>
    <cellStyle name="표준 9 15 6 3" xfId="45347"/>
    <cellStyle name="표준 9 15 6 2 2" xfId="45348"/>
    <cellStyle name="표준 9 15 7 2" xfId="45349"/>
    <cellStyle name="표준 9 15 8 2" xfId="45350"/>
    <cellStyle name="표준 9 16 2 2 2 2" xfId="45351"/>
    <cellStyle name="표준 9 16 2 3 3" xfId="45352"/>
    <cellStyle name="표준 9 16 2 3 2 2" xfId="45353"/>
    <cellStyle name="표준 9 16 2 4 2" xfId="45354"/>
    <cellStyle name="표준 9 16 2 5 2" xfId="45355"/>
    <cellStyle name="표준 9 16 3 2 2 2" xfId="45356"/>
    <cellStyle name="표준 9 16 3 3 3" xfId="45357"/>
    <cellStyle name="표준 9 16 3 3 2 2" xfId="45358"/>
    <cellStyle name="표준 9 16 3 4 2" xfId="45359"/>
    <cellStyle name="표준 9 16 3 5 2" xfId="45360"/>
    <cellStyle name="표준 9 16 4 2 2" xfId="45361"/>
    <cellStyle name="표준 9 16 5 3" xfId="45362"/>
    <cellStyle name="표준 9 16 5 2 2" xfId="45363"/>
    <cellStyle name="표준 9 16 6 2" xfId="45364"/>
    <cellStyle name="표준 9 16 7 2" xfId="45365"/>
    <cellStyle name="표준 9 17 2 2 2" xfId="45366"/>
    <cellStyle name="표준 9 17 3 3" xfId="45367"/>
    <cellStyle name="표준 9 17 3 2 2" xfId="45368"/>
    <cellStyle name="표준 9 17 4 2" xfId="45369"/>
    <cellStyle name="표준 9 17 5 2" xfId="45370"/>
    <cellStyle name="표준 9 18 2 2 2" xfId="45371"/>
    <cellStyle name="표준 9 18 3 3" xfId="45372"/>
    <cellStyle name="표준 9 18 3 2 2" xfId="45373"/>
    <cellStyle name="표준 9 18 4 2" xfId="45374"/>
    <cellStyle name="표준 9 18 5 2" xfId="45375"/>
    <cellStyle name="표준 9 19 2 2" xfId="45376"/>
    <cellStyle name="표준 9 2 10 2 2" xfId="45377"/>
    <cellStyle name="표준 9 2 11 3" xfId="45378"/>
    <cellStyle name="표준 9 2 11 2 2" xfId="45379"/>
    <cellStyle name="표준 9 2 12 2" xfId="45380"/>
    <cellStyle name="표준 9 2 13 2" xfId="45381"/>
    <cellStyle name="표준 9 2 2 10 2" xfId="45382"/>
    <cellStyle name="표준 9 2 2 2 2 2 2 2 2 2" xfId="45383"/>
    <cellStyle name="표준 9 2 2 2 2 2 2 3 3" xfId="45384"/>
    <cellStyle name="표준 9 2 2 2 2 2 2 3 2 2" xfId="45385"/>
    <cellStyle name="표준 9 2 2 2 2 2 2 4 2" xfId="45386"/>
    <cellStyle name="표준 9 2 2 2 2 2 2 5 2" xfId="45387"/>
    <cellStyle name="표준 9 2 2 2 2 2 3 2 2 2" xfId="45388"/>
    <cellStyle name="표준 9 2 2 2 2 2 3 3 3" xfId="45389"/>
    <cellStyle name="표준 9 2 2 2 2 2 3 3 2 2" xfId="45390"/>
    <cellStyle name="표준 9 2 2 2 2 2 3 4 2" xfId="45391"/>
    <cellStyle name="표준 9 2 2 2 2 2 3 5 2" xfId="45392"/>
    <cellStyle name="표준 9 2 2 2 2 2 4 2 2" xfId="45393"/>
    <cellStyle name="표준 9 2 2 2 2 2 5 3" xfId="45394"/>
    <cellStyle name="표준 9 2 2 2 2 2 5 2 2" xfId="45395"/>
    <cellStyle name="표준 9 2 2 2 2 2 6 2" xfId="45396"/>
    <cellStyle name="표준 9 2 2 2 2 2 7 2" xfId="45397"/>
    <cellStyle name="표준 9 2 2 2 2 3 2 2 2" xfId="45398"/>
    <cellStyle name="표준 9 2 2 2 2 3 3 3" xfId="45399"/>
    <cellStyle name="표준 9 2 2 2 2 3 3 2 2" xfId="45400"/>
    <cellStyle name="표준 9 2 2 2 2 3 4 2" xfId="45401"/>
    <cellStyle name="표준 9 2 2 2 2 3 5 2" xfId="45402"/>
    <cellStyle name="표준 9 2 2 2 2 4 2 2 2" xfId="45403"/>
    <cellStyle name="표준 9 2 2 2 2 4 3 3" xfId="45404"/>
    <cellStyle name="표준 9 2 2 2 2 4 3 2 2" xfId="45405"/>
    <cellStyle name="표준 9 2 2 2 2 4 4 2" xfId="45406"/>
    <cellStyle name="표준 9 2 2 2 2 4 5 2" xfId="45407"/>
    <cellStyle name="표준 9 2 2 2 2 5 2 2" xfId="45408"/>
    <cellStyle name="표준 9 2 2 2 2 6 3" xfId="45409"/>
    <cellStyle name="표준 9 2 2 2 2 6 2 2" xfId="45410"/>
    <cellStyle name="표준 9 2 2 2 2 7 2" xfId="45411"/>
    <cellStyle name="표준 9 2 2 2 2 8 2" xfId="45412"/>
    <cellStyle name="표준 9 2 2 2 3 2 2 2 2" xfId="45413"/>
    <cellStyle name="표준 9 2 2 2 3 2 3 3" xfId="45414"/>
    <cellStyle name="표준 9 2 2 2 3 2 3 2 2" xfId="45415"/>
    <cellStyle name="표준 9 2 2 2 3 2 4 2" xfId="45416"/>
    <cellStyle name="표준 9 2 2 2 3 2 5 2" xfId="45417"/>
    <cellStyle name="표준 9 2 2 2 3 3 2 2 2" xfId="45418"/>
    <cellStyle name="표준 9 2 2 2 3 3 3 3" xfId="45419"/>
    <cellStyle name="표준 9 2 2 2 3 3 3 2 2" xfId="45420"/>
    <cellStyle name="표준 9 2 2 2 3 3 4 2" xfId="45421"/>
    <cellStyle name="표준 9 2 2 2 3 3 5 2" xfId="45422"/>
    <cellStyle name="표준 9 2 2 2 3 4 2 2" xfId="45423"/>
    <cellStyle name="표준 9 2 2 2 3 5 3" xfId="45424"/>
    <cellStyle name="표준 9 2 2 2 3 5 2 2" xfId="45425"/>
    <cellStyle name="표준 9 2 2 2 3 6 2" xfId="45426"/>
    <cellStyle name="표준 9 2 2 2 3 7 2" xfId="45427"/>
    <cellStyle name="표준 9 2 2 2 4 2 2 2" xfId="45428"/>
    <cellStyle name="표준 9 2 2 2 4 3 3" xfId="45429"/>
    <cellStyle name="표준 9 2 2 2 4 3 2 2" xfId="45430"/>
    <cellStyle name="표준 9 2 2 2 4 4 2" xfId="45431"/>
    <cellStyle name="표준 9 2 2 2 4 5 2" xfId="45432"/>
    <cellStyle name="표준 9 2 2 2 5 2 2 2" xfId="45433"/>
    <cellStyle name="표준 9 2 2 2 5 3 3" xfId="45434"/>
    <cellStyle name="표준 9 2 2 2 5 3 2 2" xfId="45435"/>
    <cellStyle name="표준 9 2 2 2 5 4 2" xfId="45436"/>
    <cellStyle name="표준 9 2 2 2 5 5 2" xfId="45437"/>
    <cellStyle name="표준 9 2 2 2 6 2 2" xfId="45438"/>
    <cellStyle name="표준 9 2 2 2 7 3" xfId="45439"/>
    <cellStyle name="표준 9 2 2 2 7 2 2" xfId="45440"/>
    <cellStyle name="표준 9 2 2 2 8 2" xfId="45441"/>
    <cellStyle name="표준 9 2 2 2 9 2" xfId="45442"/>
    <cellStyle name="표준 9 2 2 3 2 2 2 2 2" xfId="45443"/>
    <cellStyle name="표준 9 2 2 3 2 2 3 3" xfId="45444"/>
    <cellStyle name="표준 9 2 2 3 2 2 3 2 2" xfId="45445"/>
    <cellStyle name="표준 9 2 2 3 2 2 4 2" xfId="45446"/>
    <cellStyle name="표준 9 2 2 3 2 2 5 2" xfId="45447"/>
    <cellStyle name="표준 9 2 2 3 2 3 2 2 2" xfId="45448"/>
    <cellStyle name="표준 9 2 2 3 2 3 3 3" xfId="45449"/>
    <cellStyle name="표준 9 2 2 3 2 3 3 2 2" xfId="45450"/>
    <cellStyle name="표준 9 2 2 3 2 3 4 2" xfId="45451"/>
    <cellStyle name="표준 9 2 2 3 2 3 5 2" xfId="45452"/>
    <cellStyle name="표준 9 2 2 3 2 4 2 2" xfId="45453"/>
    <cellStyle name="표준 9 2 2 3 2 5 3" xfId="45454"/>
    <cellStyle name="표준 9 2 2 3 2 5 2 2" xfId="45455"/>
    <cellStyle name="표준 9 2 2 3 2 6 2" xfId="45456"/>
    <cellStyle name="표준 9 2 2 3 2 7 2" xfId="45457"/>
    <cellStyle name="표준 9 2 2 3 3 2 2 2" xfId="45458"/>
    <cellStyle name="표준 9 2 2 3 3 3 3" xfId="45459"/>
    <cellStyle name="표준 9 2 2 3 3 3 2 2" xfId="45460"/>
    <cellStyle name="표준 9 2 2 3 3 4 2" xfId="45461"/>
    <cellStyle name="표준 9 2 2 3 3 5 2" xfId="45462"/>
    <cellStyle name="표준 9 2 2 3 4 2 2 2" xfId="45463"/>
    <cellStyle name="표준 9 2 2 3 4 3 3" xfId="45464"/>
    <cellStyle name="표준 9 2 2 3 4 3 2 2" xfId="45465"/>
    <cellStyle name="표준 9 2 2 3 4 4 2" xfId="45466"/>
    <cellStyle name="표준 9 2 2 3 4 5 2" xfId="45467"/>
    <cellStyle name="표준 9 2 2 3 5 2 2" xfId="45468"/>
    <cellStyle name="표준 9 2 2 3 6 3" xfId="45469"/>
    <cellStyle name="표준 9 2 2 3 6 2 2" xfId="45470"/>
    <cellStyle name="표준 9 2 2 3 7 2" xfId="45471"/>
    <cellStyle name="표준 9 2 2 3 8 2" xfId="45472"/>
    <cellStyle name="표준 9 2 2 4 2 2 2 2" xfId="45473"/>
    <cellStyle name="표준 9 2 2 4 2 3 3" xfId="45474"/>
    <cellStyle name="표준 9 2 2 4 2 3 2 2" xfId="45475"/>
    <cellStyle name="표준 9 2 2 4 2 4 2" xfId="45476"/>
    <cellStyle name="표준 9 2 2 4 2 5 2" xfId="45477"/>
    <cellStyle name="표준 9 2 2 4 3 2 2 2" xfId="45478"/>
    <cellStyle name="표준 9 2 2 4 3 3 3" xfId="45479"/>
    <cellStyle name="표준 9 2 2 4 3 3 2 2" xfId="45480"/>
    <cellStyle name="표준 9 2 2 4 3 4 2" xfId="45481"/>
    <cellStyle name="표준 9 2 2 4 3 5 2" xfId="45482"/>
    <cellStyle name="표준 9 2 2 4 4 2 2" xfId="45483"/>
    <cellStyle name="표준 9 2 2 4 5 3" xfId="45484"/>
    <cellStyle name="표준 9 2 2 4 5 2 2" xfId="45485"/>
    <cellStyle name="표준 9 2 2 4 6 2" xfId="45486"/>
    <cellStyle name="표준 9 2 2 4 7 2" xfId="45487"/>
    <cellStyle name="표준 9 2 2 5 2 2 2" xfId="45488"/>
    <cellStyle name="표준 9 2 2 5 3 3" xfId="45489"/>
    <cellStyle name="표준 9 2 2 5 3 2 2" xfId="45490"/>
    <cellStyle name="표준 9 2 2 5 4 2" xfId="45491"/>
    <cellStyle name="표준 9 2 2 5 5 2" xfId="45492"/>
    <cellStyle name="표준 9 2 2 6 2 2 2" xfId="45493"/>
    <cellStyle name="표준 9 2 2 6 3 3" xfId="45494"/>
    <cellStyle name="표준 9 2 2 6 3 2 2" xfId="45495"/>
    <cellStyle name="표준 9 2 2 6 4 2" xfId="45496"/>
    <cellStyle name="표준 9 2 2 6 5 2" xfId="45497"/>
    <cellStyle name="표준 9 2 2 7 2 2" xfId="45498"/>
    <cellStyle name="표준 9 2 2 8 3" xfId="45499"/>
    <cellStyle name="표준 9 2 2 8 2 2" xfId="45500"/>
    <cellStyle name="표준 9 2 2 9 2" xfId="45501"/>
    <cellStyle name="표준 9 2 3 10 2" xfId="45502"/>
    <cellStyle name="표준 9 2 3 2 2 2 2 2 2 2" xfId="45503"/>
    <cellStyle name="표준 9 2 3 2 2 2 2 3 3" xfId="45504"/>
    <cellStyle name="표준 9 2 3 2 2 2 2 3 2 2" xfId="45505"/>
    <cellStyle name="표준 9 2 3 2 2 2 2 4 2" xfId="45506"/>
    <cellStyle name="표준 9 2 3 2 2 2 2 5 2" xfId="45507"/>
    <cellStyle name="표준 9 2 3 2 2 2 3 2 2 2" xfId="45508"/>
    <cellStyle name="표준 9 2 3 2 2 2 3 3 3" xfId="45509"/>
    <cellStyle name="표준 9 2 3 2 2 2 3 3 2 2" xfId="45510"/>
    <cellStyle name="표준 9 2 3 2 2 2 3 4 2" xfId="45511"/>
    <cellStyle name="표준 9 2 3 2 2 2 3 5 2" xfId="45512"/>
    <cellStyle name="표준 9 2 3 2 2 2 4 2 2" xfId="45513"/>
    <cellStyle name="표준 9 2 3 2 2 2 5 3" xfId="45514"/>
    <cellStyle name="표준 9 2 3 2 2 2 5 2 2" xfId="45515"/>
    <cellStyle name="표준 9 2 3 2 2 2 6 2" xfId="45516"/>
    <cellStyle name="표준 9 2 3 2 2 2 7 2" xfId="45517"/>
    <cellStyle name="표준 9 2 3 2 2 3 2 2 2" xfId="45518"/>
    <cellStyle name="표준 9 2 3 2 2 3 3 3" xfId="45519"/>
    <cellStyle name="표준 9 2 3 2 2 3 3 2 2" xfId="45520"/>
    <cellStyle name="표준 9 2 3 2 2 3 4 2" xfId="45521"/>
    <cellStyle name="표준 9 2 3 2 2 3 5 2" xfId="45522"/>
    <cellStyle name="표준 9 2 3 2 2 4 2 2 2" xfId="45523"/>
    <cellStyle name="표준 9 2 3 2 2 4 3 3" xfId="45524"/>
    <cellStyle name="표준 9 2 3 2 2 4 3 2 2" xfId="45525"/>
    <cellStyle name="표준 9 2 3 2 2 4 4 2" xfId="45526"/>
    <cellStyle name="표준 9 2 3 2 2 4 5 2" xfId="45527"/>
    <cellStyle name="표준 9 2 3 2 2 5 2 2" xfId="45528"/>
    <cellStyle name="표준 9 2 3 2 2 6 3" xfId="45529"/>
    <cellStyle name="표준 9 2 3 2 2 6 2 2" xfId="45530"/>
    <cellStyle name="표준 9 2 3 2 2 7 2" xfId="45531"/>
    <cellStyle name="표준 9 2 3 2 2 8 2" xfId="45532"/>
    <cellStyle name="표준 9 2 3 2 3 2 2 2 2" xfId="45533"/>
    <cellStyle name="표준 9 2 3 2 3 2 3 3" xfId="45534"/>
    <cellStyle name="표준 9 2 3 2 3 2 3 2 2" xfId="45535"/>
    <cellStyle name="표준 9 2 3 2 3 2 4 2" xfId="45536"/>
    <cellStyle name="표준 9 2 3 2 3 2 5 2" xfId="45537"/>
    <cellStyle name="표준 9 2 3 2 3 3 2 2 2" xfId="45538"/>
    <cellStyle name="표준 9 2 3 2 3 3 3 3" xfId="45539"/>
    <cellStyle name="표준 9 2 3 2 3 3 3 2 2" xfId="45540"/>
    <cellStyle name="표준 9 2 3 2 3 3 4 2" xfId="45541"/>
    <cellStyle name="표준 9 2 3 2 3 3 5 2" xfId="45542"/>
    <cellStyle name="표준 9 2 3 2 3 4 2 2" xfId="45543"/>
    <cellStyle name="표준 9 2 3 2 3 5 3" xfId="45544"/>
    <cellStyle name="표준 9 2 3 2 3 5 2 2" xfId="45545"/>
    <cellStyle name="표준 9 2 3 2 3 6 2" xfId="45546"/>
    <cellStyle name="표준 9 2 3 2 3 7 2" xfId="45547"/>
    <cellStyle name="표준 9 2 3 2 4 2 2 2" xfId="45548"/>
    <cellStyle name="표준 9 2 3 2 4 3 3" xfId="45549"/>
    <cellStyle name="표준 9 2 3 2 4 3 2 2" xfId="45550"/>
    <cellStyle name="표준 9 2 3 2 4 4 2" xfId="45551"/>
    <cellStyle name="표준 9 2 3 2 4 5 2" xfId="45552"/>
    <cellStyle name="표준 9 2 3 2 5 2 2 2" xfId="45553"/>
    <cellStyle name="표준 9 2 3 2 5 3 3" xfId="45554"/>
    <cellStyle name="표준 9 2 3 2 5 3 2 2" xfId="45555"/>
    <cellStyle name="표준 9 2 3 2 5 4 2" xfId="45556"/>
    <cellStyle name="표준 9 2 3 2 5 5 2" xfId="45557"/>
    <cellStyle name="표준 9 2 3 2 6 2 2" xfId="45558"/>
    <cellStyle name="표준 9 2 3 2 7 3" xfId="45559"/>
    <cellStyle name="표준 9 2 3 2 7 2 2" xfId="45560"/>
    <cellStyle name="표준 9 2 3 2 8 2" xfId="45561"/>
    <cellStyle name="표준 9 2 3 2 9 2" xfId="45562"/>
    <cellStyle name="표준 9 2 3 3 2 2 2 2 2" xfId="45563"/>
    <cellStyle name="표준 9 2 3 3 2 2 3 3" xfId="45564"/>
    <cellStyle name="표준 9 2 3 3 2 2 3 2 2" xfId="45565"/>
    <cellStyle name="표준 9 2 3 3 2 2 4 2" xfId="45566"/>
    <cellStyle name="표준 9 2 3 3 2 2 5 2" xfId="45567"/>
    <cellStyle name="표준 9 2 3 3 2 3 2 2 2" xfId="45568"/>
    <cellStyle name="표준 9 2 3 3 2 3 3 3" xfId="45569"/>
    <cellStyle name="표준 9 2 3 3 2 3 3 2 2" xfId="45570"/>
    <cellStyle name="표준 9 2 3 3 2 3 4 2" xfId="45571"/>
    <cellStyle name="표준 9 2 3 3 2 3 5 2" xfId="45572"/>
    <cellStyle name="표준 9 2 3 3 2 4 2 2" xfId="45573"/>
    <cellStyle name="표준 9 2 3 3 2 5 3" xfId="45574"/>
    <cellStyle name="표준 9 2 3 3 2 5 2 2" xfId="45575"/>
    <cellStyle name="표준 9 2 3 3 2 6 2" xfId="45576"/>
    <cellStyle name="표준 9 2 3 3 2 7 2" xfId="45577"/>
    <cellStyle name="표준 9 2 3 3 3 2 2 2" xfId="45578"/>
    <cellStyle name="표준 9 2 3 3 3 3 3" xfId="45579"/>
    <cellStyle name="표준 9 2 3 3 3 3 2 2" xfId="45580"/>
    <cellStyle name="표준 9 2 3 3 3 4 2" xfId="45581"/>
    <cellStyle name="표준 9 2 3 3 3 5 2" xfId="45582"/>
    <cellStyle name="표준 9 2 3 3 4 2 2 2" xfId="45583"/>
    <cellStyle name="표준 9 2 3 3 4 3 3" xfId="45584"/>
    <cellStyle name="표준 9 2 3 3 4 3 2 2" xfId="45585"/>
    <cellStyle name="표준 9 2 3 3 4 4 2" xfId="45586"/>
    <cellStyle name="표준 9 2 3 3 4 5 2" xfId="45587"/>
    <cellStyle name="표준 9 2 3 3 5 2 2" xfId="45588"/>
    <cellStyle name="표준 9 2 3 3 6 3" xfId="45589"/>
    <cellStyle name="표준 9 2 3 3 6 2 2" xfId="45590"/>
    <cellStyle name="표준 9 2 3 3 7 2" xfId="45591"/>
    <cellStyle name="표준 9 2 3 3 8 2" xfId="45592"/>
    <cellStyle name="표준 9 2 3 4 2 2 2 2" xfId="45593"/>
    <cellStyle name="표준 9 2 3 4 2 3 3" xfId="45594"/>
    <cellStyle name="표준 9 2 3 4 2 3 2 2" xfId="45595"/>
    <cellStyle name="표준 9 2 3 4 2 4 2" xfId="45596"/>
    <cellStyle name="표준 9 2 3 4 2 5 2" xfId="45597"/>
    <cellStyle name="표준 9 2 3 4 3 2 2 2" xfId="45598"/>
    <cellStyle name="표준 9 2 3 4 3 3 3" xfId="45599"/>
    <cellStyle name="표준 9 2 3 4 3 3 2 2" xfId="45600"/>
    <cellStyle name="표준 9 2 3 4 3 4 2" xfId="45601"/>
    <cellStyle name="표준 9 2 3 4 3 5 2" xfId="45602"/>
    <cellStyle name="표준 9 2 3 4 4 2 2" xfId="45603"/>
    <cellStyle name="표준 9 2 3 4 5 3" xfId="45604"/>
    <cellStyle name="표준 9 2 3 4 5 2 2" xfId="45605"/>
    <cellStyle name="표준 9 2 3 4 6 2" xfId="45606"/>
    <cellStyle name="표준 9 2 3 4 7 2" xfId="45607"/>
    <cellStyle name="표준 9 2 3 5 2 2 2" xfId="45608"/>
    <cellStyle name="표준 9 2 3 5 3 3" xfId="45609"/>
    <cellStyle name="표준 9 2 3 5 3 2 2" xfId="45610"/>
    <cellStyle name="표준 9 2 3 5 4 2" xfId="45611"/>
    <cellStyle name="표준 9 2 3 5 5 2" xfId="45612"/>
    <cellStyle name="표준 9 2 3 6 2 2 2" xfId="45613"/>
    <cellStyle name="표준 9 2 3 6 3 3" xfId="45614"/>
    <cellStyle name="표준 9 2 3 6 3 2 2" xfId="45615"/>
    <cellStyle name="표준 9 2 3 6 4 2" xfId="45616"/>
    <cellStyle name="표준 9 2 3 6 5 2" xfId="45617"/>
    <cellStyle name="표준 9 2 3 7 2 2" xfId="45618"/>
    <cellStyle name="표준 9 2 3 8 3" xfId="45619"/>
    <cellStyle name="표준 9 2 3 8 2 2" xfId="45620"/>
    <cellStyle name="표준 9 2 3 9 2" xfId="45621"/>
    <cellStyle name="표준 9 2 4 10 2" xfId="45622"/>
    <cellStyle name="표준 9 2 4 2 2 2 2 2 2 2" xfId="45623"/>
    <cellStyle name="표준 9 2 4 2 2 2 2 3 3" xfId="45624"/>
    <cellStyle name="표준 9 2 4 2 2 2 2 3 2 2" xfId="45625"/>
    <cellStyle name="표준 9 2 4 2 2 2 2 4 2" xfId="45626"/>
    <cellStyle name="표준 9 2 4 2 2 2 2 5 2" xfId="45627"/>
    <cellStyle name="표준 9 2 4 2 2 2 3 2 2 2" xfId="45628"/>
    <cellStyle name="표준 9 2 4 2 2 2 3 3 3" xfId="45629"/>
    <cellStyle name="표준 9 2 4 2 2 2 3 3 2 2" xfId="45630"/>
    <cellStyle name="표준 9 2 4 2 2 2 3 4 2" xfId="45631"/>
    <cellStyle name="표준 9 2 4 2 2 2 3 5 2" xfId="45632"/>
    <cellStyle name="표준 9 2 4 2 2 2 4 2 2" xfId="45633"/>
    <cellStyle name="표준 9 2 4 2 2 2 5 3" xfId="45634"/>
    <cellStyle name="표준 9 2 4 2 2 2 5 2 2" xfId="45635"/>
    <cellStyle name="표준 9 2 4 2 2 2 6 2" xfId="45636"/>
    <cellStyle name="표준 9 2 4 2 2 2 7 2" xfId="45637"/>
    <cellStyle name="표준 9 2 4 2 2 3 2 2 2" xfId="45638"/>
    <cellStyle name="표준 9 2 4 2 2 3 3 3" xfId="45639"/>
    <cellStyle name="표준 9 2 4 2 2 3 3 2 2" xfId="45640"/>
    <cellStyle name="표준 9 2 4 2 2 3 4 2" xfId="45641"/>
    <cellStyle name="표준 9 2 4 2 2 3 5 2" xfId="45642"/>
    <cellStyle name="표준 9 2 4 2 2 4 2 2 2" xfId="45643"/>
    <cellStyle name="표준 9 2 4 2 2 4 3 3" xfId="45644"/>
    <cellStyle name="표준 9 2 4 2 2 4 3 2 2" xfId="45645"/>
    <cellStyle name="표준 9 2 4 2 2 4 4 2" xfId="45646"/>
    <cellStyle name="표준 9 2 4 2 2 4 5 2" xfId="45647"/>
    <cellStyle name="표준 9 2 4 2 2 5 2 2" xfId="45648"/>
    <cellStyle name="표준 9 2 4 2 2 6 3" xfId="45649"/>
    <cellStyle name="표준 9 2 4 2 2 6 2 2" xfId="45650"/>
    <cellStyle name="표준 9 2 4 2 2 7 2" xfId="45651"/>
    <cellStyle name="표준 9 2 4 2 2 8 2" xfId="45652"/>
    <cellStyle name="표준 9 2 4 2 3 2 2 2 2" xfId="45653"/>
    <cellStyle name="표준 9 2 4 2 3 2 3 3" xfId="45654"/>
    <cellStyle name="표준 9 2 4 2 3 2 3 2 2" xfId="45655"/>
    <cellStyle name="표준 9 2 4 2 3 2 4 2" xfId="45656"/>
    <cellStyle name="표준 9 2 4 2 3 2 5 2" xfId="45657"/>
    <cellStyle name="표준 9 2 4 2 3 3 2 2 2" xfId="45658"/>
    <cellStyle name="표준 9 2 4 2 3 3 3 3" xfId="45659"/>
    <cellStyle name="표준 9 2 4 2 3 3 3 2 2" xfId="45660"/>
    <cellStyle name="표준 9 2 4 2 3 3 4 2" xfId="45661"/>
    <cellStyle name="표준 9 2 4 2 3 3 5 2" xfId="45662"/>
    <cellStyle name="표준 9 2 4 2 3 4 2 2" xfId="45663"/>
    <cellStyle name="표준 9 2 4 2 3 5 3" xfId="45664"/>
    <cellStyle name="표준 9 2 4 2 3 5 2 2" xfId="45665"/>
    <cellStyle name="표준 9 2 4 2 3 6 2" xfId="45666"/>
    <cellStyle name="표준 9 2 4 2 3 7 2" xfId="45667"/>
    <cellStyle name="표준 9 2 4 2 4 2 2 2" xfId="45668"/>
    <cellStyle name="표준 9 2 4 2 4 3 3" xfId="45669"/>
    <cellStyle name="표준 9 2 4 2 4 3 2 2" xfId="45670"/>
    <cellStyle name="표준 9 2 4 2 4 4 2" xfId="45671"/>
    <cellStyle name="표준 9 2 4 2 4 5 2" xfId="45672"/>
    <cellStyle name="표준 9 2 4 2 5 2 2 2" xfId="45673"/>
    <cellStyle name="표준 9 2 4 2 5 3 3" xfId="45674"/>
    <cellStyle name="표준 9 2 4 2 5 3 2 2" xfId="45675"/>
    <cellStyle name="표준 9 2 4 2 5 4 2" xfId="45676"/>
    <cellStyle name="표준 9 2 4 2 5 5 2" xfId="45677"/>
    <cellStyle name="표준 9 2 4 2 6 2 2" xfId="45678"/>
    <cellStyle name="표준 9 2 4 2 7 3" xfId="45679"/>
    <cellStyle name="표준 9 2 4 2 7 2 2" xfId="45680"/>
    <cellStyle name="표준 9 2 4 2 8 2" xfId="45681"/>
    <cellStyle name="표준 9 2 4 2 9 2" xfId="45682"/>
    <cellStyle name="표준 9 2 4 3 2 2 2 2 2" xfId="45683"/>
    <cellStyle name="표준 9 2 4 3 2 2 3 3" xfId="45684"/>
    <cellStyle name="표준 9 2 4 3 2 2 3 2 2" xfId="45685"/>
    <cellStyle name="표준 9 2 4 3 2 2 4 2" xfId="45686"/>
    <cellStyle name="표준 9 2 4 3 2 2 5 2" xfId="45687"/>
    <cellStyle name="표준 9 2 4 3 2 3 2 2 2" xfId="45688"/>
    <cellStyle name="표준 9 2 4 3 2 3 3 3" xfId="45689"/>
    <cellStyle name="표준 9 2 4 3 2 3 3 2 2" xfId="45690"/>
    <cellStyle name="표준 9 2 4 3 2 3 4 2" xfId="45691"/>
    <cellStyle name="표준 9 2 4 3 2 3 5 2" xfId="45692"/>
    <cellStyle name="표준 9 2 4 3 2 4 2 2" xfId="45693"/>
    <cellStyle name="표준 9 2 4 3 2 5 3" xfId="45694"/>
    <cellStyle name="표준 9 2 4 3 2 5 2 2" xfId="45695"/>
    <cellStyle name="표준 9 2 4 3 2 6 2" xfId="45696"/>
    <cellStyle name="표준 9 2 4 3 2 7 2" xfId="45697"/>
    <cellStyle name="표준 9 2 4 3 3 2 2 2" xfId="45698"/>
    <cellStyle name="표준 9 2 4 3 3 3 3" xfId="45699"/>
    <cellStyle name="표준 9 2 4 3 3 3 2 2" xfId="45700"/>
    <cellStyle name="표준 9 2 4 3 3 4 2" xfId="45701"/>
    <cellStyle name="표준 9 2 4 3 3 5 2" xfId="45702"/>
    <cellStyle name="표준 9 2 4 3 4 2 2 2" xfId="45703"/>
    <cellStyle name="표준 9 2 4 3 4 3 3" xfId="45704"/>
    <cellStyle name="표준 9 2 4 3 4 3 2 2" xfId="45705"/>
    <cellStyle name="표준 9 2 4 3 4 4 2" xfId="45706"/>
    <cellStyle name="표준 9 2 4 3 4 5 2" xfId="45707"/>
    <cellStyle name="표준 9 2 4 3 5 2 2" xfId="45708"/>
    <cellStyle name="표준 9 2 4 3 6 3" xfId="45709"/>
    <cellStyle name="표준 9 2 4 3 6 2 2" xfId="45710"/>
    <cellStyle name="표준 9 2 4 3 7 2" xfId="45711"/>
    <cellStyle name="표준 9 2 4 3 8 2" xfId="45712"/>
    <cellStyle name="표준 9 2 4 4 2 2 2 2" xfId="45713"/>
    <cellStyle name="표준 9 2 4 4 2 3 3" xfId="45714"/>
    <cellStyle name="표준 9 2 4 4 2 3 2 2" xfId="45715"/>
    <cellStyle name="표준 9 2 4 4 2 4 2" xfId="45716"/>
    <cellStyle name="표준 9 2 4 4 2 5 2" xfId="45717"/>
    <cellStyle name="표준 9 2 4 4 3 2 2 2" xfId="45718"/>
    <cellStyle name="표준 9 2 4 4 3 3 3" xfId="45719"/>
    <cellStyle name="표준 9 2 4 4 3 3 2 2" xfId="45720"/>
    <cellStyle name="표준 9 2 4 4 3 4 2" xfId="45721"/>
    <cellStyle name="표준 9 2 4 4 3 5 2" xfId="45722"/>
    <cellStyle name="표준 9 2 4 4 4 2 2" xfId="45723"/>
    <cellStyle name="표준 9 2 4 4 5 3" xfId="45724"/>
    <cellStyle name="표준 9 2 4 4 5 2 2" xfId="45725"/>
    <cellStyle name="표준 9 2 4 4 6 2" xfId="45726"/>
    <cellStyle name="표준 9 2 4 4 7 2" xfId="45727"/>
    <cellStyle name="표준 9 2 4 5 2 2 2" xfId="45728"/>
    <cellStyle name="표준 9 2 4 5 3 3" xfId="45729"/>
    <cellStyle name="표준 9 2 4 5 3 2 2" xfId="45730"/>
    <cellStyle name="표준 9 2 4 5 4 2" xfId="45731"/>
    <cellStyle name="표준 9 2 4 5 5 2" xfId="45732"/>
    <cellStyle name="표준 9 2 4 6 2 2 2" xfId="45733"/>
    <cellStyle name="표준 9 2 4 6 3 3" xfId="45734"/>
    <cellStyle name="표준 9 2 4 6 3 2 2" xfId="45735"/>
    <cellStyle name="표준 9 2 4 6 4 2" xfId="45736"/>
    <cellStyle name="표준 9 2 4 6 5 2" xfId="45737"/>
    <cellStyle name="표준 9 2 4 7 2 2" xfId="45738"/>
    <cellStyle name="표준 9 2 4 8 3" xfId="45739"/>
    <cellStyle name="표준 9 2 4 8 2 2" xfId="45740"/>
    <cellStyle name="표준 9 2 4 9 2" xfId="45741"/>
    <cellStyle name="표준 9 2 5 2 2 2 2 2 2" xfId="45742"/>
    <cellStyle name="표준 9 2 5 2 2 2 3 3" xfId="45743"/>
    <cellStyle name="표준 9 2 5 2 2 2 3 2 2" xfId="45744"/>
    <cellStyle name="표준 9 2 5 2 2 2 4 2" xfId="45745"/>
    <cellStyle name="표준 9 2 5 2 2 2 5 2" xfId="45746"/>
    <cellStyle name="표준 9 2 5 2 2 3 2 2 2" xfId="45747"/>
    <cellStyle name="표준 9 2 5 2 2 3 3 3" xfId="45748"/>
    <cellStyle name="표준 9 2 5 2 2 3 3 2 2" xfId="45749"/>
    <cellStyle name="표준 9 2 5 2 2 3 4 2" xfId="45750"/>
    <cellStyle name="표준 9 2 5 2 2 3 5 2" xfId="45751"/>
    <cellStyle name="표준 9 2 5 2 2 4 2 2" xfId="45752"/>
    <cellStyle name="표준 9 2 5 2 2 5 3" xfId="45753"/>
    <cellStyle name="표준 9 2 5 2 2 5 2 2" xfId="45754"/>
    <cellStyle name="표준 9 2 5 2 2 6 2" xfId="45755"/>
    <cellStyle name="표준 9 2 5 2 2 7 2" xfId="45756"/>
    <cellStyle name="표준 9 2 5 2 3 2 2 2" xfId="45757"/>
    <cellStyle name="표준 9 2 5 2 3 3 3" xfId="45758"/>
    <cellStyle name="표준 9 2 5 2 3 3 2 2" xfId="45759"/>
    <cellStyle name="표준 9 2 5 2 3 4 2" xfId="45760"/>
    <cellStyle name="표준 9 2 5 2 3 5 2" xfId="45761"/>
    <cellStyle name="표준 9 2 5 2 4 2 2 2" xfId="45762"/>
    <cellStyle name="표준 9 2 5 2 4 3 3" xfId="45763"/>
    <cellStyle name="표준 9 2 5 2 4 3 2 2" xfId="45764"/>
    <cellStyle name="표준 9 2 5 2 4 4 2" xfId="45765"/>
    <cellStyle name="표준 9 2 5 2 4 5 2" xfId="45766"/>
    <cellStyle name="표준 9 2 5 2 5 2 2" xfId="45767"/>
    <cellStyle name="표준 9 2 5 2 6 3" xfId="45768"/>
    <cellStyle name="표준 9 2 5 2 6 2 2" xfId="45769"/>
    <cellStyle name="표준 9 2 5 2 7 2" xfId="45770"/>
    <cellStyle name="표준 9 2 5 2 8 2" xfId="45771"/>
    <cellStyle name="표준 9 2 5 3 2 2 2 2" xfId="45772"/>
    <cellStyle name="표준 9 2 5 3 2 3 3" xfId="45773"/>
    <cellStyle name="표준 9 2 5 3 2 3 2 2" xfId="45774"/>
    <cellStyle name="표준 9 2 5 3 2 4 2" xfId="45775"/>
    <cellStyle name="표준 9 2 5 3 2 5 2" xfId="45776"/>
    <cellStyle name="표준 9 2 5 3 3 2 2 2" xfId="45777"/>
    <cellStyle name="표준 9 2 5 3 3 3 3" xfId="45778"/>
    <cellStyle name="표준 9 2 5 3 3 3 2 2" xfId="45779"/>
    <cellStyle name="표준 9 2 5 3 3 4 2" xfId="45780"/>
    <cellStyle name="표준 9 2 5 3 3 5 2" xfId="45781"/>
    <cellStyle name="표준 9 2 5 3 4 2 2" xfId="45782"/>
    <cellStyle name="표준 9 2 5 3 5 3" xfId="45783"/>
    <cellStyle name="표준 9 2 5 3 5 2 2" xfId="45784"/>
    <cellStyle name="표준 9 2 5 3 6 2" xfId="45785"/>
    <cellStyle name="표준 9 2 5 3 7 2" xfId="45786"/>
    <cellStyle name="표준 9 2 5 4 2 2 2" xfId="45787"/>
    <cellStyle name="표준 9 2 5 4 3 3" xfId="45788"/>
    <cellStyle name="표준 9 2 5 4 3 2 2" xfId="45789"/>
    <cellStyle name="표준 9 2 5 4 4 2" xfId="45790"/>
    <cellStyle name="표준 9 2 5 4 5 2" xfId="45791"/>
    <cellStyle name="표준 9 2 5 5 2 2 2" xfId="45792"/>
    <cellStyle name="표준 9 2 5 5 3 3" xfId="45793"/>
    <cellStyle name="표준 9 2 5 5 3 2 2" xfId="45794"/>
    <cellStyle name="표준 9 2 5 5 4 2" xfId="45795"/>
    <cellStyle name="표준 9 2 5 5 5 2" xfId="45796"/>
    <cellStyle name="표준 9 2 5 6 2 2" xfId="45797"/>
    <cellStyle name="표준 9 2 5 7 3" xfId="45798"/>
    <cellStyle name="표준 9 2 5 7 2 2" xfId="45799"/>
    <cellStyle name="표준 9 2 5 8 2" xfId="45800"/>
    <cellStyle name="표준 9 2 5 9 2" xfId="45801"/>
    <cellStyle name="표준 9 2 6 2 2 2 2 2" xfId="45802"/>
    <cellStyle name="표준 9 2 6 2 2 3 3" xfId="45803"/>
    <cellStyle name="표준 9 2 6 2 2 3 2 2" xfId="45804"/>
    <cellStyle name="표준 9 2 6 2 2 4 2" xfId="45805"/>
    <cellStyle name="표준 9 2 6 2 2 5 2" xfId="45806"/>
    <cellStyle name="표준 9 2 6 2 3 2 2 2" xfId="45807"/>
    <cellStyle name="표준 9 2 6 2 3 3 3" xfId="45808"/>
    <cellStyle name="표준 9 2 6 2 3 3 2 2" xfId="45809"/>
    <cellStyle name="표준 9 2 6 2 3 4 2" xfId="45810"/>
    <cellStyle name="표준 9 2 6 2 3 5 2" xfId="45811"/>
    <cellStyle name="표준 9 2 6 2 4 2 2" xfId="45812"/>
    <cellStyle name="표준 9 2 6 2 5 3" xfId="45813"/>
    <cellStyle name="표준 9 2 6 2 5 2 2" xfId="45814"/>
    <cellStyle name="표준 9 2 6 2 6 2" xfId="45815"/>
    <cellStyle name="표준 9 2 6 2 7 2" xfId="45816"/>
    <cellStyle name="표준 9 2 6 3 2 2 2" xfId="45817"/>
    <cellStyle name="표준 9 2 6 3 3 3" xfId="45818"/>
    <cellStyle name="표준 9 2 6 3 3 2 2" xfId="45819"/>
    <cellStyle name="표준 9 2 6 3 4 2" xfId="45820"/>
    <cellStyle name="표준 9 2 6 3 5 2" xfId="45821"/>
    <cellStyle name="표준 9 2 6 4 2 2 2" xfId="45822"/>
    <cellStyle name="표준 9 2 6 4 3 3" xfId="45823"/>
    <cellStyle name="표준 9 2 6 4 3 2 2" xfId="45824"/>
    <cellStyle name="표준 9 2 6 4 4 2" xfId="45825"/>
    <cellStyle name="표준 9 2 6 4 5 2" xfId="45826"/>
    <cellStyle name="표준 9 2 6 5 2 2" xfId="45827"/>
    <cellStyle name="표준 9 2 6 6 3" xfId="45828"/>
    <cellStyle name="표준 9 2 6 6 2 2" xfId="45829"/>
    <cellStyle name="표준 9 2 6 7 2" xfId="45830"/>
    <cellStyle name="표준 9 2 6 8 2" xfId="45831"/>
    <cellStyle name="표준 9 2 7 2 2 2 2" xfId="45832"/>
    <cellStyle name="표준 9 2 7 2 3 3" xfId="45833"/>
    <cellStyle name="표준 9 2 7 2 3 2 2" xfId="45834"/>
    <cellStyle name="표준 9 2 7 2 4 2" xfId="45835"/>
    <cellStyle name="표준 9 2 7 2 5 2" xfId="45836"/>
    <cellStyle name="표준 9 2 7 3 2 2 2" xfId="45837"/>
    <cellStyle name="표준 9 2 7 3 3 3" xfId="45838"/>
    <cellStyle name="표준 9 2 7 3 3 2 2" xfId="45839"/>
    <cellStyle name="표준 9 2 7 3 4 2" xfId="45840"/>
    <cellStyle name="표준 9 2 7 3 5 2" xfId="45841"/>
    <cellStyle name="표준 9 2 7 4 2 2" xfId="45842"/>
    <cellStyle name="표준 9 2 7 5 3" xfId="45843"/>
    <cellStyle name="표준 9 2 7 5 2 2" xfId="45844"/>
    <cellStyle name="표준 9 2 7 6 2" xfId="45845"/>
    <cellStyle name="표준 9 2 7 7 2" xfId="45846"/>
    <cellStyle name="표준 9 2 8 2 2 2" xfId="45847"/>
    <cellStyle name="표준 9 2 8 3 3" xfId="45848"/>
    <cellStyle name="표준 9 2 8 3 2 2" xfId="45849"/>
    <cellStyle name="표준 9 2 8 4 2" xfId="45850"/>
    <cellStyle name="표준 9 2 8 5 2" xfId="45851"/>
    <cellStyle name="표준 9 2 9 2 2 2" xfId="45852"/>
    <cellStyle name="표준 9 2 9 3 3" xfId="45853"/>
    <cellStyle name="표준 9 2 9 3 2 2" xfId="45854"/>
    <cellStyle name="표준 9 2 9 4 2" xfId="45855"/>
    <cellStyle name="표준 9 2 9 5 2" xfId="45856"/>
    <cellStyle name="표준 9 20 3" xfId="45857"/>
    <cellStyle name="표준 9 20 2 2" xfId="45858"/>
    <cellStyle name="표준 9 21 2" xfId="45859"/>
    <cellStyle name="표준 9 22 2" xfId="45860"/>
    <cellStyle name="표준 9 4 10 2 2" xfId="45861"/>
    <cellStyle name="표준 9 4 11 3" xfId="45862"/>
    <cellStyle name="표준 9 4 11 2 2" xfId="45863"/>
    <cellStyle name="표준 9 4 12 2" xfId="45864"/>
    <cellStyle name="표준 9 4 13 2" xfId="45865"/>
    <cellStyle name="표준 9 4 2 10 2" xfId="45866"/>
    <cellStyle name="표준 9 4 2 2 2 2 2 2 2 2" xfId="45867"/>
    <cellStyle name="표준 9 4 2 2 2 2 2 3 3" xfId="45868"/>
    <cellStyle name="표준 9 4 2 2 2 2 2 3 2 2" xfId="45869"/>
    <cellStyle name="표준 9 4 2 2 2 2 2 4 2" xfId="45870"/>
    <cellStyle name="표준 9 4 2 2 2 2 2 5 2" xfId="45871"/>
    <cellStyle name="표준 9 4 2 2 2 2 3 2 2 2" xfId="45872"/>
    <cellStyle name="표준 9 4 2 2 2 2 3 3 3" xfId="45873"/>
    <cellStyle name="표준 9 4 2 2 2 2 3 3 2 2" xfId="45874"/>
    <cellStyle name="표준 9 4 2 2 2 2 3 4 2" xfId="45875"/>
    <cellStyle name="표준 9 4 2 2 2 2 3 5 2" xfId="45876"/>
    <cellStyle name="표준 9 4 2 2 2 2 4 2 2" xfId="45877"/>
    <cellStyle name="표준 9 4 2 2 2 2 5 3" xfId="45878"/>
    <cellStyle name="표준 9 4 2 2 2 2 5 2 2" xfId="45879"/>
    <cellStyle name="표준 9 4 2 2 2 2 6 2" xfId="45880"/>
    <cellStyle name="표준 9 4 2 2 2 2 7 2" xfId="45881"/>
    <cellStyle name="표준 9 4 2 2 2 3 2 2 2" xfId="45882"/>
    <cellStyle name="표준 9 4 2 2 2 3 3 3" xfId="45883"/>
    <cellStyle name="표준 9 4 2 2 2 3 3 2 2" xfId="45884"/>
    <cellStyle name="표준 9 4 2 2 2 3 4 2" xfId="45885"/>
    <cellStyle name="표준 9 4 2 2 2 3 5 2" xfId="45886"/>
    <cellStyle name="표준 9 4 2 2 2 4 2 2 2" xfId="45887"/>
    <cellStyle name="표준 9 4 2 2 2 4 3 3" xfId="45888"/>
    <cellStyle name="표준 9 4 2 2 2 4 3 2 2" xfId="45889"/>
    <cellStyle name="표준 9 4 2 2 2 4 4 2" xfId="45890"/>
    <cellStyle name="표준 9 4 2 2 2 4 5 2" xfId="45891"/>
    <cellStyle name="표준 9 4 2 2 2 5 2 2" xfId="45892"/>
    <cellStyle name="표준 9 4 2 2 2 6 3" xfId="45893"/>
    <cellStyle name="표준 9 4 2 2 2 6 2 2" xfId="45894"/>
    <cellStyle name="표준 9 4 2 2 2 7 2" xfId="45895"/>
    <cellStyle name="표준 9 4 2 2 2 8 2" xfId="45896"/>
    <cellStyle name="표준 9 4 2 2 3 2 2 2 2" xfId="45897"/>
    <cellStyle name="표준 9 4 2 2 3 2 3 3" xfId="45898"/>
    <cellStyle name="표준 9 4 2 2 3 2 3 2 2" xfId="45899"/>
    <cellStyle name="표준 9 4 2 2 3 2 4 2" xfId="45900"/>
    <cellStyle name="표준 9 4 2 2 3 2 5 2" xfId="45901"/>
    <cellStyle name="표준 9 4 2 2 3 3 2 2 2" xfId="45902"/>
    <cellStyle name="표준 9 4 2 2 3 3 3 3" xfId="45903"/>
    <cellStyle name="표준 9 4 2 2 3 3 3 2 2" xfId="45904"/>
    <cellStyle name="표준 9 4 2 2 3 3 4 2" xfId="45905"/>
    <cellStyle name="표준 9 4 2 2 3 3 5 2" xfId="45906"/>
    <cellStyle name="표준 9 4 2 2 3 4 2 2" xfId="45907"/>
    <cellStyle name="표준 9 4 2 2 3 5 3" xfId="45908"/>
    <cellStyle name="표준 9 4 2 2 3 5 2 2" xfId="45909"/>
    <cellStyle name="표준 9 4 2 2 3 6 2" xfId="45910"/>
    <cellStyle name="표준 9 4 2 2 3 7 2" xfId="45911"/>
    <cellStyle name="표준 9 4 2 2 4 2 2 2" xfId="45912"/>
    <cellStyle name="표준 9 4 2 2 4 3 3" xfId="45913"/>
    <cellStyle name="표준 9 4 2 2 4 3 2 2" xfId="45914"/>
    <cellStyle name="표준 9 4 2 2 4 4 2" xfId="45915"/>
    <cellStyle name="표준 9 4 2 2 4 5 2" xfId="45916"/>
    <cellStyle name="표준 9 4 2 2 5 2 2 2" xfId="45917"/>
    <cellStyle name="표준 9 4 2 2 5 3 3" xfId="45918"/>
    <cellStyle name="표준 9 4 2 2 5 3 2 2" xfId="45919"/>
    <cellStyle name="표준 9 4 2 2 5 4 2" xfId="45920"/>
    <cellStyle name="표준 9 4 2 2 5 5 2" xfId="45921"/>
    <cellStyle name="표준 9 4 2 2 6 2 2" xfId="45922"/>
    <cellStyle name="표준 9 4 2 2 7 3" xfId="45923"/>
    <cellStyle name="표준 9 4 2 2 7 2 2" xfId="45924"/>
    <cellStyle name="표준 9 4 2 2 8 2" xfId="45925"/>
    <cellStyle name="표준 9 4 2 2 9 2" xfId="45926"/>
    <cellStyle name="표준 9 4 2 3 2 2 2 2 2" xfId="45927"/>
    <cellStyle name="표준 9 4 2 3 2 2 3 3" xfId="45928"/>
    <cellStyle name="표준 9 4 2 3 2 2 3 2 2" xfId="45929"/>
    <cellStyle name="표준 9 4 2 3 2 2 4 2" xfId="45930"/>
    <cellStyle name="표준 9 4 2 3 2 2 5 2" xfId="45931"/>
    <cellStyle name="표준 9 4 2 3 2 3 2 2 2" xfId="45932"/>
    <cellStyle name="표준 9 4 2 3 2 3 3 3" xfId="45933"/>
    <cellStyle name="표준 9 4 2 3 2 3 3 2 2" xfId="45934"/>
    <cellStyle name="표준 9 4 2 3 2 3 4 2" xfId="45935"/>
    <cellStyle name="표준 9 4 2 3 2 3 5 2" xfId="45936"/>
    <cellStyle name="표준 9 4 2 3 2 4 2 2" xfId="45937"/>
    <cellStyle name="표준 9 4 2 3 2 5 3" xfId="45938"/>
    <cellStyle name="표준 9 4 2 3 2 5 2 2" xfId="45939"/>
    <cellStyle name="표준 9 4 2 3 2 6 2" xfId="45940"/>
    <cellStyle name="표준 9 4 2 3 2 7 2" xfId="45941"/>
    <cellStyle name="표준 9 4 2 3 3 2 2 2" xfId="45942"/>
    <cellStyle name="표준 9 4 2 3 3 3 3" xfId="45943"/>
    <cellStyle name="표준 9 4 2 3 3 3 2 2" xfId="45944"/>
    <cellStyle name="표준 9 4 2 3 3 4 2" xfId="45945"/>
    <cellStyle name="표준 9 4 2 3 3 5 2" xfId="45946"/>
    <cellStyle name="표준 9 4 2 3 4 2 2 2" xfId="45947"/>
    <cellStyle name="표준 9 4 2 3 4 3 3" xfId="45948"/>
    <cellStyle name="표준 9 4 2 3 4 3 2 2" xfId="45949"/>
    <cellStyle name="표준 9 4 2 3 4 4 2" xfId="45950"/>
    <cellStyle name="표준 9 4 2 3 4 5 2" xfId="45951"/>
    <cellStyle name="표준 9 4 2 3 5 2 2" xfId="45952"/>
    <cellStyle name="표준 9 4 2 3 6 3" xfId="45953"/>
    <cellStyle name="표준 9 4 2 3 6 2 2" xfId="45954"/>
    <cellStyle name="표준 9 4 2 3 7 2" xfId="45955"/>
    <cellStyle name="표준 9 4 2 3 8 2" xfId="45956"/>
    <cellStyle name="표준 9 4 2 4 2 2 2 2" xfId="45957"/>
    <cellStyle name="표준 9 4 2 4 2 3 3" xfId="45958"/>
    <cellStyle name="표준 9 4 2 4 2 3 2 2" xfId="45959"/>
    <cellStyle name="표준 9 4 2 4 2 4 2" xfId="45960"/>
    <cellStyle name="표준 9 4 2 4 2 5 2" xfId="45961"/>
    <cellStyle name="표준 9 4 2 4 3 2 2 2" xfId="45962"/>
    <cellStyle name="표준 9 4 2 4 3 3 3" xfId="45963"/>
    <cellStyle name="표준 9 4 2 4 3 3 2 2" xfId="45964"/>
    <cellStyle name="표준 9 4 2 4 3 4 2" xfId="45965"/>
    <cellStyle name="표준 9 4 2 4 3 5 2" xfId="45966"/>
    <cellStyle name="표준 9 4 2 4 4 2 2" xfId="45967"/>
    <cellStyle name="표준 9 4 2 4 5 3" xfId="45968"/>
    <cellStyle name="표준 9 4 2 4 5 2 2" xfId="45969"/>
    <cellStyle name="표준 9 4 2 4 6 2" xfId="45970"/>
    <cellStyle name="표준 9 4 2 4 7 2" xfId="45971"/>
    <cellStyle name="표준 9 4 2 5 2 2 2" xfId="45972"/>
    <cellStyle name="표준 9 4 2 5 3 3" xfId="45973"/>
    <cellStyle name="표준 9 4 2 5 3 2 2" xfId="45974"/>
    <cellStyle name="표준 9 4 2 5 4 2" xfId="45975"/>
    <cellStyle name="표준 9 4 2 5 5 2" xfId="45976"/>
    <cellStyle name="표준 9 4 2 6 2 2 2" xfId="45977"/>
    <cellStyle name="표준 9 4 2 6 3 3" xfId="45978"/>
    <cellStyle name="표준 9 4 2 6 3 2 2" xfId="45979"/>
    <cellStyle name="표준 9 4 2 6 4 2" xfId="45980"/>
    <cellStyle name="표준 9 4 2 6 5 2" xfId="45981"/>
    <cellStyle name="표준 9 4 2 7 2 2" xfId="45982"/>
    <cellStyle name="표준 9 4 2 8 3" xfId="45983"/>
    <cellStyle name="표준 9 4 2 8 2 2" xfId="45984"/>
    <cellStyle name="표준 9 4 2 9 2" xfId="45985"/>
    <cellStyle name="표준 9 4 3 10 2" xfId="45986"/>
    <cellStyle name="표준 9 4 3 2 2 2 2 2 2 2" xfId="45987"/>
    <cellStyle name="표준 9 4 3 2 2 2 2 3 3" xfId="45988"/>
    <cellStyle name="표준 9 4 3 2 2 2 2 3 2 2" xfId="45989"/>
    <cellStyle name="표준 9 4 3 2 2 2 2 4 2" xfId="45990"/>
    <cellStyle name="표준 9 4 3 2 2 2 2 5 2" xfId="45991"/>
    <cellStyle name="표준 9 4 3 2 2 2 3 2 2 2" xfId="45992"/>
    <cellStyle name="표준 9 4 3 2 2 2 3 3 3" xfId="45993"/>
    <cellStyle name="표준 9 4 3 2 2 2 3 3 2 2" xfId="45994"/>
    <cellStyle name="표준 9 4 3 2 2 2 3 4 2" xfId="45995"/>
    <cellStyle name="표준 9 4 3 2 2 2 3 5 2" xfId="45996"/>
    <cellStyle name="표준 9 4 3 2 2 2 4 2 2" xfId="45997"/>
    <cellStyle name="표준 9 4 3 2 2 2 5 3" xfId="45998"/>
    <cellStyle name="표준 9 4 3 2 2 2 5 2 2" xfId="45999"/>
    <cellStyle name="표준 9 4 3 2 2 2 6 2" xfId="46000"/>
    <cellStyle name="표준 9 4 3 2 2 2 7 2" xfId="46001"/>
    <cellStyle name="표준 9 4 3 2 2 3 2 2 2" xfId="46002"/>
    <cellStyle name="표준 9 4 3 2 2 3 3 3" xfId="46003"/>
    <cellStyle name="표준 9 4 3 2 2 3 3 2 2" xfId="46004"/>
    <cellStyle name="표준 9 4 3 2 2 3 4 2" xfId="46005"/>
    <cellStyle name="표준 9 4 3 2 2 3 5 2" xfId="46006"/>
    <cellStyle name="표준 9 4 3 2 2 4 2 2 2" xfId="46007"/>
    <cellStyle name="표준 9 4 3 2 2 4 3 3" xfId="46008"/>
    <cellStyle name="표준 9 4 3 2 2 4 3 2 2" xfId="46009"/>
    <cellStyle name="표준 9 4 3 2 2 4 4 2" xfId="46010"/>
    <cellStyle name="표준 9 4 3 2 2 4 5 2" xfId="46011"/>
    <cellStyle name="표준 9 4 3 2 2 5 2 2" xfId="46012"/>
    <cellStyle name="표준 9 4 3 2 2 6 3" xfId="46013"/>
    <cellStyle name="표준 9 4 3 2 2 6 2 2" xfId="46014"/>
    <cellStyle name="표준 9 4 3 2 2 7 2" xfId="46015"/>
    <cellStyle name="표준 9 4 3 2 2 8 2" xfId="46016"/>
    <cellStyle name="표준 9 4 3 2 3 2 2 2 2" xfId="46017"/>
    <cellStyle name="표준 9 4 3 2 3 2 3 3" xfId="46018"/>
    <cellStyle name="표준 9 4 3 2 3 2 3 2 2" xfId="46019"/>
    <cellStyle name="표준 9 4 3 2 3 2 4 2" xfId="46020"/>
    <cellStyle name="표준 9 4 3 2 3 2 5 2" xfId="46021"/>
    <cellStyle name="표준 9 4 3 2 3 3 2 2 2" xfId="46022"/>
    <cellStyle name="표준 9 4 3 2 3 3 3 3" xfId="46023"/>
    <cellStyle name="표준 9 4 3 2 3 3 3 2 2" xfId="46024"/>
    <cellStyle name="표준 9 4 3 2 3 3 4 2" xfId="46025"/>
    <cellStyle name="표준 9 4 3 2 3 3 5 2" xfId="46026"/>
    <cellStyle name="표준 9 4 3 2 3 4 2 2" xfId="46027"/>
    <cellStyle name="표준 9 4 3 2 3 5 3" xfId="46028"/>
    <cellStyle name="표준 9 4 3 2 3 5 2 2" xfId="46029"/>
    <cellStyle name="표준 9 4 3 2 3 6 2" xfId="46030"/>
    <cellStyle name="표준 9 4 3 2 3 7 2" xfId="46031"/>
    <cellStyle name="표준 9 4 3 2 4 2 2 2" xfId="46032"/>
    <cellStyle name="표준 9 4 3 2 4 3 3" xfId="46033"/>
    <cellStyle name="표준 9 4 3 2 4 3 2 2" xfId="46034"/>
    <cellStyle name="표준 9 4 3 2 4 4 2" xfId="46035"/>
    <cellStyle name="표준 9 4 3 2 4 5 2" xfId="46036"/>
    <cellStyle name="표준 9 4 3 2 5 2 2 2" xfId="46037"/>
    <cellStyle name="표준 9 4 3 2 5 3 3" xfId="46038"/>
    <cellStyle name="표준 9 4 3 2 5 3 2 2" xfId="46039"/>
    <cellStyle name="표준 9 4 3 2 5 4 2" xfId="46040"/>
    <cellStyle name="표준 9 4 3 2 5 5 2" xfId="46041"/>
    <cellStyle name="표준 9 4 3 2 6 2 2" xfId="46042"/>
    <cellStyle name="표준 9 4 3 2 7 3" xfId="46043"/>
    <cellStyle name="표준 9 4 3 2 7 2 2" xfId="46044"/>
    <cellStyle name="표준 9 4 3 2 8 2" xfId="46045"/>
    <cellStyle name="표준 9 4 3 2 9 2" xfId="46046"/>
    <cellStyle name="표준 9 4 3 3 2 2 2 2 2" xfId="46047"/>
    <cellStyle name="표준 9 4 3 3 2 2 3 3" xfId="46048"/>
    <cellStyle name="표준 9 4 3 3 2 2 3 2 2" xfId="46049"/>
    <cellStyle name="표준 9 4 3 3 2 2 4 2" xfId="46050"/>
    <cellStyle name="표준 9 4 3 3 2 2 5 2" xfId="46051"/>
    <cellStyle name="표준 9 4 3 3 2 3 2 2 2" xfId="46052"/>
    <cellStyle name="표준 9 4 3 3 2 3 3 3" xfId="46053"/>
    <cellStyle name="표준 9 4 3 3 2 3 3 2 2" xfId="46054"/>
    <cellStyle name="표준 9 4 3 3 2 3 4 2" xfId="46055"/>
    <cellStyle name="표준 9 4 3 3 2 3 5 2" xfId="46056"/>
    <cellStyle name="표준 9 4 3 3 2 4 2 2" xfId="46057"/>
    <cellStyle name="표준 9 4 3 3 2 5 3" xfId="46058"/>
    <cellStyle name="표준 9 4 3 3 2 5 2 2" xfId="46059"/>
    <cellStyle name="표준 9 4 3 3 2 6 2" xfId="46060"/>
    <cellStyle name="표준 9 4 3 3 2 7 2" xfId="46061"/>
    <cellStyle name="표준 9 4 3 3 3 2 2 2" xfId="46062"/>
    <cellStyle name="표준 9 4 3 3 3 3 3" xfId="46063"/>
    <cellStyle name="표준 9 4 3 3 3 3 2 2" xfId="46064"/>
    <cellStyle name="표준 9 4 3 3 3 4 2" xfId="46065"/>
    <cellStyle name="표준 9 4 3 3 3 5 2" xfId="46066"/>
    <cellStyle name="표준 9 4 3 3 4 2 2 2" xfId="46067"/>
    <cellStyle name="표준 9 4 3 3 4 3 3" xfId="46068"/>
    <cellStyle name="표준 9 4 3 3 4 3 2 2" xfId="46069"/>
    <cellStyle name="표준 9 4 3 3 4 4 2" xfId="46070"/>
    <cellStyle name="표준 9 4 3 3 4 5 2" xfId="46071"/>
    <cellStyle name="표준 9 4 3 3 5 2 2" xfId="46072"/>
    <cellStyle name="표준 9 4 3 3 6 3" xfId="46073"/>
    <cellStyle name="표준 9 4 3 3 6 2 2" xfId="46074"/>
    <cellStyle name="표준 9 4 3 3 7 2" xfId="46075"/>
    <cellStyle name="표준 9 4 3 3 8 2" xfId="46076"/>
    <cellStyle name="표준 9 4 3 4 2 2 2 2" xfId="46077"/>
    <cellStyle name="표준 9 4 3 4 2 3 3" xfId="46078"/>
    <cellStyle name="표준 9 4 3 4 2 3 2 2" xfId="46079"/>
    <cellStyle name="표준 9 4 3 4 2 4 2" xfId="46080"/>
    <cellStyle name="표준 9 4 3 4 2 5 2" xfId="46081"/>
    <cellStyle name="표준 9 4 3 4 3 2 2 2" xfId="46082"/>
    <cellStyle name="표준 9 4 3 4 3 3 3" xfId="46083"/>
    <cellStyle name="표준 9 4 3 4 3 3 2 2" xfId="46084"/>
    <cellStyle name="표준 9 4 3 4 3 4 2" xfId="46085"/>
    <cellStyle name="표준 9 4 3 4 3 5 2" xfId="46086"/>
    <cellStyle name="표준 9 4 3 4 4 2 2" xfId="46087"/>
    <cellStyle name="표준 9 4 3 4 5 3" xfId="46088"/>
    <cellStyle name="표준 9 4 3 4 5 2 2" xfId="46089"/>
    <cellStyle name="표준 9 4 3 4 6 2" xfId="46090"/>
    <cellStyle name="표준 9 4 3 4 7 2" xfId="46091"/>
    <cellStyle name="표준 9 4 3 5 2 2 2" xfId="46092"/>
    <cellStyle name="표준 9 4 3 5 3 3" xfId="46093"/>
    <cellStyle name="표준 9 4 3 5 3 2 2" xfId="46094"/>
    <cellStyle name="표준 9 4 3 5 4 2" xfId="46095"/>
    <cellStyle name="표준 9 4 3 5 5 2" xfId="46096"/>
    <cellStyle name="표준 9 4 3 6 2 2 2" xfId="46097"/>
    <cellStyle name="표준 9 4 3 6 3 3" xfId="46098"/>
    <cellStyle name="표준 9 4 3 6 3 2 2" xfId="46099"/>
    <cellStyle name="표준 9 4 3 6 4 2" xfId="46100"/>
    <cellStyle name="표준 9 4 3 6 5 2" xfId="46101"/>
    <cellStyle name="표준 9 4 3 7 2 2" xfId="46102"/>
    <cellStyle name="표준 9 4 3 8 3" xfId="46103"/>
    <cellStyle name="표준 9 4 3 8 2 2" xfId="46104"/>
    <cellStyle name="표준 9 4 3 9 2" xfId="46105"/>
    <cellStyle name="표준 9 4 4 10 2" xfId="46106"/>
    <cellStyle name="표준 9 4 4 2 2 2 2 2 2 2" xfId="46107"/>
    <cellStyle name="표준 9 4 4 2 2 2 2 3 3" xfId="46108"/>
    <cellStyle name="표준 9 4 4 2 2 2 2 3 2 2" xfId="46109"/>
    <cellStyle name="표준 9 4 4 2 2 2 2 4 2" xfId="46110"/>
    <cellStyle name="표준 9 4 4 2 2 2 2 5 2" xfId="46111"/>
    <cellStyle name="표준 9 4 4 2 2 2 3 2 2 2" xfId="46112"/>
    <cellStyle name="표준 9 4 4 2 2 2 3 3 3" xfId="46113"/>
    <cellStyle name="표준 9 4 4 2 2 2 3 3 2 2" xfId="46114"/>
    <cellStyle name="표준 9 4 4 2 2 2 3 4 2" xfId="46115"/>
    <cellStyle name="표준 9 4 4 2 2 2 3 5 2" xfId="46116"/>
    <cellStyle name="표준 9 4 4 2 2 2 4 2 2" xfId="46117"/>
    <cellStyle name="표준 9 4 4 2 2 2 5 3" xfId="46118"/>
    <cellStyle name="표준 9 4 4 2 2 2 5 2 2" xfId="46119"/>
    <cellStyle name="표준 9 4 4 2 2 2 6 2" xfId="46120"/>
    <cellStyle name="표준 9 4 4 2 2 2 7 2" xfId="46121"/>
    <cellStyle name="표준 9 4 4 2 2 3 2 2 2" xfId="46122"/>
    <cellStyle name="표준 9 4 4 2 2 3 3 3" xfId="46123"/>
    <cellStyle name="표준 9 4 4 2 2 3 3 2 2" xfId="46124"/>
    <cellStyle name="표준 9 4 4 2 2 3 4 2" xfId="46125"/>
    <cellStyle name="표준 9 4 4 2 2 3 5 2" xfId="46126"/>
    <cellStyle name="표준 9 4 4 2 2 4 2 2 2" xfId="46127"/>
    <cellStyle name="표준 9 4 4 2 2 4 3 3" xfId="46128"/>
    <cellStyle name="표준 9 4 4 2 2 4 3 2 2" xfId="46129"/>
    <cellStyle name="표준 9 4 4 2 2 4 4 2" xfId="46130"/>
    <cellStyle name="표준 9 4 4 2 2 4 5 2" xfId="46131"/>
    <cellStyle name="표준 9 4 4 2 2 5 2 2" xfId="46132"/>
    <cellStyle name="표준 9 4 4 2 2 6 3" xfId="46133"/>
    <cellStyle name="표준 9 4 4 2 2 6 2 2" xfId="46134"/>
    <cellStyle name="표준 9 4 4 2 2 7 2" xfId="46135"/>
    <cellStyle name="표준 9 4 4 2 2 8 2" xfId="46136"/>
    <cellStyle name="표준 9 4 4 2 3 2 2 2 2" xfId="46137"/>
    <cellStyle name="표준 9 4 4 2 3 2 3 3" xfId="46138"/>
    <cellStyle name="표준 9 4 4 2 3 2 3 2 2" xfId="46139"/>
    <cellStyle name="표준 9 4 4 2 3 2 4 2" xfId="46140"/>
    <cellStyle name="표준 9 4 4 2 3 2 5 2" xfId="46141"/>
    <cellStyle name="표준 9 4 4 2 3 3 2 2 2" xfId="46142"/>
    <cellStyle name="표준 9 4 4 2 3 3 3 3" xfId="46143"/>
    <cellStyle name="표준 9 4 4 2 3 3 3 2 2" xfId="46144"/>
    <cellStyle name="표준 9 4 4 2 3 3 4 2" xfId="46145"/>
    <cellStyle name="표준 9 4 4 2 3 3 5 2" xfId="46146"/>
    <cellStyle name="표준 9 4 4 2 3 4 2 2" xfId="46147"/>
    <cellStyle name="표준 9 4 4 2 3 5 3" xfId="46148"/>
    <cellStyle name="표준 9 4 4 2 3 5 2 2" xfId="46149"/>
    <cellStyle name="표준 9 4 4 2 3 6 2" xfId="46150"/>
    <cellStyle name="표준 9 4 4 2 3 7 2" xfId="46151"/>
    <cellStyle name="표준 9 4 4 2 4 2 2 2" xfId="46152"/>
    <cellStyle name="표준 9 4 4 2 4 3 3" xfId="46153"/>
    <cellStyle name="표준 9 4 4 2 4 3 2 2" xfId="46154"/>
    <cellStyle name="표준 9 4 4 2 4 4 2" xfId="46155"/>
    <cellStyle name="표준 9 4 4 2 4 5 2" xfId="46156"/>
    <cellStyle name="표준 9 4 4 2 5 2 2 2" xfId="46157"/>
    <cellStyle name="표준 9 4 4 2 5 3 3" xfId="46158"/>
    <cellStyle name="표준 9 4 4 2 5 3 2 2" xfId="46159"/>
    <cellStyle name="표준 9 4 4 2 5 4 2" xfId="46160"/>
    <cellStyle name="표준 9 4 4 2 5 5 2" xfId="46161"/>
    <cellStyle name="표준 9 4 4 2 6 2 2" xfId="46162"/>
    <cellStyle name="표준 9 4 4 2 7 3" xfId="46163"/>
    <cellStyle name="표준 9 4 4 2 7 2 2" xfId="46164"/>
    <cellStyle name="표준 9 4 4 2 8 2" xfId="46165"/>
    <cellStyle name="표준 9 4 4 2 9 2" xfId="46166"/>
    <cellStyle name="표준 9 4 4 3 2 2 2 2 2" xfId="46167"/>
    <cellStyle name="표준 9 4 4 3 2 2 3 3" xfId="46168"/>
    <cellStyle name="표준 9 4 4 3 2 2 3 2 2" xfId="46169"/>
    <cellStyle name="표준 9 4 4 3 2 2 4 2" xfId="46170"/>
    <cellStyle name="표준 9 4 4 3 2 2 5 2" xfId="46171"/>
    <cellStyle name="표준 9 4 4 3 2 3 2 2 2" xfId="46172"/>
    <cellStyle name="표준 9 4 4 3 2 3 3 3" xfId="46173"/>
    <cellStyle name="표준 9 4 4 3 2 3 3 2 2" xfId="46174"/>
    <cellStyle name="표준 9 4 4 3 2 3 4 2" xfId="46175"/>
    <cellStyle name="표준 9 4 4 3 2 3 5 2" xfId="46176"/>
    <cellStyle name="표준 9 4 4 3 2 4 2 2" xfId="46177"/>
    <cellStyle name="표준 9 4 4 3 2 5 3" xfId="46178"/>
    <cellStyle name="표준 9 4 4 3 2 5 2 2" xfId="46179"/>
    <cellStyle name="표준 9 4 4 3 2 6 2" xfId="46180"/>
    <cellStyle name="표준 9 4 4 3 2 7 2" xfId="46181"/>
    <cellStyle name="표준 9 4 4 3 3 2 2 2" xfId="46182"/>
    <cellStyle name="표준 9 4 4 3 3 3 3" xfId="46183"/>
    <cellStyle name="표준 9 4 4 3 3 3 2 2" xfId="46184"/>
    <cellStyle name="표준 9 4 4 3 3 4 2" xfId="46185"/>
    <cellStyle name="표준 9 4 4 3 3 5 2" xfId="46186"/>
    <cellStyle name="표준 9 4 4 3 4 2 2 2" xfId="46187"/>
    <cellStyle name="표준 9 4 4 3 4 3 3" xfId="46188"/>
    <cellStyle name="표준 9 4 4 3 4 3 2 2" xfId="46189"/>
    <cellStyle name="표준 9 4 4 3 4 4 2" xfId="46190"/>
    <cellStyle name="표준 9 4 4 3 4 5 2" xfId="46191"/>
    <cellStyle name="표준 9 4 4 3 5 2 2" xfId="46192"/>
    <cellStyle name="표준 9 4 4 3 6 3" xfId="46193"/>
    <cellStyle name="표준 9 4 4 3 6 2 2" xfId="46194"/>
    <cellStyle name="표준 9 4 4 3 7 2" xfId="46195"/>
    <cellStyle name="표준 9 4 4 3 8 2" xfId="46196"/>
    <cellStyle name="표준 9 4 4 4 2 2 2 2" xfId="46197"/>
    <cellStyle name="표준 9 4 4 4 2 3 3" xfId="46198"/>
    <cellStyle name="표준 9 4 4 4 2 3 2 2" xfId="46199"/>
    <cellStyle name="표준 9 4 4 4 2 4 2" xfId="46200"/>
    <cellStyle name="표준 9 4 4 4 2 5 2" xfId="46201"/>
    <cellStyle name="표준 9 4 4 4 3 2 2 2" xfId="46202"/>
    <cellStyle name="표준 9 4 4 4 3 3 3" xfId="46203"/>
    <cellStyle name="표준 9 4 4 4 3 3 2 2" xfId="46204"/>
    <cellStyle name="표준 9 4 4 4 3 4 2" xfId="46205"/>
    <cellStyle name="표준 9 4 4 4 3 5 2" xfId="46206"/>
    <cellStyle name="표준 9 4 4 4 4 2 2" xfId="46207"/>
    <cellStyle name="표준 9 4 4 4 5 3" xfId="46208"/>
    <cellStyle name="표준 9 4 4 4 5 2 2" xfId="46209"/>
    <cellStyle name="표준 9 4 4 4 6 2" xfId="46210"/>
    <cellStyle name="표준 9 4 4 4 7 2" xfId="46211"/>
    <cellStyle name="표준 9 4 4 5 2 2 2" xfId="46212"/>
    <cellStyle name="표준 9 4 4 5 3 3" xfId="46213"/>
    <cellStyle name="표준 9 4 4 5 3 2 2" xfId="46214"/>
    <cellStyle name="표준 9 4 4 5 4 2" xfId="46215"/>
    <cellStyle name="표준 9 4 4 5 5 2" xfId="46216"/>
    <cellStyle name="표준 9 4 4 6 2 2 2" xfId="46217"/>
    <cellStyle name="표준 9 4 4 6 3 3" xfId="46218"/>
    <cellStyle name="표준 9 4 4 6 3 2 2" xfId="46219"/>
    <cellStyle name="표준 9 4 4 6 4 2" xfId="46220"/>
    <cellStyle name="표준 9 4 4 6 5 2" xfId="46221"/>
    <cellStyle name="표준 9 4 4 7 2 2" xfId="46222"/>
    <cellStyle name="표준 9 4 4 8 3" xfId="46223"/>
    <cellStyle name="표준 9 4 4 8 2 2" xfId="46224"/>
    <cellStyle name="표준 9 4 4 9 2" xfId="46225"/>
    <cellStyle name="표준 9 4 5 2 2 2 2 2 2" xfId="46226"/>
    <cellStyle name="표준 9 4 5 2 2 2 3 3" xfId="46227"/>
    <cellStyle name="표준 9 4 5 2 2 2 3 2 2" xfId="46228"/>
    <cellStyle name="표준 9 4 5 2 2 2 4 2" xfId="46229"/>
    <cellStyle name="표준 9 4 5 2 2 2 5 2" xfId="46230"/>
    <cellStyle name="표준 9 4 5 2 2 3 2 2 2" xfId="46231"/>
    <cellStyle name="표준 9 4 5 2 2 3 3 3" xfId="46232"/>
    <cellStyle name="표준 9 4 5 2 2 3 3 2 2" xfId="46233"/>
    <cellStyle name="표준 9 4 5 2 2 3 4 2" xfId="46234"/>
    <cellStyle name="표준 9 4 5 2 2 3 5 2" xfId="46235"/>
    <cellStyle name="표준 9 4 5 2 2 4 2 2" xfId="46236"/>
    <cellStyle name="표준 9 4 5 2 2 5 3" xfId="46237"/>
    <cellStyle name="표준 9 4 5 2 2 5 2 2" xfId="46238"/>
    <cellStyle name="표준 9 4 5 2 2 6 2" xfId="46239"/>
    <cellStyle name="표준 9 4 5 2 2 7 2" xfId="46240"/>
    <cellStyle name="표준 9 4 5 2 3 2 2 2" xfId="46241"/>
    <cellStyle name="표준 9 4 5 2 3 3 3" xfId="46242"/>
    <cellStyle name="표준 9 4 5 2 3 3 2 2" xfId="46243"/>
    <cellStyle name="표준 9 4 5 2 3 4 2" xfId="46244"/>
    <cellStyle name="표준 9 4 5 2 3 5 2" xfId="46245"/>
    <cellStyle name="표준 9 4 5 2 4 2 2 2" xfId="46246"/>
    <cellStyle name="표준 9 4 5 2 4 3 3" xfId="46247"/>
    <cellStyle name="표준 9 4 5 2 4 3 2 2" xfId="46248"/>
    <cellStyle name="표준 9 4 5 2 4 4 2" xfId="46249"/>
    <cellStyle name="표준 9 4 5 2 4 5 2" xfId="46250"/>
    <cellStyle name="표준 9 4 5 2 5 2 2" xfId="46251"/>
    <cellStyle name="표준 9 4 5 2 6 3" xfId="46252"/>
    <cellStyle name="표준 9 4 5 2 6 2 2" xfId="46253"/>
    <cellStyle name="표준 9 4 5 2 7 2" xfId="46254"/>
    <cellStyle name="표준 9 4 5 2 8 2" xfId="46255"/>
    <cellStyle name="표준 9 4 5 3 2 2 2 2" xfId="46256"/>
    <cellStyle name="표준 9 4 5 3 2 3 3" xfId="46257"/>
    <cellStyle name="표준 9 4 5 3 2 3 2 2" xfId="46258"/>
    <cellStyle name="표준 9 4 5 3 2 4 2" xfId="46259"/>
    <cellStyle name="표준 9 4 5 3 2 5 2" xfId="46260"/>
    <cellStyle name="표준 9 4 5 3 3 2 2 2" xfId="46261"/>
    <cellStyle name="표준 9 4 5 3 3 3 3" xfId="46262"/>
    <cellStyle name="표준 9 4 5 3 3 3 2 2" xfId="46263"/>
    <cellStyle name="표준 9 4 5 3 3 4 2" xfId="46264"/>
    <cellStyle name="표준 9 4 5 3 3 5 2" xfId="46265"/>
    <cellStyle name="표준 9 4 5 3 4 2 2" xfId="46266"/>
    <cellStyle name="표준 9 4 5 3 5 3" xfId="46267"/>
    <cellStyle name="표준 9 4 5 3 5 2 2" xfId="46268"/>
    <cellStyle name="표준 9 4 5 3 6 2" xfId="46269"/>
    <cellStyle name="표준 9 4 5 3 7 2" xfId="46270"/>
    <cellStyle name="표준 9 4 5 4 2 2 2" xfId="46271"/>
    <cellStyle name="표준 9 4 5 4 3 3" xfId="46272"/>
    <cellStyle name="표준 9 4 5 4 3 2 2" xfId="46273"/>
    <cellStyle name="표준 9 4 5 4 4 2" xfId="46274"/>
    <cellStyle name="표준 9 4 5 4 5 2" xfId="46275"/>
    <cellStyle name="표준 9 4 5 5 2 2 2" xfId="46276"/>
    <cellStyle name="표준 9 4 5 5 3 3" xfId="46277"/>
    <cellStyle name="표준 9 4 5 5 3 2 2" xfId="46278"/>
    <cellStyle name="표준 9 4 5 5 4 2" xfId="46279"/>
    <cellStyle name="표준 9 4 5 5 5 2" xfId="46280"/>
    <cellStyle name="표준 9 4 5 6 2 2" xfId="46281"/>
    <cellStyle name="표준 9 4 5 7 3" xfId="46282"/>
    <cellStyle name="표준 9 4 5 7 2 2" xfId="46283"/>
    <cellStyle name="표준 9 4 5 8 2" xfId="46284"/>
    <cellStyle name="표준 9 4 5 9 2" xfId="46285"/>
    <cellStyle name="표준 9 4 6 2 2 2 2 2" xfId="46286"/>
    <cellStyle name="표준 9 4 6 2 2 3 3" xfId="46287"/>
    <cellStyle name="표준 9 4 6 2 2 3 2 2" xfId="46288"/>
    <cellStyle name="표준 9 4 6 2 2 4 2" xfId="46289"/>
    <cellStyle name="표준 9 4 6 2 2 5 2" xfId="46290"/>
    <cellStyle name="표준 9 4 6 2 3 2 2 2" xfId="46291"/>
    <cellStyle name="표준 9 4 6 2 3 3 3" xfId="46292"/>
    <cellStyle name="표준 9 4 6 2 3 3 2 2" xfId="46293"/>
    <cellStyle name="표준 9 4 6 2 3 4 2" xfId="46294"/>
    <cellStyle name="표준 9 4 6 2 3 5 2" xfId="46295"/>
    <cellStyle name="표준 9 4 6 2 4 2 2" xfId="46296"/>
    <cellStyle name="표준 9 4 6 2 5 3" xfId="46297"/>
    <cellStyle name="표준 9 4 6 2 5 2 2" xfId="46298"/>
    <cellStyle name="표준 9 4 6 2 6 2" xfId="46299"/>
    <cellStyle name="표준 9 4 6 2 7 2" xfId="46300"/>
    <cellStyle name="표준 9 4 6 3 2 2 2" xfId="46301"/>
    <cellStyle name="표준 9 4 6 3 3 3" xfId="46302"/>
    <cellStyle name="표준 9 4 6 3 3 2 2" xfId="46303"/>
    <cellStyle name="표준 9 4 6 3 4 2" xfId="46304"/>
    <cellStyle name="표준 9 4 6 3 5 2" xfId="46305"/>
    <cellStyle name="표준 9 4 6 4 2 2 2" xfId="46306"/>
    <cellStyle name="표준 9 4 6 4 3 3" xfId="46307"/>
    <cellStyle name="표준 9 4 6 4 3 2 2" xfId="46308"/>
    <cellStyle name="표준 9 4 6 4 4 2" xfId="46309"/>
    <cellStyle name="표준 9 4 6 4 5 2" xfId="46310"/>
    <cellStyle name="표준 9 4 6 5 2 2" xfId="46311"/>
    <cellStyle name="표준 9 4 6 6 3" xfId="46312"/>
    <cellStyle name="표준 9 4 6 6 2 2" xfId="46313"/>
    <cellStyle name="표준 9 4 6 7 2" xfId="46314"/>
    <cellStyle name="표준 9 4 6 8 2" xfId="46315"/>
    <cellStyle name="표준 9 4 7 2 2 2 2" xfId="46316"/>
    <cellStyle name="표준 9 4 7 2 3 3" xfId="46317"/>
    <cellStyle name="표준 9 4 7 2 3 2 2" xfId="46318"/>
    <cellStyle name="표준 9 4 7 2 4 2" xfId="46319"/>
    <cellStyle name="표준 9 4 7 2 5 2" xfId="46320"/>
    <cellStyle name="표준 9 4 7 3 2 2 2" xfId="46321"/>
    <cellStyle name="표준 9 4 7 3 3 3" xfId="46322"/>
    <cellStyle name="표준 9 4 7 3 3 2 2" xfId="46323"/>
    <cellStyle name="표준 9 4 7 3 4 2" xfId="46324"/>
    <cellStyle name="표준 9 4 7 3 5 2" xfId="46325"/>
    <cellStyle name="표준 9 4 7 4 2 2" xfId="46326"/>
    <cellStyle name="표준 9 4 7 5 3" xfId="46327"/>
    <cellStyle name="표준 9 4 7 5 2 2" xfId="46328"/>
    <cellStyle name="표준 9 4 7 6 2" xfId="46329"/>
    <cellStyle name="표준 9 4 7 7 2" xfId="46330"/>
    <cellStyle name="표준 9 4 8 2 2 2" xfId="46331"/>
    <cellStyle name="표준 9 4 8 3 3" xfId="46332"/>
    <cellStyle name="표준 9 4 8 3 2 2" xfId="46333"/>
    <cellStyle name="표준 9 4 8 4 2" xfId="46334"/>
    <cellStyle name="표준 9 4 8 5 2" xfId="46335"/>
    <cellStyle name="표준 9 4 9 2 2 2" xfId="46336"/>
    <cellStyle name="표준 9 4 9 3 3" xfId="46337"/>
    <cellStyle name="표준 9 4 9 3 2 2" xfId="46338"/>
    <cellStyle name="표준 9 4 9 4 2" xfId="46339"/>
    <cellStyle name="표준 9 4 9 5 2" xfId="46340"/>
    <cellStyle name="표준 9 5 10 2 2" xfId="46341"/>
    <cellStyle name="표준 9 5 11 3" xfId="46342"/>
    <cellStyle name="표준 9 5 11 2 2" xfId="46343"/>
    <cellStyle name="표준 9 5 12 2" xfId="46344"/>
    <cellStyle name="표준 9 5 13 2" xfId="46345"/>
    <cellStyle name="표준 9 5 2 10 2" xfId="46346"/>
    <cellStyle name="표준 9 5 2 2 2 2 2 2 2 2" xfId="46347"/>
    <cellStyle name="표준 9 5 2 2 2 2 2 3 3" xfId="46348"/>
    <cellStyle name="표준 9 5 2 2 2 2 2 3 2 2" xfId="46349"/>
    <cellStyle name="표준 9 5 2 2 2 2 2 4 2" xfId="46350"/>
    <cellStyle name="표준 9 5 2 2 2 2 2 5 2" xfId="46351"/>
    <cellStyle name="표준 9 5 2 2 2 2 3 2 2 2" xfId="46352"/>
    <cellStyle name="표준 9 5 2 2 2 2 3 3 3" xfId="46353"/>
    <cellStyle name="표준 9 5 2 2 2 2 3 3 2 2" xfId="46354"/>
    <cellStyle name="표준 9 5 2 2 2 2 3 4 2" xfId="46355"/>
    <cellStyle name="표준 9 5 2 2 2 2 3 5 2" xfId="46356"/>
    <cellStyle name="표준 9 5 2 2 2 2 4 2 2" xfId="46357"/>
    <cellStyle name="표준 9 5 2 2 2 2 5 3" xfId="46358"/>
    <cellStyle name="표준 9 5 2 2 2 2 5 2 2" xfId="46359"/>
    <cellStyle name="표준 9 5 2 2 2 2 6 2" xfId="46360"/>
    <cellStyle name="표준 9 5 2 2 2 2 7 2" xfId="46361"/>
    <cellStyle name="표준 9 5 2 2 2 3 2 2 2" xfId="46362"/>
    <cellStyle name="표준 9 5 2 2 2 3 3 3" xfId="46363"/>
    <cellStyle name="표준 9 5 2 2 2 3 3 2 2" xfId="46364"/>
    <cellStyle name="표준 9 5 2 2 2 3 4 2" xfId="46365"/>
    <cellStyle name="표준 9 5 2 2 2 3 5 2" xfId="46366"/>
    <cellStyle name="표준 9 5 2 2 2 4 2 2 2" xfId="46367"/>
    <cellStyle name="표준 9 5 2 2 2 4 3 3" xfId="46368"/>
    <cellStyle name="표준 9 5 2 2 2 4 3 2 2" xfId="46369"/>
    <cellStyle name="표준 9 5 2 2 2 4 4 2" xfId="46370"/>
    <cellStyle name="표준 9 5 2 2 2 4 5 2" xfId="46371"/>
    <cellStyle name="표준 9 5 2 2 2 5 2 2" xfId="46372"/>
    <cellStyle name="표준 9 5 2 2 2 6 3" xfId="46373"/>
    <cellStyle name="표준 9 5 2 2 2 6 2 2" xfId="46374"/>
    <cellStyle name="표준 9 5 2 2 2 7 2" xfId="46375"/>
    <cellStyle name="표준 9 5 2 2 2 8 2" xfId="46376"/>
    <cellStyle name="표준 9 5 2 2 3 2 2 2 2" xfId="46377"/>
    <cellStyle name="표준 9 5 2 2 3 2 3 3" xfId="46378"/>
    <cellStyle name="표준 9 5 2 2 3 2 3 2 2" xfId="46379"/>
    <cellStyle name="표준 9 5 2 2 3 2 4 2" xfId="46380"/>
    <cellStyle name="표준 9 5 2 2 3 2 5 2" xfId="46381"/>
    <cellStyle name="표준 9 5 2 2 3 3 2 2 2" xfId="46382"/>
    <cellStyle name="표준 9 5 2 2 3 3 3 3" xfId="46383"/>
    <cellStyle name="표준 9 5 2 2 3 3 3 2 2" xfId="46384"/>
    <cellStyle name="표준 9 5 2 2 3 3 4 2" xfId="46385"/>
    <cellStyle name="표준 9 5 2 2 3 3 5 2" xfId="46386"/>
    <cellStyle name="표준 9 5 2 2 3 4 2 2" xfId="46387"/>
    <cellStyle name="표준 9 5 2 2 3 5 3" xfId="46388"/>
    <cellStyle name="표준 9 5 2 2 3 5 2 2" xfId="46389"/>
    <cellStyle name="표준 9 5 2 2 3 6 2" xfId="46390"/>
    <cellStyle name="표준 9 5 2 2 3 7 2" xfId="46391"/>
    <cellStyle name="표준 9 5 2 2 4 2 2 2" xfId="46392"/>
    <cellStyle name="표준 9 5 2 2 4 3 3" xfId="46393"/>
    <cellStyle name="표준 9 5 2 2 4 3 2 2" xfId="46394"/>
    <cellStyle name="표준 9 5 2 2 4 4 2" xfId="46395"/>
    <cellStyle name="표준 9 5 2 2 4 5 2" xfId="46396"/>
    <cellStyle name="표준 9 5 2 2 5 2 2 2" xfId="46397"/>
    <cellStyle name="표준 9 5 2 2 5 3 3" xfId="46398"/>
    <cellStyle name="표준 9 5 2 2 5 3 2 2" xfId="46399"/>
    <cellStyle name="표준 9 5 2 2 5 4 2" xfId="46400"/>
    <cellStyle name="표준 9 5 2 2 5 5 2" xfId="46401"/>
    <cellStyle name="표준 9 5 2 2 6 2 2" xfId="46402"/>
    <cellStyle name="표준 9 5 2 2 7 3" xfId="46403"/>
    <cellStyle name="표준 9 5 2 2 7 2 2" xfId="46404"/>
    <cellStyle name="표준 9 5 2 2 8 2" xfId="46405"/>
    <cellStyle name="표준 9 5 2 2 9 2" xfId="46406"/>
    <cellStyle name="표준 9 5 2 3 2 2 2 2 2" xfId="46407"/>
    <cellStyle name="표준 9 5 2 3 2 2 3 3" xfId="46408"/>
    <cellStyle name="표준 9 5 2 3 2 2 3 2 2" xfId="46409"/>
    <cellStyle name="표준 9 5 2 3 2 2 4 2" xfId="46410"/>
    <cellStyle name="표준 9 5 2 3 2 2 5 2" xfId="46411"/>
    <cellStyle name="표준 9 5 2 3 2 3 2 2 2" xfId="46412"/>
    <cellStyle name="표준 9 5 2 3 2 3 3 3" xfId="46413"/>
    <cellStyle name="표준 9 5 2 3 2 3 3 2 2" xfId="46414"/>
    <cellStyle name="표준 9 5 2 3 2 3 4 2" xfId="46415"/>
    <cellStyle name="표준 9 5 2 3 2 3 5 2" xfId="46416"/>
    <cellStyle name="표준 9 5 2 3 2 4 2 2" xfId="46417"/>
    <cellStyle name="표준 9 5 2 3 2 5 3" xfId="46418"/>
    <cellStyle name="표준 9 5 2 3 2 5 2 2" xfId="46419"/>
    <cellStyle name="표준 9 5 2 3 2 6 2" xfId="46420"/>
    <cellStyle name="표준 9 5 2 3 2 7 2" xfId="46421"/>
    <cellStyle name="표준 9 5 2 3 3 2 2 2" xfId="46422"/>
    <cellStyle name="표준 9 5 2 3 3 3 3" xfId="46423"/>
    <cellStyle name="표준 9 5 2 3 3 3 2 2" xfId="46424"/>
    <cellStyle name="표준 9 5 2 3 3 4 2" xfId="46425"/>
    <cellStyle name="표준 9 5 2 3 3 5 2" xfId="46426"/>
    <cellStyle name="표준 9 5 2 3 4 2 2 2" xfId="46427"/>
    <cellStyle name="표준 9 5 2 3 4 3 3" xfId="46428"/>
    <cellStyle name="표준 9 5 2 3 4 3 2 2" xfId="46429"/>
    <cellStyle name="표준 9 5 2 3 4 4 2" xfId="46430"/>
    <cellStyle name="표준 9 5 2 3 4 5 2" xfId="46431"/>
    <cellStyle name="표준 9 5 2 3 5 2 2" xfId="46432"/>
    <cellStyle name="표준 9 5 2 3 6 3" xfId="46433"/>
    <cellStyle name="표준 9 5 2 3 6 2 2" xfId="46434"/>
    <cellStyle name="표준 9 5 2 3 7 2" xfId="46435"/>
    <cellStyle name="표준 9 5 2 3 8 2" xfId="46436"/>
    <cellStyle name="표준 9 5 2 4 2 2 2 2" xfId="46437"/>
    <cellStyle name="표준 9 5 2 4 2 3 3" xfId="46438"/>
    <cellStyle name="표준 9 5 2 4 2 3 2 2" xfId="46439"/>
    <cellStyle name="표준 9 5 2 4 2 4 2" xfId="46440"/>
    <cellStyle name="표준 9 5 2 4 2 5 2" xfId="46441"/>
    <cellStyle name="표준 9 5 2 4 3 2 2 2" xfId="46442"/>
    <cellStyle name="표준 9 5 2 4 3 3 3" xfId="46443"/>
    <cellStyle name="표준 9 5 2 4 3 3 2 2" xfId="46444"/>
    <cellStyle name="표준 9 5 2 4 3 4 2" xfId="46445"/>
    <cellStyle name="표준 9 5 2 4 3 5 2" xfId="46446"/>
    <cellStyle name="표준 9 5 2 4 4 2 2" xfId="46447"/>
    <cellStyle name="표준 9 5 2 4 5 3" xfId="46448"/>
    <cellStyle name="표준 9 5 2 4 5 2 2" xfId="46449"/>
    <cellStyle name="표준 9 5 2 4 6 2" xfId="46450"/>
    <cellStyle name="표준 9 5 2 4 7 2" xfId="46451"/>
    <cellStyle name="표준 9 5 2 5 2 2 2" xfId="46452"/>
    <cellStyle name="표준 9 5 2 5 3 3" xfId="46453"/>
    <cellStyle name="표준 9 5 2 5 3 2 2" xfId="46454"/>
    <cellStyle name="표준 9 5 2 5 4 2" xfId="46455"/>
    <cellStyle name="표준 9 5 2 5 5 2" xfId="46456"/>
    <cellStyle name="표준 9 5 2 6 2 2 2" xfId="46457"/>
    <cellStyle name="표준 9 5 2 6 3 3" xfId="46458"/>
    <cellStyle name="표준 9 5 2 6 3 2 2" xfId="46459"/>
    <cellStyle name="표준 9 5 2 6 4 2" xfId="46460"/>
    <cellStyle name="표준 9 5 2 6 5 2" xfId="46461"/>
    <cellStyle name="표준 9 5 2 7 2 2" xfId="46462"/>
    <cellStyle name="표준 9 5 2 8 3" xfId="46463"/>
    <cellStyle name="표준 9 5 2 8 2 2" xfId="46464"/>
    <cellStyle name="표준 9 5 2 9 2" xfId="46465"/>
    <cellStyle name="표준 9 5 3 10 2" xfId="46466"/>
    <cellStyle name="표준 9 5 3 2 2 2 2 2 2 2" xfId="46467"/>
    <cellStyle name="표준 9 5 3 2 2 2 2 3 3" xfId="46468"/>
    <cellStyle name="표준 9 5 3 2 2 2 2 3 2 2" xfId="46469"/>
    <cellStyle name="표준 9 5 3 2 2 2 2 4 2" xfId="46470"/>
    <cellStyle name="표준 9 5 3 2 2 2 2 5 2" xfId="46471"/>
    <cellStyle name="표준 9 5 3 2 2 2 3 2 2 2" xfId="46472"/>
    <cellStyle name="표준 9 5 3 2 2 2 3 3 3" xfId="46473"/>
    <cellStyle name="표준 9 5 3 2 2 2 3 3 2 2" xfId="46474"/>
    <cellStyle name="표준 9 5 3 2 2 2 3 4 2" xfId="46475"/>
    <cellStyle name="표준 9 5 3 2 2 2 3 5 2" xfId="46476"/>
    <cellStyle name="표준 9 5 3 2 2 2 4 2 2" xfId="46477"/>
    <cellStyle name="표준 9 5 3 2 2 2 5 3" xfId="46478"/>
    <cellStyle name="표준 9 5 3 2 2 2 5 2 2" xfId="46479"/>
    <cellStyle name="표준 9 5 3 2 2 2 6 2" xfId="46480"/>
    <cellStyle name="표준 9 5 3 2 2 2 7 2" xfId="46481"/>
    <cellStyle name="표준 9 5 3 2 2 3 2 2 2" xfId="46482"/>
    <cellStyle name="표준 9 5 3 2 2 3 3 3" xfId="46483"/>
    <cellStyle name="표준 9 5 3 2 2 3 3 2 2" xfId="46484"/>
    <cellStyle name="표준 9 5 3 2 2 3 4 2" xfId="46485"/>
    <cellStyle name="표준 9 5 3 2 2 3 5 2" xfId="46486"/>
    <cellStyle name="표준 9 5 3 2 2 4 2 2 2" xfId="46487"/>
    <cellStyle name="표준 9 5 3 2 2 4 3 3" xfId="46488"/>
    <cellStyle name="표준 9 5 3 2 2 4 3 2 2" xfId="46489"/>
    <cellStyle name="표준 9 5 3 2 2 4 4 2" xfId="46490"/>
    <cellStyle name="표준 9 5 3 2 2 4 5 2" xfId="46491"/>
    <cellStyle name="표준 9 5 3 2 2 5 2 2" xfId="46492"/>
    <cellStyle name="표준 9 5 3 2 2 6 3" xfId="46493"/>
    <cellStyle name="표준 9 5 3 2 2 6 2 2" xfId="46494"/>
    <cellStyle name="표준 9 5 3 2 2 7 2" xfId="46495"/>
    <cellStyle name="표준 9 5 3 2 2 8 2" xfId="46496"/>
    <cellStyle name="표준 9 5 3 2 3 2 2 2 2" xfId="46497"/>
    <cellStyle name="표준 9 5 3 2 3 2 3 3" xfId="46498"/>
    <cellStyle name="표준 9 5 3 2 3 2 3 2 2" xfId="46499"/>
    <cellStyle name="표준 9 5 3 2 3 2 4 2" xfId="46500"/>
    <cellStyle name="표준 9 5 3 2 3 2 5 2" xfId="46501"/>
    <cellStyle name="표준 9 5 3 2 3 3 2 2 2" xfId="46502"/>
    <cellStyle name="표준 9 5 3 2 3 3 3 3" xfId="46503"/>
    <cellStyle name="표준 9 5 3 2 3 3 3 2 2" xfId="46504"/>
    <cellStyle name="표준 9 5 3 2 3 3 4 2" xfId="46505"/>
    <cellStyle name="표준 9 5 3 2 3 3 5 2" xfId="46506"/>
    <cellStyle name="표준 9 5 3 2 3 4 2 2" xfId="46507"/>
    <cellStyle name="표준 9 5 3 2 3 5 3" xfId="46508"/>
    <cellStyle name="표준 9 5 3 2 3 5 2 2" xfId="46509"/>
    <cellStyle name="표준 9 5 3 2 3 6 2" xfId="46510"/>
    <cellStyle name="표준 9 5 3 2 3 7 2" xfId="46511"/>
    <cellStyle name="표준 9 5 3 2 4 2 2 2" xfId="46512"/>
    <cellStyle name="표준 9 5 3 2 4 3 3" xfId="46513"/>
    <cellStyle name="표준 9 5 3 2 4 3 2 2" xfId="46514"/>
    <cellStyle name="표준 9 5 3 2 4 4 2" xfId="46515"/>
    <cellStyle name="표준 9 5 3 2 4 5 2" xfId="46516"/>
    <cellStyle name="표준 9 5 3 2 5 2 2 2" xfId="46517"/>
    <cellStyle name="표준 9 5 3 2 5 3 3" xfId="46518"/>
    <cellStyle name="표준 9 5 3 2 5 3 2 2" xfId="46519"/>
    <cellStyle name="표준 9 5 3 2 5 4 2" xfId="46520"/>
    <cellStyle name="표준 9 5 3 2 5 5 2" xfId="46521"/>
    <cellStyle name="표준 9 5 3 2 6 2 2" xfId="46522"/>
    <cellStyle name="표준 9 5 3 2 7 3" xfId="46523"/>
    <cellStyle name="표준 9 5 3 2 7 2 2" xfId="46524"/>
    <cellStyle name="표준 9 5 3 2 8 2" xfId="46525"/>
    <cellStyle name="표준 9 5 3 2 9 2" xfId="46526"/>
    <cellStyle name="표준 9 5 3 3 2 2 2 2 2" xfId="46527"/>
    <cellStyle name="표준 9 5 3 3 2 2 3 3" xfId="46528"/>
    <cellStyle name="표준 9 5 3 3 2 2 3 2 2" xfId="46529"/>
    <cellStyle name="표준 9 5 3 3 2 2 4 2" xfId="46530"/>
    <cellStyle name="표준 9 5 3 3 2 2 5 2" xfId="46531"/>
    <cellStyle name="표준 9 5 3 3 2 3 2 2 2" xfId="46532"/>
    <cellStyle name="표준 9 5 3 3 2 3 3 3" xfId="46533"/>
    <cellStyle name="표준 9 5 3 3 2 3 3 2 2" xfId="46534"/>
    <cellStyle name="표준 9 5 3 3 2 3 4 2" xfId="46535"/>
    <cellStyle name="표준 9 5 3 3 2 3 5 2" xfId="46536"/>
    <cellStyle name="표준 9 5 3 3 2 4 2 2" xfId="46537"/>
    <cellStyle name="표준 9 5 3 3 2 5 3" xfId="46538"/>
    <cellStyle name="표준 9 5 3 3 2 5 2 2" xfId="46539"/>
    <cellStyle name="표준 9 5 3 3 2 6 2" xfId="46540"/>
    <cellStyle name="표준 9 5 3 3 2 7 2" xfId="46541"/>
    <cellStyle name="표준 9 5 3 3 3 2 2 2" xfId="46542"/>
    <cellStyle name="표준 9 5 3 3 3 3 3" xfId="46543"/>
    <cellStyle name="표준 9 5 3 3 3 3 2 2" xfId="46544"/>
    <cellStyle name="표준 9 5 3 3 3 4 2" xfId="46545"/>
    <cellStyle name="표준 9 5 3 3 3 5 2" xfId="46546"/>
    <cellStyle name="표준 9 5 3 3 4 2 2 2" xfId="46547"/>
    <cellStyle name="표준 9 5 3 3 4 3 3" xfId="46548"/>
    <cellStyle name="표준 9 5 3 3 4 3 2 2" xfId="46549"/>
    <cellStyle name="표준 9 5 3 3 4 4 2" xfId="46550"/>
    <cellStyle name="표준 9 5 3 3 4 5 2" xfId="46551"/>
    <cellStyle name="표준 9 5 3 3 5 2 2" xfId="46552"/>
    <cellStyle name="표준 9 5 3 3 6 3" xfId="46553"/>
    <cellStyle name="표준 9 5 3 3 6 2 2" xfId="46554"/>
    <cellStyle name="표준 9 5 3 3 7 2" xfId="46555"/>
    <cellStyle name="표준 9 5 3 3 8 2" xfId="46556"/>
    <cellStyle name="표준 9 5 3 4 2 2 2 2" xfId="46557"/>
    <cellStyle name="표준 9 5 3 4 2 3 3" xfId="46558"/>
    <cellStyle name="표준 9 5 3 4 2 3 2 2" xfId="46559"/>
    <cellStyle name="표준 9 5 3 4 2 4 2" xfId="46560"/>
    <cellStyle name="표준 9 5 3 4 2 5 2" xfId="46561"/>
    <cellStyle name="표준 9 5 3 4 3 2 2 2" xfId="46562"/>
    <cellStyle name="표준 9 5 3 4 3 3 3" xfId="46563"/>
    <cellStyle name="표준 9 5 3 4 3 3 2 2" xfId="46564"/>
    <cellStyle name="표준 9 5 3 4 3 4 2" xfId="46565"/>
    <cellStyle name="표준 9 5 3 4 3 5 2" xfId="46566"/>
    <cellStyle name="표준 9 5 3 4 4 2 2" xfId="46567"/>
    <cellStyle name="표준 9 5 3 4 5 3" xfId="46568"/>
    <cellStyle name="표준 9 5 3 4 5 2 2" xfId="46569"/>
    <cellStyle name="표준 9 5 3 4 6 2" xfId="46570"/>
    <cellStyle name="표준 9 5 3 4 7 2" xfId="46571"/>
    <cellStyle name="표준 9 5 3 5 2 2 2" xfId="46572"/>
    <cellStyle name="표준 9 5 3 5 3 3" xfId="46573"/>
    <cellStyle name="표준 9 5 3 5 3 2 2" xfId="46574"/>
    <cellStyle name="표준 9 5 3 5 4 2" xfId="46575"/>
    <cellStyle name="표준 9 5 3 5 5 2" xfId="46576"/>
    <cellStyle name="표준 9 5 3 6 2 2 2" xfId="46577"/>
    <cellStyle name="표준 9 5 3 6 3 3" xfId="46578"/>
    <cellStyle name="표준 9 5 3 6 3 2 2" xfId="46579"/>
    <cellStyle name="표준 9 5 3 6 4 2" xfId="46580"/>
    <cellStyle name="표준 9 5 3 6 5 2" xfId="46581"/>
    <cellStyle name="표준 9 5 3 7 2 2" xfId="46582"/>
    <cellStyle name="표준 9 5 3 8 3" xfId="46583"/>
    <cellStyle name="표준 9 5 3 8 2 2" xfId="46584"/>
    <cellStyle name="표준 9 5 3 9 2" xfId="46585"/>
    <cellStyle name="표준 9 5 4 10 2" xfId="46586"/>
    <cellStyle name="표준 9 5 4 2 2 2 2 2 2 2" xfId="46587"/>
    <cellStyle name="표준 9 5 4 2 2 2 2 3 3" xfId="46588"/>
    <cellStyle name="표준 9 5 4 2 2 2 2 3 2 2" xfId="46589"/>
    <cellStyle name="표준 9 5 4 2 2 2 2 4 2" xfId="46590"/>
    <cellStyle name="표준 9 5 4 2 2 2 2 5 2" xfId="46591"/>
    <cellStyle name="표준 9 5 4 2 2 2 3 2 2 2" xfId="46592"/>
    <cellStyle name="표준 9 5 4 2 2 2 3 3 3" xfId="46593"/>
    <cellStyle name="표준 9 5 4 2 2 2 3 3 2 2" xfId="46594"/>
    <cellStyle name="표준 9 5 4 2 2 2 3 4 2" xfId="46595"/>
    <cellStyle name="표준 9 5 4 2 2 2 3 5 2" xfId="46596"/>
    <cellStyle name="표준 9 5 4 2 2 2 4 2 2" xfId="46597"/>
    <cellStyle name="표준 9 5 4 2 2 2 5 3" xfId="46598"/>
    <cellStyle name="표준 9 5 4 2 2 2 5 2 2" xfId="46599"/>
    <cellStyle name="표준 9 5 4 2 2 2 6 2" xfId="46600"/>
    <cellStyle name="표준 9 5 4 2 2 2 7 2" xfId="46601"/>
    <cellStyle name="표준 9 5 4 2 2 3 2 2 2" xfId="46602"/>
    <cellStyle name="표준 9 5 4 2 2 3 3 3" xfId="46603"/>
    <cellStyle name="표준 9 5 4 2 2 3 3 2 2" xfId="46604"/>
    <cellStyle name="표준 9 5 4 2 2 3 4 2" xfId="46605"/>
    <cellStyle name="표준 9 5 4 2 2 3 5 2" xfId="46606"/>
    <cellStyle name="표준 9 5 4 2 2 4 2 2 2" xfId="46607"/>
    <cellStyle name="표준 9 5 4 2 2 4 3 3" xfId="46608"/>
    <cellStyle name="표준 9 5 4 2 2 4 3 2 2" xfId="46609"/>
    <cellStyle name="표준 9 5 4 2 2 4 4 2" xfId="46610"/>
    <cellStyle name="표준 9 5 4 2 2 4 5 2" xfId="46611"/>
    <cellStyle name="표준 9 5 4 2 2 5 2 2" xfId="46612"/>
    <cellStyle name="표준 9 5 4 2 2 6 3" xfId="46613"/>
    <cellStyle name="표준 9 5 4 2 2 6 2 2" xfId="46614"/>
    <cellStyle name="표준 9 5 4 2 2 7 2" xfId="46615"/>
    <cellStyle name="표준 9 5 4 2 2 8 2" xfId="46616"/>
    <cellStyle name="표준 9 5 4 2 3 2 2 2 2" xfId="46617"/>
    <cellStyle name="표준 9 5 4 2 3 2 3 3" xfId="46618"/>
    <cellStyle name="표준 9 5 4 2 3 2 3 2 2" xfId="46619"/>
    <cellStyle name="표준 9 5 4 2 3 2 4 2" xfId="46620"/>
    <cellStyle name="표준 9 5 4 2 3 2 5 2" xfId="46621"/>
    <cellStyle name="표준 9 5 4 2 3 3 2 2 2" xfId="46622"/>
    <cellStyle name="표준 9 5 4 2 3 3 3 3" xfId="46623"/>
    <cellStyle name="표준 9 5 4 2 3 3 3 2 2" xfId="46624"/>
    <cellStyle name="표준 9 5 4 2 3 3 4 2" xfId="46625"/>
    <cellStyle name="표준 9 5 4 2 3 3 5 2" xfId="46626"/>
    <cellStyle name="표준 9 5 4 2 3 4 2 2" xfId="46627"/>
    <cellStyle name="표준 9 5 4 2 3 5 3" xfId="46628"/>
    <cellStyle name="표준 9 5 4 2 3 5 2 2" xfId="46629"/>
    <cellStyle name="표준 9 5 4 2 3 6 2" xfId="46630"/>
    <cellStyle name="표준 9 5 4 2 3 7 2" xfId="46631"/>
    <cellStyle name="표준 9 5 4 2 4 2 2 2" xfId="46632"/>
    <cellStyle name="표준 9 5 4 2 4 3 3" xfId="46633"/>
    <cellStyle name="표준 9 5 4 2 4 3 2 2" xfId="46634"/>
    <cellStyle name="표준 9 5 4 2 4 4 2" xfId="46635"/>
    <cellStyle name="표준 9 5 4 2 4 5 2" xfId="46636"/>
    <cellStyle name="표준 9 5 4 2 5 2 2 2" xfId="46637"/>
    <cellStyle name="표준 9 5 4 2 5 3 3" xfId="46638"/>
    <cellStyle name="표준 9 5 4 2 5 3 2 2" xfId="46639"/>
    <cellStyle name="표준 9 5 4 2 5 4 2" xfId="46640"/>
    <cellStyle name="표준 9 5 4 2 5 5 2" xfId="46641"/>
    <cellStyle name="표준 9 5 4 2 6 2 2" xfId="46642"/>
    <cellStyle name="표준 9 5 4 2 7 3" xfId="46643"/>
    <cellStyle name="표준 9 5 4 2 7 2 2" xfId="46644"/>
    <cellStyle name="표준 9 5 4 2 8 2" xfId="46645"/>
    <cellStyle name="표준 9 5 4 2 9 2" xfId="46646"/>
    <cellStyle name="표준 9 5 4 3 2 2 2 2 2" xfId="46647"/>
    <cellStyle name="표준 9 5 4 3 2 2 3 3" xfId="46648"/>
    <cellStyle name="표준 9 5 4 3 2 2 3 2 2" xfId="46649"/>
    <cellStyle name="표준 9 5 4 3 2 2 4 2" xfId="46650"/>
    <cellStyle name="표준 9 5 4 3 2 2 5 2" xfId="46651"/>
    <cellStyle name="표준 9 5 4 3 2 3 2 2 2" xfId="46652"/>
    <cellStyle name="표준 9 5 4 3 2 3 3 3" xfId="46653"/>
    <cellStyle name="표준 9 5 4 3 2 3 3 2 2" xfId="46654"/>
    <cellStyle name="표준 9 5 4 3 2 3 4 2" xfId="46655"/>
    <cellStyle name="표준 9 5 4 3 2 3 5 2" xfId="46656"/>
    <cellStyle name="표준 9 5 4 3 2 4 2 2" xfId="46657"/>
    <cellStyle name="표준 9 5 4 3 2 5 3" xfId="46658"/>
    <cellStyle name="표준 9 5 4 3 2 5 2 2" xfId="46659"/>
    <cellStyle name="표준 9 5 4 3 2 6 2" xfId="46660"/>
    <cellStyle name="표준 9 5 4 3 2 7 2" xfId="46661"/>
    <cellStyle name="표준 9 5 4 3 3 2 2 2" xfId="46662"/>
    <cellStyle name="표준 9 5 4 3 3 3 3" xfId="46663"/>
    <cellStyle name="표준 9 5 4 3 3 3 2 2" xfId="46664"/>
    <cellStyle name="표준 9 5 4 3 3 4 2" xfId="46665"/>
    <cellStyle name="표준 9 5 4 3 3 5 2" xfId="46666"/>
    <cellStyle name="표준 9 5 4 3 4 2 2 2" xfId="46667"/>
    <cellStyle name="표준 9 5 4 3 4 3 3" xfId="46668"/>
    <cellStyle name="표준 9 5 4 3 4 3 2 2" xfId="46669"/>
    <cellStyle name="표준 9 5 4 3 4 4 2" xfId="46670"/>
    <cellStyle name="표준 9 5 4 3 4 5 2" xfId="46671"/>
    <cellStyle name="표준 9 5 4 3 5 2 2" xfId="46672"/>
    <cellStyle name="표준 9 5 4 3 6 3" xfId="46673"/>
    <cellStyle name="표준 9 5 4 3 6 2 2" xfId="46674"/>
    <cellStyle name="표준 9 5 4 3 7 2" xfId="46675"/>
    <cellStyle name="표준 9 5 4 3 8 2" xfId="46676"/>
    <cellStyle name="표준 9 5 4 4 2 2 2 2" xfId="46677"/>
    <cellStyle name="표준 9 5 4 4 2 3 3" xfId="46678"/>
    <cellStyle name="표준 9 5 4 4 2 3 2 2" xfId="46679"/>
    <cellStyle name="표준 9 5 4 4 2 4 2" xfId="46680"/>
    <cellStyle name="표준 9 5 4 4 2 5 2" xfId="46681"/>
    <cellStyle name="표준 9 5 4 4 3 2 2 2" xfId="46682"/>
    <cellStyle name="표준 9 5 4 4 3 3 3" xfId="46683"/>
    <cellStyle name="표준 9 5 4 4 3 3 2 2" xfId="46684"/>
    <cellStyle name="표준 9 5 4 4 3 4 2" xfId="46685"/>
    <cellStyle name="표준 9 5 4 4 3 5 2" xfId="46686"/>
    <cellStyle name="표준 9 5 4 4 4 2 2" xfId="46687"/>
    <cellStyle name="표준 9 5 4 4 5 3" xfId="46688"/>
    <cellStyle name="표준 9 5 4 4 5 2 2" xfId="46689"/>
    <cellStyle name="표준 9 5 4 4 6 2" xfId="46690"/>
    <cellStyle name="표준 9 5 4 4 7 2" xfId="46691"/>
    <cellStyle name="표준 9 5 4 5 2 2 2" xfId="46692"/>
    <cellStyle name="표준 9 5 4 5 3 3" xfId="46693"/>
    <cellStyle name="표준 9 5 4 5 3 2 2" xfId="46694"/>
    <cellStyle name="표준 9 5 4 5 4 2" xfId="46695"/>
    <cellStyle name="표준 9 5 4 5 5 2" xfId="46696"/>
    <cellStyle name="표준 9 5 4 6 2 2 2" xfId="46697"/>
    <cellStyle name="표준 9 5 4 6 3 3" xfId="46698"/>
    <cellStyle name="표준 9 5 4 6 3 2 2" xfId="46699"/>
    <cellStyle name="표준 9 5 4 6 4 2" xfId="46700"/>
    <cellStyle name="표준 9 5 4 6 5 2" xfId="46701"/>
    <cellStyle name="표준 9 5 4 7 2 2" xfId="46702"/>
    <cellStyle name="표준 9 5 4 8 3" xfId="46703"/>
    <cellStyle name="표준 9 5 4 8 2 2" xfId="46704"/>
    <cellStyle name="표준 9 5 4 9 2" xfId="46705"/>
    <cellStyle name="표준 9 5 5 2 2 2 2 2 2" xfId="46706"/>
    <cellStyle name="표준 9 5 5 2 2 2 3 3" xfId="46707"/>
    <cellStyle name="표준 9 5 5 2 2 2 3 2 2" xfId="46708"/>
    <cellStyle name="표준 9 5 5 2 2 2 4 2" xfId="46709"/>
    <cellStyle name="표준 9 5 5 2 2 2 5 2" xfId="46710"/>
    <cellStyle name="표준 9 5 5 2 2 3 2 2 2" xfId="46711"/>
    <cellStyle name="표준 9 5 5 2 2 3 3 3" xfId="46712"/>
    <cellStyle name="표준 9 5 5 2 2 3 3 2 2" xfId="46713"/>
    <cellStyle name="표준 9 5 5 2 2 3 4 2" xfId="46714"/>
    <cellStyle name="표준 9 5 5 2 2 3 5 2" xfId="46715"/>
    <cellStyle name="표준 9 5 5 2 2 4 2 2" xfId="46716"/>
    <cellStyle name="표준 9 5 5 2 2 5 3" xfId="46717"/>
    <cellStyle name="표준 9 5 5 2 2 5 2 2" xfId="46718"/>
    <cellStyle name="표준 9 5 5 2 2 6 2" xfId="46719"/>
    <cellStyle name="표준 9 5 5 2 2 7 2" xfId="46720"/>
    <cellStyle name="표준 9 5 5 2 3 2 2 2" xfId="46721"/>
    <cellStyle name="표준 9 5 5 2 3 3 3" xfId="46722"/>
    <cellStyle name="표준 9 5 5 2 3 3 2 2" xfId="46723"/>
    <cellStyle name="표준 9 5 5 2 3 4 2" xfId="46724"/>
    <cellStyle name="표준 9 5 5 2 3 5 2" xfId="46725"/>
    <cellStyle name="표준 9 5 5 2 4 2 2 2" xfId="46726"/>
    <cellStyle name="표준 9 5 5 2 4 3 3" xfId="46727"/>
    <cellStyle name="표준 9 5 5 2 4 3 2 2" xfId="46728"/>
    <cellStyle name="표준 9 5 5 2 4 4 2" xfId="46729"/>
    <cellStyle name="표준 9 5 5 2 4 5 2" xfId="46730"/>
    <cellStyle name="표준 9 5 5 2 5 2 2" xfId="46731"/>
    <cellStyle name="표준 9 5 5 2 6 3" xfId="46732"/>
    <cellStyle name="표준 9 5 5 2 6 2 2" xfId="46733"/>
    <cellStyle name="표준 9 5 5 2 7 2" xfId="46734"/>
    <cellStyle name="표준 9 5 5 2 8 2" xfId="46735"/>
    <cellStyle name="표준 9 5 5 3 2 2 2 2" xfId="46736"/>
    <cellStyle name="표준 9 5 5 3 2 3 3" xfId="46737"/>
    <cellStyle name="표준 9 5 5 3 2 3 2 2" xfId="46738"/>
    <cellStyle name="표준 9 5 5 3 2 4 2" xfId="46739"/>
    <cellStyle name="표준 9 5 5 3 2 5 2" xfId="46740"/>
    <cellStyle name="표준 9 5 5 3 3 2 2 2" xfId="46741"/>
    <cellStyle name="표준 9 5 5 3 3 3 3" xfId="46742"/>
    <cellStyle name="표준 9 5 5 3 3 3 2 2" xfId="46743"/>
    <cellStyle name="표준 9 5 5 3 3 4 2" xfId="46744"/>
    <cellStyle name="표준 9 5 5 3 3 5 2" xfId="46745"/>
    <cellStyle name="표준 9 5 5 3 4 2 2" xfId="46746"/>
    <cellStyle name="표준 9 5 5 3 5 3" xfId="46747"/>
    <cellStyle name="표준 9 5 5 3 5 2 2" xfId="46748"/>
    <cellStyle name="표준 9 5 5 3 6 2" xfId="46749"/>
    <cellStyle name="표준 9 5 5 3 7 2" xfId="46750"/>
    <cellStyle name="표준 9 5 5 4 2 2 2" xfId="46751"/>
    <cellStyle name="표준 9 5 5 4 3 3" xfId="46752"/>
    <cellStyle name="표준 9 5 5 4 3 2 2" xfId="46753"/>
    <cellStyle name="표준 9 5 5 4 4 2" xfId="46754"/>
    <cellStyle name="표준 9 5 5 4 5 2" xfId="46755"/>
    <cellStyle name="표준 9 5 5 5 2 2 2" xfId="46756"/>
    <cellStyle name="표준 9 5 5 5 3 3" xfId="46757"/>
    <cellStyle name="표준 9 5 5 5 3 2 2" xfId="46758"/>
    <cellStyle name="표준 9 5 5 5 4 2" xfId="46759"/>
    <cellStyle name="표준 9 5 5 5 5 2" xfId="46760"/>
    <cellStyle name="표준 9 5 5 6 2 2" xfId="46761"/>
    <cellStyle name="표준 9 5 5 7 3" xfId="46762"/>
    <cellStyle name="표준 9 5 5 7 2 2" xfId="46763"/>
    <cellStyle name="표준 9 5 5 8 2" xfId="46764"/>
    <cellStyle name="표준 9 5 5 9 2" xfId="46765"/>
    <cellStyle name="표준 9 5 6 2 2 2 2 2" xfId="46766"/>
    <cellStyle name="표준 9 5 6 2 2 3 3" xfId="46767"/>
    <cellStyle name="표준 9 5 6 2 2 3 2 2" xfId="46768"/>
    <cellStyle name="표준 9 5 6 2 2 4 2" xfId="46769"/>
    <cellStyle name="표준 9 5 6 2 2 5 2" xfId="46770"/>
    <cellStyle name="표준 9 5 6 2 3 2 2 2" xfId="46771"/>
    <cellStyle name="표준 9 5 6 2 3 3 3" xfId="46772"/>
    <cellStyle name="표준 9 5 6 2 3 3 2 2" xfId="46773"/>
    <cellStyle name="표준 9 5 6 2 3 4 2" xfId="46774"/>
    <cellStyle name="표준 9 5 6 2 3 5 2" xfId="46775"/>
    <cellStyle name="표준 9 5 6 2 4 2 2" xfId="46776"/>
    <cellStyle name="표준 9 5 6 2 5 3" xfId="46777"/>
    <cellStyle name="표준 9 5 6 2 5 2 2" xfId="46778"/>
    <cellStyle name="표준 9 5 6 2 6 2" xfId="46779"/>
    <cellStyle name="표준 9 5 6 2 7 2" xfId="46780"/>
    <cellStyle name="표준 9 5 6 3 2 2 2" xfId="46781"/>
    <cellStyle name="표준 9 5 6 3 3 3" xfId="46782"/>
    <cellStyle name="표준 9 5 6 3 3 2 2" xfId="46783"/>
    <cellStyle name="표준 9 5 6 3 4 2" xfId="46784"/>
    <cellStyle name="표준 9 5 6 3 5 2" xfId="46785"/>
    <cellStyle name="표준 9 5 6 4 2 2 2" xfId="46786"/>
    <cellStyle name="표준 9 5 6 4 3 3" xfId="46787"/>
    <cellStyle name="표준 9 5 6 4 3 2 2" xfId="46788"/>
    <cellStyle name="표준 9 5 6 4 4 2" xfId="46789"/>
    <cellStyle name="표준 9 5 6 4 5 2" xfId="46790"/>
    <cellStyle name="표준 9 5 6 5 2 2" xfId="46791"/>
    <cellStyle name="표준 9 5 6 6 3" xfId="46792"/>
    <cellStyle name="표준 9 5 6 6 2 2" xfId="46793"/>
    <cellStyle name="표준 9 5 6 7 2" xfId="46794"/>
    <cellStyle name="표준 9 5 6 8 2" xfId="46795"/>
    <cellStyle name="표준 9 5 7 2 2 2 2" xfId="46796"/>
    <cellStyle name="표준 9 5 7 2 3 3" xfId="46797"/>
    <cellStyle name="표준 9 5 7 2 3 2 2" xfId="46798"/>
    <cellStyle name="표준 9 5 7 2 4 2" xfId="46799"/>
    <cellStyle name="표준 9 5 7 2 5 2" xfId="46800"/>
    <cellStyle name="표준 9 5 7 3 2 2 2" xfId="46801"/>
    <cellStyle name="표준 9 5 7 3 3 3" xfId="46802"/>
    <cellStyle name="표준 9 5 7 3 3 2 2" xfId="46803"/>
    <cellStyle name="표준 9 5 7 3 4 2" xfId="46804"/>
    <cellStyle name="표준 9 5 7 3 5 2" xfId="46805"/>
    <cellStyle name="표준 9 5 7 4 2 2" xfId="46806"/>
    <cellStyle name="표준 9 5 7 5 3" xfId="46807"/>
    <cellStyle name="표준 9 5 7 5 2 2" xfId="46808"/>
    <cellStyle name="표준 9 5 7 6 2" xfId="46809"/>
    <cellStyle name="표준 9 5 7 7 2" xfId="46810"/>
    <cellStyle name="표준 9 5 8 2 2 2" xfId="46811"/>
    <cellStyle name="표준 9 5 8 3 3" xfId="46812"/>
    <cellStyle name="표준 9 5 8 3 2 2" xfId="46813"/>
    <cellStyle name="표준 9 5 8 4 2" xfId="46814"/>
    <cellStyle name="표준 9 5 8 5 2" xfId="46815"/>
    <cellStyle name="표준 9 5 9 2 2 2" xfId="46816"/>
    <cellStyle name="표준 9 5 9 3 3" xfId="46817"/>
    <cellStyle name="표준 9 5 9 3 2 2" xfId="46818"/>
    <cellStyle name="표준 9 5 9 4 2" xfId="46819"/>
    <cellStyle name="표준 9 5 9 5 2" xfId="46820"/>
    <cellStyle name="표준 9 6 10 2 2" xfId="46821"/>
    <cellStyle name="표준 9 6 11 3" xfId="46822"/>
    <cellStyle name="표준 9 6 11 2 2" xfId="46823"/>
    <cellStyle name="표준 9 6 12 2" xfId="46824"/>
    <cellStyle name="표준 9 6 13 2" xfId="46825"/>
    <cellStyle name="표준 9 6 2 10 2" xfId="46826"/>
    <cellStyle name="표준 9 6 2 2 2 2 2 2 2 2" xfId="46827"/>
    <cellStyle name="표준 9 6 2 2 2 2 2 3 3" xfId="46828"/>
    <cellStyle name="표준 9 6 2 2 2 2 2 3 2 2" xfId="46829"/>
    <cellStyle name="표준 9 6 2 2 2 2 2 4 2" xfId="46830"/>
    <cellStyle name="표준 9 6 2 2 2 2 2 5 2" xfId="46831"/>
    <cellStyle name="표준 9 6 2 2 2 2 3 2 2 2" xfId="46832"/>
    <cellStyle name="표준 9 6 2 2 2 2 3 3 3" xfId="46833"/>
    <cellStyle name="표준 9 6 2 2 2 2 3 3 2 2" xfId="46834"/>
    <cellStyle name="표준 9 6 2 2 2 2 3 4 2" xfId="46835"/>
    <cellStyle name="표준 9 6 2 2 2 2 3 5 2" xfId="46836"/>
    <cellStyle name="표준 9 6 2 2 2 2 4 2 2" xfId="46837"/>
    <cellStyle name="표준 9 6 2 2 2 2 5 3" xfId="46838"/>
    <cellStyle name="표준 9 6 2 2 2 2 5 2 2" xfId="46839"/>
    <cellStyle name="표준 9 6 2 2 2 2 6 2" xfId="46840"/>
    <cellStyle name="표준 9 6 2 2 2 2 7 2" xfId="46841"/>
    <cellStyle name="표준 9 6 2 2 2 3 2 2 2" xfId="46842"/>
    <cellStyle name="표준 9 6 2 2 2 3 3 3" xfId="46843"/>
    <cellStyle name="표준 9 6 2 2 2 3 3 2 2" xfId="46844"/>
    <cellStyle name="표준 9 6 2 2 2 3 4 2" xfId="46845"/>
    <cellStyle name="표준 9 6 2 2 2 3 5 2" xfId="46846"/>
    <cellStyle name="표준 9 6 2 2 2 4 2 2 2" xfId="46847"/>
    <cellStyle name="표준 9 6 2 2 2 4 3 3" xfId="46848"/>
    <cellStyle name="표준 9 6 2 2 2 4 3 2 2" xfId="46849"/>
    <cellStyle name="표준 9 6 2 2 2 4 4 2" xfId="46850"/>
    <cellStyle name="표준 9 6 2 2 2 4 5 2" xfId="46851"/>
    <cellStyle name="표준 9 6 2 2 2 5 2 2" xfId="46852"/>
    <cellStyle name="표준 9 6 2 2 2 6 3" xfId="46853"/>
    <cellStyle name="표준 9 6 2 2 2 6 2 2" xfId="46854"/>
    <cellStyle name="표준 9 6 2 2 2 7 2" xfId="46855"/>
    <cellStyle name="표준 9 6 2 2 2 8 2" xfId="46856"/>
    <cellStyle name="표준 9 6 2 2 3 2 2 2 2" xfId="46857"/>
    <cellStyle name="표준 9 6 2 2 3 2 3 3" xfId="46858"/>
    <cellStyle name="표준 9 6 2 2 3 2 3 2 2" xfId="46859"/>
    <cellStyle name="표준 9 6 2 2 3 2 4 2" xfId="46860"/>
    <cellStyle name="표준 9 6 2 2 3 2 5 2" xfId="46861"/>
    <cellStyle name="표준 9 6 2 2 3 3 2 2 2" xfId="46862"/>
    <cellStyle name="표준 9 6 2 2 3 3 3 3" xfId="46863"/>
    <cellStyle name="표준 9 6 2 2 3 3 3 2 2" xfId="46864"/>
    <cellStyle name="표준 9 6 2 2 3 3 4 2" xfId="46865"/>
    <cellStyle name="표준 9 6 2 2 3 3 5 2" xfId="46866"/>
    <cellStyle name="표준 9 6 2 2 3 4 2 2" xfId="46867"/>
    <cellStyle name="표준 9 6 2 2 3 5 3" xfId="46868"/>
    <cellStyle name="표준 9 6 2 2 3 5 2 2" xfId="46869"/>
    <cellStyle name="표준 9 6 2 2 3 6 2" xfId="46870"/>
    <cellStyle name="표준 9 6 2 2 3 7 2" xfId="46871"/>
    <cellStyle name="표준 9 6 2 2 4 2 2 2" xfId="46872"/>
    <cellStyle name="표준 9 6 2 2 4 3 3" xfId="46873"/>
    <cellStyle name="표준 9 6 2 2 4 3 2 2" xfId="46874"/>
    <cellStyle name="표준 9 6 2 2 4 4 2" xfId="46875"/>
    <cellStyle name="표준 9 6 2 2 4 5 2" xfId="46876"/>
    <cellStyle name="표준 9 6 2 2 5 2 2 2" xfId="46877"/>
    <cellStyle name="표준 9 6 2 2 5 3 3" xfId="46878"/>
    <cellStyle name="표준 9 6 2 2 5 3 2 2" xfId="46879"/>
    <cellStyle name="표준 9 6 2 2 5 4 2" xfId="46880"/>
    <cellStyle name="표준 9 6 2 2 5 5 2" xfId="46881"/>
    <cellStyle name="표준 9 6 2 2 6 2 2" xfId="46882"/>
    <cellStyle name="표준 9 6 2 2 7 3" xfId="46883"/>
    <cellStyle name="표준 9 6 2 2 7 2 2" xfId="46884"/>
    <cellStyle name="표준 9 6 2 2 8 2" xfId="46885"/>
    <cellStyle name="표준 9 6 2 2 9 2" xfId="46886"/>
    <cellStyle name="표준 9 6 2 3 2 2 2 2 2" xfId="46887"/>
    <cellStyle name="표준 9 6 2 3 2 2 3 3" xfId="46888"/>
    <cellStyle name="표준 9 6 2 3 2 2 3 2 2" xfId="46889"/>
    <cellStyle name="표준 9 6 2 3 2 2 4 2" xfId="46890"/>
    <cellStyle name="표준 9 6 2 3 2 2 5 2" xfId="46891"/>
    <cellStyle name="표준 9 6 2 3 2 3 2 2 2" xfId="46892"/>
    <cellStyle name="표준 9 6 2 3 2 3 3 3" xfId="46893"/>
    <cellStyle name="표준 9 6 2 3 2 3 3 2 2" xfId="46894"/>
    <cellStyle name="표준 9 6 2 3 2 3 4 2" xfId="46895"/>
    <cellStyle name="표준 9 6 2 3 2 3 5 2" xfId="46896"/>
    <cellStyle name="표준 9 6 2 3 2 4 2 2" xfId="46897"/>
    <cellStyle name="표준 9 6 2 3 2 5 3" xfId="46898"/>
    <cellStyle name="표준 9 6 2 3 2 5 2 2" xfId="46899"/>
    <cellStyle name="표준 9 6 2 3 2 6 2" xfId="46900"/>
    <cellStyle name="표준 9 6 2 3 2 7 2" xfId="46901"/>
    <cellStyle name="표준 9 6 2 3 3 2 2 2" xfId="46902"/>
    <cellStyle name="표준 9 6 2 3 3 3 3" xfId="46903"/>
    <cellStyle name="표준 9 6 2 3 3 3 2 2" xfId="46904"/>
    <cellStyle name="표준 9 6 2 3 3 4 2" xfId="46905"/>
    <cellStyle name="표준 9 6 2 3 3 5 2" xfId="46906"/>
    <cellStyle name="표준 9 6 2 3 4 2 2 2" xfId="46907"/>
    <cellStyle name="표준 9 6 2 3 4 3 3" xfId="46908"/>
    <cellStyle name="표준 9 6 2 3 4 3 2 2" xfId="46909"/>
    <cellStyle name="표준 9 6 2 3 4 4 2" xfId="46910"/>
    <cellStyle name="표준 9 6 2 3 4 5 2" xfId="46911"/>
    <cellStyle name="표준 9 6 2 3 5 2 2" xfId="46912"/>
    <cellStyle name="표준 9 6 2 3 6 3" xfId="46913"/>
    <cellStyle name="표준 9 6 2 3 6 2 2" xfId="46914"/>
    <cellStyle name="표준 9 6 2 3 7 2" xfId="46915"/>
    <cellStyle name="표준 9 6 2 3 8 2" xfId="46916"/>
    <cellStyle name="표준 9 6 2 4 2 2 2 2" xfId="46917"/>
    <cellStyle name="표준 9 6 2 4 2 3 3" xfId="46918"/>
    <cellStyle name="표준 9 6 2 4 2 3 2 2" xfId="46919"/>
    <cellStyle name="표준 9 6 2 4 2 4 2" xfId="46920"/>
    <cellStyle name="표준 9 6 2 4 2 5 2" xfId="46921"/>
    <cellStyle name="표준 9 6 2 4 3 2 2 2" xfId="46922"/>
    <cellStyle name="표준 9 6 2 4 3 3 3" xfId="46923"/>
    <cellStyle name="표준 9 6 2 4 3 3 2 2" xfId="46924"/>
    <cellStyle name="표준 9 6 2 4 3 4 2" xfId="46925"/>
    <cellStyle name="표준 9 6 2 4 3 5 2" xfId="46926"/>
    <cellStyle name="표준 9 6 2 4 4 2 2" xfId="46927"/>
    <cellStyle name="표준 9 6 2 4 5 3" xfId="46928"/>
    <cellStyle name="표준 9 6 2 4 5 2 2" xfId="46929"/>
    <cellStyle name="표준 9 6 2 4 6 2" xfId="46930"/>
    <cellStyle name="표준 9 6 2 4 7 2" xfId="46931"/>
    <cellStyle name="표준 9 6 2 5 2 2 2" xfId="46932"/>
    <cellStyle name="표준 9 6 2 5 3 3" xfId="46933"/>
    <cellStyle name="표준 9 6 2 5 3 2 2" xfId="46934"/>
    <cellStyle name="표준 9 6 2 5 4 2" xfId="46935"/>
    <cellStyle name="표준 9 6 2 5 5 2" xfId="46936"/>
    <cellStyle name="표준 9 6 2 6 2 2 2" xfId="46937"/>
    <cellStyle name="표준 9 6 2 6 3 3" xfId="46938"/>
    <cellStyle name="표준 9 6 2 6 3 2 2" xfId="46939"/>
    <cellStyle name="표준 9 6 2 6 4 2" xfId="46940"/>
    <cellStyle name="표준 9 6 2 6 5 2" xfId="46941"/>
    <cellStyle name="표준 9 6 2 7 2 2" xfId="46942"/>
    <cellStyle name="표준 9 6 2 8 3" xfId="46943"/>
    <cellStyle name="표준 9 6 2 8 2 2" xfId="46944"/>
    <cellStyle name="표준 9 6 2 9 2" xfId="46945"/>
    <cellStyle name="표준 9 6 3 10 2" xfId="46946"/>
    <cellStyle name="표준 9 6 3 2 2 2 2 2 2 2" xfId="46947"/>
    <cellStyle name="표준 9 6 3 2 2 2 2 3 3" xfId="46948"/>
    <cellStyle name="표준 9 6 3 2 2 2 2 3 2 2" xfId="46949"/>
    <cellStyle name="표준 9 6 3 2 2 2 2 4 2" xfId="46950"/>
    <cellStyle name="표준 9 6 3 2 2 2 2 5 2" xfId="46951"/>
    <cellStyle name="표준 9 6 3 2 2 2 3 2 2 2" xfId="46952"/>
    <cellStyle name="표준 9 6 3 2 2 2 3 3 3" xfId="46953"/>
    <cellStyle name="표준 9 6 3 2 2 2 3 3 2 2" xfId="46954"/>
    <cellStyle name="표준 9 6 3 2 2 2 3 4 2" xfId="46955"/>
    <cellStyle name="표준 9 6 3 2 2 2 3 5 2" xfId="46956"/>
    <cellStyle name="표준 9 6 3 2 2 2 4 2 2" xfId="46957"/>
    <cellStyle name="표준 9 6 3 2 2 2 5 3" xfId="46958"/>
    <cellStyle name="표준 9 6 3 2 2 2 5 2 2" xfId="46959"/>
    <cellStyle name="표준 9 6 3 2 2 2 6 2" xfId="46960"/>
    <cellStyle name="표준 9 6 3 2 2 2 7 2" xfId="46961"/>
    <cellStyle name="표준 9 6 3 2 2 3 2 2 2" xfId="46962"/>
    <cellStyle name="표준 9 6 3 2 2 3 3 3" xfId="46963"/>
    <cellStyle name="표준 9 6 3 2 2 3 3 2 2" xfId="46964"/>
    <cellStyle name="표준 9 6 3 2 2 3 4 2" xfId="46965"/>
    <cellStyle name="표준 9 6 3 2 2 3 5 2" xfId="46966"/>
    <cellStyle name="표준 9 6 3 2 2 4 2 2 2" xfId="46967"/>
    <cellStyle name="표준 9 6 3 2 2 4 3 3" xfId="46968"/>
    <cellStyle name="표준 9 6 3 2 2 4 3 2 2" xfId="46969"/>
    <cellStyle name="표준 9 6 3 2 2 4 4 2" xfId="46970"/>
    <cellStyle name="표준 9 6 3 2 2 4 5 2" xfId="46971"/>
    <cellStyle name="표준 9 6 3 2 2 5 2 2" xfId="46972"/>
    <cellStyle name="표준 9 6 3 2 2 6 3" xfId="46973"/>
    <cellStyle name="표준 9 6 3 2 2 6 2 2" xfId="46974"/>
    <cellStyle name="표준 9 6 3 2 2 7 2" xfId="46975"/>
    <cellStyle name="표준 9 6 3 2 2 8 2" xfId="46976"/>
    <cellStyle name="표준 9 6 3 2 3 2 2 2 2" xfId="46977"/>
    <cellStyle name="표준 9 6 3 2 3 2 3 3" xfId="46978"/>
    <cellStyle name="표준 9 6 3 2 3 2 3 2 2" xfId="46979"/>
    <cellStyle name="표준 9 6 3 2 3 2 4 2" xfId="46980"/>
    <cellStyle name="표준 9 6 3 2 3 2 5 2" xfId="46981"/>
    <cellStyle name="표준 9 6 3 2 3 3 2 2 2" xfId="46982"/>
    <cellStyle name="표준 9 6 3 2 3 3 3 3" xfId="46983"/>
    <cellStyle name="표준 9 6 3 2 3 3 3 2 2" xfId="46984"/>
    <cellStyle name="표준 9 6 3 2 3 3 4 2" xfId="46985"/>
    <cellStyle name="표준 9 6 3 2 3 3 5 2" xfId="46986"/>
    <cellStyle name="표준 9 6 3 2 3 4 2 2" xfId="46987"/>
    <cellStyle name="표준 9 6 3 2 3 5 3" xfId="46988"/>
    <cellStyle name="표준 9 6 3 2 3 5 2 2" xfId="46989"/>
    <cellStyle name="표준 9 6 3 2 3 6 2" xfId="46990"/>
    <cellStyle name="표준 9 6 3 2 3 7 2" xfId="46991"/>
    <cellStyle name="표준 9 6 3 2 4 2 2 2" xfId="46992"/>
    <cellStyle name="표준 9 6 3 2 4 3 3" xfId="46993"/>
    <cellStyle name="표준 9 6 3 2 4 3 2 2" xfId="46994"/>
    <cellStyle name="표준 9 6 3 2 4 4 2" xfId="46995"/>
    <cellStyle name="표준 9 6 3 2 4 5 2" xfId="46996"/>
    <cellStyle name="표준 9 6 3 2 5 2 2 2" xfId="46997"/>
    <cellStyle name="표준 9 6 3 2 5 3 3" xfId="46998"/>
    <cellStyle name="표준 9 6 3 2 5 3 2 2" xfId="46999"/>
    <cellStyle name="표준 9 6 3 2 5 4 2" xfId="47000"/>
    <cellStyle name="표준 9 6 3 2 5 5 2" xfId="47001"/>
    <cellStyle name="표준 9 6 3 2 6 2 2" xfId="47002"/>
    <cellStyle name="표준 9 6 3 2 7 3" xfId="47003"/>
    <cellStyle name="표준 9 6 3 2 7 2 2" xfId="47004"/>
    <cellStyle name="표준 9 6 3 2 8 2" xfId="47005"/>
    <cellStyle name="표준 9 6 3 2 9 2" xfId="47006"/>
    <cellStyle name="표준 9 6 3 3 2 2 2 2 2" xfId="47007"/>
    <cellStyle name="표준 9 6 3 3 2 2 3 3" xfId="47008"/>
    <cellStyle name="표준 9 6 3 3 2 2 3 2 2" xfId="47009"/>
    <cellStyle name="표준 9 6 3 3 2 2 4 2" xfId="47010"/>
    <cellStyle name="표준 9 6 3 3 2 2 5 2" xfId="47011"/>
    <cellStyle name="표준 9 6 3 3 2 3 2 2 2" xfId="47012"/>
    <cellStyle name="표준 9 6 3 3 2 3 3 3" xfId="47013"/>
    <cellStyle name="표준 9 6 3 3 2 3 3 2 2" xfId="47014"/>
    <cellStyle name="표준 9 6 3 3 2 3 4 2" xfId="47015"/>
    <cellStyle name="표준 9 6 3 3 2 3 5 2" xfId="47016"/>
    <cellStyle name="표준 9 6 3 3 2 4 2 2" xfId="47017"/>
    <cellStyle name="표준 9 6 3 3 2 5 3" xfId="47018"/>
    <cellStyle name="표준 9 6 3 3 2 5 2 2" xfId="47019"/>
    <cellStyle name="표준 9 6 3 3 2 6 2" xfId="47020"/>
    <cellStyle name="표준 9 6 3 3 2 7 2" xfId="47021"/>
    <cellStyle name="표준 9 6 3 3 3 2 2 2" xfId="47022"/>
    <cellStyle name="표준 9 6 3 3 3 3 3" xfId="47023"/>
    <cellStyle name="표준 9 6 3 3 3 3 2 2" xfId="47024"/>
    <cellStyle name="표준 9 6 3 3 3 4 2" xfId="47025"/>
    <cellStyle name="표준 9 6 3 3 3 5 2" xfId="47026"/>
    <cellStyle name="표준 9 6 3 3 4 2 2 2" xfId="47027"/>
    <cellStyle name="표준 9 6 3 3 4 3 3" xfId="47028"/>
    <cellStyle name="표준 9 6 3 3 4 3 2 2" xfId="47029"/>
    <cellStyle name="표준 9 6 3 3 4 4 2" xfId="47030"/>
    <cellStyle name="표준 9 6 3 3 4 5 2" xfId="47031"/>
    <cellStyle name="표준 9 6 3 3 5 2 2" xfId="47032"/>
    <cellStyle name="표준 9 6 3 3 6 3" xfId="47033"/>
    <cellStyle name="표준 9 6 3 3 6 2 2" xfId="47034"/>
    <cellStyle name="표준 9 6 3 3 7 2" xfId="47035"/>
    <cellStyle name="표준 9 6 3 3 8 2" xfId="47036"/>
    <cellStyle name="표준 9 6 3 4 2 2 2 2" xfId="47037"/>
    <cellStyle name="표준 9 6 3 4 2 3 3" xfId="47038"/>
    <cellStyle name="표준 9 6 3 4 2 3 2 2" xfId="47039"/>
    <cellStyle name="표준 9 6 3 4 2 4 2" xfId="47040"/>
    <cellStyle name="표준 9 6 3 4 2 5 2" xfId="47041"/>
    <cellStyle name="표준 9 6 3 4 3 2 2 2" xfId="47042"/>
    <cellStyle name="표준 9 6 3 4 3 3 3" xfId="47043"/>
    <cellStyle name="표준 9 6 3 4 3 3 2 2" xfId="47044"/>
    <cellStyle name="표준 9 6 3 4 3 4 2" xfId="47045"/>
    <cellStyle name="표준 9 6 3 4 3 5 2" xfId="47046"/>
    <cellStyle name="표준 9 6 3 4 4 2 2" xfId="47047"/>
    <cellStyle name="표준 9 6 3 4 5 3" xfId="47048"/>
    <cellStyle name="표준 9 6 3 4 5 2 2" xfId="47049"/>
    <cellStyle name="표준 9 6 3 4 6 2" xfId="47050"/>
    <cellStyle name="표준 9 6 3 4 7 2" xfId="47051"/>
    <cellStyle name="표준 9 6 3 5 2 2 2" xfId="47052"/>
    <cellStyle name="표준 9 6 3 5 3 3" xfId="47053"/>
    <cellStyle name="표준 9 6 3 5 3 2 2" xfId="47054"/>
    <cellStyle name="표준 9 6 3 5 4 2" xfId="47055"/>
    <cellStyle name="표준 9 6 3 5 5 2" xfId="47056"/>
    <cellStyle name="표준 9 6 3 6 2 2 2" xfId="47057"/>
    <cellStyle name="표준 9 6 3 6 3 3" xfId="47058"/>
    <cellStyle name="표준 9 6 3 6 3 2 2" xfId="47059"/>
    <cellStyle name="표준 9 6 3 6 4 2" xfId="47060"/>
    <cellStyle name="표준 9 6 3 6 5 2" xfId="47061"/>
    <cellStyle name="표준 9 6 3 7 2 2" xfId="47062"/>
    <cellStyle name="표준 9 6 3 8 3" xfId="47063"/>
    <cellStyle name="표준 9 6 3 8 2 2" xfId="47064"/>
    <cellStyle name="표준 9 6 3 9 2" xfId="47065"/>
    <cellStyle name="표준 9 6 4 10 2" xfId="47066"/>
    <cellStyle name="표준 9 6 4 2 2 2 2 2 2 2" xfId="47067"/>
    <cellStyle name="표준 9 6 4 2 2 2 2 3 3" xfId="47068"/>
    <cellStyle name="표준 9 6 4 2 2 2 2 3 2 2" xfId="47069"/>
    <cellStyle name="표준 9 6 4 2 2 2 2 4 2" xfId="47070"/>
    <cellStyle name="표준 9 6 4 2 2 2 2 5 2" xfId="47071"/>
    <cellStyle name="표준 9 6 4 2 2 2 3 2 2 2" xfId="47072"/>
    <cellStyle name="표준 9 6 4 2 2 2 3 3 3" xfId="47073"/>
    <cellStyle name="표준 9 6 4 2 2 2 3 3 2 2" xfId="47074"/>
    <cellStyle name="표준 9 6 4 2 2 2 3 4 2" xfId="47075"/>
    <cellStyle name="표준 9 6 4 2 2 2 3 5 2" xfId="47076"/>
    <cellStyle name="표준 9 6 4 2 2 2 4 2 2" xfId="47077"/>
    <cellStyle name="표준 9 6 4 2 2 2 5 3" xfId="47078"/>
    <cellStyle name="표준 9 6 4 2 2 2 5 2 2" xfId="47079"/>
    <cellStyle name="표준 9 6 4 2 2 2 6 2" xfId="47080"/>
    <cellStyle name="표준 9 6 4 2 2 2 7 2" xfId="47081"/>
    <cellStyle name="표준 9 6 4 2 2 3 2 2 2" xfId="47082"/>
    <cellStyle name="표준 9 6 4 2 2 3 3 3" xfId="47083"/>
    <cellStyle name="표준 9 6 4 2 2 3 3 2 2" xfId="47084"/>
    <cellStyle name="표준 9 6 4 2 2 3 4 2" xfId="47085"/>
    <cellStyle name="표준 9 6 4 2 2 3 5 2" xfId="47086"/>
    <cellStyle name="표준 9 6 4 2 2 4 2 2 2" xfId="47087"/>
    <cellStyle name="표준 9 6 4 2 2 4 3 3" xfId="47088"/>
    <cellStyle name="표준 9 6 4 2 2 4 3 2 2" xfId="47089"/>
    <cellStyle name="표준 9 6 4 2 2 4 4 2" xfId="47090"/>
    <cellStyle name="표준 9 6 4 2 2 4 5 2" xfId="47091"/>
    <cellStyle name="표준 9 6 4 2 2 5 2 2" xfId="47092"/>
    <cellStyle name="표준 9 6 4 2 2 6 3" xfId="47093"/>
    <cellStyle name="표준 9 6 4 2 2 6 2 2" xfId="47094"/>
    <cellStyle name="표준 9 6 4 2 2 7 2" xfId="47095"/>
    <cellStyle name="표준 9 6 4 2 2 8 2" xfId="47096"/>
    <cellStyle name="표준 9 6 4 2 3 2 2 2 2" xfId="47097"/>
    <cellStyle name="표준 9 6 4 2 3 2 3 3" xfId="47098"/>
    <cellStyle name="표준 9 6 4 2 3 2 3 2 2" xfId="47099"/>
    <cellStyle name="표준 9 6 4 2 3 2 4 2" xfId="47100"/>
    <cellStyle name="표준 9 6 4 2 3 2 5 2" xfId="47101"/>
    <cellStyle name="표준 9 6 4 2 3 3 2 2 2" xfId="47102"/>
    <cellStyle name="표준 9 6 4 2 3 3 3 3" xfId="47103"/>
    <cellStyle name="표준 9 6 4 2 3 3 3 2 2" xfId="47104"/>
    <cellStyle name="표준 9 6 4 2 3 3 4 2" xfId="47105"/>
    <cellStyle name="표준 9 6 4 2 3 3 5 2" xfId="47106"/>
    <cellStyle name="표준 9 6 4 2 3 4 2 2" xfId="47107"/>
    <cellStyle name="표준 9 6 4 2 3 5 3" xfId="47108"/>
    <cellStyle name="표준 9 6 4 2 3 5 2 2" xfId="47109"/>
    <cellStyle name="표준 9 6 4 2 3 6 2" xfId="47110"/>
    <cellStyle name="표준 9 6 4 2 3 7 2" xfId="47111"/>
    <cellStyle name="표준 9 6 4 2 4 2 2 2" xfId="47112"/>
    <cellStyle name="표준 9 6 4 2 4 3 3" xfId="47113"/>
    <cellStyle name="표준 9 6 4 2 4 3 2 2" xfId="47114"/>
    <cellStyle name="표준 9 6 4 2 4 4 2" xfId="47115"/>
    <cellStyle name="표준 9 6 4 2 4 5 2" xfId="47116"/>
    <cellStyle name="표준 9 6 4 2 5 2 2 2" xfId="47117"/>
    <cellStyle name="표준 9 6 4 2 5 3 3" xfId="47118"/>
    <cellStyle name="표준 9 6 4 2 5 3 2 2" xfId="47119"/>
    <cellStyle name="표준 9 6 4 2 5 4 2" xfId="47120"/>
    <cellStyle name="표준 9 6 4 2 5 5 2" xfId="47121"/>
    <cellStyle name="표준 9 6 4 2 6 2 2" xfId="47122"/>
    <cellStyle name="표준 9 6 4 2 7 3" xfId="47123"/>
    <cellStyle name="표준 9 6 4 2 7 2 2" xfId="47124"/>
    <cellStyle name="표준 9 6 4 2 8 2" xfId="47125"/>
    <cellStyle name="표준 9 6 4 2 9 2" xfId="47126"/>
    <cellStyle name="표준 9 6 4 3 2 2 2 2 2" xfId="47127"/>
    <cellStyle name="표준 9 6 4 3 2 2 3 3" xfId="47128"/>
    <cellStyle name="표준 9 6 4 3 2 2 3 2 2" xfId="47129"/>
    <cellStyle name="표준 9 6 4 3 2 2 4 2" xfId="47130"/>
    <cellStyle name="표준 9 6 4 3 2 2 5 2" xfId="47131"/>
    <cellStyle name="표준 9 6 4 3 2 3 2 2 2" xfId="47132"/>
    <cellStyle name="표준 9 6 4 3 2 3 3 3" xfId="47133"/>
    <cellStyle name="표준 9 6 4 3 2 3 3 2 2" xfId="47134"/>
    <cellStyle name="표준 9 6 4 3 2 3 4 2" xfId="47135"/>
    <cellStyle name="표준 9 6 4 3 2 3 5 2" xfId="47136"/>
    <cellStyle name="표준 9 6 4 3 2 4 2 2" xfId="47137"/>
    <cellStyle name="표준 9 6 4 3 2 5 3" xfId="47138"/>
    <cellStyle name="표준 9 6 4 3 2 5 2 2" xfId="47139"/>
    <cellStyle name="표준 9 6 4 3 2 6 2" xfId="47140"/>
    <cellStyle name="표준 9 6 4 3 2 7 2" xfId="47141"/>
    <cellStyle name="표준 9 6 4 3 3 2 2 2" xfId="47142"/>
    <cellStyle name="표준 9 6 4 3 3 3 3" xfId="47143"/>
    <cellStyle name="표준 9 6 4 3 3 3 2 2" xfId="47144"/>
    <cellStyle name="표준 9 6 4 3 3 4 2" xfId="47145"/>
    <cellStyle name="표준 9 6 4 3 3 5 2" xfId="47146"/>
    <cellStyle name="표준 9 6 4 3 4 2 2 2" xfId="47147"/>
    <cellStyle name="표준 9 6 4 3 4 3 3" xfId="47148"/>
    <cellStyle name="표준 9 6 4 3 4 3 2 2" xfId="47149"/>
    <cellStyle name="표준 9 6 4 3 4 4 2" xfId="47150"/>
    <cellStyle name="표준 9 6 4 3 4 5 2" xfId="47151"/>
    <cellStyle name="표준 9 6 4 3 5 2 2" xfId="47152"/>
    <cellStyle name="표준 9 6 4 3 6 3" xfId="47153"/>
    <cellStyle name="표준 9 6 4 3 6 2 2" xfId="47154"/>
    <cellStyle name="표준 9 6 4 3 7 2" xfId="47155"/>
    <cellStyle name="표준 9 6 4 3 8 2" xfId="47156"/>
    <cellStyle name="표준 9 6 4 4 2 2 2 2" xfId="47157"/>
    <cellStyle name="표준 9 6 4 4 2 3 3" xfId="47158"/>
    <cellStyle name="표준 9 6 4 4 2 3 2 2" xfId="47159"/>
    <cellStyle name="표준 9 6 4 4 2 4 2" xfId="47160"/>
    <cellStyle name="표준 9 6 4 4 2 5 2" xfId="47161"/>
    <cellStyle name="표준 9 6 4 4 3 2 2 2" xfId="47162"/>
    <cellStyle name="표준 9 6 4 4 3 3 3" xfId="47163"/>
    <cellStyle name="표준 9 6 4 4 3 3 2 2" xfId="47164"/>
    <cellStyle name="표준 9 6 4 4 3 4 2" xfId="47165"/>
    <cellStyle name="표준 9 6 4 4 3 5 2" xfId="47166"/>
    <cellStyle name="표준 9 6 4 4 4 2 2" xfId="47167"/>
    <cellStyle name="표준 9 6 4 4 5 3" xfId="47168"/>
    <cellStyle name="표준 9 6 4 4 5 2 2" xfId="47169"/>
    <cellStyle name="표준 9 6 4 4 6 2" xfId="47170"/>
    <cellStyle name="표준 9 6 4 4 7 2" xfId="47171"/>
    <cellStyle name="표준 9 6 4 5 2 2 2" xfId="47172"/>
    <cellStyle name="표준 9 6 4 5 3 3" xfId="47173"/>
    <cellStyle name="표준 9 6 4 5 3 2 2" xfId="47174"/>
    <cellStyle name="표준 9 6 4 5 4 2" xfId="47175"/>
    <cellStyle name="표준 9 6 4 5 5 2" xfId="47176"/>
    <cellStyle name="표준 9 6 4 6 2 2 2" xfId="47177"/>
    <cellStyle name="표준 9 6 4 6 3 3" xfId="47178"/>
    <cellStyle name="표준 9 6 4 6 3 2 2" xfId="47179"/>
    <cellStyle name="표준 9 6 4 6 4 2" xfId="47180"/>
    <cellStyle name="표준 9 6 4 6 5 2" xfId="47181"/>
    <cellStyle name="표준 9 6 4 7 2 2" xfId="47182"/>
    <cellStyle name="표준 9 6 4 8 3" xfId="47183"/>
    <cellStyle name="표준 9 6 4 8 2 2" xfId="47184"/>
    <cellStyle name="표준 9 6 4 9 2" xfId="47185"/>
    <cellStyle name="표준 9 6 5 2 2 2 2 2 2" xfId="47186"/>
    <cellStyle name="표준 9 6 5 2 2 2 3 3" xfId="47187"/>
    <cellStyle name="표준 9 6 5 2 2 2 3 2 2" xfId="47188"/>
    <cellStyle name="표준 9 6 5 2 2 2 4 2" xfId="47189"/>
    <cellStyle name="표준 9 6 5 2 2 2 5 2" xfId="47190"/>
    <cellStyle name="표준 9 6 5 2 2 3 2 2 2" xfId="47191"/>
    <cellStyle name="표준 9 6 5 2 2 3 3 3" xfId="47192"/>
    <cellStyle name="표준 9 6 5 2 2 3 3 2 2" xfId="47193"/>
    <cellStyle name="표준 9 6 5 2 2 3 4 2" xfId="47194"/>
    <cellStyle name="표준 9 6 5 2 2 3 5 2" xfId="47195"/>
    <cellStyle name="표준 9 6 5 2 2 4 2 2" xfId="47196"/>
    <cellStyle name="표준 9 6 5 2 2 5 3" xfId="47197"/>
    <cellStyle name="표준 9 6 5 2 2 5 2 2" xfId="47198"/>
    <cellStyle name="표준 9 6 5 2 2 6 2" xfId="47199"/>
    <cellStyle name="표준 9 6 5 2 2 7 2" xfId="47200"/>
    <cellStyle name="표준 9 6 5 2 3 2 2 2" xfId="47201"/>
    <cellStyle name="표준 9 6 5 2 3 3 3" xfId="47202"/>
    <cellStyle name="표준 9 6 5 2 3 3 2 2" xfId="47203"/>
    <cellStyle name="표준 9 6 5 2 3 4 2" xfId="47204"/>
    <cellStyle name="표준 9 6 5 2 3 5 2" xfId="47205"/>
    <cellStyle name="표준 9 6 5 2 4 2 2 2" xfId="47206"/>
    <cellStyle name="표준 9 6 5 2 4 3 3" xfId="47207"/>
    <cellStyle name="표준 9 6 5 2 4 3 2 2" xfId="47208"/>
    <cellStyle name="표준 9 6 5 2 4 4 2" xfId="47209"/>
    <cellStyle name="표준 9 6 5 2 4 5 2" xfId="47210"/>
    <cellStyle name="표준 9 6 5 2 5 2 2" xfId="47211"/>
    <cellStyle name="표준 9 6 5 2 6 3" xfId="47212"/>
    <cellStyle name="표준 9 6 5 2 6 2 2" xfId="47213"/>
    <cellStyle name="표준 9 6 5 2 7 2" xfId="47214"/>
    <cellStyle name="표준 9 6 5 2 8 2" xfId="47215"/>
    <cellStyle name="표준 9 6 5 3 2 2 2 2" xfId="47216"/>
    <cellStyle name="표준 9 6 5 3 2 3 3" xfId="47217"/>
    <cellStyle name="표준 9 6 5 3 2 3 2 2" xfId="47218"/>
    <cellStyle name="표준 9 6 5 3 2 4 2" xfId="47219"/>
    <cellStyle name="표준 9 6 5 3 2 5 2" xfId="47220"/>
    <cellStyle name="표준 9 6 5 3 3 2 2 2" xfId="47221"/>
    <cellStyle name="표준 9 6 5 3 3 3 3" xfId="47222"/>
    <cellStyle name="표준 9 6 5 3 3 3 2 2" xfId="47223"/>
    <cellStyle name="표준 9 6 5 3 3 4 2" xfId="47224"/>
    <cellStyle name="표준 9 6 5 3 3 5 2" xfId="47225"/>
    <cellStyle name="표준 9 6 5 3 4 2 2" xfId="47226"/>
    <cellStyle name="표준 9 6 5 3 5 3" xfId="47227"/>
    <cellStyle name="표준 9 6 5 3 5 2 2" xfId="47228"/>
    <cellStyle name="표준 9 6 5 3 6 2" xfId="47229"/>
    <cellStyle name="표준 9 6 5 3 7 2" xfId="47230"/>
    <cellStyle name="표준 9 6 5 4 2 2 2" xfId="47231"/>
    <cellStyle name="표준 9 6 5 4 3 3" xfId="47232"/>
    <cellStyle name="표준 9 6 5 4 3 2 2" xfId="47233"/>
    <cellStyle name="표준 9 6 5 4 4 2" xfId="47234"/>
    <cellStyle name="표준 9 6 5 4 5 2" xfId="47235"/>
    <cellStyle name="표준 9 6 5 5 2 2 2" xfId="47236"/>
    <cellStyle name="표준 9 6 5 5 3 3" xfId="47237"/>
    <cellStyle name="표준 9 6 5 5 3 2 2" xfId="47238"/>
    <cellStyle name="표준 9 6 5 5 4 2" xfId="47239"/>
    <cellStyle name="표준 9 6 5 5 5 2" xfId="47240"/>
    <cellStyle name="표준 9 6 5 6 2 2" xfId="47241"/>
    <cellStyle name="표준 9 6 5 7 3" xfId="47242"/>
    <cellStyle name="표준 9 6 5 7 2 2" xfId="47243"/>
    <cellStyle name="표준 9 6 5 8 2" xfId="47244"/>
    <cellStyle name="표준 9 6 5 9 2" xfId="47245"/>
    <cellStyle name="표준 9 6 6 2 2 2 2 2" xfId="47246"/>
    <cellStyle name="표준 9 6 6 2 2 3 3" xfId="47247"/>
    <cellStyle name="표준 9 6 6 2 2 3 2 2" xfId="47248"/>
    <cellStyle name="표준 9 6 6 2 2 4 2" xfId="47249"/>
    <cellStyle name="표준 9 6 6 2 2 5 2" xfId="47250"/>
    <cellStyle name="표준 9 6 6 2 3 2 2 2" xfId="47251"/>
    <cellStyle name="표준 9 6 6 2 3 3 3" xfId="47252"/>
    <cellStyle name="표준 9 6 6 2 3 3 2 2" xfId="47253"/>
    <cellStyle name="표준 9 6 6 2 3 4 2" xfId="47254"/>
    <cellStyle name="표준 9 6 6 2 3 5 2" xfId="47255"/>
    <cellStyle name="표준 9 6 6 2 4 2 2" xfId="47256"/>
    <cellStyle name="표준 9 6 6 2 5 3" xfId="47257"/>
    <cellStyle name="표준 9 6 6 2 5 2 2" xfId="47258"/>
    <cellStyle name="표준 9 6 6 2 6 2" xfId="47259"/>
    <cellStyle name="표준 9 6 6 2 7 2" xfId="47260"/>
    <cellStyle name="표준 9 6 6 3 2 2 2" xfId="47261"/>
    <cellStyle name="표준 9 6 6 3 3 3" xfId="47262"/>
    <cellStyle name="표준 9 6 6 3 3 2 2" xfId="47263"/>
    <cellStyle name="표준 9 6 6 3 4 2" xfId="47264"/>
    <cellStyle name="표준 9 6 6 3 5 2" xfId="47265"/>
    <cellStyle name="표준 9 6 6 4 2 2 2" xfId="47266"/>
    <cellStyle name="표준 9 6 6 4 3 3" xfId="47267"/>
    <cellStyle name="표준 9 6 6 4 3 2 2" xfId="47268"/>
    <cellStyle name="표준 9 6 6 4 4 2" xfId="47269"/>
    <cellStyle name="표준 9 6 6 4 5 2" xfId="47270"/>
    <cellStyle name="표준 9 6 6 5 2 2" xfId="47271"/>
    <cellStyle name="표준 9 6 6 6 3" xfId="47272"/>
    <cellStyle name="표준 9 6 6 6 2 2" xfId="47273"/>
    <cellStyle name="표준 9 6 6 7 2" xfId="47274"/>
    <cellStyle name="표준 9 6 6 8 2" xfId="47275"/>
    <cellStyle name="표준 9 6 7 2 2 2 2" xfId="47276"/>
    <cellStyle name="표준 9 6 7 2 3 3" xfId="47277"/>
    <cellStyle name="표준 9 6 7 2 3 2 2" xfId="47278"/>
    <cellStyle name="표준 9 6 7 2 4 2" xfId="47279"/>
    <cellStyle name="표준 9 6 7 2 5 2" xfId="47280"/>
    <cellStyle name="표준 9 6 7 3 2 2 2" xfId="47281"/>
    <cellStyle name="표준 9 6 7 3 3 3" xfId="47282"/>
    <cellStyle name="표준 9 6 7 3 3 2 2" xfId="47283"/>
    <cellStyle name="표준 9 6 7 3 4 2" xfId="47284"/>
    <cellStyle name="표준 9 6 7 3 5 2" xfId="47285"/>
    <cellStyle name="표준 9 6 7 4 2 2" xfId="47286"/>
    <cellStyle name="표준 9 6 7 5 3" xfId="47287"/>
    <cellStyle name="표준 9 6 7 5 2 2" xfId="47288"/>
    <cellStyle name="표준 9 6 7 6 2" xfId="47289"/>
    <cellStyle name="표준 9 6 7 7 2" xfId="47290"/>
    <cellStyle name="표준 9 6 8 2 2 2" xfId="47291"/>
    <cellStyle name="표준 9 6 8 3 3" xfId="47292"/>
    <cellStyle name="표준 9 6 8 3 2 2" xfId="47293"/>
    <cellStyle name="표준 9 6 8 4 2" xfId="47294"/>
    <cellStyle name="표준 9 6 8 5 2" xfId="47295"/>
    <cellStyle name="표준 9 6 9 2 2 2" xfId="47296"/>
    <cellStyle name="표준 9 6 9 3 3" xfId="47297"/>
    <cellStyle name="표준 9 6 9 3 2 2" xfId="47298"/>
    <cellStyle name="표준 9 6 9 4 2" xfId="47299"/>
    <cellStyle name="표준 9 6 9 5 2" xfId="47300"/>
    <cellStyle name="표준 9 7 10 2 2" xfId="47301"/>
    <cellStyle name="표준 9 7 11 3" xfId="47302"/>
    <cellStyle name="표준 9 7 11 2 2" xfId="47303"/>
    <cellStyle name="표준 9 7 12 2" xfId="47304"/>
    <cellStyle name="표준 9 7 13 2" xfId="47305"/>
    <cellStyle name="표준 9 7 2 10 2" xfId="47306"/>
    <cellStyle name="표준 9 7 2 2 2 2 2 2 2 2" xfId="47307"/>
    <cellStyle name="표준 9 7 2 2 2 2 2 3 3" xfId="47308"/>
    <cellStyle name="표준 9 7 2 2 2 2 2 3 2 2" xfId="47309"/>
    <cellStyle name="표준 9 7 2 2 2 2 2 4 2" xfId="47310"/>
    <cellStyle name="표준 9 7 2 2 2 2 2 5 2" xfId="47311"/>
    <cellStyle name="표준 9 7 2 2 2 2 3 2 2 2" xfId="47312"/>
    <cellStyle name="표준 9 7 2 2 2 2 3 3 3" xfId="47313"/>
    <cellStyle name="표준 9 7 2 2 2 2 3 3 2 2" xfId="47314"/>
    <cellStyle name="표준 9 7 2 2 2 2 3 4 2" xfId="47315"/>
    <cellStyle name="표준 9 7 2 2 2 2 3 5 2" xfId="47316"/>
    <cellStyle name="표준 9 7 2 2 2 2 4 2 2" xfId="47317"/>
    <cellStyle name="표준 9 7 2 2 2 2 5 3" xfId="47318"/>
    <cellStyle name="표준 9 7 2 2 2 2 5 2 2" xfId="47319"/>
    <cellStyle name="표준 9 7 2 2 2 2 6 2" xfId="47320"/>
    <cellStyle name="표준 9 7 2 2 2 2 7 2" xfId="47321"/>
    <cellStyle name="표준 9 7 2 2 2 3 2 2 2" xfId="47322"/>
    <cellStyle name="표준 9 7 2 2 2 3 3 3" xfId="47323"/>
    <cellStyle name="표준 9 7 2 2 2 3 3 2 2" xfId="47324"/>
    <cellStyle name="표준 9 7 2 2 2 3 4 2" xfId="47325"/>
    <cellStyle name="표준 9 7 2 2 2 3 5 2" xfId="47326"/>
    <cellStyle name="표준 9 7 2 2 2 4 2 2 2" xfId="47327"/>
    <cellStyle name="표준 9 7 2 2 2 4 3 3" xfId="47328"/>
    <cellStyle name="표준 9 7 2 2 2 4 3 2 2" xfId="47329"/>
    <cellStyle name="표준 9 7 2 2 2 4 4 2" xfId="47330"/>
    <cellStyle name="표준 9 7 2 2 2 4 5 2" xfId="47331"/>
    <cellStyle name="표준 9 7 2 2 2 5 2 2" xfId="47332"/>
    <cellStyle name="표준 9 7 2 2 2 6 3" xfId="47333"/>
    <cellStyle name="표준 9 7 2 2 2 6 2 2" xfId="47334"/>
    <cellStyle name="표준 9 7 2 2 2 7 2" xfId="47335"/>
    <cellStyle name="표준 9 7 2 2 2 8 2" xfId="47336"/>
    <cellStyle name="표준 9 7 2 2 3 2 2 2 2" xfId="47337"/>
    <cellStyle name="표준 9 7 2 2 3 2 3 3" xfId="47338"/>
    <cellStyle name="표준 9 7 2 2 3 2 3 2 2" xfId="47339"/>
    <cellStyle name="표준 9 7 2 2 3 2 4 2" xfId="47340"/>
    <cellStyle name="표준 9 7 2 2 3 2 5 2" xfId="47341"/>
    <cellStyle name="표준 9 7 2 2 3 3 2 2 2" xfId="47342"/>
    <cellStyle name="표준 9 7 2 2 3 3 3 3" xfId="47343"/>
    <cellStyle name="표준 9 7 2 2 3 3 3 2 2" xfId="47344"/>
    <cellStyle name="표준 9 7 2 2 3 3 4 2" xfId="47345"/>
    <cellStyle name="표준 9 7 2 2 3 3 5 2" xfId="47346"/>
    <cellStyle name="표준 9 7 2 2 3 4 2 2" xfId="47347"/>
    <cellStyle name="표준 9 7 2 2 3 5 3" xfId="47348"/>
    <cellStyle name="표준 9 7 2 2 3 5 2 2" xfId="47349"/>
    <cellStyle name="표준 9 7 2 2 3 6 2" xfId="47350"/>
    <cellStyle name="표준 9 7 2 2 3 7 2" xfId="47351"/>
    <cellStyle name="표준 9 7 2 2 4 2 2 2" xfId="47352"/>
    <cellStyle name="표준 9 7 2 2 4 3 3" xfId="47353"/>
    <cellStyle name="표준 9 7 2 2 4 3 2 2" xfId="47354"/>
    <cellStyle name="표준 9 7 2 2 4 4 2" xfId="47355"/>
    <cellStyle name="표준 9 7 2 2 4 5 2" xfId="47356"/>
    <cellStyle name="표준 9 7 2 2 5 2 2 2" xfId="47357"/>
    <cellStyle name="표준 9 7 2 2 5 3 3" xfId="47358"/>
    <cellStyle name="표준 9 7 2 2 5 3 2 2" xfId="47359"/>
    <cellStyle name="표준 9 7 2 2 5 4 2" xfId="47360"/>
    <cellStyle name="표준 9 7 2 2 5 5 2" xfId="47361"/>
    <cellStyle name="표준 9 7 2 2 6 2 2" xfId="47362"/>
    <cellStyle name="표준 9 7 2 2 7 3" xfId="47363"/>
    <cellStyle name="표준 9 7 2 2 7 2 2" xfId="47364"/>
    <cellStyle name="표준 9 7 2 2 8 2" xfId="47365"/>
    <cellStyle name="표준 9 7 2 2 9 2" xfId="47366"/>
    <cellStyle name="표준 9 7 2 3 2 2 2 2 2" xfId="47367"/>
    <cellStyle name="표준 9 7 2 3 2 2 3 3" xfId="47368"/>
    <cellStyle name="표준 9 7 2 3 2 2 3 2 2" xfId="47369"/>
    <cellStyle name="표준 9 7 2 3 2 2 4 2" xfId="47370"/>
    <cellStyle name="표준 9 7 2 3 2 2 5 2" xfId="47371"/>
    <cellStyle name="표준 9 7 2 3 2 3 2 2 2" xfId="47372"/>
    <cellStyle name="표준 9 7 2 3 2 3 3 3" xfId="47373"/>
    <cellStyle name="표준 9 7 2 3 2 3 3 2 2" xfId="47374"/>
    <cellStyle name="표준 9 7 2 3 2 3 4 2" xfId="47375"/>
    <cellStyle name="표준 9 7 2 3 2 3 5 2" xfId="47376"/>
    <cellStyle name="표준 9 7 2 3 2 4 2 2" xfId="47377"/>
    <cellStyle name="표준 9 7 2 3 2 5 3" xfId="47378"/>
    <cellStyle name="표준 9 7 2 3 2 5 2 2" xfId="47379"/>
    <cellStyle name="표준 9 7 2 3 2 6 2" xfId="47380"/>
    <cellStyle name="표준 9 7 2 3 2 7 2" xfId="47381"/>
    <cellStyle name="표준 9 7 2 3 3 2 2 2" xfId="47382"/>
    <cellStyle name="표준 9 7 2 3 3 3 3" xfId="47383"/>
    <cellStyle name="표준 9 7 2 3 3 3 2 2" xfId="47384"/>
    <cellStyle name="표준 9 7 2 3 3 4 2" xfId="47385"/>
    <cellStyle name="표준 9 7 2 3 3 5 2" xfId="47386"/>
    <cellStyle name="표준 9 7 2 3 4 2 2 2" xfId="47387"/>
    <cellStyle name="표준 9 7 2 3 4 3 3" xfId="47388"/>
    <cellStyle name="표준 9 7 2 3 4 3 2 2" xfId="47389"/>
    <cellStyle name="표준 9 7 2 3 4 4 2" xfId="47390"/>
    <cellStyle name="표준 9 7 2 3 4 5 2" xfId="47391"/>
    <cellStyle name="표준 9 7 2 3 5 2 2" xfId="47392"/>
    <cellStyle name="표준 9 7 2 3 6 3" xfId="47393"/>
    <cellStyle name="표준 9 7 2 3 6 2 2" xfId="47394"/>
    <cellStyle name="표준 9 7 2 3 7 2" xfId="47395"/>
    <cellStyle name="표준 9 7 2 3 8 2" xfId="47396"/>
    <cellStyle name="표준 9 7 2 4 2 2 2 2" xfId="47397"/>
    <cellStyle name="표준 9 7 2 4 2 3 3" xfId="47398"/>
    <cellStyle name="표준 9 7 2 4 2 3 2 2" xfId="47399"/>
    <cellStyle name="표준 9 7 2 4 2 4 2" xfId="47400"/>
    <cellStyle name="표준 9 7 2 4 2 5 2" xfId="47401"/>
    <cellStyle name="표준 9 7 2 4 3 2 2 2" xfId="47402"/>
    <cellStyle name="표준 9 7 2 4 3 3 3" xfId="47403"/>
    <cellStyle name="표준 9 7 2 4 3 3 2 2" xfId="47404"/>
    <cellStyle name="표준 9 7 2 4 3 4 2" xfId="47405"/>
    <cellStyle name="표준 9 7 2 4 3 5 2" xfId="47406"/>
    <cellStyle name="표준 9 7 2 4 4 2 2" xfId="47407"/>
    <cellStyle name="표준 9 7 2 4 5 3" xfId="47408"/>
    <cellStyle name="표준 9 7 2 4 5 2 2" xfId="47409"/>
    <cellStyle name="표준 9 7 2 4 6 2" xfId="47410"/>
    <cellStyle name="표준 9 7 2 4 7 2" xfId="47411"/>
    <cellStyle name="표준 9 7 2 5 2 2 2" xfId="47412"/>
    <cellStyle name="표준 9 7 2 5 3 3" xfId="47413"/>
    <cellStyle name="표준 9 7 2 5 3 2 2" xfId="47414"/>
    <cellStyle name="표준 9 7 2 5 4 2" xfId="47415"/>
    <cellStyle name="표준 9 7 2 5 5 2" xfId="47416"/>
    <cellStyle name="표준 9 7 2 6 2 2 2" xfId="47417"/>
    <cellStyle name="표준 9 7 2 6 3 3" xfId="47418"/>
    <cellStyle name="표준 9 7 2 6 3 2 2" xfId="47419"/>
    <cellStyle name="표준 9 7 2 6 4 2" xfId="47420"/>
    <cellStyle name="표준 9 7 2 6 5 2" xfId="47421"/>
    <cellStyle name="표준 9 7 2 7 2 2" xfId="47422"/>
    <cellStyle name="표준 9 7 2 8 3" xfId="47423"/>
    <cellStyle name="표준 9 7 2 8 2 2" xfId="47424"/>
    <cellStyle name="표준 9 7 2 9 2" xfId="47425"/>
    <cellStyle name="표준 9 7 3 10 2" xfId="47426"/>
    <cellStyle name="표준 9 7 3 2 2 2 2 2 2 2" xfId="47427"/>
    <cellStyle name="표준 9 7 3 2 2 2 2 3 3" xfId="47428"/>
    <cellStyle name="표준 9 7 3 2 2 2 2 3 2 2" xfId="47429"/>
    <cellStyle name="표준 9 7 3 2 2 2 2 4 2" xfId="47430"/>
    <cellStyle name="표준 9 7 3 2 2 2 2 5 2" xfId="47431"/>
    <cellStyle name="표준 9 7 3 2 2 2 3 2 2 2" xfId="47432"/>
    <cellStyle name="표준 9 7 3 2 2 2 3 3 3" xfId="47433"/>
    <cellStyle name="표준 9 7 3 2 2 2 3 3 2 2" xfId="47434"/>
    <cellStyle name="표준 9 7 3 2 2 2 3 4 2" xfId="47435"/>
    <cellStyle name="표준 9 7 3 2 2 2 3 5 2" xfId="47436"/>
    <cellStyle name="표준 9 7 3 2 2 2 4 2 2" xfId="47437"/>
    <cellStyle name="표준 9 7 3 2 2 2 5 3" xfId="47438"/>
    <cellStyle name="표준 9 7 3 2 2 2 5 2 2" xfId="47439"/>
    <cellStyle name="표준 9 7 3 2 2 2 6 2" xfId="47440"/>
    <cellStyle name="표준 9 7 3 2 2 2 7 2" xfId="47441"/>
    <cellStyle name="표준 9 7 3 2 2 3 2 2 2" xfId="47442"/>
    <cellStyle name="표준 9 7 3 2 2 3 3 3" xfId="47443"/>
    <cellStyle name="표준 9 7 3 2 2 3 3 2 2" xfId="47444"/>
    <cellStyle name="표준 9 7 3 2 2 3 4 2" xfId="47445"/>
    <cellStyle name="표준 9 7 3 2 2 3 5 2" xfId="47446"/>
    <cellStyle name="표준 9 7 3 2 2 4 2 2 2" xfId="47447"/>
    <cellStyle name="표준 9 7 3 2 2 4 3 3" xfId="47448"/>
    <cellStyle name="표준 9 7 3 2 2 4 3 2 2" xfId="47449"/>
    <cellStyle name="표준 9 7 3 2 2 4 4 2" xfId="47450"/>
    <cellStyle name="표준 9 7 3 2 2 4 5 2" xfId="47451"/>
    <cellStyle name="표준 9 7 3 2 2 5 2 2" xfId="47452"/>
    <cellStyle name="표준 9 7 3 2 2 6 3" xfId="47453"/>
    <cellStyle name="표준 9 7 3 2 2 6 2 2" xfId="47454"/>
    <cellStyle name="표준 9 7 3 2 2 7 2" xfId="47455"/>
    <cellStyle name="표준 9 7 3 2 2 8 2" xfId="47456"/>
    <cellStyle name="표준 9 7 3 2 3 2 2 2 2" xfId="47457"/>
    <cellStyle name="표준 9 7 3 2 3 2 3 3" xfId="47458"/>
    <cellStyle name="표준 9 7 3 2 3 2 3 2 2" xfId="47459"/>
    <cellStyle name="표준 9 7 3 2 3 2 4 2" xfId="47460"/>
    <cellStyle name="표준 9 7 3 2 3 2 5 2" xfId="47461"/>
    <cellStyle name="표준 9 7 3 2 3 3 2 2 2" xfId="47462"/>
    <cellStyle name="표준 9 7 3 2 3 3 3 3" xfId="47463"/>
    <cellStyle name="표준 9 7 3 2 3 3 3 2 2" xfId="47464"/>
    <cellStyle name="표준 9 7 3 2 3 3 4 2" xfId="47465"/>
    <cellStyle name="표준 9 7 3 2 3 3 5 2" xfId="47466"/>
    <cellStyle name="표준 9 7 3 2 3 4 2 2" xfId="47467"/>
    <cellStyle name="표준 9 7 3 2 3 5 3" xfId="47468"/>
    <cellStyle name="표준 9 7 3 2 3 5 2 2" xfId="47469"/>
    <cellStyle name="표준 9 7 3 2 3 6 2" xfId="47470"/>
    <cellStyle name="표준 9 7 3 2 3 7 2" xfId="47471"/>
    <cellStyle name="표준 9 7 3 2 4 2 2 2" xfId="47472"/>
    <cellStyle name="표준 9 7 3 2 4 3 3" xfId="47473"/>
    <cellStyle name="표준 9 7 3 2 4 3 2 2" xfId="47474"/>
    <cellStyle name="표준 9 7 3 2 4 4 2" xfId="47475"/>
    <cellStyle name="표준 9 7 3 2 4 5 2" xfId="47476"/>
    <cellStyle name="표준 9 7 3 2 5 2 2 2" xfId="47477"/>
    <cellStyle name="표준 9 7 3 2 5 3 3" xfId="47478"/>
    <cellStyle name="표준 9 7 3 2 5 3 2 2" xfId="47479"/>
    <cellStyle name="표준 9 7 3 2 5 4 2" xfId="47480"/>
    <cellStyle name="표준 9 7 3 2 5 5 2" xfId="47481"/>
    <cellStyle name="표준 9 7 3 2 6 2 2" xfId="47482"/>
    <cellStyle name="표준 9 7 3 2 7 3" xfId="47483"/>
    <cellStyle name="표준 9 7 3 2 7 2 2" xfId="47484"/>
    <cellStyle name="표준 9 7 3 2 8 2" xfId="47485"/>
    <cellStyle name="표준 9 7 3 2 9 2" xfId="47486"/>
    <cellStyle name="표준 9 7 3 3 2 2 2 2 2" xfId="47487"/>
    <cellStyle name="표준 9 7 3 3 2 2 3 3" xfId="47488"/>
    <cellStyle name="표준 9 7 3 3 2 2 3 2 2" xfId="47489"/>
    <cellStyle name="표준 9 7 3 3 2 2 4 2" xfId="47490"/>
    <cellStyle name="표준 9 7 3 3 2 2 5 2" xfId="47491"/>
    <cellStyle name="표준 9 7 3 3 2 3 2 2 2" xfId="47492"/>
    <cellStyle name="표준 9 7 3 3 2 3 3 3" xfId="47493"/>
    <cellStyle name="표준 9 7 3 3 2 3 3 2 2" xfId="47494"/>
    <cellStyle name="표준 9 7 3 3 2 3 4 2" xfId="47495"/>
    <cellStyle name="표준 9 7 3 3 2 3 5 2" xfId="47496"/>
    <cellStyle name="표준 9 7 3 3 2 4 2 2" xfId="47497"/>
    <cellStyle name="표준 9 7 3 3 2 5 3" xfId="47498"/>
    <cellStyle name="표준 9 7 3 3 2 5 2 2" xfId="47499"/>
    <cellStyle name="표준 9 7 3 3 2 6 2" xfId="47500"/>
    <cellStyle name="표준 9 7 3 3 2 7 2" xfId="47501"/>
    <cellStyle name="표준 9 7 3 3 3 2 2 2" xfId="47502"/>
    <cellStyle name="표준 9 7 3 3 3 3 3" xfId="47503"/>
    <cellStyle name="표준 9 7 3 3 3 3 2 2" xfId="47504"/>
    <cellStyle name="표준 9 7 3 3 3 4 2" xfId="47505"/>
    <cellStyle name="표준 9 7 3 3 3 5 2" xfId="47506"/>
    <cellStyle name="표준 9 7 3 3 4 2 2 2" xfId="47507"/>
    <cellStyle name="표준 9 7 3 3 4 3 3" xfId="47508"/>
    <cellStyle name="표준 9 7 3 3 4 3 2 2" xfId="47509"/>
    <cellStyle name="표준 9 7 3 3 4 4 2" xfId="47510"/>
    <cellStyle name="표준 9 7 3 3 4 5 2" xfId="47511"/>
    <cellStyle name="표준 9 7 3 3 5 2 2" xfId="47512"/>
    <cellStyle name="표준 9 7 3 3 6 3" xfId="47513"/>
    <cellStyle name="표준 9 7 3 3 6 2 2" xfId="47514"/>
    <cellStyle name="표준 9 7 3 3 7 2" xfId="47515"/>
    <cellStyle name="표준 9 7 3 3 8 2" xfId="47516"/>
    <cellStyle name="표준 9 7 3 4 2 2 2 2" xfId="47517"/>
    <cellStyle name="표준 9 7 3 4 2 3 3" xfId="47518"/>
    <cellStyle name="표준 9 7 3 4 2 3 2 2" xfId="47519"/>
    <cellStyle name="표준 9 7 3 4 2 4 2" xfId="47520"/>
    <cellStyle name="표준 9 7 3 4 2 5 2" xfId="47521"/>
    <cellStyle name="표준 9 7 3 4 3 2 2 2" xfId="47522"/>
    <cellStyle name="표준 9 7 3 4 3 3 3" xfId="47523"/>
    <cellStyle name="표준 9 7 3 4 3 3 2 2" xfId="47524"/>
    <cellStyle name="표준 9 7 3 4 3 4 2" xfId="47525"/>
    <cellStyle name="표준 9 7 3 4 3 5 2" xfId="47526"/>
    <cellStyle name="표준 9 7 3 4 4 2 2" xfId="47527"/>
    <cellStyle name="표준 9 7 3 4 5 3" xfId="47528"/>
    <cellStyle name="표준 9 7 3 4 5 2 2" xfId="47529"/>
    <cellStyle name="표준 9 7 3 4 6 2" xfId="47530"/>
    <cellStyle name="표준 9 7 3 4 7 2" xfId="47531"/>
    <cellStyle name="표준 9 7 3 5 2 2 2" xfId="47532"/>
    <cellStyle name="표준 9 7 3 5 3 3" xfId="47533"/>
    <cellStyle name="표준 9 7 3 5 3 2 2" xfId="47534"/>
    <cellStyle name="표준 9 7 3 5 4 2" xfId="47535"/>
    <cellStyle name="표준 9 7 3 5 5 2" xfId="47536"/>
    <cellStyle name="표준 9 7 3 6 2 2 2" xfId="47537"/>
    <cellStyle name="표준 9 7 3 6 3 3" xfId="47538"/>
    <cellStyle name="표준 9 7 3 6 3 2 2" xfId="47539"/>
    <cellStyle name="표준 9 7 3 6 4 2" xfId="47540"/>
    <cellStyle name="표준 9 7 3 6 5 2" xfId="47541"/>
    <cellStyle name="표준 9 7 3 7 2 2" xfId="47542"/>
    <cellStyle name="표준 9 7 3 8 3" xfId="47543"/>
    <cellStyle name="표준 9 7 3 8 2 2" xfId="47544"/>
    <cellStyle name="표준 9 7 3 9 2" xfId="47545"/>
    <cellStyle name="표준 9 7 4 10 2" xfId="47546"/>
    <cellStyle name="표준 9 7 4 2 2 2 2 2 2 2" xfId="47547"/>
    <cellStyle name="표준 9 7 4 2 2 2 2 3 3" xfId="47548"/>
    <cellStyle name="표준 9 7 4 2 2 2 2 3 2 2" xfId="47549"/>
    <cellStyle name="표준 9 7 4 2 2 2 2 4 2" xfId="47550"/>
    <cellStyle name="표준 9 7 4 2 2 2 2 5 2" xfId="47551"/>
    <cellStyle name="표준 9 7 4 2 2 2 3 2 2 2" xfId="47552"/>
    <cellStyle name="표준 9 7 4 2 2 2 3 3 3" xfId="47553"/>
    <cellStyle name="표준 9 7 4 2 2 2 3 3 2 2" xfId="47554"/>
    <cellStyle name="표준 9 7 4 2 2 2 3 4 2" xfId="47555"/>
    <cellStyle name="표준 9 7 4 2 2 2 3 5 2" xfId="47556"/>
    <cellStyle name="표준 9 7 4 2 2 2 4 2 2" xfId="47557"/>
    <cellStyle name="표준 9 7 4 2 2 2 5 3" xfId="47558"/>
    <cellStyle name="표준 9 7 4 2 2 2 5 2 2" xfId="47559"/>
    <cellStyle name="표준 9 7 4 2 2 2 6 2" xfId="47560"/>
    <cellStyle name="표준 9 7 4 2 2 2 7 2" xfId="47561"/>
    <cellStyle name="표준 9 7 4 2 2 3 2 2 2" xfId="47562"/>
    <cellStyle name="표준 9 7 4 2 2 3 3 3" xfId="47563"/>
    <cellStyle name="표준 9 7 4 2 2 3 3 2 2" xfId="47564"/>
    <cellStyle name="표준 9 7 4 2 2 3 4 2" xfId="47565"/>
    <cellStyle name="표준 9 7 4 2 2 3 5 2" xfId="47566"/>
    <cellStyle name="표준 9 7 4 2 2 4 2 2 2" xfId="47567"/>
    <cellStyle name="표준 9 7 4 2 2 4 3 3" xfId="47568"/>
    <cellStyle name="표준 9 7 4 2 2 4 3 2 2" xfId="47569"/>
    <cellStyle name="표준 9 7 4 2 2 4 4 2" xfId="47570"/>
    <cellStyle name="표준 9 7 4 2 2 4 5 2" xfId="47571"/>
    <cellStyle name="표준 9 7 4 2 2 5 2 2" xfId="47572"/>
    <cellStyle name="표준 9 7 4 2 2 6 3" xfId="47573"/>
    <cellStyle name="표준 9 7 4 2 2 6 2 2" xfId="47574"/>
    <cellStyle name="표준 9 7 4 2 2 7 2" xfId="47575"/>
    <cellStyle name="표준 9 7 4 2 2 8 2" xfId="47576"/>
    <cellStyle name="표준 9 7 4 2 3 2 2 2 2" xfId="47577"/>
    <cellStyle name="표준 9 7 4 2 3 2 3 3" xfId="47578"/>
    <cellStyle name="표준 9 7 4 2 3 2 3 2 2" xfId="47579"/>
    <cellStyle name="표준 9 7 4 2 3 2 4 2" xfId="47580"/>
    <cellStyle name="표준 9 7 4 2 3 2 5 2" xfId="47581"/>
    <cellStyle name="표준 9 7 4 2 3 3 2 2 2" xfId="47582"/>
    <cellStyle name="표준 9 7 4 2 3 3 3 3" xfId="47583"/>
    <cellStyle name="표준 9 7 4 2 3 3 3 2 2" xfId="47584"/>
    <cellStyle name="표준 9 7 4 2 3 3 4 2" xfId="47585"/>
    <cellStyle name="표준 9 7 4 2 3 3 5 2" xfId="47586"/>
    <cellStyle name="표준 9 7 4 2 3 4 2 2" xfId="47587"/>
    <cellStyle name="표준 9 7 4 2 3 5 3" xfId="47588"/>
    <cellStyle name="표준 9 7 4 2 3 5 2 2" xfId="47589"/>
    <cellStyle name="표준 9 7 4 2 3 6 2" xfId="47590"/>
    <cellStyle name="표준 9 7 4 2 3 7 2" xfId="47591"/>
    <cellStyle name="표준 9 7 4 2 4 2 2 2" xfId="47592"/>
    <cellStyle name="표준 9 7 4 2 4 3 3" xfId="47593"/>
    <cellStyle name="표준 9 7 4 2 4 3 2 2" xfId="47594"/>
    <cellStyle name="표준 9 7 4 2 4 4 2" xfId="47595"/>
    <cellStyle name="표준 9 7 4 2 4 5 2" xfId="47596"/>
    <cellStyle name="표준 9 7 4 2 5 2 2 2" xfId="47597"/>
    <cellStyle name="표준 9 7 4 2 5 3 3" xfId="47598"/>
    <cellStyle name="표준 9 7 4 2 5 3 2 2" xfId="47599"/>
    <cellStyle name="표준 9 7 4 2 5 4 2" xfId="47600"/>
    <cellStyle name="표준 9 7 4 2 5 5 2" xfId="47601"/>
    <cellStyle name="표준 9 7 4 2 6 2 2" xfId="47602"/>
    <cellStyle name="표준 9 7 4 2 7 3" xfId="47603"/>
    <cellStyle name="표준 9 7 4 2 7 2 2" xfId="47604"/>
    <cellStyle name="표준 9 7 4 2 8 2" xfId="47605"/>
    <cellStyle name="표준 9 7 4 2 9 2" xfId="47606"/>
    <cellStyle name="표준 9 7 4 3 2 2 2 2 2" xfId="47607"/>
    <cellStyle name="표준 9 7 4 3 2 2 3 3" xfId="47608"/>
    <cellStyle name="표준 9 7 4 3 2 2 3 2 2" xfId="47609"/>
    <cellStyle name="표준 9 7 4 3 2 2 4 2" xfId="47610"/>
    <cellStyle name="표준 9 7 4 3 2 2 5 2" xfId="47611"/>
    <cellStyle name="표준 9 7 4 3 2 3 2 2 2" xfId="47612"/>
    <cellStyle name="표준 9 7 4 3 2 3 3 3" xfId="47613"/>
    <cellStyle name="표준 9 7 4 3 2 3 3 2 2" xfId="47614"/>
    <cellStyle name="표준 9 7 4 3 2 3 4 2" xfId="47615"/>
    <cellStyle name="표준 9 7 4 3 2 3 5 2" xfId="47616"/>
    <cellStyle name="표준 9 7 4 3 2 4 2 2" xfId="47617"/>
    <cellStyle name="표준 9 7 4 3 2 5 3" xfId="47618"/>
    <cellStyle name="표준 9 7 4 3 2 5 2 2" xfId="47619"/>
    <cellStyle name="표준 9 7 4 3 2 6 2" xfId="47620"/>
    <cellStyle name="표준 9 7 4 3 2 7 2" xfId="47621"/>
    <cellStyle name="표준 9 7 4 3 3 2 2 2" xfId="47622"/>
    <cellStyle name="표준 9 7 4 3 3 3 3" xfId="47623"/>
    <cellStyle name="표준 9 7 4 3 3 3 2 2" xfId="47624"/>
    <cellStyle name="표준 9 7 4 3 3 4 2" xfId="47625"/>
    <cellStyle name="표준 9 7 4 3 3 5 2" xfId="47626"/>
    <cellStyle name="표준 9 7 4 3 4 2 2 2" xfId="47627"/>
    <cellStyle name="표준 9 7 4 3 4 3 3" xfId="47628"/>
    <cellStyle name="표준 9 7 4 3 4 3 2 2" xfId="47629"/>
    <cellStyle name="표준 9 7 4 3 4 4 2" xfId="47630"/>
    <cellStyle name="표준 9 7 4 3 4 5 2" xfId="47631"/>
    <cellStyle name="표준 9 7 4 3 5 2 2" xfId="47632"/>
    <cellStyle name="표준 9 7 4 3 6 3" xfId="47633"/>
    <cellStyle name="표준 9 7 4 3 6 2 2" xfId="47634"/>
    <cellStyle name="표준 9 7 4 3 7 2" xfId="47635"/>
    <cellStyle name="표준 9 7 4 3 8 2" xfId="47636"/>
    <cellStyle name="표준 9 7 4 4 2 2 2 2" xfId="47637"/>
    <cellStyle name="표준 9 7 4 4 2 3 3" xfId="47638"/>
    <cellStyle name="표준 9 7 4 4 2 3 2 2" xfId="47639"/>
    <cellStyle name="표준 9 7 4 4 2 4 2" xfId="47640"/>
    <cellStyle name="표준 9 7 4 4 2 5 2" xfId="47641"/>
    <cellStyle name="표준 9 7 4 4 3 2 2 2" xfId="47642"/>
    <cellStyle name="표준 9 7 4 4 3 3 3" xfId="47643"/>
    <cellStyle name="표준 9 7 4 4 3 3 2 2" xfId="47644"/>
    <cellStyle name="표준 9 7 4 4 3 4 2" xfId="47645"/>
    <cellStyle name="표준 9 7 4 4 3 5 2" xfId="47646"/>
    <cellStyle name="표준 9 7 4 4 4 2 2" xfId="47647"/>
    <cellStyle name="표준 9 7 4 4 5 3" xfId="47648"/>
    <cellStyle name="표준 9 7 4 4 5 2 2" xfId="47649"/>
    <cellStyle name="표준 9 7 4 4 6 2" xfId="47650"/>
    <cellStyle name="표준 9 7 4 4 7 2" xfId="47651"/>
    <cellStyle name="표준 9 7 4 5 2 2 2" xfId="47652"/>
    <cellStyle name="표준 9 7 4 5 3 3" xfId="47653"/>
    <cellStyle name="표준 9 7 4 5 3 2 2" xfId="47654"/>
    <cellStyle name="표준 9 7 4 5 4 2" xfId="47655"/>
    <cellStyle name="표준 9 7 4 5 5 2" xfId="47656"/>
    <cellStyle name="표준 9 7 4 6 2 2 2" xfId="47657"/>
    <cellStyle name="표준 9 7 4 6 3 3" xfId="47658"/>
    <cellStyle name="표준 9 7 4 6 3 2 2" xfId="47659"/>
    <cellStyle name="표준 9 7 4 6 4 2" xfId="47660"/>
    <cellStyle name="표준 9 7 4 6 5 2" xfId="47661"/>
    <cellStyle name="표준 9 7 4 7 2 2" xfId="47662"/>
    <cellStyle name="표준 9 7 4 8 3" xfId="47663"/>
    <cellStyle name="표준 9 7 4 8 2 2" xfId="47664"/>
    <cellStyle name="표준 9 7 4 9 2" xfId="47665"/>
    <cellStyle name="표준 9 7 5 2 2 2 2 2 2" xfId="47666"/>
    <cellStyle name="표준 9 7 5 2 2 2 3 3" xfId="47667"/>
    <cellStyle name="표준 9 7 5 2 2 2 3 2 2" xfId="47668"/>
    <cellStyle name="표준 9 7 5 2 2 2 4 2" xfId="47669"/>
    <cellStyle name="표준 9 7 5 2 2 2 5 2" xfId="47670"/>
    <cellStyle name="표준 9 7 5 2 2 3 2 2 2" xfId="47671"/>
    <cellStyle name="표준 9 7 5 2 2 3 3 3" xfId="47672"/>
    <cellStyle name="표준 9 7 5 2 2 3 3 2 2" xfId="47673"/>
    <cellStyle name="표준 9 7 5 2 2 3 4 2" xfId="47674"/>
    <cellStyle name="표준 9 7 5 2 2 3 5 2" xfId="47675"/>
    <cellStyle name="표준 9 7 5 2 2 4 2 2" xfId="47676"/>
    <cellStyle name="표준 9 7 5 2 2 5 3" xfId="47677"/>
    <cellStyle name="표준 9 7 5 2 2 5 2 2" xfId="47678"/>
    <cellStyle name="표준 9 7 5 2 2 6 2" xfId="47679"/>
    <cellStyle name="표준 9 7 5 2 2 7 2" xfId="47680"/>
    <cellStyle name="표준 9 7 5 2 3 2 2 2" xfId="47681"/>
    <cellStyle name="표준 9 7 5 2 3 3 3" xfId="47682"/>
    <cellStyle name="표준 9 7 5 2 3 3 2 2" xfId="47683"/>
    <cellStyle name="표준 9 7 5 2 3 4 2" xfId="47684"/>
    <cellStyle name="표준 9 7 5 2 3 5 2" xfId="47685"/>
    <cellStyle name="표준 9 7 5 2 4 2 2 2" xfId="47686"/>
    <cellStyle name="표준 9 7 5 2 4 3 3" xfId="47687"/>
    <cellStyle name="표준 9 7 5 2 4 3 2 2" xfId="47688"/>
    <cellStyle name="표준 9 7 5 2 4 4 2" xfId="47689"/>
    <cellStyle name="표준 9 7 5 2 4 5 2" xfId="47690"/>
    <cellStyle name="표준 9 7 5 2 5 2 2" xfId="47691"/>
    <cellStyle name="표준 9 7 5 2 6 3" xfId="47692"/>
    <cellStyle name="표준 9 7 5 2 6 2 2" xfId="47693"/>
    <cellStyle name="표준 9 7 5 2 7 2" xfId="47694"/>
    <cellStyle name="표준 9 7 5 2 8 2" xfId="47695"/>
    <cellStyle name="표준 9 7 5 3 2 2 2 2" xfId="47696"/>
    <cellStyle name="표준 9 7 5 3 2 3 3" xfId="47697"/>
    <cellStyle name="표준 9 7 5 3 2 3 2 2" xfId="47698"/>
    <cellStyle name="표준 9 7 5 3 2 4 2" xfId="47699"/>
    <cellStyle name="표준 9 7 5 3 2 5 2" xfId="47700"/>
    <cellStyle name="표준 9 7 5 3 3 2 2 2" xfId="47701"/>
    <cellStyle name="표준 9 7 5 3 3 3 3" xfId="47702"/>
    <cellStyle name="표준 9 7 5 3 3 3 2 2" xfId="47703"/>
    <cellStyle name="표준 9 7 5 3 3 4 2" xfId="47704"/>
    <cellStyle name="표준 9 7 5 3 3 5 2" xfId="47705"/>
    <cellStyle name="표준 9 7 5 3 4 2 2" xfId="47706"/>
    <cellStyle name="표준 9 7 5 3 5 3" xfId="47707"/>
    <cellStyle name="표준 9 7 5 3 5 2 2" xfId="47708"/>
    <cellStyle name="표준 9 7 5 3 6 2" xfId="47709"/>
    <cellStyle name="표준 9 7 5 3 7 2" xfId="47710"/>
    <cellStyle name="표준 9 7 5 4 2 2 2" xfId="47711"/>
    <cellStyle name="표준 9 7 5 4 3 3" xfId="47712"/>
    <cellStyle name="표준 9 7 5 4 3 2 2" xfId="47713"/>
    <cellStyle name="표준 9 7 5 4 4 2" xfId="47714"/>
    <cellStyle name="표준 9 7 5 4 5 2" xfId="47715"/>
    <cellStyle name="표준 9 7 5 5 2 2 2" xfId="47716"/>
    <cellStyle name="표준 9 7 5 5 3 3" xfId="47717"/>
    <cellStyle name="표준 9 7 5 5 3 2 2" xfId="47718"/>
    <cellStyle name="표준 9 7 5 5 4 2" xfId="47719"/>
    <cellStyle name="표준 9 7 5 5 5 2" xfId="47720"/>
    <cellStyle name="표준 9 7 5 6 2 2" xfId="47721"/>
    <cellStyle name="표준 9 7 5 7 3" xfId="47722"/>
    <cellStyle name="표준 9 7 5 7 2 2" xfId="47723"/>
    <cellStyle name="표준 9 7 5 8 2" xfId="47724"/>
    <cellStyle name="표준 9 7 5 9 2" xfId="47725"/>
    <cellStyle name="표준 9 7 6 2 2 2 2 2" xfId="47726"/>
    <cellStyle name="표준 9 7 6 2 2 3 3" xfId="47727"/>
    <cellStyle name="표준 9 7 6 2 2 3 2 2" xfId="47728"/>
    <cellStyle name="표준 9 7 6 2 2 4 2" xfId="47729"/>
    <cellStyle name="표준 9 7 6 2 2 5 2" xfId="47730"/>
    <cellStyle name="표준 9 7 6 2 3 2 2 2" xfId="47731"/>
    <cellStyle name="표준 9 7 6 2 3 3 3" xfId="47732"/>
    <cellStyle name="표준 9 7 6 2 3 3 2 2" xfId="47733"/>
    <cellStyle name="표준 9 7 6 2 3 4 2" xfId="47734"/>
    <cellStyle name="표준 9 7 6 2 3 5 2" xfId="47735"/>
    <cellStyle name="표준 9 7 6 2 4 2 2" xfId="47736"/>
    <cellStyle name="표준 9 7 6 2 5 3" xfId="47737"/>
    <cellStyle name="표준 9 7 6 2 5 2 2" xfId="47738"/>
    <cellStyle name="표준 9 7 6 2 6 2" xfId="47739"/>
    <cellStyle name="표준 9 7 6 2 7 2" xfId="47740"/>
    <cellStyle name="표준 9 7 6 3 2 2 2" xfId="47741"/>
    <cellStyle name="표준 9 7 6 3 3 3" xfId="47742"/>
    <cellStyle name="표준 9 7 6 3 3 2 2" xfId="47743"/>
    <cellStyle name="표준 9 7 6 3 4 2" xfId="47744"/>
    <cellStyle name="표준 9 7 6 3 5 2" xfId="47745"/>
    <cellStyle name="표준 9 7 6 4 2 2 2" xfId="47746"/>
    <cellStyle name="표준 9 7 6 4 3 3" xfId="47747"/>
    <cellStyle name="표준 9 7 6 4 3 2 2" xfId="47748"/>
    <cellStyle name="표준 9 7 6 4 4 2" xfId="47749"/>
    <cellStyle name="표준 9 7 6 4 5 2" xfId="47750"/>
    <cellStyle name="표준 9 7 6 5 2 2" xfId="47751"/>
    <cellStyle name="표준 9 7 6 6 3" xfId="47752"/>
    <cellStyle name="표준 9 7 6 6 2 2" xfId="47753"/>
    <cellStyle name="표준 9 7 6 7 2" xfId="47754"/>
    <cellStyle name="표준 9 7 6 8 2" xfId="47755"/>
    <cellStyle name="표준 9 7 7 2 2 2 2" xfId="47756"/>
    <cellStyle name="표준 9 7 7 2 3 3" xfId="47757"/>
    <cellStyle name="표준 9 7 7 2 3 2 2" xfId="47758"/>
    <cellStyle name="표준 9 7 7 2 4 2" xfId="47759"/>
    <cellStyle name="표준 9 7 7 2 5 2" xfId="47760"/>
    <cellStyle name="표준 9 7 7 3 2 2 2" xfId="47761"/>
    <cellStyle name="표준 9 7 7 3 3 3" xfId="47762"/>
    <cellStyle name="표준 9 7 7 3 3 2 2" xfId="47763"/>
    <cellStyle name="표준 9 7 7 3 4 2" xfId="47764"/>
    <cellStyle name="표준 9 7 7 3 5 2" xfId="47765"/>
    <cellStyle name="표준 9 7 7 4 2 2" xfId="47766"/>
    <cellStyle name="표준 9 7 7 5 3" xfId="47767"/>
    <cellStyle name="표준 9 7 7 5 2 2" xfId="47768"/>
    <cellStyle name="표준 9 7 7 6 2" xfId="47769"/>
    <cellStyle name="표준 9 7 7 7 2" xfId="47770"/>
    <cellStyle name="표준 9 7 8 2 2 2" xfId="47771"/>
    <cellStyle name="표준 9 7 8 3 3" xfId="47772"/>
    <cellStyle name="표준 9 7 8 3 2 2" xfId="47773"/>
    <cellStyle name="표준 9 7 8 4 2" xfId="47774"/>
    <cellStyle name="표준 9 7 8 5 2" xfId="47775"/>
    <cellStyle name="표준 9 7 9 2 2 2" xfId="47776"/>
    <cellStyle name="표준 9 7 9 3 3" xfId="47777"/>
    <cellStyle name="표준 9 7 9 3 2 2" xfId="47778"/>
    <cellStyle name="표준 9 7 9 4 2" xfId="47779"/>
    <cellStyle name="표준 9 7 9 5 2" xfId="47780"/>
    <cellStyle name="표준 9 8 10 2 2" xfId="47781"/>
    <cellStyle name="표준 9 8 11 3" xfId="47782"/>
    <cellStyle name="표준 9 8 11 2 2" xfId="47783"/>
    <cellStyle name="표준 9 8 12 2" xfId="47784"/>
    <cellStyle name="표준 9 8 13 2" xfId="47785"/>
    <cellStyle name="표준 9 8 2 10 2" xfId="47786"/>
    <cellStyle name="표준 9 8 2 2 2 2 2 2 2 2" xfId="47787"/>
    <cellStyle name="표준 9 8 2 2 2 2 2 3 3" xfId="47788"/>
    <cellStyle name="표준 9 8 2 2 2 2 2 3 2 2" xfId="47789"/>
    <cellStyle name="표준 9 8 2 2 2 2 2 4 2" xfId="47790"/>
    <cellStyle name="표준 9 8 2 2 2 2 2 5 2" xfId="47791"/>
    <cellStyle name="표준 9 8 2 2 2 2 3 2 2 2" xfId="47792"/>
    <cellStyle name="표준 9 8 2 2 2 2 3 3 3" xfId="47793"/>
    <cellStyle name="표준 9 8 2 2 2 2 3 3 2 2" xfId="47794"/>
    <cellStyle name="표준 9 8 2 2 2 2 3 4 2" xfId="47795"/>
    <cellStyle name="표준 9 8 2 2 2 2 3 5 2" xfId="47796"/>
    <cellStyle name="표준 9 8 2 2 2 2 4 2 2" xfId="47797"/>
    <cellStyle name="표준 9 8 2 2 2 2 5 3" xfId="47798"/>
    <cellStyle name="표준 9 8 2 2 2 2 5 2 2" xfId="47799"/>
    <cellStyle name="표준 9 8 2 2 2 2 6 2" xfId="47800"/>
    <cellStyle name="표준 9 8 2 2 2 2 7 2" xfId="47801"/>
    <cellStyle name="표준 9 8 2 2 2 3 2 2 2" xfId="47802"/>
    <cellStyle name="표준 9 8 2 2 2 3 3 3" xfId="47803"/>
    <cellStyle name="표준 9 8 2 2 2 3 3 2 2" xfId="47804"/>
    <cellStyle name="표준 9 8 2 2 2 3 4 2" xfId="47805"/>
    <cellStyle name="표준 9 8 2 2 2 3 5 2" xfId="47806"/>
    <cellStyle name="표준 9 8 2 2 2 4 2 2 2" xfId="47807"/>
    <cellStyle name="표준 9 8 2 2 2 4 3 3" xfId="47808"/>
    <cellStyle name="표준 9 8 2 2 2 4 3 2 2" xfId="47809"/>
    <cellStyle name="표준 9 8 2 2 2 4 4 2" xfId="47810"/>
    <cellStyle name="표준 9 8 2 2 2 4 5 2" xfId="47811"/>
    <cellStyle name="표준 9 8 2 2 2 5 2 2" xfId="47812"/>
    <cellStyle name="표준 9 8 2 2 2 6 3" xfId="47813"/>
    <cellStyle name="표준 9 8 2 2 2 6 2 2" xfId="47814"/>
    <cellStyle name="표준 9 8 2 2 2 7 2" xfId="47815"/>
    <cellStyle name="표준 9 8 2 2 2 8 2" xfId="47816"/>
    <cellStyle name="표준 9 8 2 2 3 2 2 2 2" xfId="47817"/>
    <cellStyle name="표준 9 8 2 2 3 2 3 3" xfId="47818"/>
    <cellStyle name="표준 9 8 2 2 3 2 3 2 2" xfId="47819"/>
    <cellStyle name="표준 9 8 2 2 3 2 4 2" xfId="47820"/>
    <cellStyle name="표준 9 8 2 2 3 2 5 2" xfId="47821"/>
    <cellStyle name="표준 9 8 2 2 3 3 2 2 2" xfId="47822"/>
    <cellStyle name="표준 9 8 2 2 3 3 3 3" xfId="47823"/>
    <cellStyle name="표준 9 8 2 2 3 3 3 2 2" xfId="47824"/>
    <cellStyle name="표준 9 8 2 2 3 3 4 2" xfId="47825"/>
    <cellStyle name="표준 9 8 2 2 3 3 5 2" xfId="47826"/>
    <cellStyle name="표준 9 8 2 2 3 4 2 2" xfId="47827"/>
    <cellStyle name="표준 9 8 2 2 3 5 3" xfId="47828"/>
    <cellStyle name="표준 9 8 2 2 3 5 2 2" xfId="47829"/>
    <cellStyle name="표준 9 8 2 2 3 6 2" xfId="47830"/>
    <cellStyle name="표준 9 8 2 2 3 7 2" xfId="47831"/>
    <cellStyle name="표준 9 8 2 2 4 2 2 2" xfId="47832"/>
    <cellStyle name="표준 9 8 2 2 4 3 3" xfId="47833"/>
    <cellStyle name="표준 9 8 2 2 4 3 2 2" xfId="47834"/>
    <cellStyle name="표준 9 8 2 2 4 4 2" xfId="47835"/>
    <cellStyle name="표준 9 8 2 2 4 5 2" xfId="47836"/>
    <cellStyle name="표준 9 8 2 2 5 2 2 2" xfId="47837"/>
    <cellStyle name="표준 9 8 2 2 5 3 3" xfId="47838"/>
    <cellStyle name="표준 9 8 2 2 5 3 2 2" xfId="47839"/>
    <cellStyle name="표준 9 8 2 2 5 4 2" xfId="47840"/>
    <cellStyle name="표준 9 8 2 2 5 5 2" xfId="47841"/>
    <cellStyle name="표준 9 8 2 2 6 2 2" xfId="47842"/>
    <cellStyle name="표준 9 8 2 2 7 3" xfId="47843"/>
    <cellStyle name="표준 9 8 2 2 7 2 2" xfId="47844"/>
    <cellStyle name="표준 9 8 2 2 8 2" xfId="47845"/>
    <cellStyle name="표준 9 8 2 2 9 2" xfId="47846"/>
    <cellStyle name="표준 9 8 2 3 2 2 2 2 2" xfId="47847"/>
    <cellStyle name="표준 9 8 2 3 2 2 3 3" xfId="47848"/>
    <cellStyle name="표준 9 8 2 3 2 2 3 2 2" xfId="47849"/>
    <cellStyle name="표준 9 8 2 3 2 2 4 2" xfId="47850"/>
    <cellStyle name="표준 9 8 2 3 2 2 5 2" xfId="47851"/>
    <cellStyle name="표준 9 8 2 3 2 3 2 2 2" xfId="47852"/>
    <cellStyle name="표준 9 8 2 3 2 3 3 3" xfId="47853"/>
    <cellStyle name="표준 9 8 2 3 2 3 3 2 2" xfId="47854"/>
    <cellStyle name="표준 9 8 2 3 2 3 4 2" xfId="47855"/>
    <cellStyle name="표준 9 8 2 3 2 3 5 2" xfId="47856"/>
    <cellStyle name="표준 9 8 2 3 2 4 2 2" xfId="47857"/>
    <cellStyle name="표준 9 8 2 3 2 5 3" xfId="47858"/>
    <cellStyle name="표준 9 8 2 3 2 5 2 2" xfId="47859"/>
    <cellStyle name="표준 9 8 2 3 2 6 2" xfId="47860"/>
    <cellStyle name="표준 9 8 2 3 2 7 2" xfId="47861"/>
    <cellStyle name="표준 9 8 2 3 3 2 2 2" xfId="47862"/>
    <cellStyle name="표준 9 8 2 3 3 3 3" xfId="47863"/>
    <cellStyle name="표준 9 8 2 3 3 3 2 2" xfId="47864"/>
    <cellStyle name="표준 9 8 2 3 3 4 2" xfId="47865"/>
    <cellStyle name="표준 9 8 2 3 3 5 2" xfId="47866"/>
    <cellStyle name="표준 9 8 2 3 4 2 2 2" xfId="47867"/>
    <cellStyle name="표준 9 8 2 3 4 3 3" xfId="47868"/>
    <cellStyle name="표준 9 8 2 3 4 3 2 2" xfId="47869"/>
    <cellStyle name="표준 9 8 2 3 4 4 2" xfId="47870"/>
    <cellStyle name="표준 9 8 2 3 4 5 2" xfId="47871"/>
    <cellStyle name="표준 9 8 2 3 5 2 2" xfId="47872"/>
    <cellStyle name="표준 9 8 2 3 6 3" xfId="47873"/>
    <cellStyle name="표준 9 8 2 3 6 2 2" xfId="47874"/>
    <cellStyle name="표준 9 8 2 3 7 2" xfId="47875"/>
    <cellStyle name="표준 9 8 2 3 8 2" xfId="47876"/>
    <cellStyle name="표준 9 8 2 4 2 2 2 2" xfId="47877"/>
    <cellStyle name="표준 9 8 2 4 2 3 3" xfId="47878"/>
    <cellStyle name="표준 9 8 2 4 2 3 2 2" xfId="47879"/>
    <cellStyle name="표준 9 8 2 4 2 4 2" xfId="47880"/>
    <cellStyle name="표준 9 8 2 4 2 5 2" xfId="47881"/>
    <cellStyle name="표준 9 8 2 4 3 2 2 2" xfId="47882"/>
    <cellStyle name="표준 9 8 2 4 3 3 3" xfId="47883"/>
    <cellStyle name="표준 9 8 2 4 3 3 2 2" xfId="47884"/>
    <cellStyle name="표준 9 8 2 4 3 4 2" xfId="47885"/>
    <cellStyle name="표준 9 8 2 4 3 5 2" xfId="47886"/>
    <cellStyle name="표준 9 8 2 4 4 2 2" xfId="47887"/>
    <cellStyle name="표준 9 8 2 4 5 3" xfId="47888"/>
    <cellStyle name="표준 9 8 2 4 5 2 2" xfId="47889"/>
    <cellStyle name="표준 9 8 2 4 6 2" xfId="47890"/>
    <cellStyle name="표준 9 8 2 4 7 2" xfId="47891"/>
    <cellStyle name="표준 9 8 2 5 2 2 2" xfId="47892"/>
    <cellStyle name="표준 9 8 2 5 3 3" xfId="47893"/>
    <cellStyle name="표준 9 8 2 5 3 2 2" xfId="47894"/>
    <cellStyle name="표준 9 8 2 5 4 2" xfId="47895"/>
    <cellStyle name="표준 9 8 2 5 5 2" xfId="47896"/>
    <cellStyle name="표준 9 8 2 6 2 2 2" xfId="47897"/>
    <cellStyle name="표준 9 8 2 6 3 3" xfId="47898"/>
    <cellStyle name="표준 9 8 2 6 3 2 2" xfId="47899"/>
    <cellStyle name="표준 9 8 2 6 4 2" xfId="47900"/>
    <cellStyle name="표준 9 8 2 6 5 2" xfId="47901"/>
    <cellStyle name="표준 9 8 2 7 2 2" xfId="47902"/>
    <cellStyle name="표준 9 8 2 8 3" xfId="47903"/>
    <cellStyle name="표준 9 8 2 8 2 2" xfId="47904"/>
    <cellStyle name="표준 9 8 2 9 2" xfId="47905"/>
    <cellStyle name="표준 9 8 3 10 2" xfId="47906"/>
    <cellStyle name="표준 9 8 3 2 2 2 2 2 2 2" xfId="47907"/>
    <cellStyle name="표준 9 8 3 2 2 2 2 3 3" xfId="47908"/>
    <cellStyle name="표준 9 8 3 2 2 2 2 3 2 2" xfId="47909"/>
    <cellStyle name="표준 9 8 3 2 2 2 2 4 2" xfId="47910"/>
    <cellStyle name="표준 9 8 3 2 2 2 2 5 2" xfId="47911"/>
    <cellStyle name="표준 9 8 3 2 2 2 3 2 2 2" xfId="47912"/>
    <cellStyle name="표준 9 8 3 2 2 2 3 3 3" xfId="47913"/>
    <cellStyle name="표준 9 8 3 2 2 2 3 3 2 2" xfId="47914"/>
    <cellStyle name="표준 9 8 3 2 2 2 3 4 2" xfId="47915"/>
    <cellStyle name="표준 9 8 3 2 2 2 3 5 2" xfId="47916"/>
    <cellStyle name="표준 9 8 3 2 2 2 4 2 2" xfId="47917"/>
    <cellStyle name="표준 9 8 3 2 2 2 5 3" xfId="47918"/>
    <cellStyle name="표준 9 8 3 2 2 2 5 2 2" xfId="47919"/>
    <cellStyle name="표준 9 8 3 2 2 2 6 2" xfId="47920"/>
    <cellStyle name="표준 9 8 3 2 2 2 7 2" xfId="47921"/>
    <cellStyle name="표준 9 8 3 2 2 3 2 2 2" xfId="47922"/>
    <cellStyle name="표준 9 8 3 2 2 3 3 3" xfId="47923"/>
    <cellStyle name="표준 9 8 3 2 2 3 3 2 2" xfId="47924"/>
    <cellStyle name="표준 9 8 3 2 2 3 4 2" xfId="47925"/>
    <cellStyle name="표준 9 8 3 2 2 3 5 2" xfId="47926"/>
    <cellStyle name="표준 9 8 3 2 2 4 2 2 2" xfId="47927"/>
    <cellStyle name="표준 9 8 3 2 2 4 3 3" xfId="47928"/>
    <cellStyle name="표준 9 8 3 2 2 4 3 2 2" xfId="47929"/>
    <cellStyle name="표준 9 8 3 2 2 4 4 2" xfId="47930"/>
    <cellStyle name="표준 9 8 3 2 2 4 5 2" xfId="47931"/>
    <cellStyle name="표준 9 8 3 2 2 5 2 2" xfId="47932"/>
    <cellStyle name="표준 9 8 3 2 2 6 3" xfId="47933"/>
    <cellStyle name="표준 9 8 3 2 2 6 2 2" xfId="47934"/>
    <cellStyle name="표준 9 8 3 2 2 7 2" xfId="47935"/>
    <cellStyle name="표준 9 8 3 2 2 8 2" xfId="47936"/>
    <cellStyle name="표준 9 8 3 2 3 2 2 2 2" xfId="47937"/>
    <cellStyle name="표준 9 8 3 2 3 2 3 3" xfId="47938"/>
    <cellStyle name="표준 9 8 3 2 3 2 3 2 2" xfId="47939"/>
    <cellStyle name="표준 9 8 3 2 3 2 4 2" xfId="47940"/>
    <cellStyle name="표준 9 8 3 2 3 2 5 2" xfId="47941"/>
    <cellStyle name="표준 9 8 3 2 3 3 2 2 2" xfId="47942"/>
    <cellStyle name="표준 9 8 3 2 3 3 3 3" xfId="47943"/>
    <cellStyle name="표준 9 8 3 2 3 3 3 2 2" xfId="47944"/>
    <cellStyle name="표준 9 8 3 2 3 3 4 2" xfId="47945"/>
    <cellStyle name="표준 9 8 3 2 3 3 5 2" xfId="47946"/>
    <cellStyle name="표준 9 8 3 2 3 4 2 2" xfId="47947"/>
    <cellStyle name="표준 9 8 3 2 3 5 3" xfId="47948"/>
    <cellStyle name="표준 9 8 3 2 3 5 2 2" xfId="47949"/>
    <cellStyle name="표준 9 8 3 2 3 6 2" xfId="47950"/>
    <cellStyle name="표준 9 8 3 2 3 7 2" xfId="47951"/>
    <cellStyle name="표준 9 8 3 2 4 2 2 2" xfId="47952"/>
    <cellStyle name="표준 9 8 3 2 4 3 3" xfId="47953"/>
    <cellStyle name="표준 9 8 3 2 4 3 2 2" xfId="47954"/>
    <cellStyle name="표준 9 8 3 2 4 4 2" xfId="47955"/>
    <cellStyle name="표준 9 8 3 2 4 5 2" xfId="47956"/>
    <cellStyle name="표준 9 8 3 2 5 2 2 2" xfId="47957"/>
    <cellStyle name="표준 9 8 3 2 5 3 3" xfId="47958"/>
    <cellStyle name="표준 9 8 3 2 5 3 2 2" xfId="47959"/>
    <cellStyle name="표준 9 8 3 2 5 4 2" xfId="47960"/>
    <cellStyle name="표준 9 8 3 2 5 5 2" xfId="47961"/>
    <cellStyle name="표준 9 8 3 2 6 2 2" xfId="47962"/>
    <cellStyle name="표준 9 8 3 2 7 3" xfId="47963"/>
    <cellStyle name="표준 9 8 3 2 7 2 2" xfId="47964"/>
    <cellStyle name="표준 9 8 3 2 8 2" xfId="47965"/>
    <cellStyle name="표준 9 8 3 2 9 2" xfId="47966"/>
    <cellStyle name="표준 9 8 3 3 2 2 2 2 2" xfId="47967"/>
    <cellStyle name="표준 9 8 3 3 2 2 3 3" xfId="47968"/>
    <cellStyle name="표준 9 8 3 3 2 2 3 2 2" xfId="47969"/>
    <cellStyle name="표준 9 8 3 3 2 2 4 2" xfId="47970"/>
    <cellStyle name="표준 9 8 3 3 2 2 5 2" xfId="47971"/>
    <cellStyle name="표준 9 8 3 3 2 3 2 2 2" xfId="47972"/>
    <cellStyle name="표준 9 8 3 3 2 3 3 3" xfId="47973"/>
    <cellStyle name="표준 9 8 3 3 2 3 3 2 2" xfId="47974"/>
    <cellStyle name="표준 9 8 3 3 2 3 4 2" xfId="47975"/>
    <cellStyle name="표준 9 8 3 3 2 3 5 2" xfId="47976"/>
    <cellStyle name="표준 9 8 3 3 2 4 2 2" xfId="47977"/>
    <cellStyle name="표준 9 8 3 3 2 5 3" xfId="47978"/>
    <cellStyle name="표준 9 8 3 3 2 5 2 2" xfId="47979"/>
    <cellStyle name="표준 9 8 3 3 2 6 2" xfId="47980"/>
    <cellStyle name="표준 9 8 3 3 2 7 2" xfId="47981"/>
    <cellStyle name="표준 9 8 3 3 3 2 2 2" xfId="47982"/>
    <cellStyle name="표준 9 8 3 3 3 3 3" xfId="47983"/>
    <cellStyle name="표준 9 8 3 3 3 3 2 2" xfId="47984"/>
    <cellStyle name="표준 9 8 3 3 3 4 2" xfId="47985"/>
    <cellStyle name="표준 9 8 3 3 3 5 2" xfId="47986"/>
    <cellStyle name="표준 9 8 3 3 4 2 2 2" xfId="47987"/>
    <cellStyle name="표준 9 8 3 3 4 3 3" xfId="47988"/>
    <cellStyle name="표준 9 8 3 3 4 3 2 2" xfId="47989"/>
    <cellStyle name="표준 9 8 3 3 4 4 2" xfId="47990"/>
    <cellStyle name="표준 9 8 3 3 4 5 2" xfId="47991"/>
    <cellStyle name="표준 9 8 3 3 5 2 2" xfId="47992"/>
    <cellStyle name="표준 9 8 3 3 6 3" xfId="47993"/>
    <cellStyle name="표준 9 8 3 3 6 2 2" xfId="47994"/>
    <cellStyle name="표준 9 8 3 3 7 2" xfId="47995"/>
    <cellStyle name="표준 9 8 3 3 8 2" xfId="47996"/>
    <cellStyle name="표준 9 8 3 4 2 2 2 2" xfId="47997"/>
    <cellStyle name="표준 9 8 3 4 2 3 3" xfId="47998"/>
    <cellStyle name="표준 9 8 3 4 2 3 2 2" xfId="47999"/>
    <cellStyle name="표준 9 8 3 4 2 4 2" xfId="48000"/>
    <cellStyle name="표준 9 8 3 4 2 5 2" xfId="48001"/>
    <cellStyle name="표준 9 8 3 4 3 2 2 2" xfId="48002"/>
    <cellStyle name="표준 9 8 3 4 3 3 3" xfId="48003"/>
    <cellStyle name="표준 9 8 3 4 3 3 2 2" xfId="48004"/>
    <cellStyle name="표준 9 8 3 4 3 4 2" xfId="48005"/>
    <cellStyle name="표준 9 8 3 4 3 5 2" xfId="48006"/>
    <cellStyle name="표준 9 8 3 4 4 2 2" xfId="48007"/>
    <cellStyle name="표준 9 8 3 4 5 3" xfId="48008"/>
    <cellStyle name="표준 9 8 3 4 5 2 2" xfId="48009"/>
    <cellStyle name="표준 9 8 3 4 6 2" xfId="48010"/>
    <cellStyle name="표준 9 8 3 4 7 2" xfId="48011"/>
    <cellStyle name="표준 9 8 3 5 2 2 2" xfId="48012"/>
    <cellStyle name="표준 9 8 3 5 3 3" xfId="48013"/>
    <cellStyle name="표준 9 8 3 5 3 2 2" xfId="48014"/>
    <cellStyle name="표준 9 8 3 5 4 2" xfId="48015"/>
    <cellStyle name="표준 9 8 3 5 5 2" xfId="48016"/>
    <cellStyle name="표준 9 8 3 6 2 2 2" xfId="48017"/>
    <cellStyle name="표준 9 8 3 6 3 3" xfId="48018"/>
    <cellStyle name="표준 9 8 3 6 3 2 2" xfId="48019"/>
    <cellStyle name="표준 9 8 3 6 4 2" xfId="48020"/>
    <cellStyle name="표준 9 8 3 6 5 2" xfId="48021"/>
    <cellStyle name="표준 9 8 3 7 2 2" xfId="48022"/>
    <cellStyle name="표준 9 8 3 8 3" xfId="48023"/>
    <cellStyle name="표준 9 8 3 8 2 2" xfId="48024"/>
    <cellStyle name="표준 9 8 3 9 2" xfId="48025"/>
    <cellStyle name="표준 9 8 4 10 2" xfId="48026"/>
    <cellStyle name="표준 9 8 4 2 2 2 2 2 2 2" xfId="48027"/>
    <cellStyle name="표준 9 8 4 2 2 2 2 3 3" xfId="48028"/>
    <cellStyle name="표준 9 8 4 2 2 2 2 3 2 2" xfId="48029"/>
    <cellStyle name="표준 9 8 4 2 2 2 2 4 2" xfId="48030"/>
    <cellStyle name="표준 9 8 4 2 2 2 2 5 2" xfId="48031"/>
    <cellStyle name="표준 9 8 4 2 2 2 3 2 2 2" xfId="48032"/>
    <cellStyle name="표준 9 8 4 2 2 2 3 3 3" xfId="48033"/>
    <cellStyle name="표준 9 8 4 2 2 2 3 3 2 2" xfId="48034"/>
    <cellStyle name="표준 9 8 4 2 2 2 3 4 2" xfId="48035"/>
    <cellStyle name="표준 9 8 4 2 2 2 3 5 2" xfId="48036"/>
    <cellStyle name="표준 9 8 4 2 2 2 4 2 2" xfId="48037"/>
    <cellStyle name="표준 9 8 4 2 2 2 5 3" xfId="48038"/>
    <cellStyle name="표준 9 8 4 2 2 2 5 2 2" xfId="48039"/>
    <cellStyle name="표준 9 8 4 2 2 2 6 2" xfId="48040"/>
    <cellStyle name="표준 9 8 4 2 2 2 7 2" xfId="48041"/>
    <cellStyle name="표준 9 8 4 2 2 3 2 2 2" xfId="48042"/>
    <cellStyle name="표준 9 8 4 2 2 3 3 3" xfId="48043"/>
    <cellStyle name="표준 9 8 4 2 2 3 3 2 2" xfId="48044"/>
    <cellStyle name="표준 9 8 4 2 2 3 4 2" xfId="48045"/>
    <cellStyle name="표준 9 8 4 2 2 3 5 2" xfId="48046"/>
    <cellStyle name="표준 9 8 4 2 2 4 2 2 2" xfId="48047"/>
    <cellStyle name="표준 9 8 4 2 2 4 3 3" xfId="48048"/>
    <cellStyle name="표준 9 8 4 2 2 4 3 2 2" xfId="48049"/>
    <cellStyle name="표준 9 8 4 2 2 4 4 2" xfId="48050"/>
    <cellStyle name="표준 9 8 4 2 2 4 5 2" xfId="48051"/>
    <cellStyle name="표준 9 8 4 2 2 5 2 2" xfId="48052"/>
    <cellStyle name="표준 9 8 4 2 2 6 3" xfId="48053"/>
    <cellStyle name="표준 9 8 4 2 2 6 2 2" xfId="48054"/>
    <cellStyle name="표준 9 8 4 2 2 7 2" xfId="48055"/>
    <cellStyle name="표준 9 8 4 2 2 8 2" xfId="48056"/>
    <cellStyle name="표준 9 8 4 2 3 2 2 2 2" xfId="48057"/>
    <cellStyle name="표준 9 8 4 2 3 2 3 3" xfId="48058"/>
    <cellStyle name="표준 9 8 4 2 3 2 3 2 2" xfId="48059"/>
    <cellStyle name="표준 9 8 4 2 3 2 4 2" xfId="48060"/>
    <cellStyle name="표준 9 8 4 2 3 2 5 2" xfId="48061"/>
    <cellStyle name="표준 9 8 4 2 3 3 2 2 2" xfId="48062"/>
    <cellStyle name="표준 9 8 4 2 3 3 3 3" xfId="48063"/>
    <cellStyle name="표준 9 8 4 2 3 3 3 2 2" xfId="48064"/>
    <cellStyle name="표준 9 8 4 2 3 3 4 2" xfId="48065"/>
    <cellStyle name="표준 9 8 4 2 3 3 5 2" xfId="48066"/>
    <cellStyle name="표준 9 8 4 2 3 4 2 2" xfId="48067"/>
    <cellStyle name="표준 9 8 4 2 3 5 3" xfId="48068"/>
    <cellStyle name="표준 9 8 4 2 3 5 2 2" xfId="48069"/>
    <cellStyle name="표준 9 8 4 2 3 6 2" xfId="48070"/>
    <cellStyle name="표준 9 8 4 2 3 7 2" xfId="48071"/>
    <cellStyle name="표준 9 8 4 2 4 2 2 2" xfId="48072"/>
    <cellStyle name="표준 9 8 4 2 4 3 3" xfId="48073"/>
    <cellStyle name="표준 9 8 4 2 4 3 2 2" xfId="48074"/>
    <cellStyle name="표준 9 8 4 2 4 4 2" xfId="48075"/>
    <cellStyle name="표준 9 8 4 2 4 5 2" xfId="48076"/>
    <cellStyle name="표준 9 8 4 2 5 2 2 2" xfId="48077"/>
    <cellStyle name="표준 9 8 4 2 5 3 3" xfId="48078"/>
    <cellStyle name="표준 9 8 4 2 5 3 2 2" xfId="48079"/>
    <cellStyle name="표준 9 8 4 2 5 4 2" xfId="48080"/>
    <cellStyle name="표준 9 8 4 2 5 5 2" xfId="48081"/>
    <cellStyle name="표준 9 8 4 2 6 2 2" xfId="48082"/>
    <cellStyle name="표준 9 8 4 2 7 3" xfId="48083"/>
    <cellStyle name="표준 9 8 4 2 7 2 2" xfId="48084"/>
    <cellStyle name="표준 9 8 4 2 8 2" xfId="48085"/>
    <cellStyle name="표준 9 8 4 2 9 2" xfId="48086"/>
    <cellStyle name="표준 9 8 4 3 2 2 2 2 2" xfId="48087"/>
    <cellStyle name="표준 9 8 4 3 2 2 3 3" xfId="48088"/>
    <cellStyle name="표준 9 8 4 3 2 2 3 2 2" xfId="48089"/>
    <cellStyle name="표준 9 8 4 3 2 2 4 2" xfId="48090"/>
    <cellStyle name="표준 9 8 4 3 2 2 5 2" xfId="48091"/>
    <cellStyle name="표준 9 8 4 3 2 3 2 2 2" xfId="48092"/>
    <cellStyle name="표준 9 8 4 3 2 3 3 3" xfId="48093"/>
    <cellStyle name="표준 9 8 4 3 2 3 3 2 2" xfId="48094"/>
    <cellStyle name="표준 9 8 4 3 2 3 4 2" xfId="48095"/>
    <cellStyle name="표준 9 8 4 3 2 3 5 2" xfId="48096"/>
    <cellStyle name="표준 9 8 4 3 2 4 2 2" xfId="48097"/>
    <cellStyle name="표준 9 8 4 3 2 5 3" xfId="48098"/>
    <cellStyle name="표준 9 8 4 3 2 5 2 2" xfId="48099"/>
    <cellStyle name="표준 9 8 4 3 2 6 2" xfId="48100"/>
    <cellStyle name="표준 9 8 4 3 2 7 2" xfId="48101"/>
    <cellStyle name="표준 9 8 4 3 3 2 2 2" xfId="48102"/>
    <cellStyle name="표준 9 8 4 3 3 3 3" xfId="48103"/>
    <cellStyle name="표준 9 8 4 3 3 3 2 2" xfId="48104"/>
    <cellStyle name="표준 9 8 4 3 3 4 2" xfId="48105"/>
    <cellStyle name="표준 9 8 4 3 3 5 2" xfId="48106"/>
    <cellStyle name="표준 9 8 4 3 4 2 2 2" xfId="48107"/>
    <cellStyle name="표준 9 8 4 3 4 3 3" xfId="48108"/>
    <cellStyle name="표준 9 8 4 3 4 3 2 2" xfId="48109"/>
    <cellStyle name="표준 9 8 4 3 4 4 2" xfId="48110"/>
    <cellStyle name="표준 9 8 4 3 4 5 2" xfId="48111"/>
    <cellStyle name="표준 9 8 4 3 5 2 2" xfId="48112"/>
    <cellStyle name="표준 9 8 4 3 6 3" xfId="48113"/>
    <cellStyle name="표준 9 8 4 3 6 2 2" xfId="48114"/>
    <cellStyle name="표준 9 8 4 3 7 2" xfId="48115"/>
    <cellStyle name="표준 9 8 4 3 8 2" xfId="48116"/>
    <cellStyle name="표준 9 8 4 4 2 2 2 2" xfId="48117"/>
    <cellStyle name="표준 9 8 4 4 2 3 3" xfId="48118"/>
    <cellStyle name="표준 9 8 4 4 2 3 2 2" xfId="48119"/>
    <cellStyle name="표준 9 8 4 4 2 4 2" xfId="48120"/>
    <cellStyle name="표준 9 8 4 4 2 5 2" xfId="48121"/>
    <cellStyle name="표준 9 8 4 4 3 2 2 2" xfId="48122"/>
    <cellStyle name="표준 9 8 4 4 3 3 3" xfId="48123"/>
    <cellStyle name="표준 9 8 4 4 3 3 2 2" xfId="48124"/>
    <cellStyle name="표준 9 8 4 4 3 4 2" xfId="48125"/>
    <cellStyle name="표준 9 8 4 4 3 5 2" xfId="48126"/>
    <cellStyle name="표준 9 8 4 4 4 2 2" xfId="48127"/>
    <cellStyle name="표준 9 8 4 4 5 3" xfId="48128"/>
    <cellStyle name="표준 9 8 4 4 5 2 2" xfId="48129"/>
    <cellStyle name="표준 9 8 4 4 6 2" xfId="48130"/>
    <cellStyle name="표준 9 8 4 4 7 2" xfId="48131"/>
    <cellStyle name="표준 9 8 4 5 2 2 2" xfId="48132"/>
    <cellStyle name="표준 9 8 4 5 3 3" xfId="48133"/>
    <cellStyle name="표준 9 8 4 5 3 2 2" xfId="48134"/>
    <cellStyle name="표준 9 8 4 5 4 2" xfId="48135"/>
    <cellStyle name="표준 9 8 4 5 5 2" xfId="48136"/>
    <cellStyle name="표준 9 8 4 6 2 2 2" xfId="48137"/>
    <cellStyle name="표준 9 8 4 6 3 3" xfId="48138"/>
    <cellStyle name="표준 9 8 4 6 3 2 2" xfId="48139"/>
    <cellStyle name="표준 9 8 4 6 4 2" xfId="48140"/>
    <cellStyle name="표준 9 8 4 6 5 2" xfId="48141"/>
    <cellStyle name="표준 9 8 4 7 2 2" xfId="48142"/>
    <cellStyle name="표준 9 8 4 8 3" xfId="48143"/>
    <cellStyle name="표준 9 8 4 8 2 2" xfId="48144"/>
    <cellStyle name="표준 9 8 4 9 2" xfId="48145"/>
    <cellStyle name="표준 9 8 5 2 2 2 2 2 2" xfId="48146"/>
    <cellStyle name="표준 9 8 5 2 2 2 3 3" xfId="48147"/>
    <cellStyle name="표준 9 8 5 2 2 2 3 2 2" xfId="48148"/>
    <cellStyle name="표준 9 8 5 2 2 2 4 2" xfId="48149"/>
    <cellStyle name="표준 9 8 5 2 2 2 5 2" xfId="48150"/>
    <cellStyle name="표준 9 8 5 2 2 3 2 2 2" xfId="48151"/>
    <cellStyle name="표준 9 8 5 2 2 3 3 3" xfId="48152"/>
    <cellStyle name="표준 9 8 5 2 2 3 3 2 2" xfId="48153"/>
    <cellStyle name="표준 9 8 5 2 2 3 4 2" xfId="48154"/>
    <cellStyle name="표준 9 8 5 2 2 3 5 2" xfId="48155"/>
    <cellStyle name="표준 9 8 5 2 2 4 2 2" xfId="48156"/>
    <cellStyle name="표준 9 8 5 2 2 5 3" xfId="48157"/>
    <cellStyle name="표준 9 8 5 2 2 5 2 2" xfId="48158"/>
    <cellStyle name="표준 9 8 5 2 2 6 2" xfId="48159"/>
    <cellStyle name="표준 9 8 5 2 2 7 2" xfId="48160"/>
    <cellStyle name="표준 9 8 5 2 3 2 2 2" xfId="48161"/>
    <cellStyle name="표준 9 8 5 2 3 3 3" xfId="48162"/>
    <cellStyle name="표준 9 8 5 2 3 3 2 2" xfId="48163"/>
    <cellStyle name="표준 9 8 5 2 3 4 2" xfId="48164"/>
    <cellStyle name="표준 9 8 5 2 3 5 2" xfId="48165"/>
    <cellStyle name="표준 9 8 5 2 4 2 2 2" xfId="48166"/>
    <cellStyle name="표준 9 8 5 2 4 3 3" xfId="48167"/>
    <cellStyle name="표준 9 8 5 2 4 3 2 2" xfId="48168"/>
    <cellStyle name="표준 9 8 5 2 4 4 2" xfId="48169"/>
    <cellStyle name="표준 9 8 5 2 4 5 2" xfId="48170"/>
    <cellStyle name="표준 9 8 5 2 5 2 2" xfId="48171"/>
    <cellStyle name="표준 9 8 5 2 6 3" xfId="48172"/>
    <cellStyle name="표준 9 8 5 2 6 2 2" xfId="48173"/>
    <cellStyle name="표준 9 8 5 2 7 2" xfId="48174"/>
    <cellStyle name="표준 9 8 5 2 8 2" xfId="48175"/>
    <cellStyle name="표준 9 8 5 3 2 2 2 2" xfId="48176"/>
    <cellStyle name="표준 9 8 5 3 2 3 3" xfId="48177"/>
    <cellStyle name="표준 9 8 5 3 2 3 2 2" xfId="48178"/>
    <cellStyle name="표준 9 8 5 3 2 4 2" xfId="48179"/>
    <cellStyle name="표준 9 8 5 3 2 5 2" xfId="48180"/>
    <cellStyle name="표준 9 8 5 3 3 2 2 2" xfId="48181"/>
    <cellStyle name="표준 9 8 5 3 3 3 3" xfId="48182"/>
    <cellStyle name="표준 9 8 5 3 3 3 2 2" xfId="48183"/>
    <cellStyle name="표준 9 8 5 3 3 4 2" xfId="48184"/>
    <cellStyle name="표준 9 8 5 3 3 5 2" xfId="48185"/>
    <cellStyle name="표준 9 8 5 3 4 2 2" xfId="48186"/>
    <cellStyle name="표준 9 8 5 3 5 3" xfId="48187"/>
    <cellStyle name="표준 9 8 5 3 5 2 2" xfId="48188"/>
    <cellStyle name="표준 9 8 5 3 6 2" xfId="48189"/>
    <cellStyle name="표준 9 8 5 3 7 2" xfId="48190"/>
    <cellStyle name="표준 9 8 5 4 2 2 2" xfId="48191"/>
    <cellStyle name="표준 9 8 5 4 3 3" xfId="48192"/>
    <cellStyle name="표준 9 8 5 4 3 2 2" xfId="48193"/>
    <cellStyle name="표준 9 8 5 4 4 2" xfId="48194"/>
    <cellStyle name="표준 9 8 5 4 5 2" xfId="48195"/>
    <cellStyle name="표준 9 8 5 5 2 2 2" xfId="48196"/>
    <cellStyle name="표준 9 8 5 5 3 3" xfId="48197"/>
    <cellStyle name="표준 9 8 5 5 3 2 2" xfId="48198"/>
    <cellStyle name="표준 9 8 5 5 4 2" xfId="48199"/>
    <cellStyle name="표준 9 8 5 5 5 2" xfId="48200"/>
    <cellStyle name="표준 9 8 5 6 2 2" xfId="48201"/>
    <cellStyle name="표준 9 8 5 7 3" xfId="48202"/>
    <cellStyle name="표준 9 8 5 7 2 2" xfId="48203"/>
    <cellStyle name="표준 9 8 5 8 2" xfId="48204"/>
    <cellStyle name="표준 9 8 5 9 2" xfId="48205"/>
    <cellStyle name="표준 9 8 6 2 2 2 2 2" xfId="48206"/>
    <cellStyle name="표준 9 8 6 2 2 3 3" xfId="48207"/>
    <cellStyle name="표준 9 8 6 2 2 3 2 2" xfId="48208"/>
    <cellStyle name="표준 9 8 6 2 2 4 2" xfId="48209"/>
    <cellStyle name="표준 9 8 6 2 2 5 2" xfId="48210"/>
    <cellStyle name="표준 9 8 6 2 3 2 2 2" xfId="48211"/>
    <cellStyle name="표준 9 8 6 2 3 3 3" xfId="48212"/>
    <cellStyle name="표준 9 8 6 2 3 3 2 2" xfId="48213"/>
    <cellStyle name="표준 9 8 6 2 3 4 2" xfId="48214"/>
    <cellStyle name="표준 9 8 6 2 3 5 2" xfId="48215"/>
    <cellStyle name="표준 9 8 6 2 4 2 2" xfId="48216"/>
    <cellStyle name="표준 9 8 6 2 5 3" xfId="48217"/>
    <cellStyle name="표준 9 8 6 2 5 2 2" xfId="48218"/>
    <cellStyle name="표준 9 8 6 2 6 2" xfId="48219"/>
    <cellStyle name="표준 9 8 6 2 7 2" xfId="48220"/>
    <cellStyle name="표준 9 8 6 3 2 2 2" xfId="48221"/>
    <cellStyle name="표준 9 8 6 3 3 3" xfId="48222"/>
    <cellStyle name="표준 9 8 6 3 3 2 2" xfId="48223"/>
    <cellStyle name="표준 9 8 6 3 4 2" xfId="48224"/>
    <cellStyle name="표준 9 8 6 3 5 2" xfId="48225"/>
    <cellStyle name="표준 9 8 6 4 2 2 2" xfId="48226"/>
    <cellStyle name="표준 9 8 6 4 3 3" xfId="48227"/>
    <cellStyle name="표준 9 8 6 4 3 2 2" xfId="48228"/>
    <cellStyle name="표준 9 8 6 4 4 2" xfId="48229"/>
    <cellStyle name="표준 9 8 6 4 5 2" xfId="48230"/>
    <cellStyle name="표준 9 8 6 5 2 2" xfId="48231"/>
    <cellStyle name="표준 9 8 6 6 3" xfId="48232"/>
    <cellStyle name="표준 9 8 6 6 2 2" xfId="48233"/>
    <cellStyle name="표준 9 8 6 7 2" xfId="48234"/>
    <cellStyle name="표준 9 8 6 8 2" xfId="48235"/>
    <cellStyle name="표준 9 8 7 2 2 2 2" xfId="48236"/>
    <cellStyle name="표준 9 8 7 2 3 3" xfId="48237"/>
    <cellStyle name="표준 9 8 7 2 3 2 2" xfId="48238"/>
    <cellStyle name="표준 9 8 7 2 4 2" xfId="48239"/>
    <cellStyle name="표준 9 8 7 2 5 2" xfId="48240"/>
    <cellStyle name="표준 9 8 7 3 2 2 2" xfId="48241"/>
    <cellStyle name="표준 9 8 7 3 3 3" xfId="48242"/>
    <cellStyle name="표준 9 8 7 3 3 2 2" xfId="48243"/>
    <cellStyle name="표준 9 8 7 3 4 2" xfId="48244"/>
    <cellStyle name="표준 9 8 7 3 5 2" xfId="48245"/>
    <cellStyle name="표준 9 8 7 4 2 2" xfId="48246"/>
    <cellStyle name="표준 9 8 7 5 3" xfId="48247"/>
    <cellStyle name="표준 9 8 7 5 2 2" xfId="48248"/>
    <cellStyle name="표준 9 8 7 6 2" xfId="48249"/>
    <cellStyle name="표준 9 8 7 7 2" xfId="48250"/>
    <cellStyle name="표준 9 8 8 2 2 2" xfId="48251"/>
    <cellStyle name="표준 9 8 8 3 3" xfId="48252"/>
    <cellStyle name="표준 9 8 8 3 2 2" xfId="48253"/>
    <cellStyle name="표준 9 8 8 4 2" xfId="48254"/>
    <cellStyle name="표준 9 8 8 5 2" xfId="48255"/>
    <cellStyle name="표준 9 8 9 2 2 2" xfId="48256"/>
    <cellStyle name="표준 9 8 9 3 3" xfId="48257"/>
    <cellStyle name="표준 9 8 9 3 2 2" xfId="48258"/>
    <cellStyle name="표준 9 8 9 4 2" xfId="48259"/>
    <cellStyle name="표준 9 8 9 5 2" xfId="48260"/>
    <cellStyle name="표준 9 9 10 3" xfId="48261"/>
    <cellStyle name="표준 9 9 10 2 2" xfId="48262"/>
    <cellStyle name="표준 9 9 11 2" xfId="48263"/>
    <cellStyle name="표준 9 9 12 2" xfId="48264"/>
    <cellStyle name="표준 9 9 2 10 2" xfId="48265"/>
    <cellStyle name="표준 9 9 2 2 2 2 2 2 2 2" xfId="48266"/>
    <cellStyle name="표준 9 9 2 2 2 2 2 3 3" xfId="48267"/>
    <cellStyle name="표준 9 9 2 2 2 2 2 3 2 2" xfId="48268"/>
    <cellStyle name="표준 9 9 2 2 2 2 2 4 2" xfId="48269"/>
    <cellStyle name="표준 9 9 2 2 2 2 2 5 2" xfId="48270"/>
    <cellStyle name="표준 9 9 2 2 2 2 3 2 2 2" xfId="48271"/>
    <cellStyle name="표준 9 9 2 2 2 2 3 3 3" xfId="48272"/>
    <cellStyle name="표준 9 9 2 2 2 2 3 3 2 2" xfId="48273"/>
    <cellStyle name="표준 9 9 2 2 2 2 3 4 2" xfId="48274"/>
    <cellStyle name="표준 9 9 2 2 2 2 3 5 2" xfId="48275"/>
    <cellStyle name="표준 9 9 2 2 2 2 4 2 2" xfId="48276"/>
    <cellStyle name="표준 9 9 2 2 2 2 5 3" xfId="48277"/>
    <cellStyle name="표준 9 9 2 2 2 2 5 2 2" xfId="48278"/>
    <cellStyle name="표준 9 9 2 2 2 2 6 2" xfId="48279"/>
    <cellStyle name="표준 9 9 2 2 2 2 7 2" xfId="48280"/>
    <cellStyle name="표준 9 9 2 2 2 3 2 2 2" xfId="48281"/>
    <cellStyle name="표준 9 9 2 2 2 3 3 3" xfId="48282"/>
    <cellStyle name="표준 9 9 2 2 2 3 3 2 2" xfId="48283"/>
    <cellStyle name="표준 9 9 2 2 2 3 4 2" xfId="48284"/>
    <cellStyle name="표준 9 9 2 2 2 3 5 2" xfId="48285"/>
    <cellStyle name="표준 9 9 2 2 2 4 2 2 2" xfId="48286"/>
    <cellStyle name="표준 9 9 2 2 2 4 3 3" xfId="48287"/>
    <cellStyle name="표준 9 9 2 2 2 4 3 2 2" xfId="48288"/>
    <cellStyle name="표준 9 9 2 2 2 4 4 2" xfId="48289"/>
    <cellStyle name="표준 9 9 2 2 2 4 5 2" xfId="48290"/>
    <cellStyle name="표준 9 9 2 2 2 5 2 2" xfId="48291"/>
    <cellStyle name="표준 9 9 2 2 2 6 3" xfId="48292"/>
    <cellStyle name="표준 9 9 2 2 2 6 2 2" xfId="48293"/>
    <cellStyle name="표준 9 9 2 2 2 7 2" xfId="48294"/>
    <cellStyle name="표준 9 9 2 2 2 8 2" xfId="48295"/>
    <cellStyle name="표준 9 9 2 2 3 2 2 2 2" xfId="48296"/>
    <cellStyle name="표준 9 9 2 2 3 2 3 3" xfId="48297"/>
    <cellStyle name="표준 9 9 2 2 3 2 3 2 2" xfId="48298"/>
    <cellStyle name="표준 9 9 2 2 3 2 4 2" xfId="48299"/>
    <cellStyle name="표준 9 9 2 2 3 2 5 2" xfId="48300"/>
    <cellStyle name="표준 9 9 2 2 3 3 2 2 2" xfId="48301"/>
    <cellStyle name="표준 9 9 2 2 3 3 3 3" xfId="48302"/>
    <cellStyle name="표준 9 9 2 2 3 3 3 2 2" xfId="48303"/>
    <cellStyle name="표준 9 9 2 2 3 3 4 2" xfId="48304"/>
    <cellStyle name="표준 9 9 2 2 3 3 5 2" xfId="48305"/>
    <cellStyle name="표준 9 9 2 2 3 4 2 2" xfId="48306"/>
    <cellStyle name="표준 9 9 2 2 3 5 3" xfId="48307"/>
    <cellStyle name="표준 9 9 2 2 3 5 2 2" xfId="48308"/>
    <cellStyle name="표준 9 9 2 2 3 6 2" xfId="48309"/>
    <cellStyle name="표준 9 9 2 2 3 7 2" xfId="48310"/>
    <cellStyle name="표준 9 9 2 2 4 2 2 2" xfId="48311"/>
    <cellStyle name="표준 9 9 2 2 4 3 3" xfId="48312"/>
    <cellStyle name="표준 9 9 2 2 4 3 2 2" xfId="48313"/>
    <cellStyle name="표준 9 9 2 2 4 4 2" xfId="48314"/>
    <cellStyle name="표준 9 9 2 2 4 5 2" xfId="48315"/>
    <cellStyle name="표준 9 9 2 2 5 2 2 2" xfId="48316"/>
    <cellStyle name="표준 9 9 2 2 5 3 3" xfId="48317"/>
    <cellStyle name="표준 9 9 2 2 5 3 2 2" xfId="48318"/>
    <cellStyle name="표준 9 9 2 2 5 4 2" xfId="48319"/>
    <cellStyle name="표준 9 9 2 2 5 5 2" xfId="48320"/>
    <cellStyle name="표준 9 9 2 2 6 2 2" xfId="48321"/>
    <cellStyle name="표준 9 9 2 2 7 3" xfId="48322"/>
    <cellStyle name="표준 9 9 2 2 7 2 2" xfId="48323"/>
    <cellStyle name="표준 9 9 2 2 8 2" xfId="48324"/>
    <cellStyle name="표준 9 9 2 2 9 2" xfId="48325"/>
    <cellStyle name="표준 9 9 2 3 2 2 2 2 2" xfId="48326"/>
    <cellStyle name="표준 9 9 2 3 2 2 3 3" xfId="48327"/>
    <cellStyle name="표준 9 9 2 3 2 2 3 2 2" xfId="48328"/>
    <cellStyle name="표준 9 9 2 3 2 2 4 2" xfId="48329"/>
    <cellStyle name="표준 9 9 2 3 2 2 5 2" xfId="48330"/>
    <cellStyle name="표준 9 9 2 3 2 3 2 2 2" xfId="48331"/>
    <cellStyle name="표준 9 9 2 3 2 3 3 3" xfId="48332"/>
    <cellStyle name="표준 9 9 2 3 2 3 3 2 2" xfId="48333"/>
    <cellStyle name="표준 9 9 2 3 2 3 4 2" xfId="48334"/>
    <cellStyle name="표준 9 9 2 3 2 3 5 2" xfId="48335"/>
    <cellStyle name="표준 9 9 2 3 2 4 2 2" xfId="48336"/>
    <cellStyle name="표준 9 9 2 3 2 5 3" xfId="48337"/>
    <cellStyle name="표준 9 9 2 3 2 5 2 2" xfId="48338"/>
    <cellStyle name="표준 9 9 2 3 2 6 2" xfId="48339"/>
    <cellStyle name="표준 9 9 2 3 2 7 2" xfId="48340"/>
    <cellStyle name="표준 9 9 2 3 3 2 2 2" xfId="48341"/>
    <cellStyle name="표준 9 9 2 3 3 3 3" xfId="48342"/>
    <cellStyle name="표준 9 9 2 3 3 3 2 2" xfId="48343"/>
    <cellStyle name="표준 9 9 2 3 3 4 2" xfId="48344"/>
    <cellStyle name="표준 9 9 2 3 3 5 2" xfId="48345"/>
    <cellStyle name="표준 9 9 2 3 4 2 2 2" xfId="48346"/>
    <cellStyle name="표준 9 9 2 3 4 3 3" xfId="48347"/>
    <cellStyle name="표준 9 9 2 3 4 3 2 2" xfId="48348"/>
    <cellStyle name="표준 9 9 2 3 4 4 2" xfId="48349"/>
    <cellStyle name="표준 9 9 2 3 4 5 2" xfId="48350"/>
    <cellStyle name="표준 9 9 2 3 5 2 2" xfId="48351"/>
    <cellStyle name="표준 9 9 2 3 6 3" xfId="48352"/>
    <cellStyle name="표준 9 9 2 3 6 2 2" xfId="48353"/>
    <cellStyle name="표준 9 9 2 3 7 2" xfId="48354"/>
    <cellStyle name="표준 9 9 2 3 8 2" xfId="48355"/>
    <cellStyle name="표준 9 9 2 4 2 2 2 2" xfId="48356"/>
    <cellStyle name="표준 9 9 2 4 2 3 3" xfId="48357"/>
    <cellStyle name="표준 9 9 2 4 2 3 2 2" xfId="48358"/>
    <cellStyle name="표준 9 9 2 4 2 4 2" xfId="48359"/>
    <cellStyle name="표준 9 9 2 4 2 5 2" xfId="48360"/>
    <cellStyle name="표준 9 9 2 4 3 2 2 2" xfId="48361"/>
    <cellStyle name="표준 9 9 2 4 3 3 3" xfId="48362"/>
    <cellStyle name="표준 9 9 2 4 3 3 2 2" xfId="48363"/>
    <cellStyle name="표준 9 9 2 4 3 4 2" xfId="48364"/>
    <cellStyle name="표준 9 9 2 4 3 5 2" xfId="48365"/>
    <cellStyle name="표준 9 9 2 4 4 2 2" xfId="48366"/>
    <cellStyle name="표준 9 9 2 4 5 3" xfId="48367"/>
    <cellStyle name="표준 9 9 2 4 5 2 2" xfId="48368"/>
    <cellStyle name="표준 9 9 2 4 6 2" xfId="48369"/>
    <cellStyle name="표준 9 9 2 4 7 2" xfId="48370"/>
    <cellStyle name="표준 9 9 2 5 2 2 2" xfId="48371"/>
    <cellStyle name="표준 9 9 2 5 3 3" xfId="48372"/>
    <cellStyle name="표준 9 9 2 5 3 2 2" xfId="48373"/>
    <cellStyle name="표준 9 9 2 5 4 2" xfId="48374"/>
    <cellStyle name="표준 9 9 2 5 5 2" xfId="48375"/>
    <cellStyle name="표준 9 9 2 6 2 2 2" xfId="48376"/>
    <cellStyle name="표준 9 9 2 6 3 3" xfId="48377"/>
    <cellStyle name="표준 9 9 2 6 3 2 2" xfId="48378"/>
    <cellStyle name="표준 9 9 2 6 4 2" xfId="48379"/>
    <cellStyle name="표준 9 9 2 6 5 2" xfId="48380"/>
    <cellStyle name="표준 9 9 2 7 2 2" xfId="48381"/>
    <cellStyle name="표준 9 9 2 8 3" xfId="48382"/>
    <cellStyle name="표준 9 9 2 8 2 2" xfId="48383"/>
    <cellStyle name="표준 9 9 2 9 2" xfId="48384"/>
    <cellStyle name="표준 9 9 3 10 2" xfId="48385"/>
    <cellStyle name="표준 9 9 3 2 2 2 2 2 2 2" xfId="48386"/>
    <cellStyle name="표준 9 9 3 2 2 2 2 3 3" xfId="48387"/>
    <cellStyle name="표준 9 9 3 2 2 2 2 3 2 2" xfId="48388"/>
    <cellStyle name="표준 9 9 3 2 2 2 2 4 2" xfId="48389"/>
    <cellStyle name="표준 9 9 3 2 2 2 2 5 2" xfId="48390"/>
    <cellStyle name="표준 9 9 3 2 2 2 3 2 2 2" xfId="48391"/>
    <cellStyle name="표준 9 9 3 2 2 2 3 3 3" xfId="48392"/>
    <cellStyle name="표준 9 9 3 2 2 2 3 3 2 2" xfId="48393"/>
    <cellStyle name="표준 9 9 3 2 2 2 3 4 2" xfId="48394"/>
    <cellStyle name="표준 9 9 3 2 2 2 3 5 2" xfId="48395"/>
    <cellStyle name="표준 9 9 3 2 2 2 4 2 2" xfId="48396"/>
    <cellStyle name="표준 9 9 3 2 2 2 5 3" xfId="48397"/>
    <cellStyle name="표준 9 9 3 2 2 2 5 2 2" xfId="48398"/>
    <cellStyle name="표준 9 9 3 2 2 2 6 2" xfId="48399"/>
    <cellStyle name="표준 9 9 3 2 2 2 7 2" xfId="48400"/>
    <cellStyle name="표준 9 9 3 2 2 3 2 2 2" xfId="48401"/>
    <cellStyle name="표준 9 9 3 2 2 3 3 3" xfId="48402"/>
    <cellStyle name="표준 9 9 3 2 2 3 3 2 2" xfId="48403"/>
    <cellStyle name="표준 9 9 3 2 2 3 4 2" xfId="48404"/>
    <cellStyle name="표준 9 9 3 2 2 3 5 2" xfId="48405"/>
    <cellStyle name="표준 9 9 3 2 2 4 2 2 2" xfId="48406"/>
    <cellStyle name="표준 9 9 3 2 2 4 3 3" xfId="48407"/>
    <cellStyle name="표준 9 9 3 2 2 4 3 2 2" xfId="48408"/>
    <cellStyle name="표준 9 9 3 2 2 4 4 2" xfId="48409"/>
    <cellStyle name="표준 9 9 3 2 2 4 5 2" xfId="48410"/>
    <cellStyle name="표준 9 9 3 2 2 5 2 2" xfId="48411"/>
    <cellStyle name="표준 9 9 3 2 2 6 3" xfId="48412"/>
    <cellStyle name="표준 9 9 3 2 2 6 2 2" xfId="48413"/>
    <cellStyle name="표준 9 9 3 2 2 7 2" xfId="48414"/>
    <cellStyle name="표준 9 9 3 2 2 8 2" xfId="48415"/>
    <cellStyle name="표준 9 9 3 2 3 2 2 2 2" xfId="48416"/>
    <cellStyle name="표준 9 9 3 2 3 2 3 3" xfId="48417"/>
    <cellStyle name="표준 9 9 3 2 3 2 3 2 2" xfId="48418"/>
    <cellStyle name="표준 9 9 3 2 3 2 4 2" xfId="48419"/>
    <cellStyle name="표준 9 9 3 2 3 2 5 2" xfId="48420"/>
    <cellStyle name="표준 9 9 3 2 3 3 2 2 2" xfId="48421"/>
    <cellStyle name="표준 9 9 3 2 3 3 3 3" xfId="48422"/>
    <cellStyle name="표준 9 9 3 2 3 3 3 2 2" xfId="48423"/>
    <cellStyle name="표준 9 9 3 2 3 3 4 2" xfId="48424"/>
    <cellStyle name="표준 9 9 3 2 3 3 5 2" xfId="48425"/>
    <cellStyle name="표준 9 9 3 2 3 4 2 2" xfId="48426"/>
    <cellStyle name="표준 9 9 3 2 3 5 3" xfId="48427"/>
    <cellStyle name="표준 9 9 3 2 3 5 2 2" xfId="48428"/>
    <cellStyle name="표준 9 9 3 2 3 6 2" xfId="48429"/>
    <cellStyle name="표준 9 9 3 2 3 7 2" xfId="48430"/>
    <cellStyle name="표준 9 9 3 2 4 2 2 2" xfId="48431"/>
    <cellStyle name="표준 9 9 3 2 4 3 3" xfId="48432"/>
    <cellStyle name="표준 9 9 3 2 4 3 2 2" xfId="48433"/>
    <cellStyle name="표준 9 9 3 2 4 4 2" xfId="48434"/>
    <cellStyle name="표준 9 9 3 2 4 5 2" xfId="48435"/>
    <cellStyle name="표준 9 9 3 2 5 2 2 2" xfId="48436"/>
    <cellStyle name="표준 9 9 3 2 5 3 3" xfId="48437"/>
    <cellStyle name="표준 9 9 3 2 5 3 2 2" xfId="48438"/>
    <cellStyle name="표준 9 9 3 2 5 4 2" xfId="48439"/>
    <cellStyle name="표준 9 9 3 2 5 5 2" xfId="48440"/>
    <cellStyle name="표준 9 9 3 2 6 2 2" xfId="48441"/>
    <cellStyle name="표준 9 9 3 2 7 3" xfId="48442"/>
    <cellStyle name="표준 9 9 3 2 7 2 2" xfId="48443"/>
    <cellStyle name="표준 9 9 3 2 8 2" xfId="48444"/>
    <cellStyle name="표준 9 9 3 2 9 2" xfId="48445"/>
    <cellStyle name="표준 9 9 3 3 2 2 2 2 2" xfId="48446"/>
    <cellStyle name="표준 9 9 3 3 2 2 3 3" xfId="48447"/>
    <cellStyle name="표준 9 9 3 3 2 2 3 2 2" xfId="48448"/>
    <cellStyle name="표준 9 9 3 3 2 2 4 2" xfId="48449"/>
    <cellStyle name="표준 9 9 3 3 2 2 5 2" xfId="48450"/>
    <cellStyle name="표준 9 9 3 3 2 3 2 2 2" xfId="48451"/>
    <cellStyle name="표준 9 9 3 3 2 3 3 3" xfId="48452"/>
    <cellStyle name="표준 9 9 3 3 2 3 3 2 2" xfId="48453"/>
    <cellStyle name="표준 9 9 3 3 2 3 4 2" xfId="48454"/>
    <cellStyle name="표준 9 9 3 3 2 3 5 2" xfId="48455"/>
    <cellStyle name="표준 9 9 3 3 2 4 2 2" xfId="48456"/>
    <cellStyle name="표준 9 9 3 3 2 5 3" xfId="48457"/>
    <cellStyle name="표준 9 9 3 3 2 5 2 2" xfId="48458"/>
    <cellStyle name="표준 9 9 3 3 2 6 2" xfId="48459"/>
    <cellStyle name="표준 9 9 3 3 2 7 2" xfId="48460"/>
    <cellStyle name="표준 9 9 3 3 3 2 2 2" xfId="48461"/>
    <cellStyle name="표준 9 9 3 3 3 3 3" xfId="48462"/>
    <cellStyle name="표준 9 9 3 3 3 3 2 2" xfId="48463"/>
    <cellStyle name="표준 9 9 3 3 3 4 2" xfId="48464"/>
    <cellStyle name="표준 9 9 3 3 3 5 2" xfId="48465"/>
    <cellStyle name="표준 9 9 3 3 4 2 2 2" xfId="48466"/>
    <cellStyle name="표준 9 9 3 3 4 3 3" xfId="48467"/>
    <cellStyle name="표준 9 9 3 3 4 3 2 2" xfId="48468"/>
    <cellStyle name="표준 9 9 3 3 4 4 2" xfId="48469"/>
    <cellStyle name="표준 9 9 3 3 4 5 2" xfId="48470"/>
    <cellStyle name="표준 9 9 3 3 5 2 2" xfId="48471"/>
    <cellStyle name="표준 9 9 3 3 6 3" xfId="48472"/>
    <cellStyle name="표준 9 9 3 3 6 2 2" xfId="48473"/>
    <cellStyle name="표준 9 9 3 3 7 2" xfId="48474"/>
    <cellStyle name="표준 9 9 3 3 8 2" xfId="48475"/>
    <cellStyle name="표준 9 9 3 4 2 2 2 2" xfId="48476"/>
    <cellStyle name="표준 9 9 3 4 2 3 3" xfId="48477"/>
    <cellStyle name="표준 9 9 3 4 2 3 2 2" xfId="48478"/>
    <cellStyle name="표준 9 9 3 4 2 4 2" xfId="48479"/>
    <cellStyle name="표준 9 9 3 4 2 5 2" xfId="48480"/>
    <cellStyle name="표준 9 9 3 4 3 2 2 2" xfId="48481"/>
    <cellStyle name="표준 9 9 3 4 3 3 3" xfId="48482"/>
    <cellStyle name="표준 9 9 3 4 3 3 2 2" xfId="48483"/>
    <cellStyle name="표준 9 9 3 4 3 4 2" xfId="48484"/>
    <cellStyle name="표준 9 9 3 4 3 5 2" xfId="48485"/>
    <cellStyle name="표준 9 9 3 4 4 2 2" xfId="48486"/>
    <cellStyle name="표준 9 9 3 4 5 3" xfId="48487"/>
    <cellStyle name="표준 9 9 3 4 5 2 2" xfId="48488"/>
    <cellStyle name="표준 9 9 3 4 6 2" xfId="48489"/>
    <cellStyle name="표준 9 9 3 4 7 2" xfId="48490"/>
    <cellStyle name="표준 9 9 3 5 2 2 2" xfId="48491"/>
    <cellStyle name="표준 9 9 3 5 3 3" xfId="48492"/>
    <cellStyle name="표준 9 9 3 5 3 2 2" xfId="48493"/>
    <cellStyle name="표준 9 9 3 5 4 2" xfId="48494"/>
    <cellStyle name="표준 9 9 3 5 5 2" xfId="48495"/>
    <cellStyle name="표준 9 9 3 6 2 2 2" xfId="48496"/>
    <cellStyle name="표준 9 9 3 6 3 3" xfId="48497"/>
    <cellStyle name="표준 9 9 3 6 3 2 2" xfId="48498"/>
    <cellStyle name="표준 9 9 3 6 4 2" xfId="48499"/>
    <cellStyle name="표준 9 9 3 6 5 2" xfId="48500"/>
    <cellStyle name="표준 9 9 3 7 2 2" xfId="48501"/>
    <cellStyle name="표준 9 9 3 8 3" xfId="48502"/>
    <cellStyle name="표준 9 9 3 8 2 2" xfId="48503"/>
    <cellStyle name="표준 9 9 3 9 2" xfId="48504"/>
    <cellStyle name="표준 9 9 4 2 2 2 2 2 2" xfId="48505"/>
    <cellStyle name="표준 9 9 4 2 2 2 3 3" xfId="48506"/>
    <cellStyle name="표준 9 9 4 2 2 2 3 2 2" xfId="48507"/>
    <cellStyle name="표준 9 9 4 2 2 2 4 2" xfId="48508"/>
    <cellStyle name="표준 9 9 4 2 2 2 5 2" xfId="48509"/>
    <cellStyle name="표준 9 9 4 2 2 3 2 2 2" xfId="48510"/>
    <cellStyle name="표준 9 9 4 2 2 3 3 3" xfId="48511"/>
    <cellStyle name="표준 9 9 4 2 2 3 3 2 2" xfId="48512"/>
    <cellStyle name="표준 9 9 4 2 2 3 4 2" xfId="48513"/>
    <cellStyle name="표준 9 9 4 2 2 3 5 2" xfId="48514"/>
    <cellStyle name="표준 9 9 4 2 2 4 2 2" xfId="48515"/>
    <cellStyle name="표준 9 9 4 2 2 5 3" xfId="48516"/>
    <cellStyle name="표준 9 9 4 2 2 5 2 2" xfId="48517"/>
    <cellStyle name="표준 9 9 4 2 2 6 2" xfId="48518"/>
    <cellStyle name="표준 9 9 4 2 2 7 2" xfId="48519"/>
    <cellStyle name="표준 9 9 4 2 3 2 2 2" xfId="48520"/>
    <cellStyle name="표준 9 9 4 2 3 3 3" xfId="48521"/>
    <cellStyle name="표준 9 9 4 2 3 3 2 2" xfId="48522"/>
    <cellStyle name="표준 9 9 4 2 3 4 2" xfId="48523"/>
    <cellStyle name="표준 9 9 4 2 3 5 2" xfId="48524"/>
    <cellStyle name="표준 9 9 4 2 4 2 2 2" xfId="48525"/>
    <cellStyle name="표준 9 9 4 2 4 3 3" xfId="48526"/>
    <cellStyle name="표준 9 9 4 2 4 3 2 2" xfId="48527"/>
    <cellStyle name="표준 9 9 4 2 4 4 2" xfId="48528"/>
    <cellStyle name="표준 9 9 4 2 4 5 2" xfId="48529"/>
    <cellStyle name="표준 9 9 4 2 5 2 2" xfId="48530"/>
    <cellStyle name="표준 9 9 4 2 6 3" xfId="48531"/>
    <cellStyle name="표준 9 9 4 2 6 2 2" xfId="48532"/>
    <cellStyle name="표준 9 9 4 2 7 2" xfId="48533"/>
    <cellStyle name="표준 9 9 4 2 8 2" xfId="48534"/>
    <cellStyle name="표준 9 9 4 3 2 2 2 2" xfId="48535"/>
    <cellStyle name="표준 9 9 4 3 2 3 3" xfId="48536"/>
    <cellStyle name="표준 9 9 4 3 2 3 2 2" xfId="48537"/>
    <cellStyle name="표준 9 9 4 3 2 4 2" xfId="48538"/>
    <cellStyle name="표준 9 9 4 3 2 5 2" xfId="48539"/>
    <cellStyle name="표준 9 9 4 3 3 2 2 2" xfId="48540"/>
    <cellStyle name="표준 9 9 4 3 3 3 3" xfId="48541"/>
    <cellStyle name="표준 9 9 4 3 3 3 2 2" xfId="48542"/>
    <cellStyle name="표준 9 9 4 3 3 4 2" xfId="48543"/>
    <cellStyle name="표준 9 9 4 3 3 5 2" xfId="48544"/>
    <cellStyle name="표준 9 9 4 3 4 2 2" xfId="48545"/>
    <cellStyle name="표준 9 9 4 3 5 3" xfId="48546"/>
    <cellStyle name="표준 9 9 4 3 5 2 2" xfId="48547"/>
    <cellStyle name="표준 9 9 4 3 6 2" xfId="48548"/>
    <cellStyle name="표준 9 9 4 3 7 2" xfId="48549"/>
    <cellStyle name="표준 9 9 4 4 2 2 2" xfId="48550"/>
    <cellStyle name="표준 9 9 4 4 3 3" xfId="48551"/>
    <cellStyle name="표준 9 9 4 4 3 2 2" xfId="48552"/>
    <cellStyle name="표준 9 9 4 4 4 2" xfId="48553"/>
    <cellStyle name="표준 9 9 4 4 5 2" xfId="48554"/>
    <cellStyle name="표준 9 9 4 5 2 2 2" xfId="48555"/>
    <cellStyle name="표준 9 9 4 5 3 3" xfId="48556"/>
    <cellStyle name="표준 9 9 4 5 3 2 2" xfId="48557"/>
    <cellStyle name="표준 9 9 4 5 4 2" xfId="48558"/>
    <cellStyle name="표준 9 9 4 5 5 2" xfId="48559"/>
    <cellStyle name="표준 9 9 4 6 2 2" xfId="48560"/>
    <cellStyle name="표준 9 9 4 7 3" xfId="48561"/>
    <cellStyle name="표준 9 9 4 7 2 2" xfId="48562"/>
    <cellStyle name="표준 9 9 4 8 2" xfId="48563"/>
    <cellStyle name="표준 9 9 4 9 2" xfId="48564"/>
    <cellStyle name="표준 9 9 5 2 2 2 2 2" xfId="48565"/>
    <cellStyle name="표준 9 9 5 2 2 3 3" xfId="48566"/>
    <cellStyle name="표준 9 9 5 2 2 3 2 2" xfId="48567"/>
    <cellStyle name="표준 9 9 5 2 2 4 2" xfId="48568"/>
    <cellStyle name="표준 9 9 5 2 2 5 2" xfId="48569"/>
    <cellStyle name="표준 9 9 5 2 3 2 2 2" xfId="48570"/>
    <cellStyle name="표준 9 9 5 2 3 3 3" xfId="48571"/>
    <cellStyle name="표준 9 9 5 2 3 3 2 2" xfId="48572"/>
    <cellStyle name="표준 9 9 5 2 3 4 2" xfId="48573"/>
    <cellStyle name="표준 9 9 5 2 3 5 2" xfId="48574"/>
    <cellStyle name="표준 9 9 5 2 4 2 2" xfId="48575"/>
    <cellStyle name="표준 9 9 5 2 5 3" xfId="48576"/>
    <cellStyle name="표준 9 9 5 2 5 2 2" xfId="48577"/>
    <cellStyle name="표준 9 9 5 2 6 2" xfId="48578"/>
    <cellStyle name="표준 9 9 5 2 7 2" xfId="48579"/>
    <cellStyle name="표준 9 9 5 3 2 2 2" xfId="48580"/>
    <cellStyle name="표준 9 9 5 3 3 3" xfId="48581"/>
    <cellStyle name="표준 9 9 5 3 3 2 2" xfId="48582"/>
    <cellStyle name="표준 9 9 5 3 4 2" xfId="48583"/>
    <cellStyle name="표준 9 9 5 3 5 2" xfId="48584"/>
    <cellStyle name="표준 9 9 5 4 2 2 2" xfId="48585"/>
    <cellStyle name="표준 9 9 5 4 3 3" xfId="48586"/>
    <cellStyle name="표준 9 9 5 4 3 2 2" xfId="48587"/>
    <cellStyle name="표준 9 9 5 4 4 2" xfId="48588"/>
    <cellStyle name="표준 9 9 5 4 5 2" xfId="48589"/>
    <cellStyle name="표준 9 9 5 5 2 2" xfId="48590"/>
    <cellStyle name="표준 9 9 5 6 3" xfId="48591"/>
    <cellStyle name="표준 9 9 5 6 2 2" xfId="48592"/>
    <cellStyle name="표준 9 9 5 7 2" xfId="48593"/>
    <cellStyle name="표준 9 9 5 8 2" xfId="48594"/>
    <cellStyle name="표준 9 9 6 2 2 2 2" xfId="48595"/>
    <cellStyle name="표준 9 9 6 2 3 3" xfId="48596"/>
    <cellStyle name="표준 9 9 6 2 3 2 2" xfId="48597"/>
    <cellStyle name="표준 9 9 6 2 4 2" xfId="48598"/>
    <cellStyle name="표준 9 9 6 2 5 2" xfId="48599"/>
    <cellStyle name="표준 9 9 6 3 2 2 2" xfId="48600"/>
    <cellStyle name="표준 9 9 6 3 3 3" xfId="48601"/>
    <cellStyle name="표준 9 9 6 3 3 2 2" xfId="48602"/>
    <cellStyle name="표준 9 9 6 3 4 2" xfId="48603"/>
    <cellStyle name="표준 9 9 6 3 5 2" xfId="48604"/>
    <cellStyle name="표준 9 9 6 4 2 2" xfId="48605"/>
    <cellStyle name="표준 9 9 6 5 3" xfId="48606"/>
    <cellStyle name="표준 9 9 6 5 2 2" xfId="48607"/>
    <cellStyle name="표준 9 9 6 6 2" xfId="48608"/>
    <cellStyle name="표준 9 9 6 7 2" xfId="48609"/>
    <cellStyle name="표준 9 9 7 2 2 2" xfId="48610"/>
    <cellStyle name="표준 9 9 7 3 3" xfId="48611"/>
    <cellStyle name="표준 9 9 7 3 2 2" xfId="48612"/>
    <cellStyle name="표준 9 9 7 4 2" xfId="48613"/>
    <cellStyle name="표준 9 9 7 5 2" xfId="48614"/>
    <cellStyle name="표준 9 9 8 2 2 2" xfId="48615"/>
    <cellStyle name="표준 9 9 8 3 3" xfId="48616"/>
    <cellStyle name="표준 9 9 8 3 2 2" xfId="48617"/>
    <cellStyle name="표준 9 9 8 4 2" xfId="48618"/>
    <cellStyle name="표준 9 9 8 5 2" xfId="48619"/>
    <cellStyle name="표준 9 9 9 2 2" xfId="48620"/>
    <cellStyle name="표준 56 2" xfId="48621"/>
    <cellStyle name="표준 57 2" xfId="48622"/>
    <cellStyle name="표준 58 2" xfId="48623"/>
    <cellStyle name="표준 64" xfId="48624"/>
    <cellStyle name="하이퍼링크" xfId="48625" builtinId="8" hidden="1"/>
    <cellStyle name="열어 본 하이퍼링크" xfId="48626" builtinId="9" hidden="1"/>
    <cellStyle name="표준 72" xfId="48627"/>
  </cellStyles>
  <dxfs count="2252">
    <dxf>
      <font>
        <b val="1"/>
        <color rgb="FFFFC000"/>
      </font>
    </dxf>
    <dxf>
      <font>
        <i val="1"/>
        <color theme="0" tint="-0.499954222235786"/>
      </font>
    </dxf>
    <dxf>
      <font>
        <i val="1"/>
        <color theme="0" tint="-0.499954222235786"/>
      </font>
    </dxf>
    <dxf>
      <font>
        <b val="1"/>
        <color rgb="FFFFC000"/>
      </font>
    </dxf>
    <dxf>
      <font>
        <b val="1"/>
        <color rgb="FFFF0000"/>
      </font>
    </dxf>
    <dxf>
      <font>
        <b val="1"/>
        <color rgb="FFFFC000"/>
      </font>
    </dxf>
    <dxf>
      <font>
        <b val="1"/>
        <color rgb="FFFF0000"/>
      </font>
    </dxf>
    <dxf>
      <font>
        <b val="1"/>
        <color rgb="FF0070C0"/>
      </font>
    </dxf>
    <dxf>
      <font>
        <i val="1"/>
        <color theme="0" tint="-0.499954222235786"/>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i val="1"/>
        <color theme="0" tint="-0.499954222235786"/>
      </font>
    </dxf>
    <dxf>
      <font>
        <b val="1"/>
        <color rgb="FFFFC000"/>
      </font>
    </dxf>
    <dxf>
      <font>
        <b val="1"/>
        <color rgb="FFFF0000"/>
      </font>
    </dxf>
    <dxf>
      <font>
        <b val="1"/>
        <color rgb="FF0070C0"/>
      </font>
    </dxf>
    <dxf>
      <font>
        <b val="1"/>
        <color rgb="FF0070C0"/>
      </font>
    </dxf>
    <dxf>
      <font>
        <b val="1"/>
        <color rgb="FFFF0000"/>
      </font>
    </dxf>
    <dxf>
      <font>
        <b val="1"/>
        <color rgb="FFFFC000"/>
      </font>
    </dxf>
    <dxf>
      <fill>
        <patternFill>
          <bgColor rgb="FFFFC000"/>
        </patternFill>
      </fill>
    </dxf>
    <dxf>
      <font>
        <i val="1"/>
        <color theme="0" tint="-0.499954222235786"/>
      </font>
    </dxf>
    <dxf>
      <font>
        <b val="1"/>
        <color rgb="FFFFC000"/>
      </font>
    </dxf>
    <dxf>
      <font>
        <b val="1"/>
        <color rgb="FFFF0000"/>
      </font>
    </dxf>
    <dxf>
      <font>
        <b val="1"/>
        <color rgb="FF0070C0"/>
      </font>
    </dxf>
    <dxf>
      <font>
        <b val="1"/>
        <color rgb="FFFFC000"/>
      </font>
    </dxf>
    <dxf>
      <font>
        <b val="1"/>
        <color rgb="FFFF0000"/>
      </font>
    </dxf>
    <dxf>
      <font>
        <i val="1"/>
        <color theme="0" tint="-0.499954222235786"/>
      </font>
    </dxf>
    <dxf>
      <font>
        <b val="1"/>
        <color rgb="FFFFC00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0070C0"/>
      </font>
    </dxf>
    <dxf>
      <font>
        <b val="1"/>
        <color rgb="FF0070C0"/>
      </font>
    </dxf>
    <dxf>
      <font>
        <b val="1"/>
        <color rgb="FFFFC000"/>
      </font>
    </dxf>
    <dxf>
      <font>
        <b val="1"/>
        <color rgb="FFFF000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FFC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i val="1"/>
        <color theme="0" tint="-0.499954222235786"/>
      </font>
    </dxf>
    <dxf>
      <font>
        <b val="1"/>
        <color rgb="FF0070C0"/>
      </font>
    </dxf>
    <dxf>
      <font>
        <b val="1"/>
        <color rgb="FFFF0000"/>
      </font>
    </dxf>
    <dxf>
      <font>
        <b val="1"/>
        <color rgb="FFFFC000"/>
      </font>
    </dxf>
    <dxf>
      <font>
        <b val="1"/>
        <color rgb="FF0070C0"/>
      </font>
    </dxf>
    <dxf>
      <font>
        <b val="1"/>
        <color rgb="FFFF0000"/>
      </font>
    </dxf>
    <dxf>
      <font>
        <b val="1"/>
        <color rgb="FFFFC000"/>
      </font>
    </dxf>
    <dxf>
      <font>
        <i val="1"/>
        <color theme="0" tint="-0.499954222235786"/>
      </font>
    </dxf>
    <dxf>
      <fill>
        <patternFill>
          <bgColor rgb="FFFFC000"/>
        </patternFill>
      </fill>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0070C0"/>
      </font>
    </dxf>
    <dxf>
      <font>
        <b val="1"/>
        <color rgb="FF0070C0"/>
      </font>
    </dxf>
    <dxf>
      <font>
        <b val="1"/>
        <color rgb="FFFF0000"/>
      </font>
    </dxf>
    <dxf>
      <font>
        <b val="1"/>
        <color rgb="FFFF0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FF0000"/>
      </font>
    </dxf>
    <dxf>
      <font>
        <b val="1"/>
        <color rgb="FFFFC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C000"/>
      </font>
    </dxf>
    <dxf>
      <font>
        <b val="1"/>
        <color rgb="FFFF0000"/>
      </font>
    </dxf>
    <dxf>
      <font>
        <b val="1"/>
        <color rgb="FFFF0000"/>
      </font>
    </dxf>
    <dxf>
      <font>
        <b val="1"/>
        <color rgb="FFFFC000"/>
      </font>
    </dxf>
    <dxf>
      <font>
        <b val="1"/>
        <color rgb="FF0070C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C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i val="1"/>
        <color theme="0" tint="-0.499954222235786"/>
      </font>
    </dxf>
    <dxf>
      <font>
        <b val="1"/>
        <color rgb="FF0070C0"/>
      </font>
    </dxf>
    <dxf>
      <font>
        <b val="1"/>
        <color rgb="FFFF0000"/>
      </font>
    </dxf>
    <dxf>
      <font>
        <b val="1"/>
        <color rgb="FFFFC000"/>
      </font>
    </dxf>
    <dxf>
      <font>
        <b val="1"/>
        <color rgb="FF0070C0"/>
      </font>
    </dxf>
    <dxf>
      <font>
        <b val="1"/>
        <color rgb="FFFF0000"/>
      </font>
    </dxf>
    <dxf>
      <font>
        <b val="1"/>
        <color rgb="FFFFC000"/>
      </font>
    </dxf>
    <dxf>
      <font>
        <i val="1"/>
        <color theme="0" tint="-0.499954222235786"/>
      </font>
    </dxf>
    <dxf>
      <fill>
        <patternFill>
          <bgColor rgb="FFFFC000"/>
        </patternFill>
      </fill>
    </dxf>
    <dxf>
      <font>
        <b val="1"/>
        <color rgb="FFFFC000"/>
      </font>
    </dxf>
    <dxf>
      <font>
        <b val="1"/>
        <color rgb="FFFF0000"/>
      </font>
    </dxf>
    <dxf>
      <font>
        <b val="1"/>
        <color rgb="FFFFC000"/>
      </font>
    </dxf>
    <dxf>
      <font>
        <b val="1"/>
        <color rgb="FFFF0000"/>
      </font>
    </dxf>
    <dxf>
      <font>
        <b val="1"/>
        <color rgb="FF0070C0"/>
      </font>
    </dxf>
    <dxf>
      <font>
        <i val="1"/>
        <color theme="0" tint="-0.499954222235786"/>
      </font>
    </dxf>
    <dxf>
      <font>
        <b val="1"/>
        <color rgb="FF0070C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FF0000"/>
      </font>
    </dxf>
    <dxf>
      <font>
        <b val="1"/>
        <color rgb="FFFFC000"/>
      </font>
    </dxf>
    <dxf>
      <font>
        <b val="1"/>
        <color rgb="FF0070C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i val="1"/>
        <color theme="0" tint="-0.499954222235786"/>
      </font>
    </dxf>
    <dxf>
      <font>
        <b val="1"/>
        <color rgb="FFFFC000"/>
      </font>
    </dxf>
    <dxf>
      <font>
        <b val="1"/>
        <color rgb="FFFF0000"/>
      </font>
    </dxf>
    <dxf>
      <font>
        <b val="1"/>
        <color rgb="FF0070C0"/>
      </font>
    </dxf>
    <dxf>
      <font>
        <b val="1"/>
        <color rgb="FFFF0000"/>
      </font>
    </dxf>
    <dxf>
      <font>
        <b val="1"/>
        <color rgb="FF0070C0"/>
      </font>
    </dxf>
    <dxf>
      <font>
        <b val="1"/>
        <color rgb="FFFFC000"/>
      </font>
    </dxf>
    <dxf>
      <font>
        <i val="1"/>
        <color theme="0" tint="-0.499954222235786"/>
      </font>
    </dxf>
    <dxf>
      <fill>
        <patternFill>
          <bgColor rgb="FFFFC000"/>
        </patternFill>
      </fill>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0070C0"/>
      </font>
    </dxf>
    <dxf>
      <font>
        <b val="1"/>
        <color rgb="FF0070C0"/>
      </font>
    </dxf>
    <dxf>
      <font>
        <b val="1"/>
        <color rgb="FFFF000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FFC000"/>
      </font>
    </dxf>
    <dxf>
      <font>
        <b val="1"/>
        <color rgb="FFFF0000"/>
      </font>
    </dxf>
    <dxf>
      <font>
        <b val="1"/>
        <color rgb="FFFF0000"/>
      </font>
    </dxf>
    <dxf>
      <font>
        <b val="1"/>
        <color rgb="FF0070C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FFC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i val="1"/>
        <color theme="0" tint="-0.499954222235786"/>
      </font>
    </dxf>
    <dxf>
      <font>
        <b val="1"/>
        <color rgb="FFFFC000"/>
      </font>
    </dxf>
    <dxf>
      <font>
        <b val="1"/>
        <color rgb="FFFF0000"/>
      </font>
    </dxf>
    <dxf>
      <font>
        <b val="1"/>
        <color rgb="FF0070C0"/>
      </font>
    </dxf>
    <dxf>
      <font>
        <b val="1"/>
        <color rgb="FFFF0000"/>
      </font>
    </dxf>
    <dxf>
      <font>
        <b val="1"/>
        <color rgb="FF0070C0"/>
      </font>
    </dxf>
    <dxf>
      <font>
        <b val="1"/>
        <color rgb="FFFFC000"/>
      </font>
    </dxf>
    <dxf>
      <fill>
        <patternFill>
          <bgColor rgb="FFFFC000"/>
        </patternFill>
      </fill>
    </dxf>
    <dxf>
      <font>
        <i val="1"/>
        <color theme="0" tint="-0.499954222235786"/>
      </font>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ont>
        <b val="1"/>
        <color rgb="FFFF0000"/>
      </font>
    </dxf>
    <dxf>
      <font>
        <b val="1"/>
        <color rgb="FFFF0000"/>
      </font>
    </dxf>
    <dxf>
      <font>
        <b val="1"/>
        <color rgb="FF0070C0"/>
      </font>
    </dxf>
    <dxf>
      <font>
        <b val="1"/>
        <color rgb="FF0070C0"/>
      </font>
    </dxf>
    <dxf>
      <font>
        <b val="1"/>
        <color rgb="FFFF000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FFC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i val="1"/>
        <color theme="0" tint="-0.499954222235786"/>
      </font>
    </dxf>
    <dxf>
      <font>
        <b val="1"/>
        <color rgb="FFFFC000"/>
      </font>
    </dxf>
    <dxf>
      <font>
        <b val="1"/>
        <color rgb="FF0070C0"/>
      </font>
    </dxf>
    <dxf>
      <font>
        <b val="1"/>
        <color rgb="FFFF0000"/>
      </font>
    </dxf>
    <dxf>
      <font>
        <b val="1"/>
        <color rgb="FF0070C0"/>
      </font>
    </dxf>
    <dxf>
      <font>
        <b val="1"/>
        <color rgb="FFFF0000"/>
      </font>
    </dxf>
    <dxf>
      <font>
        <b val="1"/>
        <color rgb="FFFFC000"/>
      </font>
    </dxf>
    <dxf>
      <font>
        <i val="1"/>
        <color theme="0" tint="-0.499954222235786"/>
      </font>
    </dxf>
    <dxf>
      <fill>
        <patternFill>
          <bgColor rgb="FFFFC000"/>
        </patternFill>
      </fill>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ont>
        <b val="1"/>
        <color rgb="FFFF000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0070C0"/>
      </font>
    </dxf>
    <dxf>
      <font>
        <b val="1"/>
        <color rgb="FFFF0000"/>
      </font>
    </dxf>
    <dxf>
      <font>
        <b val="1"/>
        <color rgb="FFFF0000"/>
      </font>
    </dxf>
    <dxf>
      <font>
        <b val="1"/>
        <color rgb="FFFF0000"/>
      </font>
    </dxf>
    <dxf>
      <font>
        <b val="1"/>
        <color rgb="FFFFC000"/>
      </font>
    </dxf>
    <dxf>
      <font>
        <b val="1"/>
        <color rgb="FF0070C0"/>
      </font>
    </dxf>
    <dxf>
      <font>
        <b val="1"/>
        <color rgb="FF0070C0"/>
      </font>
    </dxf>
    <dxf>
      <font>
        <b val="1"/>
        <color rgb="FFFF0000"/>
      </font>
    </dxf>
    <dxf>
      <font>
        <b val="1"/>
        <color rgb="FFFF0000"/>
      </font>
    </dxf>
    <dxf>
      <font>
        <b val="1"/>
        <color rgb="FFFFC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C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i val="1"/>
        <color theme="0" tint="-0.499954222235786"/>
      </font>
    </dxf>
    <dxf>
      <font>
        <b val="1"/>
        <color rgb="FFFFC000"/>
      </font>
    </dxf>
    <dxf>
      <font>
        <b val="1"/>
        <color rgb="FFFF0000"/>
      </font>
    </dxf>
    <dxf>
      <font>
        <b val="1"/>
        <color rgb="FF0070C0"/>
      </font>
    </dxf>
    <dxf>
      <font>
        <b val="1"/>
        <color rgb="FFFF0000"/>
      </font>
    </dxf>
    <dxf>
      <font>
        <b val="1"/>
        <color rgb="FF0070C0"/>
      </font>
    </dxf>
    <dxf>
      <font>
        <b val="1"/>
        <color rgb="FFFFC000"/>
      </font>
    </dxf>
    <dxf>
      <fill>
        <patternFill>
          <bgColor rgb="FFFFC000"/>
        </patternFill>
      </fill>
    </dxf>
    <dxf>
      <font>
        <i val="1"/>
        <color theme="0" tint="-0.499954222235786"/>
      </font>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0070C0"/>
      </font>
    </dxf>
    <dxf>
      <font>
        <b val="1"/>
        <color rgb="FFFF000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FFC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FF0000"/>
      </font>
    </dxf>
    <dxf>
      <font>
        <b val="1"/>
        <color rgb="FF0070C0"/>
      </font>
    </dxf>
    <dxf>
      <font>
        <b val="1"/>
        <color rgb="FF0070C0"/>
      </font>
    </dxf>
    <dxf>
      <font>
        <b val="1"/>
        <color rgb="FFFF0000"/>
      </font>
    </dxf>
    <dxf>
      <font>
        <b val="1"/>
        <color rgb="FFFFC000"/>
      </font>
    </dxf>
    <dxf>
      <font>
        <b val="1"/>
        <color rgb="FFFFC000"/>
      </font>
    </dxf>
    <dxf>
      <font>
        <b val="1"/>
        <color rgb="FF0070C0"/>
      </font>
    </dxf>
    <dxf>
      <font>
        <b val="1"/>
        <color rgb="FFFF0000"/>
      </font>
    </dxf>
    <dxf>
      <font>
        <i val="1"/>
        <color theme="0" tint="-0.499954222235786"/>
      </font>
    </dxf>
    <dxf>
      <font>
        <b val="1"/>
        <color rgb="FF0070C0"/>
      </font>
    </dxf>
    <dxf>
      <font>
        <b val="1"/>
        <color rgb="FFFF0000"/>
      </font>
    </dxf>
    <dxf>
      <font>
        <b val="1"/>
        <color rgb="FFFFC000"/>
      </font>
    </dxf>
    <dxf>
      <font>
        <b val="1"/>
        <color rgb="FF0070C0"/>
      </font>
    </dxf>
    <dxf>
      <font>
        <b val="1"/>
        <color rgb="FFFF0000"/>
      </font>
    </dxf>
    <dxf>
      <font>
        <b val="1"/>
        <color rgb="FFFFC000"/>
      </font>
    </dxf>
    <dxf>
      <fill>
        <patternFill>
          <bgColor rgb="FFFFC000"/>
        </patternFill>
      </fill>
    </dxf>
    <dxf>
      <font>
        <i val="1"/>
        <color theme="0" tint="-0.499954222235786"/>
      </font>
    </dxf>
    <dxf>
      <font>
        <b val="1"/>
        <color rgb="FFFFC000"/>
      </font>
    </dxf>
    <dxf>
      <font>
        <i val="1"/>
        <color theme="0" tint="-0.499954222235786"/>
      </font>
    </dxf>
    <dxf>
      <font>
        <b val="1"/>
        <color rgb="FFFF0000"/>
      </font>
    </dxf>
    <dxf>
      <font>
        <b val="1"/>
        <color rgb="FFFF0000"/>
      </font>
    </dxf>
    <dxf>
      <font>
        <b val="1"/>
        <color rgb="FF0070C0"/>
      </font>
    </dxf>
    <dxf>
      <font>
        <b val="1"/>
        <color rgb="FFFFC000"/>
      </font>
    </dxf>
    <dxf>
      <font>
        <i val="1"/>
        <color theme="0" tint="-0.499954222235786"/>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C00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0070C0"/>
      </font>
    </dxf>
    <dxf>
      <font>
        <b val="1"/>
        <color rgb="FFFF0000"/>
      </font>
    </dxf>
    <dxf>
      <font>
        <b val="1"/>
        <color rgb="FFFF0000"/>
      </font>
    </dxf>
    <dxf>
      <font>
        <b val="1"/>
        <color rgb="FF0070C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C000"/>
      </font>
    </dxf>
    <dxf>
      <font>
        <b val="1"/>
        <color rgb="FFFF0000"/>
      </font>
    </dxf>
    <dxf>
      <font>
        <i val="1"/>
        <color theme="0" tint="-0.499954222235786"/>
      </font>
    </dxf>
    <dxf>
      <font>
        <b val="1"/>
        <color rgb="FF0070C0"/>
      </font>
    </dxf>
    <dxf>
      <font>
        <b val="1"/>
        <color rgb="FFFF0000"/>
      </font>
    </dxf>
    <dxf>
      <font>
        <b val="1"/>
        <color rgb="FFFFC000"/>
      </font>
    </dxf>
    <dxf>
      <font>
        <b val="1"/>
        <color rgb="FF0070C0"/>
      </font>
    </dxf>
    <dxf>
      <font>
        <b val="1"/>
        <color rgb="FFFF0000"/>
      </font>
    </dxf>
    <dxf>
      <font>
        <i val="1"/>
        <color theme="0" tint="-0.499954222235786"/>
      </font>
    </dxf>
    <dxf>
      <font>
        <b val="1"/>
        <color rgb="FFFFC000"/>
      </font>
    </dxf>
    <dxf>
      <fill>
        <patternFill>
          <bgColor rgb="FFFFC000"/>
        </patternFill>
      </fill>
    </dxf>
    <dxf>
      <font>
        <b val="1"/>
        <color rgb="FFFFC000"/>
      </font>
    </dxf>
    <dxf>
      <font>
        <b val="1"/>
        <color rgb="FFFF0000"/>
      </font>
    </dxf>
    <dxf>
      <font>
        <b val="1"/>
        <color rgb="FF0070C0"/>
      </font>
    </dxf>
    <dxf>
      <font>
        <b val="1"/>
        <color rgb="FFFFC000"/>
      </font>
    </dxf>
    <dxf>
      <font>
        <b val="1"/>
        <color rgb="FFFF0000"/>
      </font>
    </dxf>
    <dxf>
      <font>
        <i val="1"/>
        <color theme="0" tint="-0.499954222235786"/>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FFC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FF0000"/>
      </font>
    </dxf>
    <dxf>
      <font>
        <i val="1"/>
        <color theme="0" tint="-0.499954222235786"/>
      </font>
    </dxf>
    <dxf>
      <font>
        <b val="1"/>
        <color rgb="FFFF0000"/>
      </font>
    </dxf>
    <dxf>
      <font>
        <b val="1"/>
        <color rgb="FFFFC000"/>
      </font>
    </dxf>
    <dxf>
      <font>
        <b val="1"/>
        <color rgb="FF0070C0"/>
      </font>
    </dxf>
    <dxf>
      <font>
        <b val="1"/>
        <color rgb="FFFF0000"/>
      </font>
    </dxf>
    <dxf>
      <font>
        <b val="1"/>
        <color rgb="FF0070C0"/>
      </font>
    </dxf>
    <dxf>
      <font>
        <b val="1"/>
        <color rgb="FFFFC000"/>
      </font>
    </dxf>
    <dxf>
      <fill>
        <patternFill>
          <bgColor rgb="FFFFC000"/>
        </patternFill>
      </fill>
    </dxf>
    <dxf>
      <font>
        <i val="1"/>
        <color theme="0" tint="-0.499954222235786"/>
      </font>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i val="1"/>
        <color theme="0" tint="-0.499954222235786"/>
      </font>
    </dxf>
    <dxf>
      <font>
        <b val="1"/>
        <color rgb="FFFF0000"/>
      </font>
    </dxf>
    <dxf>
      <font>
        <b val="1"/>
        <color rgb="FFFFC000"/>
      </font>
    </dxf>
    <dxf>
      <font>
        <b val="1"/>
        <color rgb="FF0070C0"/>
      </font>
    </dxf>
    <dxf>
      <font>
        <b val="1"/>
        <color rgb="FF0070C0"/>
      </font>
    </dxf>
    <dxf>
      <font>
        <b val="1"/>
        <color rgb="FFFF0000"/>
      </font>
    </dxf>
    <dxf>
      <font>
        <b val="1"/>
        <color rgb="FFFFC000"/>
      </font>
    </dxf>
    <dxf>
      <fill>
        <patternFill>
          <bgColor rgb="FFFFC000"/>
        </patternFill>
      </fill>
    </dxf>
    <dxf>
      <font>
        <i val="1"/>
        <color theme="0" tint="-0.499954222235786"/>
      </font>
    </dxf>
    <dxf>
      <font>
        <b val="1"/>
        <color rgb="FFFFC000"/>
      </font>
    </dxf>
    <dxf>
      <font>
        <b val="1"/>
        <color rgb="FFFF0000"/>
      </font>
    </dxf>
    <dxf>
      <font>
        <b val="1"/>
        <color rgb="FFFF0000"/>
      </font>
    </dxf>
    <dxf>
      <font>
        <b val="1"/>
        <color rgb="FFFFC000"/>
      </font>
    </dxf>
    <dxf>
      <font>
        <b val="1"/>
        <color rgb="FF0070C0"/>
      </font>
    </dxf>
    <dxf>
      <font>
        <i val="1"/>
        <color theme="0" tint="-0.499954222235786"/>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0070C0"/>
      </font>
    </dxf>
    <dxf>
      <font>
        <b val="1"/>
        <color rgb="FFFF000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0000"/>
      </font>
    </dxf>
    <dxf>
      <font>
        <b val="1"/>
        <color rgb="FFFFC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i val="1"/>
        <color theme="0" tint="-0.499954222235786"/>
      </font>
    </dxf>
    <dxf>
      <font>
        <b val="1"/>
        <color rgb="FF0070C0"/>
      </font>
    </dxf>
    <dxf>
      <font>
        <b val="1"/>
        <color rgb="FFFFC000"/>
      </font>
    </dxf>
    <dxf>
      <font>
        <b val="1"/>
        <color rgb="FFFF0000"/>
      </font>
    </dxf>
    <dxf>
      <font>
        <b val="1"/>
        <color rgb="FF0070C0"/>
      </font>
    </dxf>
    <dxf>
      <font>
        <b val="1"/>
        <color rgb="FFFF0000"/>
      </font>
    </dxf>
    <dxf>
      <font>
        <b val="1"/>
        <color rgb="FFFFC000"/>
      </font>
    </dxf>
    <dxf>
      <font>
        <i val="1"/>
        <color theme="0" tint="-0.499954222235786"/>
      </font>
    </dxf>
    <dxf>
      <fill>
        <patternFill>
          <bgColor rgb="FFFFC000"/>
        </patternFill>
      </fill>
    </dxf>
    <dxf>
      <font>
        <b val="1"/>
        <color rgb="FFFFC000"/>
      </font>
    </dxf>
    <dxf>
      <font>
        <b val="1"/>
        <color rgb="FFFF0000"/>
      </font>
    </dxf>
    <dxf>
      <font>
        <b val="1"/>
        <color rgb="FFFF0000"/>
      </font>
    </dxf>
    <dxf>
      <font>
        <b val="1"/>
        <color rgb="FFFFC000"/>
      </font>
    </dxf>
    <dxf>
      <font>
        <b val="1"/>
        <color rgb="FF0070C0"/>
      </font>
    </dxf>
    <dxf>
      <font>
        <i val="1"/>
        <color theme="0" tint="-0.499954222235786"/>
      </font>
    </dxf>
    <dxf>
      <font>
        <b val="1"/>
        <color rgb="FF0070C0"/>
      </font>
    </dxf>
    <dxf>
      <font>
        <b val="1"/>
        <color rgb="FFFF0000"/>
      </font>
    </dxf>
    <dxf>
      <font>
        <b val="1"/>
        <color rgb="FFFFC000"/>
      </font>
    </dxf>
    <dxf>
      <font>
        <b val="1"/>
        <color rgb="FF0070C0"/>
      </font>
    </dxf>
    <dxf>
      <font>
        <b val="1"/>
        <color rgb="FF0070C0"/>
      </font>
    </dxf>
    <dxf>
      <font>
        <b val="1"/>
        <color rgb="FF0070C0"/>
      </font>
    </dxf>
    <dxf>
      <font>
        <b val="1"/>
        <color rgb="FFFF0000"/>
      </font>
    </dxf>
    <dxf>
      <font>
        <b val="1"/>
        <color rgb="FFFF0000"/>
      </font>
    </dxf>
    <dxf>
      <font>
        <b val="1"/>
        <color rgb="FFFF0000"/>
      </font>
    </dxf>
    <dxf>
      <font>
        <b val="1"/>
        <color rgb="FF0070C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0070C0"/>
      </font>
    </dxf>
    <dxf>
      <font>
        <b val="1"/>
        <color rgb="FFFFC000"/>
      </font>
    </dxf>
    <dxf>
      <font>
        <b val="1"/>
        <color rgb="FFFF000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C000"/>
      </font>
    </dxf>
    <dxf>
      <font>
        <i val="1"/>
        <color theme="0" tint="-0.499954222235786"/>
      </font>
    </dxf>
    <dxf>
      <font>
        <b val="1"/>
        <color rgb="FFFFC000"/>
      </font>
    </dxf>
    <dxf>
      <font>
        <b val="1"/>
        <color rgb="FFFF0000"/>
      </font>
    </dxf>
    <dxf>
      <font>
        <b val="1"/>
        <color rgb="FF0070C0"/>
      </font>
    </dxf>
    <dxf>
      <font>
        <b val="1"/>
        <color rgb="FFFF0000"/>
      </font>
    </dxf>
    <dxf>
      <font>
        <b val="1"/>
        <color rgb="FF0070C0"/>
      </font>
    </dxf>
    <dxf>
      <font>
        <b val="1"/>
        <color rgb="FFFFC000"/>
      </font>
    </dxf>
    <dxf>
      <fill>
        <patternFill>
          <bgColor rgb="FFFFC000"/>
        </patternFill>
      </fill>
    </dxf>
    <dxf>
      <font>
        <i val="1"/>
        <color theme="0" tint="-0.499954222235786"/>
      </font>
    </dxf>
    <dxf>
      <font>
        <b val="1"/>
        <color rgb="FFFFC000"/>
      </font>
    </dxf>
    <dxf>
      <font>
        <b val="1"/>
        <color rgb="FFFF0000"/>
      </font>
    </dxf>
    <dxf>
      <font>
        <i val="1"/>
        <color theme="0" tint="-0.499954222235786"/>
      </font>
    </dxf>
    <dxf>
      <font>
        <b val="1"/>
        <color rgb="FFFFC000"/>
      </font>
    </dxf>
    <dxf>
      <font>
        <b val="1"/>
        <color rgb="FFFFC000"/>
      </font>
    </dxf>
    <dxf>
      <font>
        <b val="1"/>
        <color rgb="FFFF0000"/>
      </font>
    </dxf>
    <dxf>
      <font>
        <b val="1"/>
        <color rgb="FF0070C0"/>
      </font>
    </dxf>
    <dxf>
      <font>
        <i val="1"/>
        <color theme="0" tint="-0.499954222235786"/>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0000"/>
      </font>
    </dxf>
    <dxf>
      <font>
        <b val="1"/>
        <color rgb="FF0070C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FFC000"/>
      </font>
    </dxf>
    <dxf>
      <font>
        <b val="1"/>
        <color rgb="FFFFC000"/>
      </font>
    </dxf>
    <dxf>
      <font>
        <b val="1"/>
        <color rgb="FF0070C0"/>
      </font>
    </dxf>
    <dxf>
      <font>
        <b val="1"/>
        <color rgb="FFFF0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0070C0"/>
      </font>
    </dxf>
    <dxf>
      <font>
        <b val="1"/>
        <color rgb="FFFF0000"/>
      </font>
    </dxf>
    <dxf>
      <font>
        <b val="1"/>
        <color rgb="FFFF0000"/>
      </font>
    </dxf>
    <dxf>
      <font>
        <b val="1"/>
        <color rgb="FF0070C0"/>
      </font>
    </dxf>
    <dxf>
      <font>
        <b val="1"/>
        <color rgb="FFFFC000"/>
      </font>
    </dxf>
    <dxf>
      <font>
        <b val="1"/>
        <color rgb="FF0070C0"/>
      </font>
    </dxf>
    <dxf>
      <font>
        <b val="1"/>
        <color rgb="FFFFC000"/>
      </font>
    </dxf>
    <dxf>
      <font>
        <b val="1"/>
        <color rgb="FFFF0000"/>
      </font>
    </dxf>
    <dxf>
      <font>
        <b val="1"/>
        <color rgb="FF0070C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0070C0"/>
      </font>
    </dxf>
    <dxf>
      <font>
        <b val="1"/>
        <color rgb="FF0070C0"/>
      </font>
    </dxf>
    <dxf>
      <font>
        <b val="1"/>
        <color rgb="FFFFC000"/>
      </font>
    </dxf>
    <dxf>
      <font>
        <b val="1"/>
        <color rgb="FFFF0000"/>
      </font>
    </dxf>
    <dxf>
      <font>
        <b val="1"/>
        <color rgb="FFFFC000"/>
      </font>
    </dxf>
    <dxf>
      <font>
        <b val="1"/>
        <color rgb="FF0070C0"/>
      </font>
    </dxf>
    <dxf>
      <font>
        <b val="1"/>
        <color rgb="FFFF000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FFC000"/>
      </font>
    </dxf>
    <dxf>
      <font>
        <b val="1"/>
        <color rgb="FF0070C0"/>
      </font>
    </dxf>
    <dxf>
      <font>
        <b val="1"/>
        <color rgb="FF0070C0"/>
      </font>
    </dxf>
    <dxf>
      <font>
        <b val="1"/>
        <color rgb="FFFF0000"/>
      </font>
    </dxf>
    <dxf>
      <font>
        <b val="1"/>
        <color rgb="FF0070C0"/>
      </font>
    </dxf>
    <dxf>
      <font>
        <b val="1"/>
        <color rgb="FFFF000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0000"/>
      </font>
    </dxf>
    <dxf>
      <font>
        <b val="1"/>
        <color rgb="FFFFC000"/>
      </font>
    </dxf>
    <dxf>
      <font>
        <b val="1"/>
        <color rgb="FF0070C0"/>
      </font>
    </dxf>
    <dxf>
      <font>
        <b val="1"/>
        <color rgb="FFFFC000"/>
      </font>
    </dxf>
    <dxf>
      <font>
        <b val="1"/>
        <color rgb="FF0070C0"/>
      </font>
    </dxf>
    <dxf>
      <font>
        <b val="1"/>
        <color rgb="FFFF0000"/>
      </font>
    </dxf>
    <dxf>
      <font>
        <i val="1"/>
        <color theme="0" tint="-0.499954222235786"/>
      </font>
    </dxf>
    <dxf>
      <font>
        <b val="1"/>
        <color rgb="FF0070C0"/>
      </font>
    </dxf>
    <dxf>
      <font>
        <b val="1"/>
        <color rgb="FFFF0000"/>
      </font>
    </dxf>
    <dxf>
      <font>
        <b val="1"/>
        <color rgb="FFFFC000"/>
      </font>
    </dxf>
    <dxf>
      <font>
        <b val="1"/>
        <color rgb="FFFF0000"/>
      </font>
    </dxf>
    <dxf>
      <font>
        <b val="1"/>
        <color rgb="FF0070C0"/>
      </font>
    </dxf>
    <dxf>
      <font>
        <b val="1"/>
        <color rgb="FFFFC000"/>
      </font>
    </dxf>
    <dxf>
      <font>
        <i val="1"/>
        <color theme="0" tint="-0.499954222235786"/>
      </font>
    </dxf>
    <dxf>
      <fill>
        <patternFill>
          <bgColor rgb="FFFFC000"/>
        </patternFill>
      </fill>
    </dxf>
    <dxf>
      <font>
        <b val="1"/>
        <color rgb="FFFF0000"/>
      </font>
    </dxf>
    <dxf>
      <font>
        <b val="1"/>
        <color rgb="FFFF0000"/>
      </font>
    </dxf>
    <dxf>
      <font>
        <b val="1"/>
        <color rgb="FF0070C0"/>
      </font>
    </dxf>
    <dxf>
      <font>
        <b val="1"/>
        <color rgb="FF0070C0"/>
      </font>
    </dxf>
    <dxf>
      <font>
        <b val="1"/>
        <color rgb="FF0070C0"/>
      </font>
    </dxf>
    <dxf>
      <font>
        <b val="1"/>
        <color rgb="FFFF0000"/>
      </font>
    </dxf>
    <dxf>
      <font>
        <b val="1"/>
        <color rgb="FFFF0000"/>
      </font>
    </dxf>
    <dxf>
      <font>
        <b val="1"/>
        <color rgb="FFFFC000"/>
      </font>
    </dxf>
    <dxf>
      <font>
        <b val="1"/>
        <color rgb="FF0070C0"/>
      </font>
    </dxf>
    <dxf>
      <font>
        <b val="1"/>
        <color rgb="FFFF0000"/>
      </font>
    </dxf>
    <dxf>
      <font>
        <b val="1"/>
        <color rgb="FFFFC000"/>
      </font>
    </dxf>
    <dxf>
      <font>
        <b val="1"/>
        <color rgb="FF0070C0"/>
      </font>
    </dxf>
    <dxf>
      <font>
        <b val="1"/>
        <color rgb="FFFF0000"/>
      </font>
    </dxf>
    <dxf>
      <font>
        <b val="1"/>
        <color rgb="FF0070C0"/>
      </font>
    </dxf>
    <dxf>
      <font>
        <b val="1"/>
        <color rgb="FFFFC000"/>
      </font>
    </dxf>
    <dxf>
      <font>
        <b val="1"/>
        <color rgb="FFFF0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FF0000"/>
      </font>
    </dxf>
    <dxf>
      <font>
        <b val="1"/>
        <color rgb="FF0070C0"/>
      </font>
    </dxf>
    <dxf>
      <font>
        <b val="1"/>
        <color rgb="FFFFC000"/>
      </font>
    </dxf>
    <dxf>
      <font>
        <b val="1"/>
        <color rgb="FF0070C0"/>
      </font>
    </dxf>
    <dxf>
      <font>
        <b val="1"/>
        <color rgb="FFFF0000"/>
      </font>
    </dxf>
    <dxf>
      <font>
        <b val="1"/>
        <color rgb="FF0070C0"/>
      </font>
    </dxf>
    <dxf>
      <font>
        <b val="1"/>
        <color rgb="FFFF0000"/>
      </font>
    </dxf>
    <dxf>
      <fill>
        <patternFill>
          <bgColor rgb="FFFFC000"/>
        </patternFill>
      </fill>
    </dxf>
    <dxf>
      <font>
        <i val="1"/>
        <color theme="0" tint="-0.499954222235786"/>
      </font>
    </dxf>
    <dxf>
      <font>
        <b val="1"/>
        <color rgb="FFFFC000"/>
      </font>
    </dxf>
    <dxf>
      <font>
        <b val="1"/>
        <color rgb="FFFFC000"/>
      </font>
    </dxf>
    <dxf>
      <font>
        <b val="1"/>
        <color rgb="FF0070C0"/>
      </font>
    </dxf>
    <dxf>
      <font>
        <b val="1"/>
        <color rgb="FF0070C0"/>
      </font>
    </dxf>
    <dxf>
      <font>
        <b val="1"/>
        <color rgb="FFFF0000"/>
      </font>
    </dxf>
    <dxf>
      <font>
        <b val="1"/>
        <color rgb="FFFF0000"/>
      </font>
    </dxf>
    <dxf>
      <font>
        <b val="1"/>
        <color rgb="FFFFC000"/>
      </font>
    </dxf>
    <dxf>
      <font>
        <b val="1"/>
        <color rgb="FFFFC000"/>
      </font>
    </dxf>
    <dxf>
      <font>
        <b val="1"/>
        <color rgb="FFFFC000"/>
      </font>
    </dxf>
    <dxf>
      <font>
        <i val="1"/>
        <color theme="0" tint="-0.499954222235786"/>
      </font>
    </dxf>
    <dxf>
      <font>
        <i val="1"/>
        <color theme="0" tint="-0.499954222235786"/>
      </font>
    </dxf>
    <dxf>
      <font>
        <b val="1"/>
        <color rgb="FFFFC000"/>
      </font>
    </dxf>
    <dxf>
      <font>
        <b val="1"/>
        <color rgb="FFFFC000"/>
      </font>
    </dxf>
    <dxf>
      <font>
        <b val="1"/>
        <color rgb="FFFFC000"/>
      </font>
    </dxf>
    <dxf>
      <font>
        <b val="1"/>
        <color rgb="FFFFC000"/>
      </font>
    </dxf>
    <dxf>
      <font>
        <color theme="0" tint="-0.249946592608417"/>
      </font>
    </dxf>
    <dxf>
      <font>
        <color theme="0" tint="-0.249946592608417"/>
      </font>
    </dxf>
    <dxf>
      <font>
        <color theme="0" tint="-0.3499862666707358"/>
      </font>
    </dxf>
    <dxf>
      <font>
        <i val="1"/>
        <color theme="0" tint="-0.249946592608417"/>
      </font>
    </dxf>
    <dxf>
      <font>
        <b val="1"/>
        <color rgb="FFFF0000"/>
      </font>
    </dxf>
    <dxf>
      <font>
        <b val="1"/>
        <color rgb="FFFFC000"/>
      </font>
    </dxf>
    <dxf>
      <font>
        <color rgb="FF0070C0"/>
      </font>
    </dxf>
    <dxf>
      <fill>
        <patternFill>
          <bgColor rgb="FFFFC000"/>
        </patternFill>
      </fill>
    </dxf>
    <dxf>
      <font>
        <b val="1"/>
        <color rgb="FFFFC000"/>
      </font>
    </dxf>
    <dxf>
      <font>
        <b val="1"/>
        <color rgb="FFFFC000"/>
      </font>
    </dxf>
    <dxf>
      <font>
        <b val="1"/>
        <color rgb="FFFFC000"/>
      </font>
    </dxf>
    <dxf>
      <font>
        <b val="1"/>
        <color rgb="FFFFC000"/>
      </font>
    </dxf>
    <dxf>
      <font>
        <b val="1"/>
        <color rgb="FFFFC000"/>
      </font>
    </dxf>
    <dxf>
      <font>
        <b val="1"/>
        <color rgb="FFFFC000"/>
      </font>
    </dxf>
    <dxf>
      <font>
        <b val="1"/>
        <color rgb="FFFFC000"/>
      </font>
    </dxf>
    <dxf>
      <font>
        <color rgb="FFBFBFBF"/>
      </font>
      <fill>
        <patternFill/>
      </fill>
    </dxf>
    <dxf>
      <font>
        <color rgb="FFA5A5A5"/>
      </font>
      <fill>
        <patternFill/>
      </fill>
    </dxf>
    <dxf>
      <font>
        <color rgb="FFBFBFBF"/>
      </font>
      <fill>
        <patternFill/>
      </fill>
    </dxf>
    <dxf>
      <font>
        <color rgb="FFBFBFBF"/>
      </font>
      <fill>
        <patternFill/>
      </fill>
    </dxf>
    <dxf>
      <font>
        <color rgb="FFA5A5A5"/>
      </font>
      <fill>
        <patternFill/>
      </fill>
    </dxf>
    <dxf>
      <font>
        <color rgb="FFBFBFBF"/>
      </font>
      <fill>
        <patternFill/>
      </fill>
    </dxf>
    <dxf>
      <font>
        <color rgb="FFA5A5A5"/>
      </font>
      <fill>
        <patternFill/>
      </fill>
    </dxf>
    <dxf>
      <font>
        <color theme="0" tint="-0.249946592608417"/>
      </font>
    </dxf>
    <dxf>
      <font>
        <color theme="0" tint="-0.249946592608417"/>
      </font>
    </dxf>
    <dxf>
      <font>
        <color theme="0" tint="-0.3499862666707358"/>
      </font>
    </dxf>
    <dxf>
      <font>
        <color theme="0" tint="-0.249946592608417"/>
      </font>
    </dxf>
    <dxf>
      <font>
        <color theme="0" tint="-0.249946592608417"/>
      </font>
    </dxf>
    <dxf>
      <font>
        <color theme="0" tint="-0.3499862666707358"/>
      </font>
    </dxf>
    <dxf>
      <font>
        <color theme="0" tint="-0.249946592608417"/>
      </font>
    </dxf>
    <dxf>
      <font>
        <color theme="0" tint="-0.249946592608417"/>
      </font>
    </dxf>
    <dxf>
      <font>
        <color theme="0" tint="-0.3499862666707358"/>
      </font>
    </dxf>
    <dxf>
      <font>
        <color theme="0" tint="-0.3499862666707358"/>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view3D>
      <rotX val="15"/>
      <rotY val="20"/>
      <rAngAx val="1"/>
    </view3D>
    <floor>
      <thickness val="0"/>
      <spPr>
        <a:noFill/>
        <a:ln>
          <a:prstDash val="solid"/>
        </a:ln>
      </spPr>
    </floor>
    <sideWall>
      <thickness val="0"/>
      <spPr>
        <a:noFill/>
        <a:ln>
          <a:prstDash val="solid"/>
        </a:ln>
      </spPr>
    </sideWall>
    <backWall>
      <thickness val="0"/>
      <spPr>
        <a:noFill/>
        <a:ln>
          <a:prstDash val="solid"/>
        </a:ln>
      </spPr>
    </backWall>
    <plotArea>
      <layout/>
      <bar3DChart>
        <barDir val="col"/>
        <grouping val="clustered"/>
        <varyColors val="1"/>
        <ser>
          <idx val="0"/>
          <order val="0"/>
          <tx>
            <v>계열1</v>
          </tx>
          <spPr>
            <a:ln w="3175" cap="flat">
              <a:prstDash val="solid"/>
              <a:round/>
            </a:ln>
          </spPr>
          <invertIfNegative val="1"/>
          <dPt>
            <idx val="0"/>
            <invertIfNegative val="1"/>
            <bubble3D val="0"/>
            <spPr>
              <a:solidFill>
                <a:srgbClr val="0070C0"/>
              </a:solidFill>
              <a:ln w="3175" cap="flat">
                <a:prstDash val="solid"/>
                <a:round/>
              </a:ln>
            </spPr>
          </dPt>
          <dPt>
            <idx val="1"/>
            <invertIfNegative val="1"/>
            <bubble3D val="0"/>
            <spPr>
              <a:solidFill>
                <a:srgbClr val="E46C0A"/>
              </a:solidFill>
              <a:ln w="3175" cap="flat">
                <a:prstDash val="solid"/>
                <a:round/>
              </a:ln>
            </spPr>
          </dPt>
          <dLbls>
            <spPr>
              <a:noFill/>
              <a:ln>
                <a:noFill/>
                <a:prstDash val="solid"/>
              </a:ln>
            </spPr>
            <txPr>
              <a:bodyPr/>
              <a:lstStyle/>
              <a:p>
                <a:pPr>
                  <a:defRPr sz="1800" b="1" i="0" baseline="0">
                    <a:solidFill>
                      <a:srgbClr val="FFFFFF"/>
                    </a:solidFill>
                    <a:latin typeface="Calibri"/>
                    <a:ea typeface="Calibri"/>
                  </a:defRPr>
                </a:pPr>
                <a:r>
                  <a:t/>
                </a:r>
                <a:endParaRPr lang="ko-KR"/>
              </a:p>
            </txPr>
            <showLegendKey val="0"/>
            <showVal val="1"/>
            <showCatName val="0"/>
            <showSerName val="0"/>
            <showPercent val="0"/>
            <showBubbleSize val="1"/>
            <showLeaderLines val="0"/>
          </dLbls>
          <cat>
            <strRef>
              <f>'2-1. 요약결과(그래프)_깨짐'!$B$5:$B$6</f>
              <strCache>
                <ptCount val="2"/>
                <pt idx="0">
                  <v>총 평균</v>
                </pt>
                <pt idx="1">
                  <v>Linux</v>
                </pt>
              </strCache>
            </strRef>
          </cat>
          <val>
            <numRef>
              <f>'2-1. 요약결과(그래프)_깨짐'!$C$5:$C$6</f>
              <numCache>
                <formatCode>0.00%</formatCode>
                <ptCount val="2"/>
                <pt idx="0">
                  <v>1</v>
                </pt>
                <pt idx="1">
                  <v>1</v>
                </pt>
              </numCache>
            </numRef>
          </val>
        </ser>
        <dLbls>
          <showLegendKey val="0"/>
          <showVal val="0"/>
          <showCatName val="0"/>
          <showSerName val="0"/>
          <showPercent val="0"/>
          <showBubbleSize val="0"/>
        </dLbls>
        <gapWidth val="150"/>
        <gapDepth val="150"/>
        <shape val="box"/>
        <axId val="1111"/>
        <axId val="2222"/>
      </bar3DChart>
      <catAx>
        <axId val="1111"/>
        <scaling>
          <orientation val="minMax"/>
        </scaling>
        <delete val="0"/>
        <axPos val="b"/>
        <numFmt formatCode="General" sourceLinked="0"/>
        <majorTickMark val="out"/>
        <minorTickMark val="none"/>
        <tickLblPos val="nextTo"/>
        <spPr>
          <a:noFill/>
          <a:ln>
            <a:solidFill>
              <a:srgbClr val="898989"/>
            </a:solidFill>
            <a:prstDash val="solid"/>
            <a:round/>
          </a:ln>
        </spPr>
        <txPr>
          <a:bodyPr/>
          <a:lstStyle/>
          <a:p>
            <a:pPr>
              <a:defRPr sz="1400" b="1" i="0" baseline="0">
                <a:solidFill>
                  <a:srgbClr val="000000"/>
                </a:solidFill>
                <a:latin typeface="Calibri"/>
                <a:ea typeface="Calibri"/>
              </a:defRPr>
            </a:pPr>
            <a:r>
              <a:t/>
            </a:r>
            <a:endParaRPr lang="ko-KR"/>
          </a:p>
        </txPr>
        <crossAx val="2222"/>
        <crosses val="autoZero"/>
        <auto val="1"/>
        <lblAlgn val="ctr"/>
        <lblOffset val="100"/>
        <noMultiLvlLbl val="1"/>
      </catAx>
      <valAx>
        <axId val="2222"/>
        <scaling>
          <orientation val="minMax"/>
          <max val="1"/>
          <min val="0"/>
        </scaling>
        <delete val="0"/>
        <axPos val="l"/>
        <numFmt formatCode="0.00%" sourceLinked="1"/>
        <majorTickMark val="out"/>
        <minorTickMark val="none"/>
        <tickLblPos val="nextTo"/>
        <spPr>
          <a:noFill/>
          <a:ln>
            <a:solidFill>
              <a:srgbClr val="898989"/>
            </a:solidFill>
            <a:prstDash val="solid"/>
            <a:round/>
          </a:ln>
        </spPr>
        <txPr>
          <a:bodyPr/>
          <a:lstStyle/>
          <a:p>
            <a:pPr>
              <a:defRPr sz="1100" b="0" i="0" baseline="0">
                <a:solidFill>
                  <a:srgbClr val="000000"/>
                </a:solidFill>
                <a:latin typeface="Calibri"/>
                <a:ea typeface="Calibri"/>
              </a:defRPr>
            </a:pPr>
            <a:r>
              <a:t/>
            </a:r>
            <a:endParaRPr lang="ko-KR"/>
          </a:p>
        </txPr>
        <crossAx val="1111"/>
        <crosses val="autoZero"/>
        <crossBetween val="between"/>
        <majorUnit val="0.1"/>
      </valAx>
    </plotArea>
    <plotVisOnly val="1"/>
    <dispBlanksAs val="gap"/>
  </chart>
</chartSpace>
</file>

<file path=xl/charts/chart2.xml><?xml version="1.0" encoding="utf-8"?>
<chartSpace xmlns:a="http://schemas.openxmlformats.org/drawingml/2006/main" xmlns="http://schemas.openxmlformats.org/drawingml/2006/chart">
  <chart>
    <plotArea>
      <layout>
        <manualLayout>
          <layoutTarget val="inner"/>
          <xMode val="edge"/>
          <yMode val="edge"/>
          <wMode val="factor"/>
          <hMode val="factor"/>
          <x val="0.07712805922981608"/>
          <y val="0.1844546734776187"/>
          <w val="0.7071020983719694"/>
          <h val="0.8126048764975259"/>
        </manualLayout>
      </layout>
      <pie3DChart>
        <varyColors val="1"/>
        <ser>
          <idx val="0"/>
          <order val="0"/>
          <tx>
            <v>계열1</v>
          </tx>
          <spPr>
            <a:ln w="3175" cap="flat">
              <a:prstDash val="solid"/>
              <a:round/>
            </a:ln>
          </spPr>
          <explosion val="10"/>
          <dPt>
            <idx val="0"/>
            <bubble3D val="0"/>
            <spPr>
              <a:solidFill>
                <a:srgbClr val="0070C0"/>
              </a:solidFill>
              <a:ln w="3175" cap="flat">
                <a:prstDash val="solid"/>
                <a:round/>
              </a:ln>
            </spPr>
          </dPt>
          <dPt>
            <idx val="1"/>
            <bubble3D val="0"/>
            <spPr>
              <a:solidFill>
                <a:srgbClr val="FFC000"/>
              </a:solidFill>
              <a:ln w="3175" cap="flat">
                <a:prstDash val="solid"/>
                <a:round/>
              </a:ln>
            </spPr>
          </dPt>
          <dPt>
            <idx val="2"/>
            <bubble3D val="0"/>
            <spPr>
              <a:solidFill>
                <a:srgbClr val="FF0000"/>
              </a:solidFill>
              <a:ln w="3175" cap="flat">
                <a:prstDash val="solid"/>
                <a:round/>
              </a:ln>
            </spPr>
          </dPt>
          <dLbls>
            <spPr>
              <a:noFill/>
              <a:ln>
                <a:noFill/>
                <a:prstDash val="solid"/>
              </a:ln>
            </spPr>
            <txPr>
              <a:bodyPr/>
              <a:lstStyle/>
              <a:p>
                <a:pPr>
                  <a:defRPr sz="1800" b="1" i="0" baseline="0">
                    <a:solidFill>
                      <a:srgbClr val="000000"/>
                    </a:solidFill>
                    <a:latin typeface="Calibri"/>
                    <a:ea typeface="Calibri"/>
                  </a:defRPr>
                </a:pPr>
                <a:r>
                  <a:t/>
                </a:r>
                <a:endParaRPr lang="ko-KR"/>
              </a:p>
            </txPr>
            <showLegendKey val="0"/>
            <showVal val="1"/>
            <showCatName val="0"/>
            <showSerName val="0"/>
            <showPercent val="0"/>
            <showBubbleSize val="1"/>
            <showLeaderLines val="0"/>
          </dLbls>
          <cat>
            <strRef>
              <f>'2-1. 요약결과(그래프)_깨짐'!$B$18:$B$20</f>
              <strCache>
                <ptCount val="3"/>
                <pt idx="0">
                  <v>안전(85이상)</v>
                </pt>
                <pt idx="1">
                  <v>양호(70~85미만)</v>
                </pt>
                <pt idx="2">
                  <v>취약(70미만)</v>
                </pt>
              </strCache>
            </strRef>
          </cat>
          <val>
            <numRef>
              <f>'2-1. 요약결과(그래프)_깨짐'!$C$18:$C$20</f>
              <numCache>
                <formatCode>0.00%</formatCode>
                <ptCount val="3"/>
                <pt idx="0">
                  <v>1</v>
                </pt>
                <pt idx="1">
                  <v>0</v>
                </pt>
                <pt idx="2">
                  <v>0</v>
                </pt>
              </numCache>
            </numRef>
          </val>
        </ser>
        <dLbls>
          <showLegendKey val="0"/>
          <showVal val="0"/>
          <showCatName val="0"/>
          <showSerName val="0"/>
          <showPercent val="0"/>
          <showBubbleSize val="0"/>
          <showLeaderLines val="0"/>
        </dLbls>
      </pie3DChart>
    </plotArea>
    <legend>
      <legendPos val="r"/>
      <overlay val="0"/>
      <spPr>
        <a:noFill/>
        <a:ln>
          <a:noFill/>
          <a:prstDash val="solid"/>
          <a:round/>
        </a:ln>
      </spPr>
      <txPr>
        <a:bodyPr/>
        <a:lstStyle/>
        <a:p>
          <a:pPr>
            <a:defRPr sz="1100" b="0" i="0" baseline="0">
              <a:solidFill>
                <a:srgbClr val="000000"/>
              </a:solidFill>
              <a:latin typeface="Calibri"/>
              <a:ea typeface="Calibri"/>
            </a:defRPr>
          </a:pPr>
          <a:r>
            <a:t/>
          </a:r>
          <a:endParaRPr lang="ko-KR"/>
        </a:p>
      </txPr>
    </legend>
    <plotVisOnly val="1"/>
    <dispBlanksAs val="gap"/>
  </chart>
</chartSpace>
</file>

<file path=xl/charts/chart3.xml><?xml version="1.0" encoding="utf-8"?>
<chartSpace xmlns:a="http://schemas.openxmlformats.org/drawingml/2006/main" xmlns="http://schemas.openxmlformats.org/drawingml/2006/chart">
  <chart>
    <view3D>
      <rotX val="15"/>
      <rotY val="20"/>
      <rAngAx val="1"/>
    </view3D>
    <floor>
      <thickness val="0"/>
    </floor>
    <sideWall>
      <thickness val="0"/>
    </sideWall>
    <backWall>
      <thickness val="0"/>
    </backWall>
    <plotArea>
      <layout>
        <manualLayout>
          <layoutTarget val="inner"/>
          <xMode val="edge"/>
          <yMode val="edge"/>
          <wMode val="factor"/>
          <hMode val="factor"/>
          <x val="0.1935042961735046"/>
          <y val="0.04853560518049998"/>
          <w val="0.7812325459317585"/>
          <h val="0.685664816488103"/>
        </manualLayout>
      </layout>
      <bar3DChart>
        <barDir val="col"/>
        <grouping val="clustered"/>
        <varyColors val="1"/>
        <ser>
          <idx val="0"/>
          <order val="0"/>
          <spPr>
            <a:solidFill>
              <a:srgbClr val="4F81BD"/>
            </a:solidFill>
            <a:ln cmpd="sng">
              <a:noFill/>
              <a:prstDash val="solid"/>
            </a:ln>
          </spPr>
          <invertIfNegative val="1"/>
          <dPt>
            <idx val="0"/>
            <invertIfNegative val="1"/>
            <bubble3D val="0"/>
            <spPr>
              <a:solidFill>
                <a:srgbClr val="0070C0"/>
              </a:solidFill>
              <a:ln cmpd="sng">
                <a:noFill/>
                <a:prstDash val="solid"/>
              </a:ln>
            </spPr>
          </dPt>
          <dPt>
            <idx val="1"/>
            <invertIfNegative val="1"/>
            <bubble3D val="0"/>
            <spPr>
              <a:solidFill>
                <a:schemeClr val="accent6"/>
              </a:solidFill>
              <a:ln cmpd="sng">
                <a:noFill/>
                <a:prstDash val="solid"/>
              </a:ln>
            </spPr>
          </dPt>
          <dPt>
            <idx val="2"/>
            <invertIfNegative val="1"/>
            <bubble3D val="0"/>
            <spPr>
              <a:solidFill>
                <a:srgbClr val="00B050"/>
              </a:solidFill>
              <a:ln cmpd="sng">
                <a:noFill/>
                <a:prstDash val="solid"/>
              </a:ln>
            </spPr>
          </dPt>
          <dLbls>
            <spPr>
              <a:noFill/>
              <a:ln>
                <a:noFill/>
                <a:prstDash val="solid"/>
              </a:ln>
            </spPr>
            <txPr>
              <a:bodyPr/>
              <a:lstStyle/>
              <a:p>
                <a:pPr lvl="0">
                  <a:defRPr sz="1800" b="1" i="0"/>
                </a:pPr>
                <a:r>
                  <a:t/>
                </a:r>
                <a:endParaRPr lang="ko-KR"/>
              </a:p>
            </txPr>
            <showLegendKey val="0"/>
            <showVal val="1"/>
            <showCatName val="0"/>
            <showSerName val="0"/>
            <showPercent val="0"/>
            <showBubbleSize val="0"/>
            <showLeaderLines val="0"/>
          </dLbls>
          <cat>
            <strRef>
              <f>'2-1. 요약결과(그래프)'!$B$5:$B$6</f>
              <strCache>
                <ptCount val="2"/>
                <pt idx="0">
                  <v>총 평균</v>
                </pt>
                <pt idx="1">
                  <v>Linux</v>
                </pt>
              </strCache>
            </strRef>
          </cat>
          <val>
            <numRef>
              <f>'2-1. 요약결과(그래프)'!$C$5:$C$6</f>
              <numCache>
                <formatCode>0.0%</formatCode>
                <ptCount val="2"/>
                <pt idx="0">
                  <v>0.937810945273632</v>
                </pt>
                <pt idx="1">
                  <v>0.937810945273632</v>
                </pt>
              </numCache>
            </numRef>
          </val>
        </ser>
        <dLbls>
          <showLegendKey val="0"/>
          <showVal val="0"/>
          <showCatName val="0"/>
          <showSerName val="0"/>
          <showPercent val="0"/>
          <showBubbleSize val="0"/>
        </dLbls>
        <gapWidth val="150"/>
        <gapDepth val="150"/>
        <shape val="box"/>
        <axId val="764417301"/>
        <axId val="1747415794"/>
      </bar3DChart>
      <catAx>
        <axId val="764417301"/>
        <scaling>
          <orientation val="minMax"/>
        </scaling>
        <delete val="0"/>
        <axPos val="b"/>
        <title>
          <tx>
            <rich>
              <a:bodyPr/>
              <a:lstStyle/>
              <a:p>
                <a:pPr lvl="0">
                  <a:defRPr b="0">
                    <a:solidFill>
                      <a:srgbClr val="000000"/>
                    </a:solidFill>
                    <a:latin typeface="+mn-lt"/>
                  </a:defRPr>
                </a:pPr>
                <a:r>
                  <a:t/>
                </a:r>
                <a:endParaRPr lang="ko-KR" altLang="en-US"/>
              </a:p>
            </rich>
          </tx>
          <overlay val="0"/>
        </title>
        <numFmt formatCode="General" sourceLinked="0"/>
        <majorTickMark val="out"/>
        <minorTickMark val="none"/>
        <tickLblPos val="nextTo"/>
        <txPr>
          <a:bodyPr/>
          <a:lstStyle/>
          <a:p>
            <a:pPr lvl="0">
              <a:defRPr sz="1400" b="1" i="0">
                <a:solidFill>
                  <a:srgbClr val="000000"/>
                </a:solidFill>
                <a:latin typeface="+mn-lt"/>
              </a:defRPr>
            </a:pPr>
            <a:r>
              <a:t/>
            </a:r>
            <a:endParaRPr lang="ko-KR"/>
          </a:p>
        </txPr>
        <crossAx val="1747415794"/>
        <crosses val="autoZero"/>
        <auto val="1"/>
        <lblAlgn val="ctr"/>
        <lblOffset val="100"/>
        <noMultiLvlLbl val="1"/>
      </catAx>
      <valAx>
        <axId val="1747415794"/>
        <scaling>
          <orientation val="minMax"/>
          <max val="1"/>
        </scaling>
        <delete val="0"/>
        <axPos val="l"/>
        <majorGridlines>
          <spPr>
            <a:ln>
              <a:solidFill>
                <a:srgbClr val="B7B7B7"/>
              </a:solidFill>
              <a:prstDash val="solid"/>
            </a:ln>
          </spPr>
        </majorGridlines>
        <title>
          <tx>
            <rich>
              <a:bodyPr/>
              <a:lstStyle/>
              <a:p>
                <a:pPr lvl="0">
                  <a:defRPr b="0">
                    <a:solidFill>
                      <a:srgbClr val="000000"/>
                    </a:solidFill>
                    <a:latin typeface="+mn-lt"/>
                  </a:defRPr>
                </a:pPr>
                <a:r>
                  <a:t/>
                </a:r>
                <a:endParaRPr lang="ko-KR" altLang="en-US"/>
              </a:p>
            </rich>
          </tx>
          <overlay val="0"/>
        </title>
        <numFmt formatCode="0.0%" sourceLinked="1"/>
        <majorTickMark val="out"/>
        <minorTickMark val="none"/>
        <tickLblPos val="nextTo"/>
        <spPr>
          <a:ln>
            <a:prstDash val="solid"/>
          </a:ln>
        </spPr>
        <txPr>
          <a:bodyPr/>
          <a:lstStyle/>
          <a:p>
            <a:pPr lvl="0">
              <a:defRPr b="0">
                <a:solidFill>
                  <a:srgbClr val="000000"/>
                </a:solidFill>
                <a:latin typeface="+mn-lt"/>
              </a:defRPr>
            </a:pPr>
            <a:r>
              <a:t/>
            </a:r>
            <a:endParaRPr lang="ko-KR"/>
          </a:p>
        </txPr>
        <crossAx val="764417301"/>
        <crosses val="autoZero"/>
        <crossBetween val="between"/>
        <majorUnit val="0.1"/>
      </valAx>
    </plotArea>
    <plotVisOnly val="1"/>
    <dispBlanksAs val="zero"/>
  </chart>
</chartSpace>
</file>

<file path=xl/charts/chart4.xml><?xml version="1.0" encoding="utf-8"?>
<chartSpace xmlns:a="http://schemas.openxmlformats.org/drawingml/2006/main" xmlns="http://schemas.openxmlformats.org/drawingml/2006/chart">
  <chart>
    <plotArea>
      <layout>
        <manualLayout>
          <xMode val="edge"/>
          <yMode val="edge"/>
          <wMode val="factor"/>
          <hMode val="factor"/>
          <x val="0.07712805922981608"/>
          <y val="0.1844546734776187"/>
          <w val="0.7071020983719694"/>
          <h val="0.8126048764975259"/>
        </manualLayout>
      </layout>
      <pie3DChart>
        <varyColors val="1"/>
        <ser>
          <idx val="0"/>
          <order val="0"/>
          <spPr>
            <a:ln>
              <a:prstDash val="solid"/>
            </a:ln>
          </spPr>
          <dPt>
            <idx val="0"/>
            <bubble3D val="0"/>
            <spPr>
              <a:solidFill>
                <a:srgbClr val="0070C0"/>
              </a:solidFill>
              <a:ln>
                <a:prstDash val="solid"/>
              </a:ln>
            </spPr>
          </dPt>
          <dPt>
            <idx val="1"/>
            <bubble3D val="0"/>
            <spPr>
              <a:solidFill>
                <a:srgbClr val="FFC000"/>
              </a:solidFill>
              <a:ln>
                <a:prstDash val="solid"/>
              </a:ln>
            </spPr>
          </dPt>
          <dPt>
            <idx val="2"/>
            <bubble3D val="0"/>
            <spPr>
              <a:solidFill>
                <a:srgbClr val="FF0000"/>
              </a:solidFill>
              <a:ln>
                <a:prstDash val="solid"/>
              </a:ln>
            </spPr>
          </dPt>
          <dLbls>
            <spPr>
              <a:noFill/>
              <a:ln>
                <a:noFill/>
                <a:prstDash val="solid"/>
              </a:ln>
            </spPr>
            <showLegendKey val="0"/>
            <showVal val="1"/>
            <showCatName val="0"/>
            <showSerName val="0"/>
            <showPercent val="0"/>
            <showBubbleSize val="0"/>
            <showLeaderLines val="1"/>
          </dLbls>
          <cat>
            <strRef>
              <f>'2-1. 요약결과(그래프)'!$B$18:$B$20</f>
              <strCache>
                <ptCount val="3"/>
                <pt idx="0">
                  <v>안전(85이상)</v>
                </pt>
                <pt idx="1">
                  <v>양호(70~85미만)</v>
                </pt>
                <pt idx="2">
                  <v>취약(70미만)</v>
                </pt>
              </strCache>
            </strRef>
          </cat>
          <val>
            <numRef>
              <f>'2-1. 요약결과(그래프)'!$C$18:$C$20</f>
              <numCache>
                <formatCode>0.0%</formatCode>
                <ptCount val="3"/>
                <pt idx="0">
                  <v>0</v>
                </pt>
                <pt idx="1">
                  <v>1</v>
                </pt>
                <pt idx="2">
                  <v>0</v>
                </pt>
              </numCache>
            </numRef>
          </val>
        </ser>
        <dLbls>
          <showLegendKey val="0"/>
          <showVal val="0"/>
          <showCatName val="0"/>
          <showSerName val="0"/>
          <showPercent val="0"/>
          <showBubbleSize val="0"/>
          <showLeaderLines val="1"/>
        </dLbls>
      </pie3DChart>
    </plotArea>
    <legend>
      <legendPos val="r"/>
      <overlay val="0"/>
      <txPr>
        <a:bodyPr/>
        <a:lstStyle/>
        <a:p>
          <a:pPr lvl="0">
            <a:defRPr b="0">
              <a:solidFill>
                <a:srgbClr val="1A1A1A"/>
              </a:solidFill>
              <a:latin typeface="+mn-lt"/>
            </a:defRPr>
          </a:pPr>
          <a:r>
            <a:t/>
          </a:r>
          <a:endParaRPr lang="ko-KR"/>
        </a:p>
      </txPr>
    </legend>
    <plotVisOnly val="1"/>
    <dispBlanksAs val="zero"/>
  </chart>
</chartSpace>
</file>

<file path=xl/charts/chart5.xml><?xml version="1.0" encoding="utf-8"?>
<chartSpace xmlns:a="http://schemas.openxmlformats.org/drawingml/2006/main" xmlns="http://schemas.openxmlformats.org/drawingml/2006/chart">
  <chart>
    <plotArea>
      <layout/>
      <radarChart>
        <radarStyle val="marker"/>
        <varyColors val="1"/>
        <ser>
          <idx val="0"/>
          <order val="0"/>
          <tx>
            <strRef>
              <f>'2-1. 요약결과(그래프)'!$C$71</f>
              <strCache>
                <ptCount val="1"/>
                <pt idx="0">
                  <v>평균 점수</v>
                </pt>
              </strCache>
            </strRef>
          </tx>
          <spPr>
            <a:ln cmpd="sng">
              <a:solidFill>
                <a:srgbClr val="4F81BD"/>
              </a:solidFill>
              <a:prstDash val="solid"/>
            </a:ln>
          </spPr>
          <marker>
            <symbol val="none"/>
            <spPr>
              <a:ln>
                <a:prstDash val="solid"/>
              </a:ln>
            </spPr>
          </marker>
          <cat>
            <strRef>
              <f>'2-1. 요약결과(그래프)'!$B$72:$B$76</f>
              <strCache>
                <ptCount val="5"/>
                <pt idx="0">
                  <v>1. 계정 관리</v>
                </pt>
                <pt idx="1">
                  <v>2. 파일 및 
디렉토리 관리</v>
                </pt>
                <pt idx="2">
                  <v>3. 서비스 관리</v>
                </pt>
                <pt idx="3">
                  <v>4. 패치 관리</v>
                </pt>
                <pt idx="4">
                  <v>5. 로그 관리</v>
                </pt>
              </strCache>
            </strRef>
          </cat>
          <val>
            <numRef>
              <f>'2-1. 요약결과(그래프)'!$C$72:$C$76</f>
              <numCache>
                <formatCode>0.0%</formatCode>
                <ptCount val="5"/>
                <pt idx="0">
                  <v>0.6794871794871794</v>
                </pt>
                <pt idx="1">
                  <v>1</v>
                </pt>
                <pt idx="2">
                  <v>1</v>
                </pt>
                <pt idx="3">
                  <v>1</v>
                </pt>
                <pt idx="4">
                  <v>1</v>
                </pt>
              </numCache>
            </numRef>
          </val>
        </ser>
        <ser>
          <idx val="1"/>
          <order val="1"/>
          <tx>
            <strRef>
              <f>'2-1. 요약결과(그래프)'!$D$71</f>
              <strCache>
                <ptCount val="1"/>
                <pt idx="0">
                  <v>총 평균</v>
                </pt>
              </strCache>
            </strRef>
          </tx>
          <spPr>
            <a:ln cmpd="sng">
              <a:solidFill>
                <a:srgbClr val="C0504D"/>
              </a:solidFill>
              <a:prstDash val="solid"/>
            </a:ln>
          </spPr>
          <marker>
            <symbol val="none"/>
            <spPr>
              <a:ln>
                <a:prstDash val="solid"/>
              </a:ln>
            </spPr>
          </marker>
          <cat>
            <strRef>
              <f>'2-1. 요약결과(그래프)'!$B$72:$B$76</f>
              <strCache>
                <ptCount val="5"/>
                <pt idx="0">
                  <v>1. 계정 관리</v>
                </pt>
                <pt idx="1">
                  <v>2. 파일 및 
디렉토리 관리</v>
                </pt>
                <pt idx="2">
                  <v>3. 서비스 관리</v>
                </pt>
                <pt idx="3">
                  <v>4. 패치 관리</v>
                </pt>
                <pt idx="4">
                  <v>5. 로그 관리</v>
                </pt>
              </strCache>
            </strRef>
          </cat>
          <val>
            <numRef>
              <f>'2-1. 요약결과(그래프)'!$D$72:$D$76</f>
              <numCache>
                <formatCode>0.0%</formatCode>
                <ptCount val="5"/>
                <pt idx="0">
                  <v>0.937810945273632</v>
                </pt>
                <pt idx="1">
                  <v>0.937810945273632</v>
                </pt>
                <pt idx="2">
                  <v>0.937810945273632</v>
                </pt>
                <pt idx="3">
                  <v>0.937810945273632</v>
                </pt>
                <pt idx="4">
                  <v>0.937810945273632</v>
                </pt>
              </numCache>
            </numRef>
          </val>
        </ser>
        <dLbls>
          <showLegendKey val="0"/>
          <showVal val="0"/>
          <showCatName val="0"/>
          <showSerName val="0"/>
          <showPercent val="0"/>
          <showBubbleSize val="0"/>
        </dLbls>
        <axId val="126336284"/>
        <axId val="2110193178"/>
      </radarChart>
      <catAx>
        <axId val="126336284"/>
        <scaling>
          <orientation val="minMax"/>
        </scaling>
        <delete val="0"/>
        <axPos val="b"/>
        <title>
          <tx>
            <rich>
              <a:bodyPr/>
              <a:lstStyle/>
              <a:p>
                <a:pPr lvl="0">
                  <a:defRPr b="0">
                    <a:solidFill>
                      <a:srgbClr val="000000"/>
                    </a:solidFill>
                    <a:latin typeface="+mn-lt"/>
                  </a:defRPr>
                </a:pPr>
                <a:r>
                  <a:t/>
                </a:r>
                <a:endParaRPr lang="ko-KR" altLang="en-US"/>
              </a:p>
            </rich>
          </tx>
          <overlay val="0"/>
        </title>
        <numFmt formatCode="General" sourceLinked="1"/>
        <majorTickMark val="none"/>
        <minorTickMark val="none"/>
        <tickLblPos val="nextTo"/>
        <spPr>
          <a:ln>
            <a:noFill/>
            <a:prstDash val="solid"/>
          </a:ln>
        </spPr>
        <txPr>
          <a:bodyPr/>
          <a:lstStyle/>
          <a:p>
            <a:pPr lvl="0">
              <a:defRPr b="0">
                <a:solidFill>
                  <a:srgbClr val="000000"/>
                </a:solidFill>
                <a:latin typeface="+mn-lt"/>
              </a:defRPr>
            </a:pPr>
            <a:r>
              <a:t/>
            </a:r>
            <a:endParaRPr lang="ko-KR"/>
          </a:p>
        </txPr>
        <crossAx val="2110193178"/>
        <crosses val="autoZero"/>
        <auto val="1"/>
        <lblAlgn val="ctr"/>
        <lblOffset val="100"/>
        <noMultiLvlLbl val="1"/>
      </catAx>
      <valAx>
        <axId val="2110193178"/>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
                </a:r>
                <a:endParaRPr lang="ko-KR" altLang="en-US"/>
              </a:p>
            </rich>
          </tx>
          <overlay val="0"/>
        </title>
        <numFmt formatCode="0.0%" sourceLinked="1"/>
        <majorTickMark val="none"/>
        <minorTickMark val="none"/>
        <tickLblPos val="nextTo"/>
        <spPr>
          <a:ln>
            <a:noFill/>
            <a:prstDash val="solid"/>
          </a:ln>
        </spPr>
        <txPr>
          <a:bodyPr/>
          <a:lstStyle/>
          <a:p>
            <a:pPr lvl="0">
              <a:defRPr b="0">
                <a:solidFill>
                  <a:srgbClr val="000000"/>
                </a:solidFill>
                <a:latin typeface="+mn-lt"/>
              </a:defRPr>
            </a:pPr>
            <a:r>
              <a:t/>
            </a:r>
            <a:endParaRPr lang="ko-KR"/>
          </a:p>
        </txPr>
        <crossAx val="126336284"/>
        <crosses val="autoZero"/>
        <crossBetween val="between"/>
      </valAx>
    </plotArea>
    <legend>
      <legendPos val="r"/>
      <overlay val="0"/>
      <txPr>
        <a:bodyPr/>
        <a:lstStyle/>
        <a:p>
          <a:pPr lvl="0">
            <a:defRPr b="0">
              <a:solidFill>
                <a:srgbClr val="1A1A1A"/>
              </a:solidFill>
              <a:latin typeface="+mn-lt"/>
            </a:defRPr>
          </a:pPr>
          <a:r>
            <a:t/>
          </a:r>
          <a:endParaRPr lang="ko-KR"/>
        </a:p>
      </txPr>
    </legend>
    <plotVisOnly val="1"/>
    <dispBlanksAs val="zero"/>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275590</colOff>
      <row>1</row>
      <rowOff>614680</rowOff>
    </from>
    <to>
      <col>18</col>
      <colOff>374015</colOff>
      <row>13</row>
      <rowOff>210185</rowOff>
    </to>
    <graphicFrame>
      <nvGraphicFramePr>
        <cNvPr id="1" name="Chart 1"/>
        <cNvGraphicFramePr/>
      </nvGraphicFramePr>
      <xfrm/>
      <a:graphic>
        <a:graphicData uri="http://schemas.openxmlformats.org/drawingml/2006/chart">
          <c:chart r:id="rId1"/>
        </a:graphicData>
      </a:graphic>
    </graphicFrame>
    <clientData/>
  </twoCellAnchor>
  <twoCellAnchor>
    <from>
      <col>5</col>
      <colOff>12065</colOff>
      <row>16</row>
      <rowOff>13970</rowOff>
    </from>
    <to>
      <col>18</col>
      <colOff>323850</colOff>
      <row>28</row>
      <rowOff>140970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266700</colOff>
      <row>1</row>
      <rowOff>609600</rowOff>
    </from>
    <ext cx="4524375" cy="290512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5</col>
      <colOff>9525</colOff>
      <row>16</row>
      <rowOff>9525</rowOff>
    </from>
    <ext cx="4514850" cy="25431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5</col>
      <colOff>352425</colOff>
      <row>70</row>
      <rowOff>9525</rowOff>
    </from>
    <ext cx="4895850" cy="3352800"/>
    <graphicFrame>
      <nvGraphicFramePr>
        <cNvPr id="3" name="Chart 3"/>
        <cNvGraphicFramePr/>
      </nvGraphicFramePr>
      <xfrm/>
      <a:graphic>
        <a:graphicData uri="http://schemas.openxmlformats.org/drawingml/2006/chart">
          <c:chart r:id="rId3"/>
        </a:graphicData>
      </a:graphic>
    </graphicFrame>
    <clientData fLocksWithSheet="0"/>
  </oneCellAnchor>
</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B2:L23"/>
  <sheetViews>
    <sheetView topLeftCell="A13" workbookViewId="0">
      <selection activeCell="B18" sqref="B18:L18"/>
    </sheetView>
  </sheetViews>
  <sheetFormatPr baseColWidth="8" defaultRowHeight="14.4"/>
  <cols>
    <col width="1.796875" customWidth="1" style="196" min="1" max="1"/>
    <col width="18.59765625" customWidth="1" style="196" min="12" max="12"/>
  </cols>
  <sheetData>
    <row r="1" ht="9.75" customHeight="1" s="196"/>
    <row r="2" ht="16.5" customHeight="1" s="196">
      <c r="B2" s="52" t="n"/>
      <c r="C2" s="52" t="n"/>
      <c r="D2" s="52" t="n"/>
      <c r="E2" s="52" t="n"/>
      <c r="F2" s="52" t="n"/>
      <c r="G2" s="52" t="n"/>
      <c r="H2" s="52" t="n"/>
      <c r="I2" s="52" t="n"/>
      <c r="J2" s="52" t="n"/>
      <c r="K2" s="52" t="n"/>
      <c r="L2" s="52" t="n"/>
    </row>
    <row r="3" ht="13.5" customHeight="1" s="196">
      <c r="B3" s="52" t="n"/>
      <c r="C3" s="52" t="n"/>
      <c r="D3" s="52" t="n"/>
      <c r="E3" s="52" t="n"/>
      <c r="F3" s="52" t="n"/>
      <c r="G3" s="52" t="n"/>
      <c r="H3" s="52" t="n"/>
      <c r="I3" s="52" t="n"/>
      <c r="J3" s="52" t="n"/>
      <c r="K3" s="103" t="inlineStr">
        <is>
          <t>문서번호</t>
        </is>
      </c>
      <c r="L3" s="6" t="inlineStr">
        <is>
          <t>XXXXX-VA-200XXX</t>
        </is>
      </c>
    </row>
    <row r="4" ht="13.5" customHeight="1" s="196">
      <c r="B4" s="52" t="n"/>
      <c r="C4" s="52" t="n"/>
      <c r="D4" s="52" t="n"/>
      <c r="E4" s="52" t="n"/>
      <c r="F4" s="52" t="n"/>
      <c r="G4" s="52" t="n"/>
      <c r="H4" s="52" t="n"/>
      <c r="I4" s="52" t="n"/>
      <c r="J4" s="52" t="n"/>
      <c r="K4" s="103" t="inlineStr">
        <is>
          <t>작성자</t>
        </is>
      </c>
      <c r="L4" s="11" t="inlineStr">
        <is>
          <t>취약점진단팀</t>
        </is>
      </c>
    </row>
    <row r="5" ht="13.5" customHeight="1" s="196">
      <c r="B5" s="52" t="n"/>
      <c r="C5" s="52" t="n"/>
      <c r="D5" s="52" t="n"/>
      <c r="E5" s="52" t="n"/>
      <c r="F5" s="52" t="n"/>
      <c r="G5" s="52" t="n"/>
      <c r="H5" s="52" t="n"/>
      <c r="I5" s="52" t="n"/>
      <c r="J5" s="52" t="n"/>
      <c r="K5" s="103" t="inlineStr">
        <is>
          <t>보안등급</t>
        </is>
      </c>
      <c r="L5" s="11" t="inlineStr">
        <is>
          <t>Confidential</t>
        </is>
      </c>
    </row>
    <row r="6" ht="13.5" customHeight="1" s="196">
      <c r="B6" s="52" t="n"/>
      <c r="C6" s="52" t="n"/>
      <c r="D6" s="52" t="n"/>
      <c r="E6" s="52" t="n"/>
      <c r="F6" s="52" t="n"/>
      <c r="G6" s="52" t="n"/>
      <c r="H6" s="52" t="n"/>
      <c r="I6" s="52" t="n"/>
      <c r="J6" s="52" t="n"/>
      <c r="K6" s="103" t="inlineStr">
        <is>
          <t>Ver</t>
        </is>
      </c>
      <c r="L6" s="11" t="inlineStr">
        <is>
          <t>ver 1.0</t>
        </is>
      </c>
    </row>
    <row r="7" ht="16.5" customHeight="1" s="196">
      <c r="B7" s="52" t="n"/>
      <c r="C7" s="52" t="n"/>
      <c r="D7" s="52" t="n"/>
      <c r="E7" s="52" t="n"/>
      <c r="F7" s="52" t="n"/>
      <c r="G7" s="52" t="n"/>
      <c r="H7" s="52" t="n"/>
      <c r="I7" s="52" t="n"/>
      <c r="J7" s="52" t="n"/>
      <c r="K7" s="52" t="n"/>
      <c r="L7" s="52" t="n"/>
    </row>
    <row r="8" ht="16.5" customHeight="1" s="196">
      <c r="B8" s="52" t="n"/>
      <c r="C8" s="52" t="n"/>
      <c r="D8" s="52" t="n"/>
      <c r="E8" s="52" t="n"/>
      <c r="F8" s="52" t="n"/>
      <c r="G8" s="52" t="n"/>
      <c r="H8" s="52" t="n"/>
      <c r="I8" s="52" t="n"/>
      <c r="J8" s="52" t="n"/>
      <c r="K8" s="52" t="n"/>
      <c r="L8" s="52" t="n"/>
    </row>
    <row r="9" ht="16.5" customHeight="1" s="196">
      <c r="B9" s="52" t="n"/>
      <c r="C9" s="52" t="n"/>
      <c r="D9" s="52" t="n"/>
      <c r="E9" s="52" t="n"/>
      <c r="F9" s="52" t="n"/>
      <c r="G9" s="52" t="n"/>
      <c r="H9" s="52" t="n"/>
      <c r="I9" s="52" t="n"/>
      <c r="J9" s="52" t="n"/>
      <c r="K9" s="52" t="n"/>
      <c r="L9" s="52" t="n"/>
    </row>
    <row r="10" ht="16.5" customHeight="1" s="196">
      <c r="B10" s="52" t="n"/>
      <c r="C10" s="52" t="n"/>
      <c r="D10" s="52" t="n"/>
      <c r="E10" s="52" t="n"/>
      <c r="F10" s="52" t="n"/>
      <c r="G10" s="52" t="n"/>
      <c r="H10" s="52" t="n"/>
      <c r="I10" s="52" t="n"/>
      <c r="J10" s="52" t="n"/>
      <c r="K10" s="52" t="n"/>
      <c r="L10" s="52" t="n"/>
    </row>
    <row r="11" ht="26.25" customHeight="1" s="196">
      <c r="B11" s="281" t="inlineStr">
        <is>
          <t>"XXX" 취약점 진단</t>
        </is>
      </c>
    </row>
    <row r="12" ht="16.5" customHeight="1" s="196">
      <c r="B12" s="52" t="n"/>
      <c r="C12" s="52" t="n"/>
      <c r="D12" s="52" t="n"/>
      <c r="E12" s="52" t="n"/>
      <c r="F12" s="52" t="n"/>
      <c r="G12" s="52" t="n"/>
      <c r="H12" s="52" t="n"/>
      <c r="I12" s="52" t="n"/>
      <c r="J12" s="52" t="n"/>
      <c r="K12" s="52" t="n"/>
      <c r="L12" s="52" t="n"/>
    </row>
    <row r="13" ht="38.25" customHeight="1" s="196">
      <c r="B13" s="282" t="inlineStr">
        <is>
          <t>서버 진단 상세결과</t>
        </is>
      </c>
    </row>
    <row r="14" ht="16.5" customHeight="1" s="196">
      <c r="B14" s="52" t="n"/>
      <c r="C14" s="52" t="n"/>
      <c r="D14" s="52" t="n"/>
      <c r="E14" s="52" t="n"/>
      <c r="F14" s="52" t="n"/>
      <c r="G14" s="52" t="n"/>
      <c r="H14" s="52" t="n"/>
      <c r="I14" s="52" t="n"/>
      <c r="J14" s="52" t="n"/>
      <c r="K14" s="52" t="n"/>
      <c r="L14" s="52" t="n"/>
    </row>
    <row r="15" ht="19.5" customHeight="1" s="196">
      <c r="B15" s="52" t="n"/>
      <c r="C15" s="52" t="n"/>
      <c r="D15" s="52" t="n"/>
      <c r="E15" s="283" t="n"/>
      <c r="L15" s="52" t="n"/>
    </row>
    <row r="16" ht="16.5" customHeight="1" s="196">
      <c r="B16" s="52" t="n"/>
      <c r="C16" s="52" t="n"/>
      <c r="D16" s="52" t="n"/>
      <c r="E16" s="52" t="n"/>
      <c r="F16" s="52" t="n"/>
      <c r="G16" s="52" t="n"/>
      <c r="H16" s="52" t="n"/>
      <c r="I16" s="52" t="n"/>
      <c r="J16" s="52" t="n"/>
      <c r="K16" s="52" t="n"/>
      <c r="L16" s="52" t="n"/>
    </row>
    <row r="17" ht="16.5" customHeight="1" s="196">
      <c r="B17" s="52" t="n"/>
      <c r="C17" s="52" t="n"/>
      <c r="D17" s="52" t="n"/>
      <c r="E17" s="52" t="n"/>
      <c r="F17" s="52" t="n"/>
      <c r="G17" s="52" t="n"/>
      <c r="H17" s="52" t="n"/>
      <c r="I17" s="52" t="n"/>
      <c r="J17" s="52" t="n"/>
      <c r="K17" s="52" t="n"/>
      <c r="L17" s="52" t="n"/>
    </row>
    <row r="18" ht="20.25" customHeight="1" s="196">
      <c r="B18" s="284" t="n">
        <v>46260</v>
      </c>
    </row>
    <row r="19" ht="20.25" customHeight="1" s="196">
      <c r="B19" s="52" t="n"/>
      <c r="C19" s="52" t="n"/>
      <c r="D19" s="52" t="n"/>
      <c r="E19" s="52" t="n"/>
      <c r="F19" s="53" t="n"/>
      <c r="G19" s="54" t="n"/>
      <c r="H19" s="54" t="n"/>
      <c r="I19" s="54" t="n"/>
      <c r="J19" s="54" t="n"/>
      <c r="K19" s="52" t="n"/>
      <c r="L19" s="52" t="n"/>
    </row>
    <row r="20" ht="16.5" customHeight="1" s="196">
      <c r="B20" s="52" t="n"/>
      <c r="C20" s="52" t="n"/>
      <c r="D20" s="52" t="n"/>
      <c r="E20" s="52" t="n"/>
      <c r="F20" s="52" t="n"/>
      <c r="G20" s="52" t="n"/>
      <c r="H20" s="52" t="n"/>
      <c r="I20" s="52" t="n"/>
      <c r="J20" s="52" t="n"/>
      <c r="K20" s="52" t="n"/>
      <c r="L20" s="52" t="n"/>
    </row>
    <row r="21" ht="16.5" customHeight="1" s="196">
      <c r="B21" s="52" t="n"/>
      <c r="C21" s="52" t="n"/>
      <c r="D21" s="52" t="n"/>
      <c r="E21" s="52" t="n"/>
      <c r="F21" s="52" t="n"/>
      <c r="G21" s="52" t="n"/>
      <c r="H21" s="52" t="n"/>
      <c r="I21" s="52" t="n"/>
      <c r="J21" s="52" t="n"/>
      <c r="K21" s="52" t="n"/>
      <c r="L21" s="52" t="n"/>
    </row>
    <row r="22" ht="16.5" customHeight="1" s="196">
      <c r="B22" s="52" t="n"/>
      <c r="C22" s="52" t="n"/>
      <c r="D22" s="52" t="n"/>
      <c r="E22" s="52" t="n"/>
      <c r="F22" s="52" t="n"/>
      <c r="G22" s="52" t="n"/>
      <c r="H22" s="52" t="n"/>
      <c r="I22" s="52" t="n"/>
      <c r="J22" s="52" t="n"/>
      <c r="K22" s="52" t="n"/>
      <c r="L22" s="52" t="n"/>
    </row>
    <row r="23" ht="16.5" customHeight="1" s="196">
      <c r="B23" s="52" t="n"/>
      <c r="C23" s="52" t="n"/>
      <c r="D23" s="52" t="n"/>
      <c r="E23" s="52" t="n"/>
      <c r="F23" s="52" t="n"/>
      <c r="G23" s="52" t="n"/>
      <c r="H23" s="52" t="n"/>
      <c r="I23" s="52" t="n"/>
      <c r="J23" s="52" t="n"/>
      <c r="K23" s="52" t="n"/>
      <c r="L23" s="52" t="n"/>
    </row>
  </sheetData>
  <mergeCells count="4">
    <mergeCell ref="E15:K15"/>
    <mergeCell ref="B13:L13"/>
    <mergeCell ref="B18:L18"/>
    <mergeCell ref="B11:L11"/>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CD90"/>
  <sheetViews>
    <sheetView topLeftCell="A19" zoomScale="55" zoomScaleNormal="55" workbookViewId="0">
      <selection activeCell="Y42" sqref="Y42"/>
    </sheetView>
  </sheetViews>
  <sheetFormatPr baseColWidth="8" defaultColWidth="8.8984375" defaultRowHeight="15.6"/>
  <cols>
    <col width="0.3984375" customWidth="1" style="201" min="1" max="1"/>
    <col width="15.19921875" customWidth="1" style="201" min="2" max="2"/>
    <col width="10.296875" customWidth="1" style="201" min="3" max="3"/>
    <col width="6.59765625" customWidth="1" style="203" min="4" max="4"/>
    <col width="3.19921875" customWidth="1" style="203" min="5" max="5"/>
    <col width="4.8984375" customWidth="1" style="203" min="6" max="19"/>
    <col width="6.796875" customWidth="1" style="203" min="20" max="20"/>
    <col width="15.296875" customWidth="1" style="203" min="21" max="21"/>
    <col width="5.796875" customWidth="1" style="203" min="22" max="22"/>
    <col width="8.796875" customWidth="1" style="203" min="23" max="24"/>
    <col width="3.69921875" customWidth="1" style="201" min="25" max="25"/>
    <col width="8.8984375" customWidth="1" style="201" min="26" max="33"/>
    <col width="1.59765625" customWidth="1" style="201" min="34" max="34"/>
    <col width="8.8984375" customWidth="1" style="201" min="35" max="36"/>
    <col width="6.09765625" customWidth="1" style="201" min="37" max="37"/>
    <col width="5.09765625" customWidth="1" style="201" min="38" max="38"/>
    <col width="19.796875" customWidth="1" style="201" min="39" max="39"/>
    <col width="7.09765625" customWidth="1" style="201" min="40" max="40"/>
    <col width="8.8984375" customWidth="1" style="201" min="41" max="41"/>
    <col width="8.8984375" customWidth="1" style="201" min="42" max="16384"/>
  </cols>
  <sheetData>
    <row r="1" ht="6" customHeight="1" s="196" thickBot="1">
      <c r="C1" s="285" t="n"/>
      <c r="E1" s="201" t="n"/>
      <c r="F1" s="201" t="n"/>
      <c r="G1" s="201" t="n"/>
      <c r="H1" s="201" t="n"/>
      <c r="I1" s="201" t="n"/>
      <c r="J1" s="201" t="n"/>
      <c r="K1" s="201" t="n"/>
      <c r="L1" s="201" t="n"/>
      <c r="M1" s="201" t="n"/>
      <c r="N1" s="201" t="n"/>
      <c r="O1" s="201" t="n"/>
      <c r="P1" s="201" t="n"/>
      <c r="Q1" s="201" t="n"/>
      <c r="R1" s="201" t="n"/>
      <c r="S1" s="201" t="n"/>
      <c r="T1" s="201" t="n"/>
      <c r="U1" s="201" t="n"/>
      <c r="V1" s="201" t="n"/>
      <c r="W1" s="201" t="n"/>
      <c r="X1" s="201" t="n"/>
    </row>
    <row r="2" ht="49.95" customHeight="1" s="196" thickBot="1">
      <c r="A2" s="8" t="n"/>
      <c r="B2" s="286" t="inlineStr">
        <is>
          <t>※ 대상별 평균 점수 그래프</t>
        </is>
      </c>
      <c r="C2" s="287" t="n"/>
      <c r="D2" s="288" t="n"/>
      <c r="E2" s="233" t="n"/>
      <c r="F2" s="233" t="n"/>
      <c r="G2" s="233" t="n"/>
      <c r="H2" s="233" t="n"/>
      <c r="I2" s="233" t="n"/>
      <c r="J2" s="233" t="n"/>
      <c r="K2" s="233" t="n"/>
      <c r="L2" s="233" t="n"/>
      <c r="M2" s="233" t="n"/>
      <c r="N2" s="233" t="n"/>
      <c r="O2" s="16" t="n"/>
      <c r="P2" s="16" t="n"/>
      <c r="Q2" s="16" t="n"/>
      <c r="R2" s="16" t="n"/>
      <c r="S2" s="16" t="n"/>
      <c r="T2" s="16" t="n"/>
      <c r="U2" s="16" t="n"/>
      <c r="V2" s="16" t="n"/>
      <c r="W2" s="16" t="n"/>
      <c r="X2" s="16" t="n"/>
    </row>
    <row r="3" ht="20.25" customHeight="1" s="196" thickBot="1">
      <c r="B3" s="126" t="n"/>
      <c r="C3" s="126" t="n"/>
      <c r="D3" s="126" t="n"/>
      <c r="O3" s="18" t="n"/>
      <c r="P3" s="18" t="n"/>
      <c r="Q3" s="18" t="n"/>
      <c r="R3" s="18" t="n"/>
      <c r="S3" s="18" t="n"/>
      <c r="T3" s="18" t="n"/>
      <c r="U3" s="18" t="n"/>
      <c r="V3" s="18" t="n"/>
      <c r="W3" s="18" t="n"/>
      <c r="X3" s="18" t="n"/>
    </row>
    <row r="4" ht="20.25" customHeight="1" s="196" thickBot="1">
      <c r="B4" s="127" t="inlineStr">
        <is>
          <t>진단 대상</t>
        </is>
      </c>
      <c r="C4" s="128" t="inlineStr">
        <is>
          <t>평균</t>
        </is>
      </c>
      <c r="D4" s="128" t="inlineStr">
        <is>
          <t>수량</t>
        </is>
      </c>
      <c r="O4" s="18" t="n"/>
      <c r="P4" s="18" t="n"/>
      <c r="Q4" s="18" t="n"/>
      <c r="R4" s="18" t="n"/>
      <c r="S4" s="18" t="n"/>
      <c r="T4" s="18" t="n"/>
      <c r="U4" s="18" t="n"/>
      <c r="V4" s="18" t="n"/>
      <c r="W4" s="18" t="n"/>
      <c r="X4" s="18" t="n"/>
    </row>
    <row r="5" ht="20.25" customHeight="1" s="196" thickBot="1">
      <c r="B5" s="127" t="inlineStr">
        <is>
          <t>총 평균</t>
        </is>
      </c>
      <c r="C5" s="129" t="n">
        <v>1</v>
      </c>
      <c r="D5" s="130" t="n">
        <v>15</v>
      </c>
      <c r="O5" s="18" t="n"/>
      <c r="P5" s="18" t="n"/>
      <c r="Q5" s="18" t="n"/>
      <c r="R5" s="18" t="n"/>
      <c r="S5" s="18" t="n"/>
      <c r="T5" s="18" t="n"/>
      <c r="U5" s="18" t="n"/>
      <c r="V5" s="18" t="n"/>
      <c r="W5" s="18" t="n"/>
      <c r="X5" s="18" t="n"/>
    </row>
    <row r="6" ht="19.05" customHeight="1" s="196" thickBot="1">
      <c r="B6" s="127" t="inlineStr">
        <is>
          <t>Linux</t>
        </is>
      </c>
      <c r="C6" s="131" t="n">
        <v>1</v>
      </c>
      <c r="D6" s="130" t="n">
        <v>15</v>
      </c>
      <c r="O6" s="18" t="n"/>
      <c r="P6" s="18" t="n"/>
      <c r="Q6" s="18" t="n"/>
      <c r="R6" s="18" t="n"/>
      <c r="S6" s="18" t="n"/>
      <c r="T6" s="18" t="n"/>
      <c r="U6" s="18" t="n"/>
      <c r="V6" s="18" t="n"/>
      <c r="W6" s="18" t="n"/>
      <c r="X6" s="18" t="n"/>
    </row>
    <row r="7" ht="19.05" customHeight="1" s="196" thickBot="1">
      <c r="B7" s="132" t="n"/>
      <c r="C7" s="132" t="n"/>
      <c r="D7" s="132" t="n"/>
      <c r="O7" s="18" t="n"/>
      <c r="P7" s="18" t="n"/>
      <c r="Q7" s="18" t="n"/>
      <c r="R7" s="18" t="n"/>
      <c r="S7" s="18" t="n"/>
      <c r="T7" s="18" t="n"/>
      <c r="U7" s="18" t="n"/>
      <c r="V7" s="18" t="n"/>
      <c r="W7" s="18" t="n"/>
      <c r="X7" s="18" t="n"/>
    </row>
    <row r="8" ht="19.05" customHeight="1" s="196" thickBot="1">
      <c r="B8" s="132" t="n"/>
      <c r="C8" s="132" t="n"/>
      <c r="D8" s="132" t="n"/>
      <c r="O8" s="18" t="n"/>
      <c r="P8" s="18" t="n"/>
      <c r="Q8" s="18" t="n"/>
      <c r="R8" s="18" t="n"/>
      <c r="S8" s="18" t="n"/>
      <c r="T8" s="18" t="n"/>
      <c r="U8" s="18" t="n"/>
      <c r="V8" s="18" t="n"/>
      <c r="W8" s="18" t="n"/>
      <c r="X8" s="18" t="n"/>
    </row>
    <row r="9" ht="19.05" customHeight="1" s="196" thickBot="1">
      <c r="B9" s="132" t="n"/>
      <c r="C9" s="132" t="n"/>
      <c r="D9" s="132" t="n"/>
      <c r="O9" s="18" t="n"/>
      <c r="P9" s="18" t="n"/>
      <c r="Q9" s="18" t="n"/>
      <c r="R9" s="18" t="n"/>
      <c r="S9" s="18" t="n"/>
      <c r="T9" s="18" t="n"/>
      <c r="U9" s="18" t="n"/>
      <c r="V9" s="18" t="n"/>
      <c r="W9" s="18" t="n"/>
      <c r="X9" s="18" t="n"/>
    </row>
    <row r="10" ht="19.05" customHeight="1" s="196" thickBot="1">
      <c r="B10" s="132" t="n"/>
      <c r="C10" s="132" t="n"/>
      <c r="D10" s="132" t="n"/>
      <c r="O10" s="18" t="n"/>
      <c r="P10" s="18" t="n"/>
      <c r="Q10" s="18" t="n"/>
      <c r="R10" s="18" t="n"/>
      <c r="S10" s="18" t="n"/>
      <c r="T10" s="18" t="n"/>
      <c r="U10" s="18" t="n"/>
      <c r="V10" s="18" t="n"/>
      <c r="W10" s="18" t="n"/>
      <c r="X10" s="18" t="n"/>
    </row>
    <row r="11" ht="19.05" customHeight="1" s="196" thickBot="1">
      <c r="B11" s="132" t="n"/>
      <c r="C11" s="132" t="n"/>
      <c r="D11" s="132" t="n"/>
      <c r="O11" s="18" t="n"/>
      <c r="P11" s="18" t="n"/>
      <c r="Q11" s="18" t="n"/>
      <c r="R11" s="18" t="n"/>
      <c r="S11" s="18" t="n"/>
      <c r="T11" s="18" t="n"/>
      <c r="U11" s="18" t="n"/>
      <c r="V11" s="18" t="n"/>
      <c r="W11" s="18" t="n"/>
      <c r="X11" s="18" t="n"/>
    </row>
    <row r="12" ht="19.05" customHeight="1" s="196" thickBot="1">
      <c r="B12" s="132" t="n"/>
      <c r="C12" s="132" t="n"/>
      <c r="D12" s="132" t="n"/>
    </row>
    <row r="13" ht="19.05" customHeight="1" s="196" thickBot="1">
      <c r="B13" s="132" t="n"/>
      <c r="C13" s="132" t="n"/>
      <c r="D13" s="132" t="n"/>
      <c r="Y13" s="20" t="n"/>
      <c r="Z13" s="20" t="n"/>
      <c r="AA13" s="20" t="n"/>
      <c r="AB13" s="20" t="n"/>
      <c r="AC13" s="20" t="n"/>
      <c r="AD13" s="20" t="n"/>
      <c r="AE13" s="20" t="n"/>
      <c r="AF13" s="20" t="n"/>
      <c r="AG13" s="20" t="n"/>
      <c r="AH13" s="20" t="n"/>
      <c r="AI13" s="20" t="n"/>
      <c r="AM13" s="20" t="n"/>
      <c r="AN13" s="20" t="n"/>
      <c r="AO13" s="20" t="n"/>
      <c r="AP13" s="20" t="n"/>
      <c r="AQ13" s="20" t="n"/>
      <c r="AR13" s="20" t="n"/>
      <c r="AS13" s="20" t="n"/>
      <c r="AT13" s="20" t="n"/>
      <c r="AU13" s="20" t="n"/>
      <c r="AV13" s="20" t="n"/>
      <c r="AW13" s="20" t="n"/>
      <c r="AX13" s="20" t="n"/>
      <c r="AY13" s="20" t="n"/>
      <c r="AZ13" s="20" t="n"/>
      <c r="BA13" s="20" t="n"/>
      <c r="BB13" s="20" t="n"/>
      <c r="BC13" s="20" t="n"/>
      <c r="BD13" s="20" t="n"/>
      <c r="BE13" s="20" t="n"/>
      <c r="BF13" s="20" t="n"/>
      <c r="BG13" s="20" t="n"/>
      <c r="BH13" s="20" t="n"/>
      <c r="BI13" s="20" t="n"/>
      <c r="BJ13" s="20" t="n"/>
      <c r="BK13" s="20" t="n"/>
      <c r="BL13" s="20" t="n"/>
      <c r="BM13" s="20" t="n"/>
      <c r="BN13" s="20" t="n"/>
      <c r="BO13" s="20" t="n"/>
      <c r="BP13" s="20" t="n"/>
      <c r="BQ13" s="20" t="n"/>
      <c r="BR13" s="20" t="n"/>
      <c r="BS13" s="20" t="n"/>
      <c r="BT13" s="20" t="n"/>
      <c r="BU13" s="20" t="n"/>
      <c r="BV13" s="20" t="n"/>
      <c r="BW13" s="20" t="n"/>
      <c r="BX13" s="20" t="n"/>
      <c r="BY13" s="20" t="n"/>
      <c r="BZ13" s="20" t="n"/>
      <c r="CA13" s="20" t="n"/>
      <c r="CB13" s="20" t="n"/>
      <c r="CC13" s="20" t="n"/>
      <c r="CD13" s="20" t="n"/>
    </row>
    <row r="14" ht="19.05" customHeight="1" s="196" thickBot="1">
      <c r="B14" s="132" t="n"/>
      <c r="C14" s="132" t="n"/>
      <c r="D14" s="132" t="n"/>
    </row>
    <row r="15" ht="19.05" customHeight="1" s="196" thickBot="1">
      <c r="B15" s="132" t="n"/>
      <c r="C15" s="132" t="n"/>
      <c r="D15" s="132" t="n"/>
      <c r="Y15" s="21" t="n"/>
      <c r="Z15" s="21" t="n"/>
      <c r="AA15" s="21" t="n"/>
      <c r="AB15" s="21" t="n"/>
      <c r="AC15" s="21" t="n"/>
      <c r="AD15" s="21" t="n"/>
      <c r="AE15" s="21" t="n"/>
      <c r="AF15" s="21" t="n"/>
    </row>
    <row r="16" ht="19.05" customHeight="1" s="196" thickBot="1">
      <c r="B16" s="126" t="n"/>
      <c r="C16" s="126" t="n"/>
      <c r="D16" s="126" t="n"/>
      <c r="U16" s="201" t="n"/>
      <c r="V16" s="201" t="n"/>
      <c r="W16" s="201" t="n"/>
      <c r="X16" s="201" t="n"/>
      <c r="Y16" s="22" t="n"/>
      <c r="Z16" s="22" t="n"/>
      <c r="AA16" s="22" t="n"/>
      <c r="AB16" s="22" t="n"/>
      <c r="AC16" s="22" t="n"/>
      <c r="AD16" s="22" t="n"/>
      <c r="AE16" s="22" t="n"/>
      <c r="AF16" s="22" t="n"/>
    </row>
    <row r="17" ht="19.05" customHeight="1" s="196" thickBot="1">
      <c r="B17" s="289" t="inlineStr">
        <is>
          <t>전체</t>
        </is>
      </c>
      <c r="C17" s="290" t="n"/>
      <c r="D17" s="130" t="n">
        <v>15</v>
      </c>
      <c r="U17" s="201" t="n"/>
      <c r="V17" s="201" t="n"/>
      <c r="W17" s="201" t="n"/>
      <c r="X17" s="201" t="n"/>
      <c r="Y17" s="22" t="n"/>
      <c r="Z17" s="22" t="n"/>
      <c r="AA17" s="22" t="n"/>
      <c r="AB17" s="22" t="n"/>
      <c r="AC17" s="22" t="n"/>
      <c r="AD17" s="22" t="n"/>
      <c r="AE17" s="22" t="n"/>
      <c r="AF17" s="22" t="n"/>
      <c r="AJ17" s="23" t="n"/>
      <c r="AK17" s="203" t="n"/>
      <c r="AL17" s="291" t="n"/>
    </row>
    <row r="18" ht="19.05" customHeight="1" s="196" thickBot="1">
      <c r="B18" s="133" t="inlineStr">
        <is>
          <t>안전(85이상)</t>
        </is>
      </c>
      <c r="C18" s="134" t="n">
        <v>1</v>
      </c>
      <c r="D18" s="130" t="n">
        <v>15</v>
      </c>
      <c r="U18" s="201" t="n"/>
      <c r="V18" s="201" t="n"/>
      <c r="W18" s="201" t="n"/>
      <c r="X18" s="201" t="n"/>
      <c r="AJ18" s="23" t="n"/>
      <c r="AK18" s="203" t="n"/>
      <c r="AL18" s="291" t="n"/>
    </row>
    <row r="19" ht="21" customHeight="1" s="196" thickBot="1">
      <c r="B19" s="133" t="inlineStr">
        <is>
          <t>양호(70~85미만)</t>
        </is>
      </c>
      <c r="C19" s="134" t="n">
        <v>0</v>
      </c>
      <c r="D19" s="130" t="n">
        <v>0</v>
      </c>
      <c r="U19" s="201" t="n"/>
      <c r="V19" s="201" t="n"/>
      <c r="W19" s="201" t="n"/>
      <c r="X19" s="201" t="n"/>
      <c r="AJ19" s="23" t="n"/>
      <c r="AK19" s="203" t="n"/>
      <c r="AL19" s="291" t="n"/>
    </row>
    <row r="20" ht="19.05" customHeight="1" s="196" thickBot="1">
      <c r="B20" s="133" t="inlineStr">
        <is>
          <t>취약(70미만)</t>
        </is>
      </c>
      <c r="C20" s="134" t="n">
        <v>0</v>
      </c>
      <c r="D20" s="130" t="n">
        <v>0</v>
      </c>
      <c r="U20" s="201" t="n"/>
      <c r="V20" s="201" t="n"/>
      <c r="W20" s="201" t="n"/>
      <c r="X20" s="201" t="n"/>
      <c r="AJ20" s="23" t="n"/>
      <c r="AK20" s="203" t="n"/>
      <c r="AL20" s="291" t="n"/>
    </row>
    <row r="21" ht="19.05" customHeight="1" s="196" thickBot="1">
      <c r="B21" s="132" t="n"/>
      <c r="C21" s="132" t="n"/>
      <c r="D21" s="132" t="n"/>
      <c r="U21" s="201" t="n"/>
      <c r="V21" s="201" t="n"/>
      <c r="W21" s="201" t="n"/>
      <c r="X21" s="201" t="n"/>
      <c r="AJ21" s="23" t="n"/>
      <c r="AK21" s="203" t="n"/>
      <c r="AL21" s="291" t="n"/>
    </row>
    <row r="22" ht="17.25" customHeight="1" s="196" thickBot="1">
      <c r="B22" s="132" t="n"/>
      <c r="C22" s="132" t="n"/>
      <c r="D22" s="132" t="n"/>
      <c r="U22" s="201" t="n"/>
      <c r="V22" s="201" t="n"/>
      <c r="W22" s="201" t="n"/>
      <c r="X22" s="201" t="n"/>
      <c r="AJ22" s="23" t="n"/>
      <c r="AK22" s="203" t="n"/>
      <c r="AL22" s="291" t="n"/>
    </row>
    <row r="23" ht="17.25" customHeight="1" s="196" thickBot="1">
      <c r="B23" s="132" t="n"/>
      <c r="C23" s="132" t="n"/>
      <c r="D23" s="132" t="n"/>
      <c r="U23" s="201" t="n"/>
      <c r="V23" s="201" t="n"/>
      <c r="W23" s="201" t="n"/>
      <c r="X23" s="201" t="n"/>
      <c r="AJ23" s="23" t="n"/>
      <c r="AK23" s="203" t="n"/>
      <c r="AL23" s="291" t="n"/>
    </row>
    <row r="24" ht="17.25" customHeight="1" s="196" thickBot="1">
      <c r="B24" s="132" t="n"/>
      <c r="C24" s="132" t="n"/>
      <c r="D24" s="132" t="n"/>
      <c r="U24" s="201" t="n"/>
      <c r="V24" s="201" t="n"/>
      <c r="W24" s="201" t="n"/>
      <c r="X24" s="201" t="n"/>
      <c r="AJ24" s="23" t="n"/>
      <c r="AK24" s="203" t="n"/>
      <c r="AL24" s="291" t="n"/>
    </row>
    <row r="25" ht="17.25" customHeight="1" s="196" thickBot="1">
      <c r="B25" s="132" t="n"/>
      <c r="C25" s="132" t="n"/>
      <c r="D25" s="132" t="n"/>
      <c r="U25" s="201" t="n"/>
      <c r="V25" s="201" t="n"/>
      <c r="W25" s="201" t="n"/>
      <c r="X25" s="201" t="n"/>
      <c r="AJ25" s="23" t="n"/>
      <c r="AK25" s="203" t="n"/>
      <c r="AL25" s="291" t="n"/>
    </row>
    <row r="26" ht="17.25" customHeight="1" s="196" thickBot="1">
      <c r="B26" s="132" t="n"/>
      <c r="C26" s="132" t="n"/>
      <c r="D26" s="132" t="n"/>
      <c r="U26" s="201" t="n"/>
      <c r="V26" s="201" t="n"/>
      <c r="W26" s="201" t="n"/>
      <c r="X26" s="201" t="n"/>
      <c r="AJ26" s="23" t="n"/>
      <c r="AK26" s="203" t="n"/>
      <c r="AL26" s="291" t="n"/>
    </row>
    <row r="27" ht="17.25" customHeight="1" s="196" thickBot="1">
      <c r="B27" s="132" t="n"/>
      <c r="C27" s="132" t="n"/>
      <c r="D27" s="132" t="n"/>
      <c r="U27" s="201" t="n"/>
      <c r="V27" s="201" t="n"/>
      <c r="W27" s="201" t="n"/>
      <c r="X27" s="201" t="n"/>
      <c r="AJ27" s="23" t="n"/>
      <c r="AK27" s="203" t="n"/>
      <c r="AL27" s="291" t="n"/>
    </row>
    <row r="28" ht="17.25" customHeight="1" s="196" thickBot="1">
      <c r="B28" s="132" t="n"/>
      <c r="C28" s="132" t="n"/>
      <c r="D28" s="132" t="n"/>
      <c r="U28" s="201" t="n"/>
      <c r="V28" s="201" t="n"/>
      <c r="W28" s="201" t="n"/>
      <c r="X28" s="201" t="n"/>
      <c r="AJ28" s="23" t="n"/>
      <c r="AK28" s="203" t="n"/>
      <c r="AL28" s="291" t="n"/>
    </row>
    <row r="29" ht="17.25" customHeight="1" s="196" thickBot="1">
      <c r="B29" s="132" t="n"/>
      <c r="C29" s="132" t="n"/>
      <c r="D29" s="132" t="n"/>
      <c r="U29" s="201" t="n"/>
      <c r="V29" s="201" t="n"/>
      <c r="W29" s="201" t="n"/>
      <c r="X29" s="201" t="n"/>
      <c r="AJ29" s="23" t="n"/>
      <c r="AK29" s="203" t="n"/>
      <c r="AL29" s="291" t="n"/>
    </row>
    <row r="30" ht="17.25" customHeight="1" s="196" thickBot="1">
      <c r="B30" s="132" t="n"/>
      <c r="C30" s="132" t="n"/>
      <c r="D30" s="132" t="n"/>
      <c r="W30" s="201" t="n"/>
      <c r="X30" s="201" t="n"/>
      <c r="AJ30" s="23" t="n"/>
      <c r="AK30" s="203" t="n"/>
      <c r="AL30" s="291" t="n"/>
    </row>
    <row r="31" ht="17.25" customHeight="1" s="196" thickBot="1">
      <c r="B31" s="132" t="n"/>
      <c r="C31" s="132" t="n"/>
      <c r="D31" s="132" t="n"/>
      <c r="W31" s="201" t="n"/>
      <c r="X31" s="201" t="n"/>
      <c r="AJ31" s="23" t="n"/>
      <c r="AK31" s="203" t="n"/>
      <c r="AL31" s="291" t="n"/>
    </row>
    <row r="32" ht="16.2" customHeight="1" s="196" thickBot="1">
      <c r="B32" s="132" t="n"/>
      <c r="C32" s="132" t="n"/>
      <c r="D32" s="132" t="n"/>
      <c r="W32" s="201" t="n"/>
      <c r="X32" s="201" t="n"/>
    </row>
    <row r="33" ht="13.5" customHeight="1" s="196" thickBot="1">
      <c r="B33" s="132" t="n"/>
      <c r="C33" s="132" t="n"/>
      <c r="D33" s="132" t="n"/>
      <c r="W33" s="201" t="n"/>
      <c r="X33" s="201" t="n"/>
      <c r="AJ33" s="292" t="n"/>
    </row>
    <row r="34" ht="13.5" customHeight="1" s="196" thickBot="1">
      <c r="B34" s="132" t="n"/>
      <c r="C34" s="132" t="n"/>
      <c r="D34" s="132" t="n"/>
      <c r="V34" s="293" t="inlineStr">
        <is>
          <t>Linux</t>
        </is>
      </c>
      <c r="W34" s="216" t="n"/>
      <c r="X34" s="294" t="n"/>
      <c r="AJ34" s="23" t="n"/>
      <c r="AK34" s="23" t="n"/>
      <c r="AL34" s="23" t="n"/>
    </row>
    <row r="35" ht="13.5" customHeight="1" s="196" thickBot="1">
      <c r="B35" s="132" t="n"/>
      <c r="C35" s="132" t="n"/>
      <c r="D35" s="132" t="n"/>
      <c r="V35" s="61" t="inlineStr">
        <is>
          <t>NO.</t>
        </is>
      </c>
      <c r="W35" s="62" t="inlineStr">
        <is>
          <t>Hostname</t>
        </is>
      </c>
      <c r="X35" s="63" t="inlineStr">
        <is>
          <t>점수</t>
        </is>
      </c>
      <c r="AI35" s="23" t="n"/>
      <c r="AJ35" s="203" t="n"/>
      <c r="AK35" s="292" t="n"/>
    </row>
    <row r="36" ht="13.5" customHeight="1" s="196" thickBot="1">
      <c r="B36" s="132" t="n"/>
      <c r="C36" s="132" t="n"/>
      <c r="D36" s="132" t="n"/>
      <c r="V36" s="61" t="n">
        <v>1</v>
      </c>
      <c r="W36" s="6">
        <f>HLOOKUP($V36,'2-2. 요약 진단결과(Linux)'!$F$3:$T$53,2,0)</f>
        <v/>
      </c>
      <c r="X36" s="295">
        <f>HLOOKUP($V36,'2-2. 요약 진단결과(Linux)'!$F$3:$T$53,51,0)</f>
        <v/>
      </c>
      <c r="AI36" s="23" t="n"/>
      <c r="AJ36" s="203" t="n"/>
      <c r="AK36" s="23" t="n"/>
      <c r="AL36" s="23" t="n"/>
      <c r="AM36" s="23" t="n"/>
    </row>
    <row r="37" ht="13.5" customHeight="1" s="196" thickBot="1">
      <c r="B37" s="132" t="n"/>
      <c r="C37" s="132" t="n"/>
      <c r="D37" s="132" t="n"/>
      <c r="V37" s="61" t="n">
        <v>2</v>
      </c>
      <c r="W37" s="6">
        <f>HLOOKUP($V37,'2-2. 요약 진단결과(Linux)'!$F$3:$T$53,2,0)</f>
        <v/>
      </c>
      <c r="X37" s="295">
        <f>HLOOKUP($V37,'2-2. 요약 진단결과(Linux)'!$F$3:$T$53,51,0)</f>
        <v/>
      </c>
      <c r="AI37" s="23" t="n"/>
      <c r="AJ37" s="203" t="n"/>
      <c r="AK37" s="23" t="n"/>
      <c r="AL37" s="203" t="n"/>
      <c r="AM37" s="291" t="n"/>
    </row>
    <row r="38" ht="13.5" customHeight="1" s="196" thickBot="1">
      <c r="B38" s="132" t="n"/>
      <c r="C38" s="132" t="n"/>
      <c r="D38" s="132" t="n"/>
      <c r="V38" s="61" t="n">
        <v>3</v>
      </c>
      <c r="W38" s="6">
        <f>HLOOKUP($V38,'2-2. 요약 진단결과(Linux)'!$F$3:$T$53,2,0)</f>
        <v/>
      </c>
      <c r="X38" s="295">
        <f>HLOOKUP($V38,'2-2. 요약 진단결과(Linux)'!$F$3:$T$53,51,0)</f>
        <v/>
      </c>
      <c r="Y38" s="22" t="n"/>
      <c r="Z38" s="22" t="n"/>
      <c r="AA38" s="22" t="n"/>
      <c r="AB38" s="22" t="n"/>
      <c r="AC38" s="22" t="n"/>
      <c r="AD38" s="22" t="n"/>
      <c r="AE38" s="22" t="n"/>
      <c r="AF38" s="22" t="n"/>
      <c r="AG38" s="22" t="n"/>
      <c r="AH38" s="22" t="n"/>
      <c r="AI38" s="23" t="n"/>
      <c r="AJ38" s="203" t="n"/>
      <c r="AK38" s="23" t="n"/>
      <c r="AL38" s="203" t="n"/>
      <c r="AM38" s="291" t="n"/>
    </row>
    <row r="39" ht="13.5" customHeight="1" s="196" thickBot="1">
      <c r="B39" s="132" t="n"/>
      <c r="C39" s="132" t="n"/>
      <c r="D39" s="132" t="n"/>
      <c r="V39" s="61" t="n">
        <v>4</v>
      </c>
      <c r="W39" s="6">
        <f>HLOOKUP($V39,'2-2. 요약 진단결과(Linux)'!$F$3:$T$53,2,0)</f>
        <v/>
      </c>
      <c r="X39" s="295">
        <f>HLOOKUP($V39,'2-2. 요약 진단결과(Linux)'!$F$3:$T$53,51,0)</f>
        <v/>
      </c>
      <c r="Y39" s="22" t="n"/>
      <c r="Z39" s="22" t="n"/>
      <c r="AA39" s="22" t="n"/>
      <c r="AB39" s="22" t="n"/>
      <c r="AC39" s="22" t="n"/>
      <c r="AD39" s="22" t="n"/>
      <c r="AE39" s="22" t="n"/>
      <c r="AF39" s="22" t="n"/>
      <c r="AG39" s="22" t="n"/>
      <c r="AH39" s="22" t="n"/>
      <c r="AI39" s="23" t="n"/>
      <c r="AJ39" s="203" t="n"/>
      <c r="AK39" s="23" t="n"/>
      <c r="AL39" s="203" t="n"/>
      <c r="AM39" s="291" t="n"/>
    </row>
    <row r="40" ht="13.5" customHeight="1" s="196" thickBot="1">
      <c r="B40" s="132" t="n"/>
      <c r="C40" s="132" t="n"/>
      <c r="D40" s="132" t="n"/>
      <c r="V40" s="61" t="n">
        <v>5</v>
      </c>
      <c r="W40" s="6">
        <f>HLOOKUP($V40,'2-2. 요약 진단결과(Linux)'!$F$3:$T$53,2,0)</f>
        <v/>
      </c>
      <c r="X40" s="295">
        <f>HLOOKUP($V40,'2-2. 요약 진단결과(Linux)'!$F$3:$T$53,51,0)</f>
        <v/>
      </c>
      <c r="Y40" s="22" t="n"/>
      <c r="Z40" s="22" t="n"/>
      <c r="AA40" s="22" t="n"/>
      <c r="AB40" s="22" t="n"/>
      <c r="AC40" s="22" t="n"/>
      <c r="AD40" s="22" t="n"/>
      <c r="AE40" s="22" t="n"/>
      <c r="AF40" s="22" t="n"/>
      <c r="AG40" s="22" t="n"/>
      <c r="AH40" s="22" t="n"/>
      <c r="AI40" s="23" t="n"/>
      <c r="AJ40" s="203" t="n"/>
      <c r="AK40" s="23" t="n"/>
      <c r="AL40" s="203" t="n"/>
      <c r="AM40" s="291" t="n"/>
    </row>
    <row r="41" ht="13.5" customHeight="1" s="196" thickBot="1">
      <c r="B41" s="132" t="n"/>
      <c r="C41" s="132" t="n"/>
      <c r="D41" s="132" t="n"/>
      <c r="V41" s="61" t="n">
        <v>6</v>
      </c>
      <c r="W41" s="6">
        <f>HLOOKUP($V41,'2-2. 요약 진단결과(Linux)'!$F$3:$T$53,2,0)</f>
        <v/>
      </c>
      <c r="X41" s="295">
        <f>HLOOKUP($V41,'2-2. 요약 진단결과(Linux)'!$F$3:$T$53,51,0)</f>
        <v/>
      </c>
      <c r="Y41" s="22" t="n"/>
      <c r="Z41" s="22" t="n"/>
      <c r="AA41" s="22" t="n"/>
      <c r="AB41" s="22" t="n"/>
      <c r="AC41" s="22" t="n"/>
      <c r="AD41" s="22" t="n"/>
      <c r="AE41" s="22" t="n"/>
      <c r="AF41" s="22" t="n"/>
      <c r="AG41" s="22" t="n"/>
      <c r="AH41" s="22" t="n"/>
      <c r="AI41" s="23" t="n"/>
      <c r="AJ41" s="203" t="n"/>
      <c r="AK41" s="23" t="n"/>
      <c r="AL41" s="203" t="n"/>
      <c r="AM41" s="291" t="n"/>
    </row>
    <row r="42" ht="13.5" customHeight="1" s="196" thickBot="1">
      <c r="B42" s="132" t="n"/>
      <c r="C42" s="132" t="n"/>
      <c r="D42" s="132" t="n"/>
      <c r="V42" s="61" t="n">
        <v>7</v>
      </c>
      <c r="W42" s="6">
        <f>HLOOKUP($V42,'2-2. 요약 진단결과(Linux)'!$F$3:$T$53,2,0)</f>
        <v/>
      </c>
      <c r="X42" s="295">
        <f>HLOOKUP($V42,'2-2. 요약 진단결과(Linux)'!$F$3:$T$53,51,0)</f>
        <v/>
      </c>
      <c r="Y42" s="22" t="n"/>
      <c r="Z42" s="22" t="n"/>
      <c r="AA42" s="22" t="n"/>
      <c r="AB42" s="22" t="n"/>
      <c r="AC42" s="22" t="n"/>
      <c r="AD42" s="22" t="n"/>
      <c r="AE42" s="22" t="n"/>
      <c r="AF42" s="22" t="n"/>
      <c r="AG42" s="22" t="n"/>
      <c r="AH42" s="22" t="n"/>
      <c r="AI42" s="23" t="n"/>
      <c r="AJ42" s="203" t="n"/>
      <c r="AK42" s="23" t="n"/>
      <c r="AL42" s="203" t="n"/>
      <c r="AM42" s="291" t="n"/>
    </row>
    <row r="43" ht="13.5" customHeight="1" s="196" thickBot="1">
      <c r="B43" s="132" t="n"/>
      <c r="C43" s="132" t="n"/>
      <c r="D43" s="132" t="n"/>
      <c r="V43" s="61" t="n">
        <v>8</v>
      </c>
      <c r="W43" s="6">
        <f>HLOOKUP($V43,'2-2. 요약 진단결과(Linux)'!$F$3:$T$53,2,0)</f>
        <v/>
      </c>
      <c r="X43" s="295">
        <f>HLOOKUP($V43,'2-2. 요약 진단결과(Linux)'!$F$3:$T$53,51,0)</f>
        <v/>
      </c>
      <c r="AI43" s="23" t="n"/>
      <c r="AJ43" s="203" t="n"/>
      <c r="AK43" s="23" t="n"/>
      <c r="AL43" s="203" t="n"/>
      <c r="AM43" s="291" t="n"/>
    </row>
    <row r="44" ht="13.5" customHeight="1" s="196" thickBot="1">
      <c r="B44" s="132" t="n"/>
      <c r="C44" s="132" t="n"/>
      <c r="D44" s="132" t="n"/>
      <c r="V44" s="61" t="n">
        <v>9</v>
      </c>
      <c r="W44" s="6">
        <f>HLOOKUP($V44,'2-2. 요약 진단결과(Linux)'!$F$3:$T$53,2,0)</f>
        <v/>
      </c>
      <c r="X44" s="295">
        <f>HLOOKUP($V44,'2-2. 요약 진단결과(Linux)'!$F$3:$T$53,51,0)</f>
        <v/>
      </c>
      <c r="AI44" s="23" t="n"/>
      <c r="AJ44" s="203" t="n"/>
      <c r="AK44" s="23" t="n"/>
      <c r="AL44" s="203" t="n"/>
      <c r="AM44" s="291" t="n"/>
    </row>
    <row r="45" ht="13.5" customHeight="1" s="196" thickBot="1">
      <c r="B45" s="132" t="n"/>
      <c r="C45" s="132" t="n"/>
      <c r="D45" s="132" t="n"/>
      <c r="V45" s="61" t="n">
        <v>10</v>
      </c>
      <c r="W45" s="6">
        <f>HLOOKUP($V45,'2-2. 요약 진단결과(Linux)'!$F$3:$T$53,2,0)</f>
        <v/>
      </c>
      <c r="X45" s="295">
        <f>HLOOKUP($V45,'2-2. 요약 진단결과(Linux)'!$F$3:$T$53,51,0)</f>
        <v/>
      </c>
      <c r="AI45" s="23" t="n"/>
      <c r="AJ45" s="203" t="n"/>
      <c r="AK45" s="23" t="n"/>
      <c r="AL45" s="203" t="n"/>
      <c r="AM45" s="291" t="n"/>
    </row>
    <row r="46" ht="13.5" customHeight="1" s="196" thickBot="1">
      <c r="B46" s="132" t="n"/>
      <c r="C46" s="132" t="n"/>
      <c r="D46" s="132" t="n"/>
      <c r="V46" s="61" t="n">
        <v>11</v>
      </c>
      <c r="W46" s="6">
        <f>HLOOKUP($V46,'2-2. 요약 진단결과(Linux)'!$F$3:$T$53,2,0)</f>
        <v/>
      </c>
      <c r="X46" s="295">
        <f>HLOOKUP($V46,'2-2. 요약 진단결과(Linux)'!$F$3:$T$53,51,0)</f>
        <v/>
      </c>
      <c r="AI46" s="23" t="n"/>
      <c r="AJ46" s="203" t="n"/>
      <c r="AK46" s="23" t="n"/>
      <c r="AL46" s="203" t="n"/>
      <c r="AM46" s="291" t="n"/>
    </row>
    <row r="47" ht="13.5" customHeight="1" s="196" thickBot="1">
      <c r="B47" s="132" t="n"/>
      <c r="C47" s="132" t="n"/>
      <c r="D47" s="132" t="n"/>
      <c r="V47" s="61" t="n">
        <v>12</v>
      </c>
      <c r="W47" s="6">
        <f>HLOOKUP($V47,'2-2. 요약 진단결과(Linux)'!$F$3:$T$53,2,0)</f>
        <v/>
      </c>
      <c r="X47" s="295">
        <f>HLOOKUP($V47,'2-2. 요약 진단결과(Linux)'!$F$3:$T$53,51,0)</f>
        <v/>
      </c>
      <c r="AI47" s="23" t="n"/>
      <c r="AJ47" s="203" t="n"/>
      <c r="AK47" s="23" t="n"/>
      <c r="AL47" s="203" t="n"/>
      <c r="AM47" s="291" t="n"/>
    </row>
    <row r="48" ht="13.5" customHeight="1" s="196" thickBot="1">
      <c r="B48" s="132" t="n"/>
      <c r="C48" s="132" t="n"/>
      <c r="D48" s="132" t="n"/>
      <c r="V48" s="61" t="n">
        <v>13</v>
      </c>
      <c r="W48" s="6">
        <f>HLOOKUP($V48,'2-2. 요약 진단결과(Linux)'!$F$3:$T$53,2,0)</f>
        <v/>
      </c>
      <c r="X48" s="295">
        <f>HLOOKUP($V48,'2-2. 요약 진단결과(Linux)'!$F$3:$T$53,51,0)</f>
        <v/>
      </c>
      <c r="AI48" s="23" t="n"/>
      <c r="AJ48" s="203" t="n"/>
      <c r="AK48" s="23" t="n"/>
      <c r="AL48" s="203" t="n"/>
      <c r="AM48" s="291" t="n"/>
    </row>
    <row r="49" ht="13.5" customHeight="1" s="196" thickBot="1">
      <c r="B49" s="132" t="n"/>
      <c r="C49" s="132" t="n"/>
      <c r="D49" s="132" t="n"/>
      <c r="V49" s="61" t="n">
        <v>14</v>
      </c>
      <c r="W49" s="6">
        <f>HLOOKUP($V49,'2-2. 요약 진단결과(Linux)'!$F$3:$T$53,2,0)</f>
        <v/>
      </c>
      <c r="X49" s="295">
        <f>HLOOKUP($V49,'2-2. 요약 진단결과(Linux)'!$F$3:$T$53,51,0)</f>
        <v/>
      </c>
      <c r="AI49" s="23" t="n"/>
      <c r="AJ49" s="203" t="n"/>
      <c r="AK49" s="23" t="n"/>
      <c r="AL49" s="203" t="n"/>
      <c r="AM49" s="291" t="n"/>
    </row>
    <row r="50" ht="13.5" customHeight="1" s="196" thickBot="1">
      <c r="B50" s="132" t="n"/>
      <c r="C50" s="132" t="n"/>
      <c r="D50" s="132" t="n"/>
      <c r="V50" s="105" t="n">
        <v>15</v>
      </c>
      <c r="W50" s="36">
        <f>HLOOKUP($V50,'2-2. 요약 진단결과(Linux)'!$F$3:$T$53,2,0)</f>
        <v/>
      </c>
      <c r="X50" s="296">
        <f>HLOOKUP($V50,'2-2. 요약 진단결과(Linux)'!$F$3:$T$53,51,0)</f>
        <v/>
      </c>
      <c r="AI50" s="23" t="n"/>
      <c r="AJ50" s="203" t="n"/>
      <c r="AK50" s="23" t="n"/>
      <c r="AL50" s="203" t="n"/>
      <c r="AM50" s="291" t="n"/>
    </row>
    <row r="51" ht="13.5" customHeight="1" s="196" thickBot="1">
      <c r="B51" s="132" t="n"/>
      <c r="C51" s="132" t="n"/>
      <c r="D51" s="132" t="n"/>
      <c r="X51" s="201" t="n"/>
      <c r="AI51" s="23" t="n"/>
      <c r="AJ51" s="203" t="n"/>
      <c r="AK51" s="291" t="n"/>
    </row>
    <row r="52" ht="13.5" customHeight="1" s="196" thickBot="1">
      <c r="B52" s="132" t="n"/>
      <c r="C52" s="132" t="n"/>
      <c r="D52" s="132" t="n"/>
      <c r="W52" s="23" t="n"/>
      <c r="X52" s="201" t="n"/>
      <c r="AI52" s="23" t="n"/>
      <c r="AJ52" s="203" t="n"/>
      <c r="AK52" s="291" t="n"/>
    </row>
    <row r="53" ht="13.5" customHeight="1" s="196" thickBot="1">
      <c r="B53" s="132" t="n"/>
      <c r="C53" s="132" t="n"/>
      <c r="D53" s="132" t="n"/>
      <c r="W53" s="23" t="n"/>
      <c r="X53" s="201" t="n"/>
      <c r="AI53" s="23" t="n"/>
      <c r="AJ53" s="203" t="n"/>
      <c r="AK53" s="291" t="n"/>
    </row>
    <row r="54" ht="13.5" customHeight="1" s="196" thickBot="1">
      <c r="B54" s="132" t="n"/>
      <c r="C54" s="132" t="n"/>
      <c r="D54" s="132" t="n"/>
      <c r="W54" s="23" t="n"/>
      <c r="X54" s="201" t="n"/>
      <c r="AI54" s="23" t="n"/>
      <c r="AJ54" s="203" t="n"/>
      <c r="AK54" s="291" t="n"/>
    </row>
    <row r="55" ht="13.5" customHeight="1" s="196" thickBot="1">
      <c r="B55" s="132" t="n"/>
      <c r="C55" s="132" t="n"/>
      <c r="D55" s="132" t="n"/>
      <c r="W55" s="23" t="n"/>
      <c r="X55" s="201" t="n"/>
    </row>
    <row r="56" ht="13.5" customHeight="1" s="196" thickBot="1">
      <c r="B56" s="132" t="n"/>
      <c r="C56" s="132" t="n"/>
      <c r="D56" s="132" t="n"/>
      <c r="W56" s="23" t="n"/>
    </row>
    <row r="57" ht="13.5" customHeight="1" s="196" thickBot="1">
      <c r="B57" s="132" t="n"/>
      <c r="C57" s="132" t="n"/>
      <c r="D57" s="132" t="n"/>
      <c r="W57" s="23" t="n"/>
    </row>
    <row r="58" ht="13.5" customHeight="1" s="196" thickBot="1">
      <c r="B58" s="132" t="n"/>
      <c r="C58" s="132" t="n"/>
      <c r="D58" s="132" t="n"/>
      <c r="W58" s="23" t="n"/>
    </row>
    <row r="59" ht="13.5" customHeight="1" s="196" thickBot="1">
      <c r="B59" s="132" t="n"/>
      <c r="C59" s="132" t="n"/>
      <c r="D59" s="132" t="n"/>
      <c r="W59" s="23" t="n"/>
    </row>
    <row r="60" ht="13.5" customHeight="1" s="196" thickBot="1">
      <c r="B60" s="132" t="n"/>
      <c r="C60" s="132" t="n"/>
      <c r="D60" s="132" t="n"/>
      <c r="W60" s="23" t="n"/>
    </row>
    <row r="61" ht="13.5" customHeight="1" s="196" thickBot="1">
      <c r="B61" s="132" t="n"/>
      <c r="C61" s="132" t="n"/>
      <c r="D61" s="132" t="n"/>
      <c r="W61" s="23" t="n"/>
    </row>
    <row r="62" ht="13.5" customHeight="1" s="196" thickBot="1">
      <c r="B62" s="132" t="n"/>
      <c r="C62" s="132" t="n"/>
      <c r="D62" s="132" t="n"/>
      <c r="W62" s="23" t="n"/>
    </row>
    <row r="63" ht="13.5" customHeight="1" s="196" thickBot="1">
      <c r="B63" s="132" t="n"/>
      <c r="C63" s="132" t="n"/>
      <c r="D63" s="132" t="n"/>
      <c r="W63" s="23" t="n"/>
    </row>
    <row r="64" ht="13.5" customHeight="1" s="196" thickBot="1">
      <c r="B64" s="132" t="n"/>
      <c r="C64" s="132" t="n"/>
      <c r="D64" s="132" t="n"/>
      <c r="W64" s="23" t="n"/>
    </row>
    <row r="65" ht="13.5" customHeight="1" s="196" thickBot="1">
      <c r="B65" s="132" t="n"/>
      <c r="C65" s="132" t="n"/>
      <c r="D65" s="132" t="n"/>
    </row>
    <row r="66" ht="13.5" customHeight="1" s="196" thickBot="1">
      <c r="B66" s="132" t="n"/>
      <c r="C66" s="132" t="n"/>
      <c r="D66" s="132" t="n"/>
    </row>
    <row r="67" ht="13.5" customHeight="1" s="196" thickBot="1">
      <c r="B67" s="132" t="n"/>
      <c r="C67" s="132" t="n"/>
      <c r="D67" s="132" t="n"/>
    </row>
    <row r="68" ht="13.5" customHeight="1" s="196" thickBot="1">
      <c r="B68" s="132" t="n"/>
      <c r="C68" s="132" t="n"/>
      <c r="D68" s="132" t="n"/>
      <c r="V68" s="201" t="n"/>
    </row>
    <row r="69" ht="13.5" customHeight="1" s="196" thickBot="1">
      <c r="B69" s="132" t="n"/>
      <c r="C69" s="132" t="n"/>
      <c r="D69" s="132" t="n"/>
      <c r="V69" s="201" t="n"/>
    </row>
    <row r="70" ht="13.5" customHeight="1" s="196" thickBot="1">
      <c r="B70" s="126" t="n"/>
      <c r="C70" s="126" t="n"/>
      <c r="D70" s="126" t="n"/>
      <c r="V70" s="201" t="n"/>
    </row>
    <row r="71" ht="13.5" customHeight="1" s="196" thickBot="1">
      <c r="B71" s="133" t="inlineStr">
        <is>
          <t>진단 도메인</t>
        </is>
      </c>
      <c r="C71" s="135" t="inlineStr">
        <is>
          <t>평균 점수</t>
        </is>
      </c>
      <c r="D71" s="135" t="inlineStr">
        <is>
          <t>총 평균</t>
        </is>
      </c>
      <c r="U71" s="201" t="n"/>
      <c r="V71" s="201" t="n"/>
    </row>
    <row r="72" ht="13.5" customHeight="1" s="196" thickBot="1">
      <c r="B72" s="133" t="inlineStr">
        <is>
          <t>1. 계정관리</t>
        </is>
      </c>
      <c r="C72" s="134" t="n">
        <v>1</v>
      </c>
      <c r="D72" s="134" t="n">
        <v>1</v>
      </c>
      <c r="U72" s="201" t="n"/>
      <c r="V72" s="201" t="n"/>
    </row>
    <row r="73" ht="13.5" customHeight="1" s="196" thickBot="1">
      <c r="B73" s="133" t="inlineStr">
        <is>
          <t>2. 파일 시스템</t>
        </is>
      </c>
      <c r="C73" s="134" t="n">
        <v>1</v>
      </c>
      <c r="D73" s="134" t="n">
        <v>1</v>
      </c>
      <c r="U73" s="201" t="n"/>
      <c r="V73" s="201" t="n"/>
    </row>
    <row r="74" ht="13.5" customHeight="1" s="196" thickBot="1">
      <c r="B74" s="133" t="inlineStr">
        <is>
          <t>3. 네트워크 서비스</t>
        </is>
      </c>
      <c r="C74" s="134" t="n">
        <v>1</v>
      </c>
      <c r="D74" s="134" t="n">
        <v>1</v>
      </c>
      <c r="U74" s="201" t="n"/>
      <c r="V74" s="201" t="n"/>
    </row>
    <row r="75" ht="13.5" customHeight="1" s="196" thickBot="1">
      <c r="B75" s="133" t="inlineStr">
        <is>
          <t>4. 로그관리</t>
        </is>
      </c>
      <c r="C75" s="134" t="n">
        <v>1</v>
      </c>
      <c r="D75" s="134" t="n">
        <v>1</v>
      </c>
      <c r="U75" s="201" t="n"/>
      <c r="V75" s="201" t="n"/>
    </row>
    <row r="76" ht="13.5" customHeight="1" s="196" thickBot="1">
      <c r="B76" s="133" t="inlineStr">
        <is>
          <t>5. 주요 응용 설정</t>
        </is>
      </c>
      <c r="C76" s="134" t="n">
        <v>1</v>
      </c>
      <c r="D76" s="134" t="n">
        <v>1</v>
      </c>
      <c r="U76" s="201" t="n"/>
      <c r="V76" s="201" t="n"/>
    </row>
    <row r="77" ht="14.25" customHeight="1" s="196" thickBot="1">
      <c r="B77" s="133" t="inlineStr">
        <is>
          <t>6. 보안 패치</t>
        </is>
      </c>
      <c r="C77" s="134" t="n">
        <v>1</v>
      </c>
      <c r="D77" s="134" t="n">
        <v>1</v>
      </c>
      <c r="U77" s="201" t="n"/>
      <c r="V77" s="201" t="n"/>
    </row>
    <row r="78" ht="16.2" customHeight="1" s="196" thickBot="1">
      <c r="B78" s="132" t="n"/>
      <c r="C78" s="132" t="n"/>
      <c r="D78" s="132" t="n"/>
      <c r="U78" s="80" t="n"/>
      <c r="V78" s="297" t="n"/>
    </row>
    <row r="79" ht="16.2" customHeight="1" s="196" thickBot="1">
      <c r="B79" s="132" t="n"/>
      <c r="C79" s="132" t="n"/>
      <c r="D79" s="132" t="n"/>
      <c r="U79" s="80" t="n"/>
      <c r="V79" s="297" t="n"/>
    </row>
    <row r="80" ht="16.2" customHeight="1" s="196" thickBot="1">
      <c r="B80" s="132" t="n"/>
      <c r="C80" s="132" t="n"/>
      <c r="D80" s="132" t="n"/>
    </row>
    <row r="81" ht="16.2" customHeight="1" s="196" thickBot="1">
      <c r="B81" s="132" t="n"/>
      <c r="C81" s="132" t="n"/>
      <c r="D81" s="132" t="n"/>
    </row>
    <row r="82" ht="16.2" customHeight="1" s="196" thickBot="1">
      <c r="B82" s="132" t="n"/>
      <c r="C82" s="132" t="n"/>
      <c r="D82" s="132" t="n"/>
    </row>
    <row r="83" ht="16.2" customHeight="1" s="196" thickBot="1">
      <c r="B83" s="132" t="n"/>
      <c r="C83" s="132" t="n"/>
      <c r="D83" s="132" t="n"/>
    </row>
    <row r="84" ht="16.2" customHeight="1" s="196" thickBot="1">
      <c r="B84" s="132" t="n"/>
      <c r="C84" s="132" t="n"/>
      <c r="D84" s="132" t="n"/>
    </row>
    <row r="85" ht="16.2" customHeight="1" s="196" thickBot="1">
      <c r="B85" s="132" t="n"/>
      <c r="C85" s="132" t="n"/>
      <c r="D85" s="132" t="n"/>
    </row>
    <row r="86" ht="16.2" customHeight="1" s="196" thickBot="1">
      <c r="B86" s="132" t="n"/>
      <c r="C86" s="132" t="n"/>
      <c r="D86" s="132" t="n"/>
    </row>
    <row r="87" ht="16.2" customHeight="1" s="196" thickBot="1">
      <c r="B87" s="132" t="n"/>
      <c r="C87" s="132" t="n"/>
      <c r="D87" s="132" t="n"/>
    </row>
    <row r="88" ht="16.2" customHeight="1" s="196" thickBot="1">
      <c r="B88" s="132" t="n"/>
      <c r="C88" s="132" t="n"/>
      <c r="D88" s="132" t="n"/>
    </row>
    <row r="89" ht="16.2" customHeight="1" s="196" thickBot="1">
      <c r="B89" s="132" t="n"/>
      <c r="C89" s="132" t="n"/>
      <c r="D89" s="132" t="n"/>
    </row>
    <row r="90" ht="16.2" customHeight="1" s="196" thickBot="1">
      <c r="B90" s="132" t="n"/>
      <c r="C90" s="132" t="n"/>
      <c r="D90" s="132" t="n"/>
    </row>
  </sheetData>
  <mergeCells count="6">
    <mergeCell ref="V34:X34"/>
    <mergeCell ref="AJ33:AL33"/>
    <mergeCell ref="C1:D1"/>
    <mergeCell ref="B17:C17"/>
    <mergeCell ref="AK35:AM35"/>
    <mergeCell ref="B2:D2"/>
  </mergeCells>
  <conditionalFormatting sqref="A2 E2:O2">
    <cfRule type="cellIs" priority="48" operator="equal" dxfId="2222">
      <formula>"N/A"</formula>
    </cfRule>
  </conditionalFormatting>
  <conditionalFormatting sqref="Y12:AD12">
    <cfRule type="cellIs" priority="15" operator="equal" dxfId="2222">
      <formula>"N/A"</formula>
    </cfRule>
    <cfRule type="cellIs" priority="16" operator="equal" dxfId="2220">
      <formula>"N/A"</formula>
    </cfRule>
    <cfRule type="cellIs" priority="17" operator="equal" dxfId="2220">
      <formula>"""N/A"""</formula>
    </cfRule>
  </conditionalFormatting>
  <conditionalFormatting sqref="AL17:AL31">
    <cfRule type="cellIs" priority="12" operator="equal" dxfId="2222">
      <formula>"N/A"</formula>
    </cfRule>
    <cfRule type="cellIs" priority="13" operator="equal" dxfId="2220">
      <formula>"N/A"</formula>
    </cfRule>
    <cfRule type="cellIs" priority="14" operator="equal" dxfId="2220">
      <formula>"""N/A"""</formula>
    </cfRule>
  </conditionalFormatting>
  <conditionalFormatting sqref="AK51:AK54 AM37:AM50">
    <cfRule type="cellIs" priority="45" operator="equal" dxfId="2222">
      <formula>"N/A"</formula>
    </cfRule>
    <cfRule type="cellIs" priority="46" operator="equal" dxfId="2220">
      <formula>"N/A"</formula>
    </cfRule>
    <cfRule type="cellIs" priority="47" operator="equal" dxfId="2220">
      <formula>"""N/A"""</formula>
    </cfRule>
  </conditionalFormatting>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H19"/>
  <sheetViews>
    <sheetView topLeftCell="C1" workbookViewId="0">
      <selection activeCell="E6" sqref="E6"/>
    </sheetView>
  </sheetViews>
  <sheetFormatPr baseColWidth="8" defaultRowHeight="14.4"/>
  <cols>
    <col width="1.796875" customWidth="1" style="196" min="1" max="1"/>
    <col width="3.796875" customWidth="1" style="196" min="2" max="2"/>
    <col width="14.796875" customWidth="1" style="196" min="3" max="4"/>
    <col width="30" customWidth="1" style="196" min="5" max="5"/>
    <col width="22.8984375" customWidth="1" style="196" min="6" max="6"/>
    <col width="8.296875" customWidth="1" style="196" min="7" max="7"/>
  </cols>
  <sheetData>
    <row r="1" ht="28.5" customHeight="1" s="196">
      <c r="B1" s="298" t="inlineStr">
        <is>
          <t xml:space="preserve">  ※ 진단 대상 리스트 - 서버 6대 (Linux 6대)</t>
        </is>
      </c>
    </row>
    <row r="2" ht="17.1" customHeight="1" s="196">
      <c r="B2" s="213" t="inlineStr">
        <is>
          <t>순번</t>
        </is>
      </c>
      <c r="C2" s="215" t="inlineStr">
        <is>
          <t>진단 대상</t>
        </is>
      </c>
      <c r="D2" s="216" t="n"/>
      <c r="E2" s="216" t="n"/>
      <c r="F2" s="217" t="n"/>
      <c r="G2" s="218" t="inlineStr">
        <is>
          <t>비고</t>
        </is>
      </c>
    </row>
    <row r="3" ht="17.1" customHeight="1" s="196">
      <c r="B3" s="214" t="n"/>
      <c r="C3" s="65" t="inlineStr">
        <is>
          <t>Hostname</t>
        </is>
      </c>
      <c r="D3" s="65" t="inlineStr">
        <is>
          <t>IP Address</t>
        </is>
      </c>
      <c r="E3" s="65" t="inlineStr">
        <is>
          <t>버전정보</t>
        </is>
      </c>
      <c r="F3" s="65" t="inlineStr">
        <is>
          <t>용도</t>
        </is>
      </c>
      <c r="G3" s="219" t="n"/>
    </row>
    <row r="4" ht="16.5" customHeight="1" s="196">
      <c r="B4" s="220" t="inlineStr">
        <is>
          <t>Linux</t>
        </is>
      </c>
      <c r="C4" s="221" t="n"/>
      <c r="D4" s="221" t="n"/>
      <c r="E4" s="221" t="n"/>
      <c r="F4" s="221" t="n"/>
      <c r="G4" s="222" t="n"/>
      <c r="H4" s="29" t="n"/>
    </row>
    <row r="5" ht="16.5" customHeight="1" s="196">
      <c r="B5" s="55" t="n">
        <v>1</v>
      </c>
      <c r="C5" s="12" t="n"/>
      <c r="D5" s="27" t="n"/>
      <c r="E5" s="27" t="n"/>
      <c r="F5" s="27" t="n"/>
      <c r="G5" s="56" t="n"/>
      <c r="H5" s="29" t="n"/>
    </row>
    <row r="6" ht="16.2" customHeight="1" s="196">
      <c r="B6" s="76" t="n"/>
      <c r="C6" s="77" t="n"/>
      <c r="D6" s="78" t="n"/>
      <c r="E6" s="27" t="n"/>
      <c r="F6" s="27" t="n"/>
      <c r="G6" s="79" t="n"/>
      <c r="H6" s="29" t="n"/>
    </row>
    <row r="7" ht="16.5" customHeight="1" s="196">
      <c r="B7" s="76" t="n"/>
      <c r="C7" s="77" t="n"/>
      <c r="D7" s="78" t="n"/>
      <c r="E7" s="27" t="n"/>
      <c r="F7" s="27" t="n"/>
      <c r="G7" s="79" t="n"/>
      <c r="H7" s="29" t="n"/>
    </row>
    <row r="8" ht="16.5" customHeight="1" s="196">
      <c r="B8" s="55" t="n"/>
      <c r="C8" s="77" t="n"/>
      <c r="D8" s="78" t="n"/>
      <c r="E8" s="27" t="n"/>
      <c r="F8" s="27" t="n"/>
      <c r="G8" s="79" t="n"/>
      <c r="H8" s="29" t="n"/>
    </row>
    <row r="9" ht="16.5" customHeight="1" s="196">
      <c r="B9" s="76" t="n"/>
      <c r="C9" s="77" t="n"/>
      <c r="D9" s="78" t="n"/>
      <c r="E9" s="27" t="n"/>
      <c r="F9" s="27" t="n"/>
      <c r="G9" s="79" t="n"/>
      <c r="H9" s="29" t="n"/>
    </row>
    <row r="10" ht="16.5" customHeight="1" s="196">
      <c r="B10" s="76" t="n"/>
      <c r="C10" s="77" t="n"/>
      <c r="D10" s="78" t="n"/>
      <c r="E10" s="27" t="n"/>
      <c r="F10" s="27" t="n"/>
      <c r="G10" s="79" t="n"/>
      <c r="H10" s="29" t="n"/>
    </row>
    <row r="11" ht="16.5" customHeight="1" s="196">
      <c r="B11" s="55" t="n"/>
      <c r="C11" s="77" t="n"/>
      <c r="D11" s="78" t="n"/>
      <c r="E11" s="27" t="n"/>
      <c r="F11" s="27" t="n"/>
      <c r="G11" s="79" t="n"/>
      <c r="H11" s="29" t="n"/>
    </row>
    <row r="12" ht="16.5" customHeight="1" s="196">
      <c r="B12" s="76" t="n"/>
      <c r="C12" s="77" t="n"/>
      <c r="D12" s="78" t="n"/>
      <c r="E12" s="27" t="n"/>
      <c r="F12" s="27" t="n"/>
      <c r="G12" s="79" t="n"/>
      <c r="H12" s="29" t="n"/>
    </row>
    <row r="13" ht="16.5" customHeight="1" s="196">
      <c r="B13" s="76" t="n"/>
      <c r="C13" s="77" t="n"/>
      <c r="D13" s="78" t="n"/>
      <c r="E13" s="27" t="n"/>
      <c r="F13" s="27" t="n"/>
      <c r="G13" s="79" t="n"/>
      <c r="H13" s="29" t="n"/>
    </row>
    <row r="14" ht="16.5" customHeight="1" s="196">
      <c r="B14" s="55" t="n"/>
      <c r="C14" s="77" t="n"/>
      <c r="D14" s="78" t="n"/>
      <c r="E14" s="27" t="n"/>
      <c r="F14" s="27" t="n"/>
      <c r="G14" s="79" t="n"/>
      <c r="H14" s="29" t="n"/>
    </row>
    <row r="15" ht="16.5" customHeight="1" s="196">
      <c r="B15" s="76" t="n"/>
      <c r="C15" s="77" t="n"/>
      <c r="D15" s="78" t="n"/>
      <c r="E15" s="27" t="n"/>
      <c r="F15" s="27" t="n"/>
      <c r="G15" s="79" t="n"/>
      <c r="H15" s="29" t="n"/>
    </row>
    <row r="16" ht="16.5" customHeight="1" s="196">
      <c r="B16" s="76" t="n"/>
      <c r="C16" s="77" t="n"/>
      <c r="D16" s="78" t="n"/>
      <c r="E16" s="27" t="n"/>
      <c r="F16" s="27" t="n"/>
      <c r="G16" s="79" t="n"/>
      <c r="H16" s="29" t="n"/>
    </row>
    <row r="17" ht="16.5" customHeight="1" s="196">
      <c r="B17" s="55" t="n"/>
      <c r="C17" s="77" t="n"/>
      <c r="D17" s="78" t="n"/>
      <c r="E17" s="27" t="n"/>
      <c r="F17" s="27" t="n"/>
      <c r="G17" s="79" t="n"/>
      <c r="H17" s="29" t="n"/>
    </row>
    <row r="18" ht="15.6" customHeight="1" s="196">
      <c r="B18" s="76" t="n"/>
      <c r="C18" s="77" t="n"/>
      <c r="D18" s="78" t="n"/>
      <c r="E18" s="27" t="n"/>
      <c r="F18" s="27" t="n"/>
      <c r="G18" s="79" t="n"/>
      <c r="H18" s="29" t="n"/>
    </row>
    <row r="19" ht="16.5" customHeight="1" s="196">
      <c r="B19" s="66" t="n"/>
      <c r="C19" s="50" t="n"/>
      <c r="D19" s="50" t="n"/>
      <c r="E19" s="82" t="n"/>
      <c r="F19" s="50" t="n"/>
      <c r="G19" s="67" t="n"/>
    </row>
  </sheetData>
  <mergeCells count="5">
    <mergeCell ref="B1:G1"/>
    <mergeCell ref="B4:G4"/>
    <mergeCell ref="B2:B3"/>
    <mergeCell ref="C2:F2"/>
    <mergeCell ref="G2:G3"/>
  </mergeCell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R1000"/>
  <sheetViews>
    <sheetView zoomScale="85" zoomScaleNormal="85" workbookViewId="0">
      <selection activeCell="B72" sqref="B72"/>
    </sheetView>
  </sheetViews>
  <sheetFormatPr baseColWidth="8" defaultColWidth="13" defaultRowHeight="15" customHeight="1"/>
  <cols>
    <col width="0.3984375" customWidth="1" style="224" min="1" max="1"/>
    <col width="13.796875" customWidth="1" style="224" min="2" max="2"/>
    <col width="9.296875" customWidth="1" style="224" min="3" max="3"/>
    <col width="5.8984375" customWidth="1" style="224" min="4" max="4"/>
    <col width="3" customWidth="1" style="224" min="5" max="5"/>
    <col width="4.3984375" customWidth="1" style="224" min="6" max="19"/>
    <col width="6" customWidth="1" style="224" min="20" max="20"/>
    <col width="13.796875" customWidth="1" style="224" min="21" max="21"/>
    <col width="5.09765625" customWidth="1" style="224" min="22" max="22"/>
    <col width="7.796875" customWidth="1" style="224" min="23" max="24"/>
    <col width="3.296875" customWidth="1" style="224" min="25" max="25"/>
    <col width="8" customWidth="1" style="224" min="26" max="33"/>
    <col width="1.3984375" customWidth="1" style="224" min="34" max="34"/>
    <col width="8" customWidth="1" style="224" min="35" max="36"/>
    <col width="5.5" customWidth="1" style="224" min="37" max="37"/>
    <col width="4.59765625" customWidth="1" style="224" min="38" max="38"/>
    <col width="17.69921875" customWidth="1" style="224" min="39" max="39"/>
    <col width="6.3984375" customWidth="1" style="224" min="40" max="40"/>
    <col width="8" customWidth="1" style="224" min="41" max="44"/>
    <col width="13" customWidth="1" style="224" min="45" max="16384"/>
  </cols>
  <sheetData>
    <row r="1" ht="6" customHeight="1" s="196">
      <c r="A1" s="136" t="n"/>
      <c r="B1" s="136" t="n"/>
      <c r="C1" s="225" t="n"/>
      <c r="E1" s="136" t="n"/>
      <c r="F1" s="136" t="n"/>
      <c r="G1" s="136" t="n"/>
      <c r="H1" s="136" t="n"/>
      <c r="I1" s="136" t="n"/>
      <c r="J1" s="136" t="n"/>
      <c r="K1" s="136" t="n"/>
      <c r="L1" s="136" t="n"/>
      <c r="M1" s="136" t="n"/>
      <c r="N1" s="136" t="n"/>
      <c r="O1" s="136" t="n"/>
      <c r="P1" s="136" t="n"/>
      <c r="Q1" s="136" t="n"/>
      <c r="R1" s="136" t="n"/>
      <c r="S1" s="136" t="n"/>
      <c r="T1" s="136" t="n"/>
      <c r="U1" s="136" t="n"/>
      <c r="V1" s="136" t="n"/>
      <c r="W1" s="136" t="n"/>
      <c r="X1" s="136" t="n"/>
      <c r="Y1" s="136" t="n"/>
      <c r="Z1" s="136" t="n"/>
      <c r="AA1" s="136" t="n"/>
      <c r="AB1" s="136" t="n"/>
      <c r="AC1" s="136" t="n"/>
      <c r="AD1" s="136" t="n"/>
      <c r="AE1" s="136" t="n"/>
      <c r="AF1" s="136" t="n"/>
      <c r="AG1" s="136" t="n"/>
      <c r="AH1" s="136" t="n"/>
      <c r="AI1" s="136" t="n"/>
      <c r="AJ1" s="136" t="n"/>
      <c r="AK1" s="136" t="n"/>
      <c r="AL1" s="136" t="n"/>
      <c r="AM1" s="136" t="n"/>
      <c r="AN1" s="136" t="n"/>
      <c r="AO1" s="136" t="n"/>
      <c r="AP1" s="136" t="n"/>
      <c r="AQ1" s="136" t="n"/>
      <c r="AR1" s="136" t="n"/>
    </row>
    <row r="2" ht="49.5" customHeight="1" s="196">
      <c r="A2" s="138" t="n"/>
      <c r="B2" s="226" t="inlineStr">
        <is>
          <t xml:space="preserve">  ※ 대상별 평균 점수 그래프</t>
        </is>
      </c>
      <c r="E2" s="139" t="n"/>
      <c r="F2" s="139" t="n"/>
      <c r="G2" s="139" t="n"/>
      <c r="H2" s="139" t="n"/>
      <c r="I2" s="139" t="n"/>
      <c r="J2" s="139" t="n"/>
      <c r="K2" s="139" t="n"/>
      <c r="L2" s="139" t="n"/>
      <c r="M2" s="139" t="n"/>
      <c r="N2" s="139" t="n"/>
      <c r="O2" s="140" t="n"/>
      <c r="P2" s="140" t="n"/>
      <c r="Q2" s="140" t="n"/>
      <c r="R2" s="140" t="n"/>
      <c r="S2" s="140" t="n"/>
      <c r="T2" s="140" t="n"/>
      <c r="U2" s="140" t="n"/>
      <c r="V2" s="140" t="n"/>
      <c r="W2" s="140" t="n"/>
      <c r="X2" s="140" t="n"/>
      <c r="Y2" s="136" t="n"/>
      <c r="Z2" s="136" t="n"/>
      <c r="AA2" s="136" t="n"/>
      <c r="AB2" s="136" t="n"/>
      <c r="AC2" s="136" t="n"/>
      <c r="AD2" s="136" t="n"/>
      <c r="AE2" s="136" t="n"/>
      <c r="AF2" s="136" t="n"/>
      <c r="AG2" s="136" t="n"/>
      <c r="AH2" s="136" t="n"/>
      <c r="AI2" s="136" t="n"/>
      <c r="AJ2" s="136" t="n"/>
      <c r="AK2" s="136" t="n"/>
      <c r="AL2" s="136" t="n"/>
      <c r="AM2" s="136" t="n"/>
      <c r="AN2" s="136" t="n"/>
      <c r="AO2" s="136" t="n"/>
      <c r="AP2" s="136" t="n"/>
      <c r="AQ2" s="136" t="n"/>
      <c r="AR2" s="136" t="n"/>
    </row>
    <row r="3" ht="20.25" customHeight="1" s="196" thickBot="1">
      <c r="A3" s="136" t="n"/>
      <c r="B3" s="136" t="n"/>
      <c r="C3" s="136" t="n"/>
      <c r="D3" s="141" t="n"/>
      <c r="E3" s="141" t="n"/>
      <c r="F3" s="141" t="n"/>
      <c r="G3" s="141" t="n"/>
      <c r="H3" s="141" t="n"/>
      <c r="I3" s="141" t="n"/>
      <c r="J3" s="141" t="n"/>
      <c r="K3" s="141" t="n"/>
      <c r="L3" s="141" t="n"/>
      <c r="M3" s="141" t="n"/>
      <c r="N3" s="141" t="n"/>
      <c r="O3" s="142" t="n"/>
      <c r="P3" s="142" t="n"/>
      <c r="Q3" s="142" t="n"/>
      <c r="R3" s="142" t="n"/>
      <c r="S3" s="142" t="n"/>
      <c r="T3" s="142" t="n"/>
      <c r="U3" s="142" t="n"/>
      <c r="V3" s="142" t="n"/>
      <c r="W3" s="142" t="n"/>
      <c r="X3" s="142" t="n"/>
      <c r="Y3" s="136" t="n"/>
      <c r="Z3" s="136" t="n"/>
      <c r="AA3" s="136" t="n"/>
      <c r="AB3" s="136" t="n"/>
      <c r="AC3" s="136" t="n"/>
      <c r="AD3" s="136" t="n"/>
      <c r="AE3" s="136" t="n"/>
      <c r="AF3" s="136" t="n"/>
      <c r="AG3" s="136" t="n"/>
      <c r="AH3" s="136" t="n"/>
      <c r="AI3" s="136" t="n"/>
      <c r="AJ3" s="136" t="n"/>
      <c r="AK3" s="136" t="n"/>
      <c r="AL3" s="136" t="n"/>
      <c r="AM3" s="136" t="n"/>
      <c r="AN3" s="136" t="n"/>
      <c r="AO3" s="136" t="n"/>
      <c r="AP3" s="136" t="n"/>
      <c r="AQ3" s="136" t="n"/>
      <c r="AR3" s="136" t="n"/>
    </row>
    <row r="4" ht="20.25" customHeight="1" s="196">
      <c r="A4" s="136" t="n"/>
      <c r="B4" s="143" t="inlineStr">
        <is>
          <t>진단 대상</t>
        </is>
      </c>
      <c r="C4" s="144" t="inlineStr">
        <is>
          <t>평균</t>
        </is>
      </c>
      <c r="D4" s="145" t="inlineStr">
        <is>
          <t>수량</t>
        </is>
      </c>
      <c r="E4" s="141" t="n"/>
      <c r="F4" s="141" t="n"/>
      <c r="G4" s="141" t="n"/>
      <c r="H4" s="141" t="n"/>
      <c r="I4" s="141" t="n"/>
      <c r="J4" s="141" t="n"/>
      <c r="K4" s="141" t="n"/>
      <c r="L4" s="141" t="n"/>
      <c r="M4" s="141" t="n"/>
      <c r="N4" s="141" t="n"/>
      <c r="O4" s="142" t="n"/>
      <c r="P4" s="142" t="n"/>
      <c r="Q4" s="142" t="n"/>
      <c r="R4" s="142" t="n"/>
      <c r="S4" s="142" t="n"/>
      <c r="T4" s="142" t="n"/>
      <c r="U4" s="142" t="n"/>
      <c r="V4" s="142" t="n"/>
      <c r="W4" s="142" t="n"/>
      <c r="X4" s="142" t="n"/>
      <c r="Y4" s="136" t="n"/>
      <c r="Z4" s="136" t="n"/>
      <c r="AA4" s="136" t="n"/>
      <c r="AB4" s="136" t="n"/>
      <c r="AC4" s="136" t="n"/>
      <c r="AD4" s="136" t="n"/>
      <c r="AE4" s="136" t="n"/>
      <c r="AF4" s="136" t="n"/>
      <c r="AG4" s="136" t="n"/>
      <c r="AH4" s="136" t="n"/>
      <c r="AI4" s="136" t="n"/>
      <c r="AJ4" s="136" t="n"/>
      <c r="AK4" s="136" t="n"/>
      <c r="AL4" s="136" t="n"/>
      <c r="AM4" s="136" t="n"/>
      <c r="AN4" s="136" t="n"/>
      <c r="AO4" s="136" t="n"/>
      <c r="AP4" s="136" t="n"/>
      <c r="AQ4" s="136" t="n"/>
      <c r="AR4" s="136" t="n"/>
    </row>
    <row r="5" ht="20.25" customHeight="1" s="196">
      <c r="A5" s="136" t="n"/>
      <c r="B5" s="146" t="inlineStr">
        <is>
          <t>총 평균</t>
        </is>
      </c>
      <c r="C5" s="299">
        <f>AVERAGE('2-2. 요약 진단결과(Linux)'!F74:T74)</f>
        <v/>
      </c>
      <c r="D5" s="148">
        <f>SUM(D6:D7)</f>
        <v/>
      </c>
      <c r="E5" s="141" t="n"/>
      <c r="F5" s="141" t="n"/>
      <c r="G5" s="141" t="n"/>
      <c r="H5" s="141" t="n"/>
      <c r="I5" s="141" t="n"/>
      <c r="J5" s="141" t="n"/>
      <c r="K5" s="141" t="n"/>
      <c r="L5" s="141" t="n"/>
      <c r="M5" s="141" t="n"/>
      <c r="N5" s="141" t="n"/>
      <c r="O5" s="142" t="n"/>
      <c r="P5" s="142" t="n"/>
      <c r="Q5" s="142" t="n"/>
      <c r="R5" s="142" t="n"/>
      <c r="S5" s="142" t="n"/>
      <c r="T5" s="142" t="n"/>
      <c r="U5" s="142" t="n"/>
      <c r="V5" s="142" t="n"/>
      <c r="W5" s="142" t="n"/>
      <c r="X5" s="142" t="n"/>
      <c r="Y5" s="136" t="n"/>
      <c r="Z5" s="136" t="n"/>
      <c r="AA5" s="136" t="n"/>
      <c r="AB5" s="136" t="n"/>
      <c r="AC5" s="136" t="n"/>
      <c r="AD5" s="136" t="n"/>
      <c r="AE5" s="136" t="n"/>
      <c r="AF5" s="136" t="n"/>
      <c r="AG5" s="136" t="n"/>
      <c r="AH5" s="136" t="n"/>
      <c r="AI5" s="136" t="n"/>
      <c r="AJ5" s="136" t="n"/>
      <c r="AK5" s="136" t="n"/>
      <c r="AL5" s="136" t="n"/>
      <c r="AM5" s="136" t="n"/>
      <c r="AN5" s="136" t="n"/>
      <c r="AO5" s="136" t="n"/>
      <c r="AP5" s="136" t="n"/>
      <c r="AQ5" s="136" t="n"/>
      <c r="AR5" s="136" t="n"/>
    </row>
    <row r="6" ht="18.75" customHeight="1" s="196" thickBot="1">
      <c r="A6" s="136" t="n"/>
      <c r="B6" s="149" t="inlineStr">
        <is>
          <t>Linux</t>
        </is>
      </c>
      <c r="C6" s="300">
        <f>AVERAGE('2-2. 요약 진단결과(Linux)'!F74:T74)</f>
        <v/>
      </c>
      <c r="D6" s="151">
        <f>COUNTA(V36:V50)</f>
        <v/>
      </c>
      <c r="E6" s="141" t="n"/>
      <c r="F6" s="141" t="n"/>
      <c r="G6" s="141" t="n"/>
      <c r="H6" s="141" t="n"/>
      <c r="I6" s="141" t="n"/>
      <c r="J6" s="141" t="n"/>
      <c r="K6" s="141" t="n"/>
      <c r="L6" s="141" t="n"/>
      <c r="M6" s="141" t="n"/>
      <c r="N6" s="141" t="n"/>
      <c r="O6" s="142" t="n"/>
      <c r="P6" s="142" t="n"/>
      <c r="Q6" s="142" t="n"/>
      <c r="R6" s="142" t="n"/>
      <c r="S6" s="142" t="n"/>
      <c r="T6" s="142" t="n"/>
      <c r="U6" s="142" t="n"/>
      <c r="V6" s="142" t="n"/>
      <c r="W6" s="142" t="n"/>
      <c r="X6" s="142" t="n"/>
      <c r="Y6" s="136" t="n"/>
      <c r="Z6" s="136" t="n"/>
      <c r="AA6" s="136" t="n"/>
      <c r="AB6" s="136" t="n"/>
      <c r="AC6" s="136" t="n"/>
      <c r="AD6" s="136" t="n"/>
      <c r="AE6" s="136" t="n"/>
      <c r="AF6" s="136" t="n"/>
      <c r="AG6" s="136" t="n"/>
      <c r="AH6" s="136" t="n"/>
      <c r="AI6" s="136" t="n"/>
      <c r="AJ6" s="136" t="n"/>
      <c r="AK6" s="136" t="n"/>
      <c r="AL6" s="136" t="n"/>
      <c r="AM6" s="136" t="n"/>
      <c r="AN6" s="136" t="n"/>
      <c r="AO6" s="136" t="n"/>
      <c r="AP6" s="136" t="n"/>
      <c r="AQ6" s="136" t="n"/>
      <c r="AR6" s="136" t="n"/>
    </row>
    <row r="7" ht="18.75" customHeight="1" s="196">
      <c r="A7" s="136" t="n"/>
      <c r="B7" s="136" t="n"/>
      <c r="C7" s="136" t="n"/>
      <c r="D7" s="136" t="n"/>
      <c r="E7" s="141" t="n"/>
      <c r="F7" s="141" t="n"/>
      <c r="G7" s="141" t="n"/>
      <c r="H7" s="141" t="n"/>
      <c r="I7" s="141" t="n"/>
      <c r="J7" s="141" t="n"/>
      <c r="K7" s="141" t="n"/>
      <c r="L7" s="141" t="n"/>
      <c r="M7" s="141" t="n"/>
      <c r="N7" s="141" t="n"/>
      <c r="O7" s="142" t="n"/>
      <c r="P7" s="142" t="n"/>
      <c r="Q7" s="142" t="n"/>
      <c r="R7" s="142" t="n"/>
      <c r="S7" s="142" t="n"/>
      <c r="T7" s="142" t="n"/>
      <c r="U7" s="142" t="n"/>
      <c r="V7" s="142" t="n"/>
      <c r="W7" s="142" t="n"/>
      <c r="X7" s="142" t="n"/>
      <c r="Y7" s="136" t="n"/>
      <c r="Z7" s="136" t="n"/>
      <c r="AA7" s="136" t="n"/>
      <c r="AB7" s="136" t="n"/>
      <c r="AC7" s="136" t="n"/>
      <c r="AD7" s="136" t="n"/>
      <c r="AE7" s="136" t="n"/>
      <c r="AF7" s="136" t="n"/>
      <c r="AG7" s="136" t="n"/>
      <c r="AH7" s="136" t="n"/>
      <c r="AI7" s="136" t="n"/>
      <c r="AJ7" s="136" t="n"/>
      <c r="AK7" s="136" t="n"/>
      <c r="AL7" s="136" t="n"/>
      <c r="AM7" s="136" t="n"/>
      <c r="AN7" s="136" t="n"/>
      <c r="AO7" s="136" t="n"/>
      <c r="AP7" s="136" t="n"/>
      <c r="AQ7" s="136" t="n"/>
      <c r="AR7" s="136" t="n"/>
    </row>
    <row r="8" ht="18.75" customHeight="1" s="196">
      <c r="A8" s="136" t="n"/>
      <c r="B8" s="136" t="n"/>
      <c r="C8" s="136" t="n"/>
      <c r="D8" s="141" t="n"/>
      <c r="E8" s="141" t="n"/>
      <c r="F8" s="141" t="n"/>
      <c r="G8" s="141" t="n"/>
      <c r="H8" s="141" t="n"/>
      <c r="I8" s="141" t="n"/>
      <c r="J8" s="141" t="n"/>
      <c r="K8" s="141" t="n"/>
      <c r="L8" s="141" t="n"/>
      <c r="M8" s="141" t="n"/>
      <c r="N8" s="141" t="n"/>
      <c r="O8" s="142" t="n"/>
      <c r="P8" s="142" t="n"/>
      <c r="Q8" s="142" t="n"/>
      <c r="R8" s="142" t="n"/>
      <c r="S8" s="142" t="n"/>
      <c r="T8" s="142" t="n"/>
      <c r="U8" s="142" t="n"/>
      <c r="V8" s="142" t="n"/>
      <c r="W8" s="142" t="n"/>
      <c r="X8" s="142" t="n"/>
      <c r="Y8" s="136" t="n"/>
      <c r="Z8" s="136" t="n"/>
      <c r="AA8" s="136" t="n"/>
      <c r="AB8" s="136" t="n"/>
      <c r="AC8" s="136" t="n"/>
      <c r="AD8" s="136" t="n"/>
      <c r="AE8" s="136" t="n"/>
      <c r="AF8" s="136" t="n"/>
      <c r="AG8" s="136" t="n"/>
      <c r="AH8" s="136" t="n"/>
      <c r="AI8" s="136" t="n"/>
      <c r="AJ8" s="136" t="n"/>
      <c r="AK8" s="136" t="n"/>
      <c r="AL8" s="136" t="n"/>
      <c r="AM8" s="136" t="n"/>
      <c r="AN8" s="136" t="n"/>
      <c r="AO8" s="136" t="n"/>
      <c r="AP8" s="136" t="n"/>
      <c r="AQ8" s="136" t="n"/>
      <c r="AR8" s="136" t="n"/>
    </row>
    <row r="9" ht="18.75" customHeight="1" s="196">
      <c r="A9" s="136" t="n"/>
      <c r="B9" s="136" t="n"/>
      <c r="C9" s="136" t="n"/>
      <c r="D9" s="141" t="n"/>
      <c r="E9" s="141" t="n"/>
      <c r="F9" s="141" t="n"/>
      <c r="G9" s="141" t="n"/>
      <c r="H9" s="141" t="n"/>
      <c r="I9" s="141" t="n"/>
      <c r="J9" s="141" t="n"/>
      <c r="K9" s="141" t="n"/>
      <c r="L9" s="141" t="n"/>
      <c r="M9" s="141" t="n"/>
      <c r="N9" s="141" t="n"/>
      <c r="O9" s="142" t="n"/>
      <c r="P9" s="142" t="n"/>
      <c r="Q9" s="142" t="n"/>
      <c r="R9" s="142" t="n"/>
      <c r="S9" s="142" t="n"/>
      <c r="T9" s="142" t="n"/>
      <c r="U9" s="142" t="n"/>
      <c r="V9" s="142" t="n"/>
      <c r="W9" s="142" t="n"/>
      <c r="X9" s="142" t="n"/>
      <c r="Y9" s="136" t="n"/>
      <c r="Z9" s="136" t="n"/>
      <c r="AA9" s="136" t="n"/>
      <c r="AB9" s="136" t="n"/>
      <c r="AC9" s="136" t="n"/>
      <c r="AD9" s="136" t="n"/>
      <c r="AE9" s="136" t="n"/>
      <c r="AF9" s="136" t="n"/>
      <c r="AG9" s="136" t="n"/>
      <c r="AH9" s="136" t="n"/>
      <c r="AI9" s="136" t="n"/>
      <c r="AJ9" s="136" t="n"/>
      <c r="AK9" s="136" t="n"/>
      <c r="AL9" s="136" t="n"/>
      <c r="AM9" s="136" t="n"/>
      <c r="AN9" s="136" t="n"/>
      <c r="AO9" s="136" t="n"/>
      <c r="AP9" s="136" t="n"/>
      <c r="AQ9" s="136" t="n"/>
      <c r="AR9" s="136" t="n"/>
    </row>
    <row r="10" ht="18.75" customHeight="1" s="196">
      <c r="A10" s="136" t="n"/>
      <c r="B10" s="136" t="n"/>
      <c r="C10" s="136" t="n"/>
      <c r="D10" s="141" t="n"/>
      <c r="E10" s="141" t="n"/>
      <c r="F10" s="141" t="n"/>
      <c r="G10" s="141" t="n"/>
      <c r="H10" s="141" t="n"/>
      <c r="I10" s="141" t="n"/>
      <c r="J10" s="141" t="n"/>
      <c r="K10" s="141" t="n"/>
      <c r="L10" s="141" t="n"/>
      <c r="M10" s="141" t="n"/>
      <c r="N10" s="141" t="n"/>
      <c r="O10" s="142" t="n"/>
      <c r="P10" s="142" t="n"/>
      <c r="Q10" s="142" t="n"/>
      <c r="R10" s="142" t="n"/>
      <c r="S10" s="142" t="n"/>
      <c r="T10" s="142" t="n"/>
      <c r="U10" s="142" t="n"/>
      <c r="V10" s="142" t="n"/>
      <c r="W10" s="142" t="n"/>
      <c r="X10" s="142" t="n"/>
      <c r="Y10" s="136" t="n"/>
      <c r="Z10" s="136" t="n"/>
      <c r="AA10" s="136" t="n"/>
      <c r="AB10" s="136" t="n"/>
      <c r="AC10" s="136" t="n"/>
      <c r="AD10" s="136" t="n"/>
      <c r="AE10" s="136" t="n"/>
      <c r="AF10" s="136" t="n"/>
      <c r="AG10" s="136" t="n"/>
      <c r="AH10" s="136" t="n"/>
      <c r="AI10" s="136" t="n"/>
      <c r="AJ10" s="136" t="n"/>
      <c r="AK10" s="136" t="n"/>
      <c r="AL10" s="136" t="n"/>
      <c r="AM10" s="136" t="n"/>
      <c r="AN10" s="136" t="n"/>
      <c r="AO10" s="136" t="n"/>
      <c r="AP10" s="136" t="n"/>
      <c r="AQ10" s="136" t="n"/>
      <c r="AR10" s="136" t="n"/>
    </row>
    <row r="11" ht="18.75" customHeight="1" s="196">
      <c r="A11" s="136" t="n"/>
      <c r="B11" s="136" t="n"/>
      <c r="C11" s="136" t="n"/>
      <c r="D11" s="141" t="n"/>
      <c r="E11" s="141" t="n"/>
      <c r="F11" s="141" t="n"/>
      <c r="G11" s="141" t="n"/>
      <c r="H11" s="141" t="n"/>
      <c r="I11" s="141" t="n"/>
      <c r="J11" s="141" t="n"/>
      <c r="K11" s="141" t="n"/>
      <c r="L11" s="141" t="n"/>
      <c r="M11" s="141" t="n"/>
      <c r="N11" s="141" t="n"/>
      <c r="O11" s="142" t="n"/>
      <c r="P11" s="142" t="n"/>
      <c r="Q11" s="142" t="n"/>
      <c r="R11" s="142" t="n"/>
      <c r="S11" s="142" t="n"/>
      <c r="T11" s="142" t="n"/>
      <c r="U11" s="142" t="n"/>
      <c r="V11" s="142" t="n"/>
      <c r="W11" s="142" t="n"/>
      <c r="X11" s="142" t="n"/>
      <c r="Y11" s="136" t="n"/>
      <c r="Z11" s="136" t="n"/>
      <c r="AA11" s="136" t="n"/>
      <c r="AB11" s="136" t="n"/>
      <c r="AC11" s="136" t="n"/>
      <c r="AD11" s="136" t="n"/>
      <c r="AE11" s="136" t="n"/>
      <c r="AF11" s="136" t="n"/>
      <c r="AG11" s="136" t="n"/>
      <c r="AH11" s="136" t="n"/>
      <c r="AI11" s="136" t="n"/>
      <c r="AJ11" s="136" t="n"/>
      <c r="AK11" s="136" t="n"/>
      <c r="AL11" s="136" t="n"/>
      <c r="AM11" s="136" t="n"/>
      <c r="AN11" s="136" t="n"/>
      <c r="AO11" s="136" t="n"/>
      <c r="AP11" s="136" t="n"/>
      <c r="AQ11" s="136" t="n"/>
      <c r="AR11" s="136" t="n"/>
    </row>
    <row r="12" ht="18.75" customHeight="1" s="196">
      <c r="A12" s="136" t="n"/>
      <c r="B12" s="136" t="n"/>
      <c r="C12" s="136" t="n"/>
      <c r="D12" s="141" t="n"/>
      <c r="E12" s="141" t="n"/>
      <c r="F12" s="141" t="n"/>
      <c r="G12" s="141" t="n"/>
      <c r="H12" s="141" t="n"/>
      <c r="I12" s="141" t="n"/>
      <c r="J12" s="141" t="n"/>
      <c r="K12" s="141" t="n"/>
      <c r="L12" s="141" t="n"/>
      <c r="M12" s="141" t="n"/>
      <c r="N12" s="141" t="n"/>
      <c r="O12" s="141" t="n"/>
      <c r="P12" s="141" t="n"/>
      <c r="Q12" s="141" t="n"/>
      <c r="R12" s="141" t="n"/>
      <c r="S12" s="141" t="n"/>
      <c r="T12" s="141" t="n"/>
      <c r="U12" s="141" t="n"/>
      <c r="V12" s="141" t="n"/>
      <c r="W12" s="141" t="n"/>
      <c r="X12" s="141" t="n"/>
      <c r="Y12" s="136" t="n"/>
      <c r="Z12" s="136" t="n"/>
      <c r="AA12" s="136" t="n"/>
      <c r="AB12" s="136" t="n"/>
      <c r="AC12" s="136" t="n"/>
      <c r="AD12" s="136" t="n"/>
      <c r="AE12" s="136" t="n"/>
      <c r="AF12" s="136" t="n"/>
      <c r="AG12" s="136" t="n"/>
      <c r="AH12" s="136" t="n"/>
      <c r="AI12" s="136" t="n"/>
      <c r="AJ12" s="136" t="n"/>
      <c r="AK12" s="136" t="n"/>
      <c r="AL12" s="136" t="n"/>
      <c r="AM12" s="136" t="n"/>
      <c r="AN12" s="136" t="n"/>
      <c r="AO12" s="136" t="n"/>
      <c r="AP12" s="136" t="n"/>
      <c r="AQ12" s="136" t="n"/>
      <c r="AR12" s="136" t="n"/>
    </row>
    <row r="13" ht="18.75" customHeight="1" s="196">
      <c r="A13" s="136" t="n"/>
      <c r="B13" s="136" t="n"/>
      <c r="C13" s="136" t="n"/>
      <c r="D13" s="141" t="n"/>
      <c r="E13" s="141" t="n"/>
      <c r="F13" s="141" t="n"/>
      <c r="G13" s="141" t="n"/>
      <c r="H13" s="141" t="n"/>
      <c r="I13" s="141" t="n"/>
      <c r="J13" s="141" t="n"/>
      <c r="K13" s="141" t="n"/>
      <c r="L13" s="141" t="n"/>
      <c r="M13" s="141" t="n"/>
      <c r="N13" s="141" t="n"/>
      <c r="O13" s="141" t="n"/>
      <c r="P13" s="141" t="n"/>
      <c r="Q13" s="141" t="n"/>
      <c r="R13" s="141" t="n"/>
      <c r="S13" s="141" t="n"/>
      <c r="T13" s="141" t="n"/>
      <c r="U13" s="141" t="n"/>
      <c r="V13" s="141" t="n"/>
      <c r="W13" s="141" t="n"/>
      <c r="X13" s="141" t="n"/>
      <c r="Y13" s="152" t="n"/>
      <c r="Z13" s="152" t="n"/>
      <c r="AA13" s="152" t="n"/>
      <c r="AB13" s="152" t="n"/>
      <c r="AC13" s="152" t="n"/>
      <c r="AD13" s="152" t="n"/>
      <c r="AE13" s="152" t="n"/>
      <c r="AF13" s="152" t="n"/>
      <c r="AG13" s="152" t="n"/>
      <c r="AH13" s="152" t="n"/>
      <c r="AI13" s="152" t="n"/>
      <c r="AJ13" s="136" t="n"/>
      <c r="AK13" s="136" t="n"/>
      <c r="AL13" s="136" t="n"/>
      <c r="AM13" s="152" t="n"/>
      <c r="AN13" s="152" t="n"/>
      <c r="AO13" s="152" t="n"/>
      <c r="AP13" s="152" t="n"/>
      <c r="AQ13" s="152" t="n"/>
      <c r="AR13" s="152" t="n"/>
    </row>
    <row r="14" ht="18.75" customHeight="1" s="196">
      <c r="A14" s="136" t="n"/>
      <c r="B14" s="136" t="n"/>
      <c r="C14" s="136" t="n"/>
      <c r="D14" s="141" t="n"/>
      <c r="E14" s="141" t="n"/>
      <c r="F14" s="141" t="n"/>
      <c r="G14" s="141" t="n"/>
      <c r="H14" s="141" t="n"/>
      <c r="I14" s="141" t="n"/>
      <c r="J14" s="141" t="n"/>
      <c r="K14" s="141" t="n"/>
      <c r="L14" s="141" t="n"/>
      <c r="M14" s="141" t="n"/>
      <c r="N14" s="141" t="n"/>
      <c r="O14" s="141" t="n"/>
      <c r="P14" s="141" t="n"/>
      <c r="Q14" s="141" t="n"/>
      <c r="R14" s="141" t="n"/>
      <c r="S14" s="141" t="n"/>
      <c r="T14" s="141" t="n"/>
      <c r="U14" s="141" t="n"/>
      <c r="V14" s="141" t="n"/>
      <c r="W14" s="141" t="n"/>
      <c r="X14" s="141" t="n"/>
      <c r="Y14" s="136" t="n"/>
      <c r="Z14" s="136" t="n"/>
      <c r="AA14" s="136" t="n"/>
      <c r="AB14" s="136" t="n"/>
      <c r="AC14" s="136" t="n"/>
      <c r="AD14" s="136" t="n"/>
      <c r="AE14" s="136" t="n"/>
      <c r="AF14" s="136" t="n"/>
      <c r="AG14" s="136" t="n"/>
      <c r="AH14" s="136" t="n"/>
      <c r="AI14" s="136" t="n"/>
      <c r="AJ14" s="136" t="n"/>
      <c r="AK14" s="136" t="n"/>
      <c r="AL14" s="136" t="n"/>
      <c r="AM14" s="136" t="n"/>
      <c r="AN14" s="136" t="n"/>
      <c r="AO14" s="136" t="n"/>
      <c r="AP14" s="136" t="n"/>
      <c r="AQ14" s="136" t="n"/>
      <c r="AR14" s="136" t="n"/>
    </row>
    <row r="15" ht="18.75" customHeight="1" s="196">
      <c r="A15" s="136" t="n"/>
      <c r="B15" s="136" t="n"/>
      <c r="C15" s="136" t="n"/>
      <c r="D15" s="141" t="n"/>
      <c r="E15" s="141" t="n"/>
      <c r="F15" s="141" t="n"/>
      <c r="G15" s="141" t="n"/>
      <c r="H15" s="141" t="n"/>
      <c r="I15" s="141" t="n"/>
      <c r="J15" s="141" t="n"/>
      <c r="K15" s="141" t="n"/>
      <c r="L15" s="141" t="n"/>
      <c r="M15" s="141" t="n"/>
      <c r="N15" s="141" t="n"/>
      <c r="O15" s="141" t="n"/>
      <c r="P15" s="141" t="n"/>
      <c r="Q15" s="141" t="n"/>
      <c r="R15" s="141" t="n"/>
      <c r="S15" s="141" t="n"/>
      <c r="T15" s="141" t="n"/>
      <c r="U15" s="141" t="n"/>
      <c r="V15" s="141" t="n"/>
      <c r="W15" s="141" t="n"/>
      <c r="X15" s="141" t="n"/>
      <c r="Y15" s="153" t="n"/>
      <c r="Z15" s="153" t="n"/>
      <c r="AA15" s="153" t="n"/>
      <c r="AB15" s="153" t="n"/>
      <c r="AC15" s="153" t="n"/>
      <c r="AD15" s="153" t="n"/>
      <c r="AE15" s="153" t="n"/>
      <c r="AF15" s="153" t="n"/>
      <c r="AG15" s="136" t="n"/>
      <c r="AH15" s="136" t="n"/>
      <c r="AI15" s="136" t="n"/>
      <c r="AJ15" s="136" t="n"/>
      <c r="AK15" s="136" t="n"/>
      <c r="AL15" s="136" t="n"/>
      <c r="AM15" s="136" t="n"/>
      <c r="AN15" s="136" t="n"/>
      <c r="AO15" s="136" t="n"/>
      <c r="AP15" s="136" t="n"/>
      <c r="AQ15" s="136" t="n"/>
      <c r="AR15" s="136" t="n"/>
    </row>
    <row r="16" ht="18.75" customHeight="1" s="196" thickBot="1">
      <c r="A16" s="136" t="n"/>
      <c r="B16" s="136" t="n"/>
      <c r="C16" s="136" t="n"/>
      <c r="D16" s="141" t="n"/>
      <c r="E16" s="141" t="n"/>
      <c r="F16" s="141" t="n"/>
      <c r="G16" s="141" t="n"/>
      <c r="H16" s="141" t="n"/>
      <c r="I16" s="141" t="n"/>
      <c r="J16" s="141" t="n"/>
      <c r="K16" s="141" t="n"/>
      <c r="L16" s="141" t="n"/>
      <c r="M16" s="141" t="n"/>
      <c r="N16" s="141" t="n"/>
      <c r="O16" s="141" t="n"/>
      <c r="P16" s="141" t="n"/>
      <c r="Q16" s="141" t="n"/>
      <c r="R16" s="141" t="n"/>
      <c r="S16" s="141" t="n"/>
      <c r="T16" s="141" t="n"/>
      <c r="U16" s="136" t="n"/>
      <c r="V16" s="136" t="n"/>
      <c r="W16" s="136" t="n"/>
      <c r="X16" s="136" t="n"/>
      <c r="Y16" s="154" t="n"/>
      <c r="Z16" s="154" t="n"/>
      <c r="AA16" s="154" t="n"/>
      <c r="AB16" s="154" t="n"/>
      <c r="AC16" s="154" t="n"/>
      <c r="AD16" s="154" t="n"/>
      <c r="AE16" s="154" t="n"/>
      <c r="AF16" s="154" t="n"/>
      <c r="AG16" s="136" t="n"/>
      <c r="AH16" s="136" t="n"/>
      <c r="AI16" s="136" t="n"/>
      <c r="AJ16" s="136" t="n"/>
      <c r="AK16" s="136" t="n"/>
      <c r="AL16" s="136" t="n"/>
      <c r="AM16" s="136" t="n"/>
      <c r="AN16" s="136" t="n"/>
      <c r="AO16" s="136" t="n"/>
      <c r="AP16" s="136" t="n"/>
      <c r="AQ16" s="136" t="n"/>
      <c r="AR16" s="136" t="n"/>
    </row>
    <row r="17" ht="18.75" customHeight="1" s="196">
      <c r="A17" s="136" t="n"/>
      <c r="B17" s="170" t="inlineStr">
        <is>
          <t>전체</t>
        </is>
      </c>
      <c r="C17" s="217" t="n"/>
      <c r="D17" s="301">
        <f>COUNTA('1. 진단 대상'!B5:B19)</f>
        <v/>
      </c>
      <c r="E17" s="141" t="n"/>
      <c r="F17" s="141" t="n"/>
      <c r="G17" s="141" t="n"/>
      <c r="H17" s="141" t="n"/>
      <c r="I17" s="141" t="n"/>
      <c r="J17" s="141" t="n"/>
      <c r="K17" s="141" t="n"/>
      <c r="L17" s="141" t="n"/>
      <c r="M17" s="141" t="n"/>
      <c r="N17" s="141" t="n"/>
      <c r="O17" s="141" t="n"/>
      <c r="P17" s="141" t="n"/>
      <c r="Q17" s="141" t="n"/>
      <c r="R17" s="141" t="n"/>
      <c r="S17" s="141" t="n"/>
      <c r="T17" s="141" t="n"/>
      <c r="U17" s="136" t="n"/>
      <c r="V17" s="136" t="n"/>
      <c r="W17" s="136" t="n"/>
      <c r="X17" s="136" t="n"/>
      <c r="Y17" s="154" t="n"/>
      <c r="Z17" s="154" t="n"/>
      <c r="AA17" s="154" t="n"/>
      <c r="AB17" s="154" t="n"/>
      <c r="AC17" s="154" t="n"/>
      <c r="AD17" s="154" t="n"/>
      <c r="AE17" s="154" t="n"/>
      <c r="AF17" s="154" t="n"/>
      <c r="AG17" s="136" t="n"/>
      <c r="AH17" s="136" t="n"/>
      <c r="AI17" s="136" t="n"/>
      <c r="AJ17" s="156" t="n"/>
      <c r="AK17" s="141" t="n"/>
      <c r="AL17" s="302" t="n"/>
      <c r="AM17" s="136" t="n"/>
      <c r="AN17" s="136" t="n"/>
      <c r="AO17" s="136" t="n"/>
      <c r="AP17" s="136" t="n"/>
      <c r="AQ17" s="136" t="n"/>
      <c r="AR17" s="136" t="n"/>
    </row>
    <row r="18" ht="18.75" customHeight="1" s="196">
      <c r="A18" s="136" t="n"/>
      <c r="B18" s="158" t="inlineStr">
        <is>
          <t>안전(85이상)</t>
        </is>
      </c>
      <c r="C18" s="303">
        <f>D18/$D$17</f>
        <v/>
      </c>
      <c r="D18" s="304">
        <f>COUNTIF('2-2. 요약 진단결과(Linux)'!F53:T53,"&gt;=0.85")</f>
        <v/>
      </c>
      <c r="E18" s="141" t="n"/>
      <c r="F18" s="141" t="n"/>
      <c r="G18" s="141" t="n"/>
      <c r="H18" s="141" t="n"/>
      <c r="I18" s="141" t="n"/>
      <c r="J18" s="141" t="n"/>
      <c r="K18" s="141" t="n"/>
      <c r="L18" s="141" t="n"/>
      <c r="M18" s="141" t="n"/>
      <c r="N18" s="141" t="n"/>
      <c r="O18" s="141" t="n"/>
      <c r="P18" s="141" t="n"/>
      <c r="Q18" s="141" t="n"/>
      <c r="R18" s="141" t="n"/>
      <c r="S18" s="141" t="n"/>
      <c r="T18" s="141" t="n"/>
      <c r="U18" s="136" t="n"/>
      <c r="V18" s="136" t="n"/>
      <c r="W18" s="136" t="n"/>
      <c r="X18" s="136" t="n"/>
      <c r="Y18" s="136" t="n"/>
      <c r="Z18" s="136" t="n"/>
      <c r="AA18" s="136" t="n"/>
      <c r="AB18" s="136" t="n"/>
      <c r="AC18" s="136" t="n"/>
      <c r="AD18" s="136" t="n"/>
      <c r="AE18" s="136" t="n"/>
      <c r="AF18" s="136" t="n"/>
      <c r="AG18" s="136" t="n"/>
      <c r="AH18" s="136" t="n"/>
      <c r="AI18" s="136" t="n"/>
      <c r="AJ18" s="156" t="n"/>
      <c r="AK18" s="141" t="n"/>
      <c r="AL18" s="302" t="n"/>
      <c r="AM18" s="136" t="n"/>
      <c r="AN18" s="136" t="n"/>
      <c r="AO18" s="136" t="n"/>
      <c r="AP18" s="136" t="n"/>
      <c r="AQ18" s="136" t="n"/>
      <c r="AR18" s="136" t="n"/>
    </row>
    <row r="19" ht="21" customHeight="1" s="196">
      <c r="A19" s="136" t="n"/>
      <c r="B19" s="158" t="inlineStr">
        <is>
          <t>양호(70~85미만)</t>
        </is>
      </c>
      <c r="C19" s="303">
        <f>D19/$D$17</f>
        <v/>
      </c>
      <c r="D19" s="304">
        <f>D17-(D18+D20)</f>
        <v/>
      </c>
      <c r="E19" s="141" t="n"/>
      <c r="F19" s="141" t="n"/>
      <c r="G19" s="141" t="n"/>
      <c r="H19" s="141" t="n"/>
      <c r="I19" s="141" t="n"/>
      <c r="J19" s="141" t="n"/>
      <c r="K19" s="141" t="n"/>
      <c r="L19" s="141" t="n"/>
      <c r="M19" s="141" t="n"/>
      <c r="N19" s="141" t="n"/>
      <c r="O19" s="141" t="n"/>
      <c r="P19" s="141" t="n"/>
      <c r="Q19" s="141" t="n"/>
      <c r="R19" s="141" t="n"/>
      <c r="S19" s="141" t="n"/>
      <c r="T19" s="141" t="n"/>
      <c r="U19" s="136" t="n"/>
      <c r="V19" s="136" t="n"/>
      <c r="W19" s="136" t="n"/>
      <c r="X19" s="136" t="n"/>
      <c r="Y19" s="136" t="n"/>
      <c r="Z19" s="136" t="n"/>
      <c r="AA19" s="136" t="n"/>
      <c r="AB19" s="136" t="n"/>
      <c r="AC19" s="136" t="n"/>
      <c r="AD19" s="136" t="n"/>
      <c r="AE19" s="136" t="n"/>
      <c r="AF19" s="136" t="n"/>
      <c r="AG19" s="136" t="n"/>
      <c r="AH19" s="136" t="n"/>
      <c r="AI19" s="136" t="n"/>
      <c r="AJ19" s="156" t="n"/>
      <c r="AK19" s="141" t="n"/>
      <c r="AL19" s="302" t="n"/>
      <c r="AM19" s="136" t="n"/>
      <c r="AN19" s="136" t="n"/>
      <c r="AO19" s="136" t="n"/>
      <c r="AP19" s="136" t="n"/>
      <c r="AQ19" s="136" t="n"/>
      <c r="AR19" s="136" t="n"/>
    </row>
    <row r="20" ht="18.75" customHeight="1" s="196" thickBot="1">
      <c r="A20" s="136" t="n"/>
      <c r="B20" s="161" t="inlineStr">
        <is>
          <t>취약(70미만)</t>
        </is>
      </c>
      <c r="C20" s="305">
        <f>D20/$D$17</f>
        <v/>
      </c>
      <c r="D20" s="306">
        <f>COUNTIF('2-2. 요약 진단결과(Linux)'!F53:T53,"&lt;0.7")</f>
        <v/>
      </c>
      <c r="E20" s="141" t="n"/>
      <c r="F20" s="141" t="n"/>
      <c r="G20" s="141" t="n"/>
      <c r="H20" s="141" t="n"/>
      <c r="I20" s="141" t="n"/>
      <c r="J20" s="141" t="n"/>
      <c r="K20" s="141" t="n"/>
      <c r="L20" s="141" t="n"/>
      <c r="M20" s="141" t="n"/>
      <c r="N20" s="141" t="n"/>
      <c r="O20" s="141" t="n"/>
      <c r="P20" s="141" t="n"/>
      <c r="Q20" s="141" t="n"/>
      <c r="R20" s="141" t="n"/>
      <c r="S20" s="141" t="n"/>
      <c r="T20" s="141" t="n"/>
      <c r="U20" s="136" t="n"/>
      <c r="V20" s="136" t="n"/>
      <c r="W20" s="136" t="n"/>
      <c r="X20" s="136" t="n"/>
      <c r="Y20" s="136" t="n"/>
      <c r="Z20" s="136" t="n"/>
      <c r="AA20" s="136" t="n"/>
      <c r="AB20" s="136" t="n"/>
      <c r="AC20" s="136" t="n"/>
      <c r="AD20" s="136" t="n"/>
      <c r="AE20" s="136" t="n"/>
      <c r="AF20" s="136" t="n"/>
      <c r="AG20" s="136" t="n"/>
      <c r="AH20" s="136" t="n"/>
      <c r="AI20" s="136" t="n"/>
      <c r="AJ20" s="156" t="n"/>
      <c r="AK20" s="141" t="n"/>
      <c r="AL20" s="302" t="n"/>
      <c r="AM20" s="136" t="n"/>
      <c r="AN20" s="136" t="n"/>
      <c r="AO20" s="136" t="n"/>
      <c r="AP20" s="136" t="n"/>
      <c r="AQ20" s="136" t="n"/>
      <c r="AR20" s="136" t="n"/>
    </row>
    <row r="21" ht="18.75" customHeight="1" s="196">
      <c r="A21" s="136" t="n"/>
      <c r="B21" s="136" t="n"/>
      <c r="C21" s="136" t="n"/>
      <c r="D21" s="141" t="n"/>
      <c r="E21" s="141" t="n"/>
      <c r="F21" s="141" t="n"/>
      <c r="G21" s="141" t="n"/>
      <c r="H21" s="141" t="n"/>
      <c r="I21" s="141" t="n"/>
      <c r="J21" s="141" t="n"/>
      <c r="K21" s="141" t="n"/>
      <c r="L21" s="141" t="n"/>
      <c r="M21" s="141" t="n"/>
      <c r="N21" s="141" t="n"/>
      <c r="O21" s="141" t="n"/>
      <c r="P21" s="141" t="n"/>
      <c r="Q21" s="141" t="n"/>
      <c r="R21" s="141" t="n"/>
      <c r="S21" s="141" t="n"/>
      <c r="T21" s="141" t="n"/>
      <c r="U21" s="136" t="n"/>
      <c r="V21" s="136" t="n"/>
      <c r="W21" s="136" t="n"/>
      <c r="X21" s="136" t="n"/>
      <c r="Y21" s="136" t="n"/>
      <c r="Z21" s="136" t="n"/>
      <c r="AA21" s="136" t="n"/>
      <c r="AB21" s="136" t="n"/>
      <c r="AC21" s="136" t="n"/>
      <c r="AD21" s="136" t="n"/>
      <c r="AE21" s="136" t="n"/>
      <c r="AF21" s="136" t="n"/>
      <c r="AG21" s="136" t="n"/>
      <c r="AH21" s="136" t="n"/>
      <c r="AI21" s="136" t="n"/>
      <c r="AJ21" s="156" t="n"/>
      <c r="AK21" s="141" t="n"/>
      <c r="AL21" s="302" t="n"/>
      <c r="AM21" s="136" t="n"/>
      <c r="AN21" s="136" t="n"/>
      <c r="AO21" s="136" t="n"/>
      <c r="AP21" s="136" t="n"/>
      <c r="AQ21" s="136" t="n"/>
      <c r="AR21" s="136" t="n"/>
    </row>
    <row r="22" ht="13.5" customHeight="1" s="196">
      <c r="A22" s="136" t="n"/>
      <c r="B22" s="136" t="n"/>
      <c r="C22" s="136" t="n"/>
      <c r="D22" s="141" t="n"/>
      <c r="E22" s="141" t="n"/>
      <c r="F22" s="141" t="n"/>
      <c r="G22" s="141" t="n"/>
      <c r="H22" s="141" t="n"/>
      <c r="I22" s="141" t="n"/>
      <c r="J22" s="141" t="n"/>
      <c r="K22" s="141" t="n"/>
      <c r="L22" s="141" t="n"/>
      <c r="M22" s="141" t="n"/>
      <c r="N22" s="141" t="n"/>
      <c r="O22" s="141" t="n"/>
      <c r="P22" s="141" t="n"/>
      <c r="Q22" s="141" t="n"/>
      <c r="R22" s="141" t="n"/>
      <c r="S22" s="141" t="n"/>
      <c r="T22" s="141" t="n"/>
      <c r="U22" s="136" t="n"/>
      <c r="V22" s="136" t="n"/>
      <c r="W22" s="136" t="n"/>
      <c r="X22" s="136" t="n"/>
      <c r="Y22" s="136" t="n"/>
      <c r="Z22" s="136" t="n"/>
      <c r="AA22" s="136" t="n"/>
      <c r="AB22" s="136" t="n"/>
      <c r="AC22" s="136" t="n"/>
      <c r="AD22" s="136" t="n"/>
      <c r="AE22" s="136" t="n"/>
      <c r="AF22" s="136" t="n"/>
      <c r="AG22" s="136" t="n"/>
      <c r="AH22" s="136" t="n"/>
      <c r="AI22" s="136" t="n"/>
      <c r="AJ22" s="156" t="n"/>
      <c r="AK22" s="141" t="n"/>
      <c r="AL22" s="302" t="n"/>
      <c r="AM22" s="136" t="n"/>
      <c r="AN22" s="136" t="n"/>
      <c r="AO22" s="136" t="n"/>
      <c r="AP22" s="136" t="n"/>
      <c r="AQ22" s="136" t="n"/>
      <c r="AR22" s="136" t="n"/>
    </row>
    <row r="23" ht="13.5" customHeight="1" s="196">
      <c r="A23" s="136" t="n"/>
      <c r="B23" s="136" t="n"/>
      <c r="C23" s="136" t="n"/>
      <c r="D23" s="141" t="n"/>
      <c r="E23" s="141" t="n"/>
      <c r="F23" s="141" t="n"/>
      <c r="G23" s="141" t="n"/>
      <c r="H23" s="141" t="n"/>
      <c r="I23" s="141" t="n"/>
      <c r="J23" s="141" t="n"/>
      <c r="K23" s="141" t="n"/>
      <c r="L23" s="141" t="n"/>
      <c r="M23" s="141" t="n"/>
      <c r="N23" s="141" t="n"/>
      <c r="O23" s="141" t="n"/>
      <c r="P23" s="141" t="n"/>
      <c r="Q23" s="141" t="n"/>
      <c r="R23" s="141" t="n"/>
      <c r="S23" s="141" t="n"/>
      <c r="T23" s="141" t="n"/>
      <c r="U23" s="136" t="n"/>
      <c r="V23" s="136" t="n"/>
      <c r="W23" s="136" t="n"/>
      <c r="X23" s="136" t="n"/>
      <c r="Y23" s="136" t="n"/>
      <c r="Z23" s="136" t="n"/>
      <c r="AA23" s="136" t="n"/>
      <c r="AB23" s="136" t="n"/>
      <c r="AC23" s="136" t="n"/>
      <c r="AD23" s="136" t="n"/>
      <c r="AE23" s="136" t="n"/>
      <c r="AF23" s="136" t="n"/>
      <c r="AG23" s="136" t="n"/>
      <c r="AH23" s="136" t="n"/>
      <c r="AI23" s="136" t="n"/>
      <c r="AJ23" s="156" t="n"/>
      <c r="AK23" s="141" t="n"/>
      <c r="AL23" s="302" t="n"/>
      <c r="AM23" s="136" t="n"/>
      <c r="AN23" s="136" t="n"/>
      <c r="AO23" s="136" t="n"/>
      <c r="AP23" s="136" t="n"/>
      <c r="AQ23" s="136" t="n"/>
      <c r="AR23" s="136" t="n"/>
    </row>
    <row r="24" ht="13.5" customHeight="1" s="196">
      <c r="A24" s="136" t="n"/>
      <c r="B24" s="136" t="n"/>
      <c r="C24" s="136" t="n"/>
      <c r="D24" s="141" t="n"/>
      <c r="E24" s="141" t="n"/>
      <c r="F24" s="141" t="n"/>
      <c r="G24" s="141" t="n"/>
      <c r="H24" s="141" t="n"/>
      <c r="I24" s="141" t="n"/>
      <c r="J24" s="141" t="n"/>
      <c r="K24" s="141" t="n"/>
      <c r="L24" s="141" t="n"/>
      <c r="M24" s="141" t="n"/>
      <c r="N24" s="141" t="n"/>
      <c r="O24" s="141" t="n"/>
      <c r="P24" s="141" t="n"/>
      <c r="Q24" s="141" t="n"/>
      <c r="R24" s="141" t="n"/>
      <c r="S24" s="141" t="n"/>
      <c r="T24" s="141" t="n"/>
      <c r="U24" s="136" t="n"/>
      <c r="V24" s="136" t="n"/>
      <c r="W24" s="136" t="n"/>
      <c r="X24" s="136" t="n"/>
      <c r="Y24" s="136" t="n"/>
      <c r="Z24" s="136" t="n"/>
      <c r="AA24" s="136" t="n"/>
      <c r="AB24" s="136" t="n"/>
      <c r="AC24" s="136" t="n"/>
      <c r="AD24" s="136" t="n"/>
      <c r="AE24" s="136" t="n"/>
      <c r="AF24" s="136" t="n"/>
      <c r="AG24" s="136" t="n"/>
      <c r="AH24" s="136" t="n"/>
      <c r="AI24" s="136" t="n"/>
      <c r="AJ24" s="156" t="n"/>
      <c r="AK24" s="141" t="n"/>
      <c r="AL24" s="302" t="n"/>
      <c r="AM24" s="136" t="n"/>
      <c r="AN24" s="136" t="n"/>
      <c r="AO24" s="136" t="n"/>
      <c r="AP24" s="136" t="n"/>
      <c r="AQ24" s="136" t="n"/>
      <c r="AR24" s="136" t="n"/>
    </row>
    <row r="25" ht="13.5" customHeight="1" s="196">
      <c r="A25" s="136" t="n"/>
      <c r="B25" s="136" t="n"/>
      <c r="C25" s="136" t="n"/>
      <c r="D25" s="141" t="n"/>
      <c r="E25" s="141" t="n"/>
      <c r="F25" s="141" t="n"/>
      <c r="G25" s="141" t="n"/>
      <c r="H25" s="141" t="n"/>
      <c r="I25" s="141" t="n"/>
      <c r="J25" s="141" t="n"/>
      <c r="K25" s="141" t="n"/>
      <c r="L25" s="141" t="n"/>
      <c r="M25" s="141" t="n"/>
      <c r="N25" s="141" t="n"/>
      <c r="O25" s="141" t="n"/>
      <c r="P25" s="141" t="n"/>
      <c r="Q25" s="141" t="n"/>
      <c r="R25" s="141" t="n"/>
      <c r="S25" s="141" t="n"/>
      <c r="T25" s="141" t="n"/>
      <c r="U25" s="136" t="n"/>
      <c r="V25" s="136" t="n"/>
      <c r="W25" s="136" t="n"/>
      <c r="X25" s="136" t="n"/>
      <c r="Y25" s="136" t="n"/>
      <c r="Z25" s="136" t="n"/>
      <c r="AA25" s="136" t="n"/>
      <c r="AB25" s="136" t="n"/>
      <c r="AC25" s="136" t="n"/>
      <c r="AD25" s="136" t="n"/>
      <c r="AE25" s="136" t="n"/>
      <c r="AF25" s="136" t="n"/>
      <c r="AG25" s="136" t="n"/>
      <c r="AH25" s="136" t="n"/>
      <c r="AI25" s="136" t="n"/>
      <c r="AJ25" s="156" t="n"/>
      <c r="AK25" s="141" t="n"/>
      <c r="AL25" s="302" t="n"/>
      <c r="AM25" s="136" t="n"/>
      <c r="AN25" s="136" t="n"/>
      <c r="AO25" s="136" t="n"/>
      <c r="AP25" s="136" t="n"/>
      <c r="AQ25" s="136" t="n"/>
      <c r="AR25" s="136" t="n"/>
    </row>
    <row r="26" ht="13.5" customHeight="1" s="196">
      <c r="A26" s="136" t="n"/>
      <c r="B26" s="136" t="n"/>
      <c r="C26" s="136" t="n"/>
      <c r="D26" s="141" t="n"/>
      <c r="E26" s="141" t="n"/>
      <c r="F26" s="141" t="n"/>
      <c r="G26" s="141" t="n"/>
      <c r="H26" s="141" t="n"/>
      <c r="I26" s="141" t="n"/>
      <c r="J26" s="141" t="n"/>
      <c r="K26" s="141" t="n"/>
      <c r="L26" s="141" t="n"/>
      <c r="M26" s="141" t="n"/>
      <c r="N26" s="141" t="n"/>
      <c r="O26" s="141" t="n"/>
      <c r="P26" s="141" t="n"/>
      <c r="Q26" s="141" t="n"/>
      <c r="R26" s="141" t="n"/>
      <c r="S26" s="141" t="n"/>
      <c r="T26" s="141" t="n"/>
      <c r="U26" s="136" t="n"/>
      <c r="V26" s="136" t="n"/>
      <c r="W26" s="136" t="n"/>
      <c r="X26" s="136" t="n"/>
      <c r="Y26" s="136" t="n"/>
      <c r="Z26" s="136" t="n"/>
      <c r="AA26" s="136" t="n"/>
      <c r="AB26" s="136" t="n"/>
      <c r="AC26" s="136" t="n"/>
      <c r="AD26" s="136" t="n"/>
      <c r="AE26" s="136" t="n"/>
      <c r="AF26" s="136" t="n"/>
      <c r="AG26" s="136" t="n"/>
      <c r="AH26" s="136" t="n"/>
      <c r="AI26" s="136" t="n"/>
      <c r="AJ26" s="156" t="n"/>
      <c r="AK26" s="141" t="n"/>
      <c r="AL26" s="302" t="n"/>
      <c r="AM26" s="136" t="n"/>
      <c r="AN26" s="136" t="n"/>
      <c r="AO26" s="136" t="n"/>
      <c r="AP26" s="136" t="n"/>
      <c r="AQ26" s="136" t="n"/>
      <c r="AR26" s="136" t="n"/>
    </row>
    <row r="27" ht="13.5" customHeight="1" s="196">
      <c r="A27" s="136" t="n"/>
      <c r="B27" s="136" t="n"/>
      <c r="C27" s="136" t="n"/>
      <c r="D27" s="141" t="n"/>
      <c r="E27" s="141" t="n"/>
      <c r="F27" s="141" t="n"/>
      <c r="G27" s="141" t="n"/>
      <c r="H27" s="141" t="n"/>
      <c r="I27" s="141" t="n"/>
      <c r="J27" s="141" t="n"/>
      <c r="K27" s="141" t="n"/>
      <c r="L27" s="141" t="n"/>
      <c r="M27" s="141" t="n"/>
      <c r="N27" s="141" t="n"/>
      <c r="O27" s="141" t="n"/>
      <c r="P27" s="141" t="n"/>
      <c r="Q27" s="141" t="n"/>
      <c r="R27" s="141" t="n"/>
      <c r="S27" s="141" t="n"/>
      <c r="T27" s="141" t="n"/>
      <c r="U27" s="136" t="n"/>
      <c r="V27" s="136" t="n"/>
      <c r="W27" s="136" t="n"/>
      <c r="X27" s="136" t="n"/>
      <c r="Y27" s="136" t="n"/>
      <c r="Z27" s="136" t="n"/>
      <c r="AA27" s="136" t="n"/>
      <c r="AB27" s="136" t="n"/>
      <c r="AC27" s="136" t="n"/>
      <c r="AD27" s="136" t="n"/>
      <c r="AE27" s="136" t="n"/>
      <c r="AF27" s="136" t="n"/>
      <c r="AG27" s="136" t="n"/>
      <c r="AH27" s="136" t="n"/>
      <c r="AI27" s="136" t="n"/>
      <c r="AJ27" s="156" t="n"/>
      <c r="AK27" s="141" t="n"/>
      <c r="AL27" s="302" t="n"/>
      <c r="AM27" s="136" t="n"/>
      <c r="AN27" s="136" t="n"/>
      <c r="AO27" s="136" t="n"/>
      <c r="AP27" s="136" t="n"/>
      <c r="AQ27" s="136" t="n"/>
      <c r="AR27" s="136" t="n"/>
    </row>
    <row r="28" ht="13.5" customHeight="1" s="196">
      <c r="A28" s="136" t="n"/>
      <c r="B28" s="136" t="n"/>
      <c r="C28" s="136" t="n"/>
      <c r="D28" s="141" t="n"/>
      <c r="E28" s="141" t="n"/>
      <c r="F28" s="141" t="n"/>
      <c r="G28" s="141" t="n"/>
      <c r="H28" s="141" t="n"/>
      <c r="I28" s="141" t="n"/>
      <c r="J28" s="141" t="n"/>
      <c r="K28" s="141" t="n"/>
      <c r="L28" s="141" t="n"/>
      <c r="M28" s="141" t="n"/>
      <c r="N28" s="141" t="n"/>
      <c r="O28" s="141" t="n"/>
      <c r="P28" s="141" t="n"/>
      <c r="Q28" s="141" t="n"/>
      <c r="R28" s="141" t="n"/>
      <c r="S28" s="141" t="n"/>
      <c r="T28" s="141" t="n"/>
      <c r="U28" s="136" t="n"/>
      <c r="V28" s="136" t="n"/>
      <c r="W28" s="136" t="n"/>
      <c r="X28" s="136" t="n"/>
      <c r="Y28" s="136" t="n"/>
      <c r="Z28" s="136" t="n"/>
      <c r="AA28" s="136" t="n"/>
      <c r="AB28" s="136" t="n"/>
      <c r="AC28" s="136" t="n"/>
      <c r="AD28" s="136" t="n"/>
      <c r="AE28" s="136" t="n"/>
      <c r="AF28" s="136" t="n"/>
      <c r="AG28" s="136" t="n"/>
      <c r="AH28" s="136" t="n"/>
      <c r="AI28" s="136" t="n"/>
      <c r="AJ28" s="156" t="n"/>
      <c r="AK28" s="141" t="n"/>
      <c r="AL28" s="302" t="n"/>
      <c r="AM28" s="136" t="n"/>
      <c r="AN28" s="136" t="n"/>
      <c r="AO28" s="136" t="n"/>
      <c r="AP28" s="136" t="n"/>
      <c r="AQ28" s="136" t="n"/>
      <c r="AR28" s="136" t="n"/>
    </row>
    <row r="29" ht="13.5" customHeight="1" s="196">
      <c r="A29" s="136" t="n"/>
      <c r="B29" s="136" t="n"/>
      <c r="C29" s="136" t="n"/>
      <c r="D29" s="141" t="n"/>
      <c r="E29" s="141" t="n"/>
      <c r="F29" s="141" t="n"/>
      <c r="G29" s="141" t="n"/>
      <c r="H29" s="141" t="n"/>
      <c r="I29" s="141" t="n"/>
      <c r="J29" s="141" t="n"/>
      <c r="K29" s="141" t="n"/>
      <c r="L29" s="141" t="n"/>
      <c r="M29" s="141" t="n"/>
      <c r="N29" s="141" t="n"/>
      <c r="O29" s="141" t="n"/>
      <c r="P29" s="141" t="n"/>
      <c r="Q29" s="141" t="n"/>
      <c r="R29" s="141" t="n"/>
      <c r="S29" s="141" t="n"/>
      <c r="T29" s="141" t="n"/>
      <c r="U29" s="136" t="n"/>
      <c r="V29" s="136" t="n"/>
      <c r="W29" s="136" t="n"/>
      <c r="X29" s="136" t="n"/>
      <c r="Y29" s="136" t="n"/>
      <c r="Z29" s="136" t="n"/>
      <c r="AA29" s="136" t="n"/>
      <c r="AB29" s="136" t="n"/>
      <c r="AC29" s="136" t="n"/>
      <c r="AD29" s="136" t="n"/>
      <c r="AE29" s="136" t="n"/>
      <c r="AF29" s="136" t="n"/>
      <c r="AG29" s="136" t="n"/>
      <c r="AH29" s="136" t="n"/>
      <c r="AI29" s="136" t="n"/>
      <c r="AJ29" s="156" t="n"/>
      <c r="AK29" s="141" t="n"/>
      <c r="AL29" s="302" t="n"/>
      <c r="AM29" s="136" t="n"/>
      <c r="AN29" s="136" t="n"/>
      <c r="AO29" s="136" t="n"/>
      <c r="AP29" s="136" t="n"/>
      <c r="AQ29" s="136" t="n"/>
      <c r="AR29" s="136" t="n"/>
    </row>
    <row r="30" ht="13.5" customHeight="1" s="196">
      <c r="A30" s="136" t="n"/>
      <c r="B30" s="136" t="n"/>
      <c r="C30" s="136" t="n"/>
      <c r="D30" s="141" t="n"/>
      <c r="E30" s="141" t="n"/>
      <c r="F30" s="141" t="n"/>
      <c r="G30" s="141" t="n"/>
      <c r="H30" s="141" t="n"/>
      <c r="I30" s="141" t="n"/>
      <c r="J30" s="141" t="n"/>
      <c r="K30" s="141" t="n"/>
      <c r="L30" s="141" t="n"/>
      <c r="M30" s="141" t="n"/>
      <c r="N30" s="141" t="n"/>
      <c r="O30" s="141" t="n"/>
      <c r="P30" s="141" t="n"/>
      <c r="Q30" s="141" t="n"/>
      <c r="R30" s="141" t="n"/>
      <c r="S30" s="141" t="n"/>
      <c r="T30" s="141" t="n"/>
      <c r="U30" s="141" t="n"/>
      <c r="V30" s="141" t="n"/>
      <c r="W30" s="136" t="n"/>
      <c r="X30" s="136" t="n"/>
      <c r="Y30" s="136" t="n"/>
      <c r="Z30" s="136" t="n"/>
      <c r="AA30" s="136" t="n"/>
      <c r="AB30" s="136" t="n"/>
      <c r="AC30" s="136" t="n"/>
      <c r="AD30" s="136" t="n"/>
      <c r="AE30" s="136" t="n"/>
      <c r="AF30" s="136" t="n"/>
      <c r="AG30" s="136" t="n"/>
      <c r="AH30" s="136" t="n"/>
      <c r="AI30" s="136" t="n"/>
      <c r="AJ30" s="156" t="n"/>
      <c r="AK30" s="141" t="n"/>
      <c r="AL30" s="302" t="n"/>
      <c r="AM30" s="136" t="n"/>
      <c r="AN30" s="136" t="n"/>
      <c r="AO30" s="136" t="n"/>
      <c r="AP30" s="136" t="n"/>
      <c r="AQ30" s="136" t="n"/>
      <c r="AR30" s="136" t="n"/>
    </row>
    <row r="31" ht="13.5" customHeight="1" s="196">
      <c r="A31" s="136" t="n"/>
      <c r="B31" s="136" t="n"/>
      <c r="C31" s="136" t="n"/>
      <c r="D31" s="141" t="n"/>
      <c r="E31" s="141" t="n"/>
      <c r="F31" s="141" t="n"/>
      <c r="G31" s="141" t="n"/>
      <c r="H31" s="141" t="n"/>
      <c r="I31" s="141" t="n"/>
      <c r="J31" s="141" t="n"/>
      <c r="K31" s="141" t="n"/>
      <c r="L31" s="141" t="n"/>
      <c r="M31" s="141" t="n"/>
      <c r="N31" s="141" t="n"/>
      <c r="O31" s="141" t="n"/>
      <c r="P31" s="141" t="n"/>
      <c r="Q31" s="141" t="n"/>
      <c r="R31" s="141" t="n"/>
      <c r="S31" s="141" t="n"/>
      <c r="T31" s="141" t="n"/>
      <c r="U31" s="141" t="n"/>
      <c r="V31" s="141" t="n"/>
      <c r="W31" s="136" t="n"/>
      <c r="X31" s="136" t="n"/>
      <c r="Y31" s="136" t="n"/>
      <c r="Z31" s="136" t="n"/>
      <c r="AA31" s="136" t="n"/>
      <c r="AB31" s="136" t="n"/>
      <c r="AC31" s="136" t="n"/>
      <c r="AD31" s="136" t="n"/>
      <c r="AE31" s="136" t="n"/>
      <c r="AF31" s="136" t="n"/>
      <c r="AG31" s="136" t="n"/>
      <c r="AH31" s="136" t="n"/>
      <c r="AI31" s="136" t="n"/>
      <c r="AJ31" s="156" t="n"/>
      <c r="AK31" s="141" t="n"/>
      <c r="AL31" s="302" t="n"/>
      <c r="AM31" s="136" t="n"/>
      <c r="AN31" s="136" t="n"/>
      <c r="AO31" s="136" t="n"/>
      <c r="AP31" s="136" t="n"/>
      <c r="AQ31" s="136" t="n"/>
      <c r="AR31" s="136" t="n"/>
    </row>
    <row r="32" ht="13.5" customHeight="1" s="196">
      <c r="A32" s="136" t="n"/>
      <c r="B32" s="136" t="n"/>
      <c r="C32" s="136" t="n"/>
      <c r="D32" s="141" t="n"/>
      <c r="E32" s="141" t="n"/>
      <c r="F32" s="141" t="n"/>
      <c r="G32" s="141" t="n"/>
      <c r="H32" s="141" t="n"/>
      <c r="I32" s="141" t="n"/>
      <c r="J32" s="141" t="n"/>
      <c r="K32" s="141" t="n"/>
      <c r="L32" s="141" t="n"/>
      <c r="M32" s="141" t="n"/>
      <c r="N32" s="141" t="n"/>
      <c r="O32" s="141" t="n"/>
      <c r="P32" s="141" t="n"/>
      <c r="Q32" s="141" t="n"/>
      <c r="R32" s="141" t="n"/>
      <c r="S32" s="141" t="n"/>
      <c r="T32" s="141" t="n"/>
      <c r="U32" s="141" t="n"/>
      <c r="V32" s="141" t="n"/>
      <c r="W32" s="136" t="n"/>
      <c r="X32" s="136" t="n"/>
      <c r="Y32" s="136" t="n"/>
      <c r="Z32" s="136" t="n"/>
      <c r="AA32" s="136" t="n"/>
      <c r="AB32" s="136" t="n"/>
      <c r="AC32" s="136" t="n"/>
      <c r="AD32" s="136" t="n"/>
      <c r="AE32" s="136" t="n"/>
      <c r="AF32" s="136" t="n"/>
      <c r="AG32" s="136" t="n"/>
      <c r="AH32" s="136" t="n"/>
      <c r="AI32" s="136" t="n"/>
      <c r="AJ32" s="136" t="n"/>
      <c r="AK32" s="136" t="n"/>
      <c r="AL32" s="136" t="n"/>
      <c r="AM32" s="136" t="n"/>
      <c r="AN32" s="136" t="n"/>
      <c r="AO32" s="136" t="n"/>
      <c r="AP32" s="136" t="n"/>
      <c r="AQ32" s="136" t="n"/>
      <c r="AR32" s="136" t="n"/>
    </row>
    <row r="33" ht="13.5" customHeight="1" s="196" thickBot="1">
      <c r="A33" s="136" t="n"/>
      <c r="B33" s="136" t="n"/>
      <c r="C33" s="136" t="n"/>
      <c r="D33" s="141" t="n"/>
      <c r="E33" s="141" t="n"/>
      <c r="F33" s="141" t="n"/>
      <c r="G33" s="141" t="n"/>
      <c r="H33" s="141" t="n"/>
      <c r="I33" s="141" t="n"/>
      <c r="J33" s="141" t="n"/>
      <c r="K33" s="141" t="n"/>
      <c r="L33" s="141" t="n"/>
      <c r="M33" s="141" t="n"/>
      <c r="N33" s="141" t="n"/>
      <c r="O33" s="141" t="n"/>
      <c r="P33" s="141" t="n"/>
      <c r="Q33" s="141" t="n"/>
      <c r="R33" s="141" t="n"/>
      <c r="S33" s="141" t="n"/>
      <c r="T33" s="141" t="n"/>
      <c r="U33" s="141" t="n"/>
      <c r="V33" s="141" t="n"/>
      <c r="W33" s="136" t="n"/>
      <c r="X33" s="136" t="n"/>
      <c r="Y33" s="136" t="n"/>
      <c r="Z33" s="136" t="n"/>
      <c r="AA33" s="136" t="n"/>
      <c r="AB33" s="136" t="n"/>
      <c r="AC33" s="136" t="n"/>
      <c r="AD33" s="136" t="n"/>
      <c r="AE33" s="136" t="n"/>
      <c r="AF33" s="136" t="n"/>
      <c r="AG33" s="136" t="n"/>
      <c r="AH33" s="136" t="n"/>
      <c r="AI33" s="136" t="n"/>
      <c r="AJ33" s="223" t="n"/>
      <c r="AM33" s="136" t="n"/>
      <c r="AN33" s="136" t="n"/>
      <c r="AO33" s="136" t="n"/>
      <c r="AP33" s="136" t="n"/>
      <c r="AQ33" s="136" t="n"/>
      <c r="AR33" s="136" t="n"/>
    </row>
    <row r="34" ht="13.5" customHeight="1" s="196">
      <c r="A34" s="136" t="n"/>
      <c r="B34" s="136" t="n"/>
      <c r="C34" s="136" t="n"/>
      <c r="D34" s="141" t="n"/>
      <c r="E34" s="141" t="n"/>
      <c r="F34" s="141" t="n"/>
      <c r="G34" s="141" t="n"/>
      <c r="H34" s="141" t="n"/>
      <c r="I34" s="141" t="n"/>
      <c r="J34" s="141" t="n"/>
      <c r="K34" s="141" t="n"/>
      <c r="L34" s="141" t="n"/>
      <c r="M34" s="141" t="n"/>
      <c r="N34" s="141" t="n"/>
      <c r="O34" s="141" t="n"/>
      <c r="P34" s="141" t="n"/>
      <c r="Q34" s="141" t="n"/>
      <c r="R34" s="141" t="n"/>
      <c r="S34" s="141" t="n"/>
      <c r="T34" s="141" t="n"/>
      <c r="U34" s="141" t="n"/>
      <c r="V34" s="307" t="inlineStr">
        <is>
          <t>Linux</t>
        </is>
      </c>
      <c r="W34" s="216" t="n"/>
      <c r="X34" s="294" t="n"/>
      <c r="Y34" s="136" t="n"/>
      <c r="Z34" s="136" t="n"/>
      <c r="AA34" s="136" t="n"/>
      <c r="AB34" s="136" t="n"/>
      <c r="AC34" s="136" t="n"/>
      <c r="AD34" s="136" t="n"/>
      <c r="AE34" s="136" t="n"/>
      <c r="AF34" s="136" t="n"/>
      <c r="AG34" s="136" t="n"/>
      <c r="AH34" s="136" t="n"/>
      <c r="AI34" s="136" t="n"/>
      <c r="AJ34" s="156" t="n"/>
      <c r="AK34" s="156" t="n"/>
      <c r="AL34" s="156" t="n"/>
      <c r="AM34" s="136" t="n"/>
      <c r="AN34" s="136" t="n"/>
      <c r="AO34" s="136" t="n"/>
      <c r="AP34" s="136" t="n"/>
      <c r="AQ34" s="136" t="n"/>
      <c r="AR34" s="136" t="n"/>
    </row>
    <row r="35" ht="13.5" customHeight="1" s="196">
      <c r="A35" s="136" t="n"/>
      <c r="B35" s="136" t="n"/>
      <c r="C35" s="136" t="n"/>
      <c r="D35" s="141" t="n"/>
      <c r="E35" s="141" t="n"/>
      <c r="F35" s="141" t="n"/>
      <c r="G35" s="141" t="n"/>
      <c r="H35" s="141" t="n"/>
      <c r="I35" s="141" t="n"/>
      <c r="J35" s="141" t="n"/>
      <c r="K35" s="141" t="n"/>
      <c r="L35" s="141" t="n"/>
      <c r="M35" s="141" t="n"/>
      <c r="N35" s="141" t="n"/>
      <c r="O35" s="141" t="n"/>
      <c r="P35" s="141" t="n"/>
      <c r="Q35" s="141" t="n"/>
      <c r="R35" s="141" t="n"/>
      <c r="S35" s="141" t="n"/>
      <c r="T35" s="141" t="n"/>
      <c r="U35" s="141" t="n"/>
      <c r="V35" s="164" t="inlineStr">
        <is>
          <t>NO.</t>
        </is>
      </c>
      <c r="W35" s="165" t="inlineStr">
        <is>
          <t>Hostname</t>
        </is>
      </c>
      <c r="X35" s="166" t="inlineStr">
        <is>
          <t>점수</t>
        </is>
      </c>
      <c r="Y35" s="136" t="n"/>
      <c r="Z35" s="136" t="n"/>
      <c r="AA35" s="136" t="n"/>
      <c r="AB35" s="136" t="n"/>
      <c r="AC35" s="136" t="n"/>
      <c r="AD35" s="136" t="n"/>
      <c r="AE35" s="136" t="n"/>
      <c r="AF35" s="136" t="n"/>
      <c r="AG35" s="136" t="n"/>
      <c r="AH35" s="136" t="n"/>
      <c r="AI35" s="156" t="n"/>
      <c r="AJ35" s="141" t="n"/>
      <c r="AK35" s="223" t="n"/>
      <c r="AN35" s="136" t="n"/>
      <c r="AO35" s="136" t="n"/>
      <c r="AP35" s="136" t="n"/>
      <c r="AQ35" s="136" t="n"/>
      <c r="AR35" s="136" t="n"/>
    </row>
    <row r="36" ht="13.5" customHeight="1" s="196">
      <c r="A36" s="136" t="n"/>
      <c r="B36" s="136" t="n"/>
      <c r="C36" s="136" t="n"/>
      <c r="D36" s="141" t="n"/>
      <c r="E36" s="141" t="n"/>
      <c r="F36" s="141" t="n"/>
      <c r="G36" s="141" t="n"/>
      <c r="H36" s="141" t="n"/>
      <c r="I36" s="141" t="n"/>
      <c r="J36" s="141" t="n"/>
      <c r="K36" s="141" t="n"/>
      <c r="L36" s="141" t="n"/>
      <c r="M36" s="141" t="n"/>
      <c r="N36" s="141" t="n"/>
      <c r="O36" s="141" t="n"/>
      <c r="P36" s="141" t="n"/>
      <c r="Q36" s="141" t="n"/>
      <c r="R36" s="141" t="n"/>
      <c r="S36" s="141" t="n"/>
      <c r="T36" s="141" t="n"/>
      <c r="U36" s="141" t="n"/>
      <c r="V36" s="164" t="n">
        <v>1</v>
      </c>
      <c r="W36" s="167">
        <f>HLOOKUP($V36,'2-2. 요약 진단결과(Linux)'!$F$3:$T$53,2,0)</f>
        <v/>
      </c>
      <c r="X36" s="308">
        <f>HLOOKUP($V36,'2-2. 요약 진단결과(Linux)'!$F$3:$T$74,72,0)</f>
        <v/>
      </c>
      <c r="Y36" s="136" t="n"/>
      <c r="Z36" s="136" t="n"/>
      <c r="AA36" s="136" t="n"/>
      <c r="AB36" s="136" t="n"/>
      <c r="AC36" s="136" t="n"/>
      <c r="AD36" s="136" t="n"/>
      <c r="AE36" s="136" t="n"/>
      <c r="AF36" s="136" t="n"/>
      <c r="AG36" s="136" t="n"/>
      <c r="AH36" s="136" t="n"/>
      <c r="AI36" s="156" t="n"/>
      <c r="AJ36" s="141" t="n"/>
      <c r="AK36" s="156" t="n"/>
      <c r="AL36" s="156" t="n"/>
      <c r="AM36" s="156" t="n"/>
      <c r="AN36" s="136" t="n"/>
      <c r="AO36" s="136" t="n"/>
      <c r="AP36" s="136" t="n"/>
      <c r="AQ36" s="136" t="n"/>
      <c r="AR36" s="136" t="n"/>
    </row>
    <row r="37" ht="13.5" customHeight="1" s="196">
      <c r="A37" s="136" t="n"/>
      <c r="B37" s="136" t="n"/>
      <c r="C37" s="136" t="n"/>
      <c r="D37" s="141" t="n"/>
      <c r="E37" s="141" t="n"/>
      <c r="F37" s="141" t="n"/>
      <c r="G37" s="141" t="n"/>
      <c r="H37" s="141" t="n"/>
      <c r="I37" s="141" t="n"/>
      <c r="J37" s="141" t="n"/>
      <c r="K37" s="141" t="n"/>
      <c r="L37" s="141" t="n"/>
      <c r="M37" s="141" t="n"/>
      <c r="N37" s="141" t="n"/>
      <c r="O37" s="141" t="n"/>
      <c r="P37" s="141" t="n"/>
      <c r="Q37" s="141" t="n"/>
      <c r="R37" s="141" t="n"/>
      <c r="S37" s="141" t="n"/>
      <c r="T37" s="141" t="n"/>
      <c r="U37" s="141" t="n"/>
      <c r="V37" s="164" t="n">
        <v>2</v>
      </c>
      <c r="W37" s="167">
        <f>HLOOKUP($V37,'2-2. 요약 진단결과(Linux)'!$F$3:$T$53,2,0)</f>
        <v/>
      </c>
      <c r="X37" s="308">
        <f>HLOOKUP($V37,'2-2. 요약 진단결과(Linux)'!$F$3:$T$74,72,0)</f>
        <v/>
      </c>
      <c r="Y37" s="136" t="n"/>
      <c r="Z37" s="136" t="n"/>
      <c r="AA37" s="136" t="n"/>
      <c r="AB37" s="136" t="n"/>
      <c r="AC37" s="136" t="n"/>
      <c r="AD37" s="136" t="n"/>
      <c r="AE37" s="136" t="n"/>
      <c r="AF37" s="136" t="n"/>
      <c r="AG37" s="136" t="n"/>
      <c r="AH37" s="136" t="n"/>
      <c r="AI37" s="156" t="n"/>
      <c r="AJ37" s="141" t="n"/>
      <c r="AK37" s="156" t="n"/>
      <c r="AL37" s="141" t="n"/>
      <c r="AM37" s="302" t="n"/>
      <c r="AN37" s="136" t="n"/>
      <c r="AO37" s="136" t="n"/>
      <c r="AP37" s="136" t="n"/>
      <c r="AQ37" s="136" t="n"/>
      <c r="AR37" s="136" t="n"/>
    </row>
    <row r="38" ht="13.5" customHeight="1" s="196">
      <c r="A38" s="136" t="n"/>
      <c r="B38" s="136" t="n"/>
      <c r="C38" s="136" t="n"/>
      <c r="D38" s="141" t="n"/>
      <c r="E38" s="141" t="n"/>
      <c r="F38" s="141" t="n"/>
      <c r="G38" s="141" t="n"/>
      <c r="H38" s="141" t="n"/>
      <c r="I38" s="141" t="n"/>
      <c r="J38" s="141" t="n"/>
      <c r="K38" s="141" t="n"/>
      <c r="L38" s="141" t="n"/>
      <c r="M38" s="141" t="n"/>
      <c r="N38" s="141" t="n"/>
      <c r="O38" s="141" t="n"/>
      <c r="P38" s="141" t="n"/>
      <c r="Q38" s="141" t="n"/>
      <c r="R38" s="141" t="n"/>
      <c r="S38" s="141" t="n"/>
      <c r="T38" s="141" t="n"/>
      <c r="U38" s="141" t="n"/>
      <c r="V38" s="164" t="n">
        <v>3</v>
      </c>
      <c r="W38" s="167">
        <f>HLOOKUP($V38,'2-2. 요약 진단결과(Linux)'!$F$3:$T$53,2,0)</f>
        <v/>
      </c>
      <c r="X38" s="308">
        <f>HLOOKUP($V38,'2-2. 요약 진단결과(Linux)'!$F$3:$T$74,72,0)</f>
        <v/>
      </c>
      <c r="Y38" s="154" t="n"/>
      <c r="Z38" s="154" t="n"/>
      <c r="AA38" s="154" t="n"/>
      <c r="AB38" s="154" t="n"/>
      <c r="AC38" s="154" t="n"/>
      <c r="AD38" s="154" t="n"/>
      <c r="AE38" s="154" t="n"/>
      <c r="AF38" s="154" t="n"/>
      <c r="AG38" s="154" t="n"/>
      <c r="AH38" s="154" t="n"/>
      <c r="AI38" s="156" t="n"/>
      <c r="AJ38" s="141" t="n"/>
      <c r="AK38" s="156" t="n"/>
      <c r="AL38" s="141" t="n"/>
      <c r="AM38" s="302" t="n"/>
      <c r="AN38" s="136" t="n"/>
      <c r="AO38" s="136" t="n"/>
      <c r="AP38" s="136" t="n"/>
      <c r="AQ38" s="136" t="n"/>
      <c r="AR38" s="136" t="n"/>
    </row>
    <row r="39" ht="13.5" customHeight="1" s="196">
      <c r="A39" s="136" t="n"/>
      <c r="B39" s="136" t="n"/>
      <c r="C39" s="136" t="n"/>
      <c r="D39" s="141" t="n"/>
      <c r="E39" s="141" t="n"/>
      <c r="F39" s="141" t="n"/>
      <c r="G39" s="141" t="n"/>
      <c r="H39" s="141" t="n"/>
      <c r="I39" s="141" t="n"/>
      <c r="J39" s="141" t="n"/>
      <c r="K39" s="141" t="n"/>
      <c r="L39" s="141" t="n"/>
      <c r="M39" s="141" t="n"/>
      <c r="N39" s="141" t="n"/>
      <c r="O39" s="141" t="n"/>
      <c r="P39" s="141" t="n"/>
      <c r="Q39" s="141" t="n"/>
      <c r="R39" s="141" t="n"/>
      <c r="S39" s="141" t="n"/>
      <c r="T39" s="141" t="n"/>
      <c r="U39" s="141" t="n"/>
      <c r="V39" s="164" t="n">
        <v>4</v>
      </c>
      <c r="W39" s="167">
        <f>HLOOKUP($V39,'2-2. 요약 진단결과(Linux)'!$F$3:$T$53,2,0)</f>
        <v/>
      </c>
      <c r="X39" s="308">
        <f>HLOOKUP($V39,'2-2. 요약 진단결과(Linux)'!$F$3:$T$74,72,0)</f>
        <v/>
      </c>
      <c r="Y39" s="154" t="n"/>
      <c r="Z39" s="154" t="n"/>
      <c r="AA39" s="154" t="n"/>
      <c r="AB39" s="154" t="n"/>
      <c r="AC39" s="154" t="n"/>
      <c r="AD39" s="154" t="n"/>
      <c r="AE39" s="154" t="n"/>
      <c r="AF39" s="154" t="n"/>
      <c r="AG39" s="154" t="n"/>
      <c r="AH39" s="154" t="n"/>
      <c r="AI39" s="156" t="n"/>
      <c r="AJ39" s="141" t="n"/>
      <c r="AK39" s="156" t="n"/>
      <c r="AL39" s="141" t="n"/>
      <c r="AM39" s="302" t="n"/>
      <c r="AN39" s="136" t="n"/>
      <c r="AO39" s="136" t="n"/>
      <c r="AP39" s="136" t="n"/>
      <c r="AQ39" s="136" t="n"/>
      <c r="AR39" s="136" t="n"/>
    </row>
    <row r="40" ht="13.5" customHeight="1" s="196">
      <c r="A40" s="136" t="n"/>
      <c r="B40" s="136" t="n"/>
      <c r="C40" s="136" t="n"/>
      <c r="D40" s="141" t="n"/>
      <c r="E40" s="141" t="n"/>
      <c r="F40" s="141" t="n"/>
      <c r="G40" s="141" t="n"/>
      <c r="H40" s="141" t="n"/>
      <c r="I40" s="141" t="n"/>
      <c r="J40" s="141" t="n"/>
      <c r="K40" s="141" t="n"/>
      <c r="L40" s="141" t="n"/>
      <c r="M40" s="141" t="n"/>
      <c r="N40" s="141" t="n"/>
      <c r="O40" s="141" t="n"/>
      <c r="P40" s="141" t="n"/>
      <c r="Q40" s="141" t="n"/>
      <c r="R40" s="141" t="n"/>
      <c r="S40" s="141" t="n"/>
      <c r="T40" s="141" t="n"/>
      <c r="U40" s="141" t="n"/>
      <c r="V40" s="164" t="n">
        <v>5</v>
      </c>
      <c r="W40" s="167">
        <f>HLOOKUP($V40,'2-2. 요약 진단결과(Linux)'!$F$3:$T$53,2,0)</f>
        <v/>
      </c>
      <c r="X40" s="308">
        <f>HLOOKUP($V40,'2-2. 요약 진단결과(Linux)'!$F$3:$T$74,72,0)</f>
        <v/>
      </c>
      <c r="Y40" s="154" t="n"/>
      <c r="Z40" s="154" t="n"/>
      <c r="AA40" s="154" t="n"/>
      <c r="AB40" s="154" t="n"/>
      <c r="AC40" s="154" t="n"/>
      <c r="AD40" s="154" t="n"/>
      <c r="AE40" s="154" t="n"/>
      <c r="AF40" s="154" t="n"/>
      <c r="AG40" s="154" t="n"/>
      <c r="AH40" s="154" t="n"/>
      <c r="AI40" s="156" t="n"/>
      <c r="AJ40" s="141" t="n"/>
      <c r="AK40" s="156" t="n"/>
      <c r="AL40" s="141" t="n"/>
      <c r="AM40" s="302" t="n"/>
      <c r="AN40" s="136" t="n"/>
      <c r="AO40" s="136" t="n"/>
      <c r="AP40" s="136" t="n"/>
      <c r="AQ40" s="136" t="n"/>
      <c r="AR40" s="136" t="n"/>
    </row>
    <row r="41" ht="13.5" customHeight="1" s="196">
      <c r="A41" s="136" t="n"/>
      <c r="B41" s="136" t="n"/>
      <c r="C41" s="136" t="n"/>
      <c r="D41" s="141" t="n"/>
      <c r="E41" s="141" t="n"/>
      <c r="F41" s="141" t="n"/>
      <c r="G41" s="141" t="n"/>
      <c r="H41" s="141" t="n"/>
      <c r="I41" s="141" t="n"/>
      <c r="J41" s="141" t="n"/>
      <c r="K41" s="141" t="n"/>
      <c r="L41" s="141" t="n"/>
      <c r="M41" s="141" t="n"/>
      <c r="N41" s="141" t="n"/>
      <c r="O41" s="141" t="n"/>
      <c r="P41" s="141" t="n"/>
      <c r="Q41" s="141" t="n"/>
      <c r="R41" s="141" t="n"/>
      <c r="S41" s="141" t="n"/>
      <c r="T41" s="141" t="n"/>
      <c r="U41" s="141" t="n"/>
      <c r="V41" s="164" t="n">
        <v>6</v>
      </c>
      <c r="W41" s="167">
        <f>HLOOKUP($V41,'2-2. 요약 진단결과(Linux)'!$F$3:$T$53,2,0)</f>
        <v/>
      </c>
      <c r="X41" s="308">
        <f>HLOOKUP($V41,'2-2. 요약 진단결과(Linux)'!$F$3:$T$74,72,0)</f>
        <v/>
      </c>
      <c r="Y41" s="154" t="n"/>
      <c r="Z41" s="154" t="n"/>
      <c r="AA41" s="154" t="n"/>
      <c r="AB41" s="154" t="n"/>
      <c r="AC41" s="154" t="n"/>
      <c r="AD41" s="154" t="n"/>
      <c r="AE41" s="154" t="n"/>
      <c r="AF41" s="154" t="n"/>
      <c r="AG41" s="154" t="n"/>
      <c r="AH41" s="154" t="n"/>
      <c r="AI41" s="156" t="n"/>
      <c r="AJ41" s="141" t="n"/>
      <c r="AK41" s="156" t="n"/>
      <c r="AL41" s="141" t="n"/>
      <c r="AM41" s="302" t="n"/>
      <c r="AN41" s="136" t="n"/>
      <c r="AO41" s="136" t="n"/>
      <c r="AP41" s="136" t="n"/>
      <c r="AQ41" s="136" t="n"/>
      <c r="AR41" s="136" t="n"/>
    </row>
    <row r="42" ht="13.5" customHeight="1" s="196">
      <c r="A42" s="136" t="n"/>
      <c r="B42" s="136" t="n"/>
      <c r="C42" s="136" t="n"/>
      <c r="D42" s="141" t="n"/>
      <c r="E42" s="141" t="n"/>
      <c r="F42" s="141" t="n"/>
      <c r="G42" s="141" t="n"/>
      <c r="H42" s="141" t="n"/>
      <c r="I42" s="141" t="n"/>
      <c r="J42" s="141" t="n"/>
      <c r="K42" s="141" t="n"/>
      <c r="L42" s="141" t="n"/>
      <c r="M42" s="141" t="n"/>
      <c r="N42" s="141" t="n"/>
      <c r="O42" s="141" t="n"/>
      <c r="P42" s="141" t="n"/>
      <c r="Q42" s="141" t="n"/>
      <c r="R42" s="141" t="n"/>
      <c r="S42" s="141" t="n"/>
      <c r="T42" s="141" t="n"/>
      <c r="U42" s="141" t="n"/>
      <c r="V42" s="164" t="n"/>
      <c r="W42" s="167">
        <f>HLOOKUP($V42,'2-2. 요약 진단결과(Linux)'!$F$3:$T$53,2,0)</f>
        <v/>
      </c>
      <c r="X42" s="308">
        <f>HLOOKUP($V42,'2-2. 요약 진단결과(Linux)'!$F$3:$T$74,72,0)</f>
        <v/>
      </c>
      <c r="Y42" s="154" t="n"/>
      <c r="Z42" s="154" t="n"/>
      <c r="AA42" s="154" t="n"/>
      <c r="AB42" s="154" t="n"/>
      <c r="AC42" s="154" t="n"/>
      <c r="AD42" s="154" t="n"/>
      <c r="AE42" s="154" t="n"/>
      <c r="AF42" s="154" t="n"/>
      <c r="AG42" s="154" t="n"/>
      <c r="AH42" s="154" t="n"/>
      <c r="AI42" s="156" t="n"/>
      <c r="AJ42" s="141" t="n"/>
      <c r="AK42" s="156" t="n"/>
      <c r="AL42" s="141" t="n"/>
      <c r="AM42" s="302" t="n"/>
      <c r="AN42" s="136" t="n"/>
      <c r="AO42" s="136" t="n"/>
      <c r="AP42" s="136" t="n"/>
      <c r="AQ42" s="136" t="n"/>
      <c r="AR42" s="136" t="n"/>
    </row>
    <row r="43" ht="13.5" customHeight="1" s="196">
      <c r="A43" s="136" t="n"/>
      <c r="B43" s="136" t="n"/>
      <c r="C43" s="136" t="n"/>
      <c r="D43" s="141" t="n"/>
      <c r="E43" s="141" t="n"/>
      <c r="F43" s="141" t="n"/>
      <c r="G43" s="141" t="n"/>
      <c r="H43" s="141" t="n"/>
      <c r="I43" s="141" t="n"/>
      <c r="J43" s="141" t="n"/>
      <c r="K43" s="141" t="n"/>
      <c r="L43" s="141" t="n"/>
      <c r="M43" s="141" t="n"/>
      <c r="N43" s="141" t="n"/>
      <c r="O43" s="141" t="n"/>
      <c r="P43" s="141" t="n"/>
      <c r="Q43" s="141" t="n"/>
      <c r="R43" s="141" t="n"/>
      <c r="S43" s="141" t="n"/>
      <c r="T43" s="141" t="n"/>
      <c r="U43" s="141" t="n"/>
      <c r="V43" s="164" t="n"/>
      <c r="W43" s="167">
        <f>HLOOKUP($V43,'2-2. 요약 진단결과(Linux)'!$F$3:$T$53,2,0)</f>
        <v/>
      </c>
      <c r="X43" s="308">
        <f>HLOOKUP($V43,'2-2. 요약 진단결과(Linux)'!$F$3:$T$74,72,0)</f>
        <v/>
      </c>
      <c r="Y43" s="136" t="n"/>
      <c r="Z43" s="136" t="n"/>
      <c r="AA43" s="136" t="n"/>
      <c r="AB43" s="136" t="n"/>
      <c r="AC43" s="136" t="n"/>
      <c r="AD43" s="136" t="n"/>
      <c r="AE43" s="136" t="n"/>
      <c r="AF43" s="136" t="n"/>
      <c r="AG43" s="136" t="n"/>
      <c r="AH43" s="136" t="n"/>
      <c r="AI43" s="156" t="n"/>
      <c r="AJ43" s="141" t="n"/>
      <c r="AK43" s="156" t="n"/>
      <c r="AL43" s="141" t="n"/>
      <c r="AM43" s="302" t="n"/>
      <c r="AN43" s="136" t="n"/>
      <c r="AO43" s="136" t="n"/>
      <c r="AP43" s="136" t="n"/>
      <c r="AQ43" s="136" t="n"/>
      <c r="AR43" s="136" t="n"/>
    </row>
    <row r="44" ht="13.5" customHeight="1" s="196">
      <c r="A44" s="136" t="n"/>
      <c r="B44" s="136" t="n"/>
      <c r="C44" s="136" t="n"/>
      <c r="D44" s="141" t="n"/>
      <c r="E44" s="141" t="n"/>
      <c r="F44" s="141" t="n"/>
      <c r="G44" s="141" t="n"/>
      <c r="H44" s="141" t="n"/>
      <c r="I44" s="141" t="n"/>
      <c r="J44" s="141" t="n"/>
      <c r="K44" s="141" t="n"/>
      <c r="L44" s="141" t="n"/>
      <c r="M44" s="141" t="n"/>
      <c r="N44" s="141" t="n"/>
      <c r="O44" s="141" t="n"/>
      <c r="P44" s="141" t="n"/>
      <c r="Q44" s="141" t="n"/>
      <c r="R44" s="141" t="n"/>
      <c r="S44" s="141" t="n"/>
      <c r="T44" s="141" t="n"/>
      <c r="U44" s="141" t="n"/>
      <c r="V44" s="164" t="n"/>
      <c r="W44" s="167">
        <f>HLOOKUP($V44,'2-2. 요약 진단결과(Linux)'!$F$3:$T$53,2,0)</f>
        <v/>
      </c>
      <c r="X44" s="308">
        <f>HLOOKUP($V44,'2-2. 요약 진단결과(Linux)'!$F$3:$T$74,72,0)</f>
        <v/>
      </c>
      <c r="Y44" s="136" t="n"/>
      <c r="Z44" s="136" t="n"/>
      <c r="AA44" s="136" t="n"/>
      <c r="AB44" s="136" t="n"/>
      <c r="AC44" s="136" t="n"/>
      <c r="AD44" s="136" t="n"/>
      <c r="AE44" s="136" t="n"/>
      <c r="AF44" s="136" t="n"/>
      <c r="AG44" s="136" t="n"/>
      <c r="AH44" s="136" t="n"/>
      <c r="AI44" s="156" t="n"/>
      <c r="AJ44" s="141" t="n"/>
      <c r="AK44" s="156" t="n"/>
      <c r="AL44" s="141" t="n"/>
      <c r="AM44" s="302" t="n"/>
      <c r="AN44" s="136" t="n"/>
      <c r="AO44" s="136" t="n"/>
      <c r="AP44" s="136" t="n"/>
      <c r="AQ44" s="136" t="n"/>
      <c r="AR44" s="136" t="n"/>
    </row>
    <row r="45" ht="13.5" customHeight="1" s="196">
      <c r="A45" s="136" t="n"/>
      <c r="B45" s="136" t="n"/>
      <c r="C45" s="136" t="n"/>
      <c r="D45" s="141" t="n"/>
      <c r="E45" s="141" t="n"/>
      <c r="F45" s="141" t="n"/>
      <c r="G45" s="141" t="n"/>
      <c r="H45" s="141" t="n"/>
      <c r="I45" s="141" t="n"/>
      <c r="J45" s="141" t="n"/>
      <c r="K45" s="141" t="n"/>
      <c r="L45" s="141" t="n"/>
      <c r="M45" s="141" t="n"/>
      <c r="N45" s="141" t="n"/>
      <c r="O45" s="141" t="n"/>
      <c r="P45" s="141" t="n"/>
      <c r="Q45" s="141" t="n"/>
      <c r="R45" s="141" t="n"/>
      <c r="S45" s="141" t="n"/>
      <c r="T45" s="141" t="n"/>
      <c r="U45" s="141" t="n"/>
      <c r="V45" s="164" t="n"/>
      <c r="W45" s="167">
        <f>HLOOKUP($V45,'2-2. 요약 진단결과(Linux)'!$F$3:$T$53,2,0)</f>
        <v/>
      </c>
      <c r="X45" s="308">
        <f>HLOOKUP($V45,'2-2. 요약 진단결과(Linux)'!$F$3:$T$74,72,0)</f>
        <v/>
      </c>
      <c r="Y45" s="136" t="n"/>
      <c r="Z45" s="136" t="n"/>
      <c r="AA45" s="136" t="n"/>
      <c r="AB45" s="136" t="n"/>
      <c r="AC45" s="136" t="n"/>
      <c r="AD45" s="136" t="n"/>
      <c r="AE45" s="136" t="n"/>
      <c r="AF45" s="136" t="n"/>
      <c r="AG45" s="136" t="n"/>
      <c r="AH45" s="136" t="n"/>
      <c r="AI45" s="156" t="n"/>
      <c r="AJ45" s="141" t="n"/>
      <c r="AK45" s="156" t="n"/>
      <c r="AL45" s="141" t="n"/>
      <c r="AM45" s="302" t="n"/>
      <c r="AN45" s="136" t="n"/>
      <c r="AO45" s="136" t="n"/>
      <c r="AP45" s="136" t="n"/>
      <c r="AQ45" s="136" t="n"/>
      <c r="AR45" s="136" t="n"/>
    </row>
    <row r="46" ht="13.5" customHeight="1" s="196">
      <c r="A46" s="136" t="n"/>
      <c r="B46" s="136" t="n"/>
      <c r="C46" s="136" t="n"/>
      <c r="D46" s="141" t="n"/>
      <c r="E46" s="141" t="n"/>
      <c r="F46" s="141" t="n"/>
      <c r="G46" s="141" t="n"/>
      <c r="H46" s="141" t="n"/>
      <c r="I46" s="141" t="n"/>
      <c r="J46" s="141" t="n"/>
      <c r="K46" s="141" t="n"/>
      <c r="L46" s="141" t="n"/>
      <c r="M46" s="141" t="n"/>
      <c r="N46" s="141" t="n"/>
      <c r="O46" s="141" t="n"/>
      <c r="P46" s="141" t="n"/>
      <c r="Q46" s="141" t="n"/>
      <c r="R46" s="141" t="n"/>
      <c r="S46" s="141" t="n"/>
      <c r="T46" s="141" t="n"/>
      <c r="U46" s="141" t="n"/>
      <c r="V46" s="164" t="n"/>
      <c r="W46" s="167">
        <f>HLOOKUP($V46,'2-2. 요약 진단결과(Linux)'!$F$3:$T$53,2,0)</f>
        <v/>
      </c>
      <c r="X46" s="308">
        <f>HLOOKUP($V46,'2-2. 요약 진단결과(Linux)'!$F$3:$T$74,72,0)</f>
        <v/>
      </c>
      <c r="Y46" s="136" t="n"/>
      <c r="Z46" s="136" t="n"/>
      <c r="AA46" s="136" t="n"/>
      <c r="AB46" s="136" t="n"/>
      <c r="AC46" s="136" t="n"/>
      <c r="AD46" s="136" t="n"/>
      <c r="AE46" s="136" t="n"/>
      <c r="AF46" s="136" t="n"/>
      <c r="AG46" s="136" t="n"/>
      <c r="AH46" s="136" t="n"/>
      <c r="AI46" s="156" t="n"/>
      <c r="AJ46" s="141" t="n"/>
      <c r="AK46" s="156" t="n"/>
      <c r="AL46" s="141" t="n"/>
      <c r="AM46" s="302" t="n"/>
      <c r="AN46" s="136" t="n"/>
      <c r="AO46" s="136" t="n"/>
      <c r="AP46" s="136" t="n"/>
      <c r="AQ46" s="136" t="n"/>
      <c r="AR46" s="136" t="n"/>
    </row>
    <row r="47" ht="13.5" customHeight="1" s="196">
      <c r="A47" s="136" t="n"/>
      <c r="B47" s="136" t="n"/>
      <c r="C47" s="136" t="n"/>
      <c r="D47" s="141" t="n"/>
      <c r="E47" s="141" t="n"/>
      <c r="F47" s="141" t="n"/>
      <c r="G47" s="141" t="n"/>
      <c r="H47" s="141" t="n"/>
      <c r="I47" s="141" t="n"/>
      <c r="J47" s="141" t="n"/>
      <c r="K47" s="141" t="n"/>
      <c r="L47" s="141" t="n"/>
      <c r="M47" s="141" t="n"/>
      <c r="N47" s="141" t="n"/>
      <c r="O47" s="141" t="n"/>
      <c r="P47" s="141" t="n"/>
      <c r="Q47" s="141" t="n"/>
      <c r="R47" s="141" t="n"/>
      <c r="S47" s="141" t="n"/>
      <c r="T47" s="141" t="n"/>
      <c r="U47" s="141" t="n"/>
      <c r="V47" s="164" t="n"/>
      <c r="W47" s="167">
        <f>HLOOKUP($V47,'2-2. 요약 진단결과(Linux)'!$F$3:$T$53,2,0)</f>
        <v/>
      </c>
      <c r="X47" s="308">
        <f>HLOOKUP($V47,'2-2. 요약 진단결과(Linux)'!$F$3:$T$74,72,0)</f>
        <v/>
      </c>
      <c r="Y47" s="136" t="n"/>
      <c r="Z47" s="136" t="n"/>
      <c r="AA47" s="136" t="n"/>
      <c r="AB47" s="136" t="n"/>
      <c r="AC47" s="136" t="n"/>
      <c r="AD47" s="136" t="n"/>
      <c r="AE47" s="136" t="n"/>
      <c r="AF47" s="136" t="n"/>
      <c r="AG47" s="136" t="n"/>
      <c r="AH47" s="136" t="n"/>
      <c r="AI47" s="156" t="n"/>
      <c r="AJ47" s="141" t="n"/>
      <c r="AK47" s="156" t="n"/>
      <c r="AL47" s="141" t="n"/>
      <c r="AM47" s="302" t="n"/>
      <c r="AN47" s="136" t="n"/>
      <c r="AO47" s="136" t="n"/>
      <c r="AP47" s="136" t="n"/>
      <c r="AQ47" s="136" t="n"/>
      <c r="AR47" s="136" t="n"/>
    </row>
    <row r="48" ht="13.5" customHeight="1" s="196">
      <c r="A48" s="136" t="n"/>
      <c r="B48" s="136" t="n"/>
      <c r="C48" s="136" t="n"/>
      <c r="D48" s="141" t="n"/>
      <c r="E48" s="141" t="n"/>
      <c r="F48" s="141" t="n"/>
      <c r="G48" s="141" t="n"/>
      <c r="H48" s="141" t="n"/>
      <c r="I48" s="141" t="n"/>
      <c r="J48" s="141" t="n"/>
      <c r="K48" s="141" t="n"/>
      <c r="L48" s="141" t="n"/>
      <c r="M48" s="141" t="n"/>
      <c r="N48" s="141" t="n"/>
      <c r="O48" s="141" t="n"/>
      <c r="P48" s="141" t="n"/>
      <c r="Q48" s="141" t="n"/>
      <c r="R48" s="141" t="n"/>
      <c r="S48" s="141" t="n"/>
      <c r="T48" s="141" t="n"/>
      <c r="U48" s="141" t="n"/>
      <c r="V48" s="164" t="n"/>
      <c r="W48" s="167">
        <f>HLOOKUP($V48,'2-2. 요약 진단결과(Linux)'!$F$3:$T$53,2,0)</f>
        <v/>
      </c>
      <c r="X48" s="308">
        <f>HLOOKUP($V48,'2-2. 요약 진단결과(Linux)'!$F$3:$T$74,72,0)</f>
        <v/>
      </c>
      <c r="Y48" s="136" t="n"/>
      <c r="Z48" s="136" t="n"/>
      <c r="AA48" s="136" t="n"/>
      <c r="AB48" s="136" t="n"/>
      <c r="AC48" s="136" t="n"/>
      <c r="AD48" s="136" t="n"/>
      <c r="AE48" s="136" t="n"/>
      <c r="AF48" s="136" t="n"/>
      <c r="AG48" s="136" t="n"/>
      <c r="AH48" s="136" t="n"/>
      <c r="AI48" s="156" t="n"/>
      <c r="AJ48" s="141" t="n"/>
      <c r="AK48" s="156" t="n"/>
      <c r="AL48" s="141" t="n"/>
      <c r="AM48" s="302" t="n"/>
      <c r="AN48" s="136" t="n"/>
      <c r="AO48" s="136" t="n"/>
      <c r="AP48" s="136" t="n"/>
      <c r="AQ48" s="136" t="n"/>
      <c r="AR48" s="136" t="n"/>
    </row>
    <row r="49" ht="13.5" customHeight="1" s="196">
      <c r="A49" s="136" t="n"/>
      <c r="B49" s="136" t="n"/>
      <c r="C49" s="136" t="n"/>
      <c r="D49" s="141" t="n"/>
      <c r="E49" s="141" t="n"/>
      <c r="F49" s="141" t="n"/>
      <c r="G49" s="141" t="n"/>
      <c r="H49" s="141" t="n"/>
      <c r="I49" s="141" t="n"/>
      <c r="J49" s="141" t="n"/>
      <c r="K49" s="141" t="n"/>
      <c r="L49" s="141" t="n"/>
      <c r="M49" s="141" t="n"/>
      <c r="N49" s="141" t="n"/>
      <c r="O49" s="141" t="n"/>
      <c r="P49" s="141" t="n"/>
      <c r="Q49" s="141" t="n"/>
      <c r="R49" s="141" t="n"/>
      <c r="S49" s="141" t="n"/>
      <c r="T49" s="141" t="n"/>
      <c r="U49" s="141" t="n"/>
      <c r="V49" s="164" t="n"/>
      <c r="W49" s="167">
        <f>HLOOKUP($V49,'2-2. 요약 진단결과(Linux)'!$F$3:$T$53,2,0)</f>
        <v/>
      </c>
      <c r="X49" s="308">
        <f>HLOOKUP($V49,'2-2. 요약 진단결과(Linux)'!$F$3:$T$74,72,0)</f>
        <v/>
      </c>
      <c r="Y49" s="136" t="n"/>
      <c r="Z49" s="136" t="n"/>
      <c r="AA49" s="136" t="n"/>
      <c r="AB49" s="136" t="n"/>
      <c r="AC49" s="136" t="n"/>
      <c r="AD49" s="136" t="n"/>
      <c r="AE49" s="136" t="n"/>
      <c r="AF49" s="136" t="n"/>
      <c r="AG49" s="136" t="n"/>
      <c r="AH49" s="136" t="n"/>
      <c r="AI49" s="156" t="n"/>
      <c r="AJ49" s="141" t="n"/>
      <c r="AK49" s="156" t="n"/>
      <c r="AL49" s="141" t="n"/>
      <c r="AM49" s="302" t="n"/>
      <c r="AN49" s="136" t="n"/>
      <c r="AO49" s="136" t="n"/>
      <c r="AP49" s="136" t="n"/>
      <c r="AQ49" s="136" t="n"/>
      <c r="AR49" s="136" t="n"/>
    </row>
    <row r="50" ht="13.5" customHeight="1" s="196" thickBot="1">
      <c r="A50" s="136" t="n"/>
      <c r="B50" s="136" t="n"/>
      <c r="C50" s="136" t="n"/>
      <c r="D50" s="141" t="n"/>
      <c r="E50" s="141" t="n"/>
      <c r="F50" s="141" t="n"/>
      <c r="G50" s="141" t="n"/>
      <c r="H50" s="141" t="n"/>
      <c r="I50" s="141" t="n"/>
      <c r="J50" s="141" t="n"/>
      <c r="K50" s="141" t="n"/>
      <c r="L50" s="141" t="n"/>
      <c r="M50" s="141" t="n"/>
      <c r="N50" s="141" t="n"/>
      <c r="O50" s="141" t="n"/>
      <c r="P50" s="141" t="n"/>
      <c r="Q50" s="141" t="n"/>
      <c r="R50" s="141" t="n"/>
      <c r="S50" s="141" t="n"/>
      <c r="T50" s="141" t="n"/>
      <c r="U50" s="141" t="n"/>
      <c r="V50" s="169" t="n"/>
      <c r="W50" s="167">
        <f>HLOOKUP($V50,'2-2. 요약 진단결과(Linux)'!$F$3:$T$53,2,0)</f>
        <v/>
      </c>
      <c r="X50" s="308">
        <f>HLOOKUP($V50,'2-2. 요약 진단결과(Linux)'!$F$3:$T$74,72,0)</f>
        <v/>
      </c>
      <c r="Y50" s="136" t="n"/>
      <c r="Z50" s="136" t="n"/>
      <c r="AA50" s="136" t="n"/>
      <c r="AB50" s="136" t="n"/>
      <c r="AC50" s="136" t="n"/>
      <c r="AD50" s="136" t="n"/>
      <c r="AE50" s="136" t="n"/>
      <c r="AF50" s="136" t="n"/>
      <c r="AG50" s="136" t="n"/>
      <c r="AH50" s="136" t="n"/>
      <c r="AI50" s="156" t="n"/>
      <c r="AJ50" s="141" t="n"/>
      <c r="AK50" s="156" t="n"/>
      <c r="AL50" s="141" t="n"/>
      <c r="AM50" s="302" t="n"/>
      <c r="AN50" s="136" t="n"/>
      <c r="AO50" s="136" t="n"/>
      <c r="AP50" s="136" t="n"/>
      <c r="AQ50" s="136" t="n"/>
      <c r="AR50" s="136" t="n"/>
    </row>
    <row r="51" ht="13.5" customHeight="1" s="196">
      <c r="A51" s="136" t="n"/>
      <c r="B51" s="136" t="n"/>
      <c r="C51" s="136" t="n"/>
      <c r="D51" s="141" t="n"/>
      <c r="E51" s="141" t="n"/>
      <c r="F51" s="141" t="n"/>
      <c r="G51" s="141" t="n"/>
      <c r="H51" s="141" t="n"/>
      <c r="I51" s="141" t="n"/>
      <c r="J51" s="141" t="n"/>
      <c r="K51" s="141" t="n"/>
      <c r="L51" s="141" t="n"/>
      <c r="M51" s="141" t="n"/>
      <c r="N51" s="141" t="n"/>
      <c r="O51" s="141" t="n"/>
      <c r="P51" s="141" t="n"/>
      <c r="Q51" s="141" t="n"/>
      <c r="R51" s="141" t="n"/>
      <c r="S51" s="141" t="n"/>
      <c r="T51" s="141" t="n"/>
      <c r="U51" s="141" t="n"/>
      <c r="V51" s="141" t="n"/>
      <c r="W51" s="141" t="n"/>
      <c r="X51" s="136" t="n"/>
      <c r="Y51" s="136" t="n"/>
      <c r="Z51" s="136" t="n"/>
      <c r="AA51" s="136" t="n"/>
      <c r="AB51" s="136" t="n"/>
      <c r="AC51" s="136" t="n"/>
      <c r="AD51" s="136" t="n"/>
      <c r="AE51" s="136" t="n"/>
      <c r="AF51" s="136" t="n"/>
      <c r="AG51" s="136" t="n"/>
      <c r="AH51" s="136" t="n"/>
      <c r="AI51" s="156" t="n"/>
      <c r="AJ51" s="141" t="n"/>
      <c r="AK51" s="302" t="n"/>
      <c r="AL51" s="136" t="n"/>
      <c r="AM51" s="136" t="n"/>
      <c r="AN51" s="136" t="n"/>
      <c r="AO51" s="136" t="n"/>
      <c r="AP51" s="136" t="n"/>
      <c r="AQ51" s="136" t="n"/>
      <c r="AR51" s="136" t="n"/>
    </row>
    <row r="52" ht="13.5" customHeight="1" s="196">
      <c r="A52" s="136" t="n"/>
      <c r="B52" s="136" t="n"/>
      <c r="C52" s="136" t="n"/>
      <c r="D52" s="141" t="n"/>
      <c r="E52" s="141" t="n"/>
      <c r="F52" s="141" t="n"/>
      <c r="G52" s="141" t="n"/>
      <c r="H52" s="141" t="n"/>
      <c r="I52" s="141" t="n"/>
      <c r="J52" s="141" t="n"/>
      <c r="K52" s="141" t="n"/>
      <c r="L52" s="141" t="n"/>
      <c r="M52" s="141" t="n"/>
      <c r="N52" s="141" t="n"/>
      <c r="O52" s="141" t="n"/>
      <c r="P52" s="141" t="n"/>
      <c r="Q52" s="141" t="n"/>
      <c r="R52" s="141" t="n"/>
      <c r="S52" s="141" t="n"/>
      <c r="T52" s="141" t="n"/>
      <c r="U52" s="141" t="n"/>
      <c r="V52" s="141" t="n"/>
      <c r="W52" s="156" t="n"/>
      <c r="X52" s="136" t="n"/>
      <c r="Y52" s="136" t="n"/>
      <c r="Z52" s="136" t="n"/>
      <c r="AA52" s="136" t="n"/>
      <c r="AB52" s="136" t="n"/>
      <c r="AC52" s="136" t="n"/>
      <c r="AD52" s="136" t="n"/>
      <c r="AE52" s="136" t="n"/>
      <c r="AF52" s="136" t="n"/>
      <c r="AG52" s="136" t="n"/>
      <c r="AH52" s="136" t="n"/>
      <c r="AI52" s="156" t="n"/>
      <c r="AJ52" s="141" t="n"/>
      <c r="AK52" s="302" t="n"/>
      <c r="AL52" s="136" t="n"/>
      <c r="AM52" s="136" t="n"/>
      <c r="AN52" s="136" t="n"/>
      <c r="AO52" s="136" t="n"/>
      <c r="AP52" s="136" t="n"/>
      <c r="AQ52" s="136" t="n"/>
      <c r="AR52" s="136" t="n"/>
    </row>
    <row r="53" ht="13.5" customHeight="1" s="196">
      <c r="A53" s="136" t="n"/>
      <c r="B53" s="136" t="n"/>
      <c r="C53" s="136" t="n"/>
      <c r="D53" s="141" t="n"/>
      <c r="E53" s="141" t="n"/>
      <c r="F53" s="141" t="n"/>
      <c r="G53" s="141" t="n"/>
      <c r="H53" s="141" t="n"/>
      <c r="I53" s="141" t="n"/>
      <c r="J53" s="141" t="n"/>
      <c r="K53" s="141" t="n"/>
      <c r="L53" s="141" t="n"/>
      <c r="M53" s="141" t="n"/>
      <c r="N53" s="141" t="n"/>
      <c r="O53" s="141" t="n"/>
      <c r="P53" s="141" t="n"/>
      <c r="Q53" s="141" t="n"/>
      <c r="R53" s="141" t="n"/>
      <c r="S53" s="141" t="n"/>
      <c r="T53" s="141" t="n"/>
      <c r="U53" s="141" t="n"/>
      <c r="V53" s="141" t="n"/>
      <c r="W53" s="156" t="n"/>
      <c r="X53" s="136" t="n"/>
      <c r="Y53" s="136" t="n"/>
      <c r="Z53" s="136" t="n"/>
      <c r="AA53" s="136" t="n"/>
      <c r="AB53" s="136" t="n"/>
      <c r="AC53" s="136" t="n"/>
      <c r="AD53" s="136" t="n"/>
      <c r="AE53" s="136" t="n"/>
      <c r="AF53" s="136" t="n"/>
      <c r="AG53" s="136" t="n"/>
      <c r="AH53" s="136" t="n"/>
      <c r="AI53" s="156" t="n"/>
      <c r="AJ53" s="141" t="n"/>
      <c r="AK53" s="302" t="n"/>
      <c r="AL53" s="136" t="n"/>
      <c r="AM53" s="136" t="n"/>
      <c r="AN53" s="136" t="n"/>
      <c r="AO53" s="136" t="n"/>
      <c r="AP53" s="136" t="n"/>
      <c r="AQ53" s="136" t="n"/>
      <c r="AR53" s="136" t="n"/>
    </row>
    <row r="54" ht="13.5" customHeight="1" s="196">
      <c r="A54" s="136" t="n"/>
      <c r="B54" s="136" t="n"/>
      <c r="C54" s="136" t="n"/>
      <c r="D54" s="141" t="n"/>
      <c r="E54" s="141" t="n"/>
      <c r="F54" s="141" t="n"/>
      <c r="G54" s="141" t="n"/>
      <c r="H54" s="141" t="n"/>
      <c r="I54" s="141" t="n"/>
      <c r="J54" s="141" t="n"/>
      <c r="K54" s="141" t="n"/>
      <c r="L54" s="141" t="n"/>
      <c r="M54" s="141" t="n"/>
      <c r="N54" s="141" t="n"/>
      <c r="O54" s="141" t="n"/>
      <c r="P54" s="141" t="n"/>
      <c r="Q54" s="141" t="n"/>
      <c r="R54" s="141" t="n"/>
      <c r="S54" s="141" t="n"/>
      <c r="T54" s="141" t="n"/>
      <c r="U54" s="141" t="n"/>
      <c r="V54" s="141" t="n"/>
      <c r="W54" s="156" t="n"/>
      <c r="X54" s="136" t="n"/>
      <c r="Y54" s="136" t="n"/>
      <c r="Z54" s="136" t="n"/>
      <c r="AA54" s="136" t="n"/>
      <c r="AB54" s="136" t="n"/>
      <c r="AC54" s="136" t="n"/>
      <c r="AD54" s="136" t="n"/>
      <c r="AE54" s="136" t="n"/>
      <c r="AF54" s="136" t="n"/>
      <c r="AG54" s="136" t="n"/>
      <c r="AH54" s="136" t="n"/>
      <c r="AI54" s="156" t="n"/>
      <c r="AJ54" s="141" t="n"/>
      <c r="AK54" s="302" t="n"/>
      <c r="AL54" s="136" t="n"/>
      <c r="AM54" s="136" t="n"/>
      <c r="AN54" s="136" t="n"/>
      <c r="AO54" s="136" t="n"/>
      <c r="AP54" s="136" t="n"/>
      <c r="AQ54" s="136" t="n"/>
      <c r="AR54" s="136" t="n"/>
    </row>
    <row r="55" ht="13.5" customHeight="1" s="196">
      <c r="A55" s="136" t="n"/>
      <c r="B55" s="136" t="n"/>
      <c r="C55" s="136" t="n"/>
      <c r="D55" s="141" t="n"/>
      <c r="E55" s="141" t="n"/>
      <c r="F55" s="141" t="n"/>
      <c r="G55" s="141" t="n"/>
      <c r="H55" s="141" t="n"/>
      <c r="I55" s="141" t="n"/>
      <c r="J55" s="141" t="n"/>
      <c r="K55" s="141" t="n"/>
      <c r="L55" s="141" t="n"/>
      <c r="M55" s="141" t="n"/>
      <c r="N55" s="141" t="n"/>
      <c r="O55" s="141" t="n"/>
      <c r="P55" s="141" t="n"/>
      <c r="Q55" s="141" t="n"/>
      <c r="R55" s="141" t="n"/>
      <c r="S55" s="141" t="n"/>
      <c r="T55" s="141" t="n"/>
      <c r="U55" s="141" t="n"/>
      <c r="V55" s="141" t="n"/>
      <c r="W55" s="156" t="n"/>
      <c r="X55" s="136" t="n"/>
      <c r="Y55" s="136" t="n"/>
      <c r="Z55" s="136" t="n"/>
      <c r="AA55" s="136" t="n"/>
      <c r="AB55" s="136" t="n"/>
      <c r="AC55" s="136" t="n"/>
      <c r="AD55" s="136" t="n"/>
      <c r="AE55" s="136" t="n"/>
      <c r="AF55" s="136" t="n"/>
      <c r="AG55" s="136" t="n"/>
      <c r="AH55" s="136" t="n"/>
      <c r="AI55" s="136" t="n"/>
      <c r="AJ55" s="136" t="n"/>
      <c r="AK55" s="136" t="n"/>
      <c r="AL55" s="136" t="n"/>
      <c r="AM55" s="136" t="n"/>
      <c r="AN55" s="136" t="n"/>
      <c r="AO55" s="136" t="n"/>
      <c r="AP55" s="136" t="n"/>
      <c r="AQ55" s="136" t="n"/>
      <c r="AR55" s="136" t="n"/>
    </row>
    <row r="56" ht="13.5" customHeight="1" s="196">
      <c r="A56" s="136" t="n"/>
      <c r="B56" s="136" t="n"/>
      <c r="C56" s="136" t="n"/>
      <c r="D56" s="141" t="n"/>
      <c r="E56" s="141" t="n"/>
      <c r="F56" s="141" t="n"/>
      <c r="G56" s="141" t="n"/>
      <c r="H56" s="141" t="n"/>
      <c r="I56" s="141" t="n"/>
      <c r="J56" s="141" t="n"/>
      <c r="K56" s="141" t="n"/>
      <c r="L56" s="141" t="n"/>
      <c r="M56" s="141" t="n"/>
      <c r="N56" s="141" t="n"/>
      <c r="O56" s="141" t="n"/>
      <c r="P56" s="141" t="n"/>
      <c r="Q56" s="141" t="n"/>
      <c r="R56" s="141" t="n"/>
      <c r="S56" s="141" t="n"/>
      <c r="T56" s="141" t="n"/>
      <c r="U56" s="141" t="n"/>
      <c r="V56" s="141" t="n"/>
      <c r="W56" s="156" t="n"/>
      <c r="X56" s="141" t="n"/>
      <c r="Y56" s="136" t="n"/>
      <c r="Z56" s="136" t="n"/>
      <c r="AA56" s="136" t="n"/>
      <c r="AB56" s="136" t="n"/>
      <c r="AC56" s="136" t="n"/>
      <c r="AD56" s="136" t="n"/>
      <c r="AE56" s="136" t="n"/>
      <c r="AF56" s="136" t="n"/>
      <c r="AG56" s="136" t="n"/>
      <c r="AH56" s="136" t="n"/>
      <c r="AI56" s="136" t="n"/>
      <c r="AJ56" s="136" t="n"/>
      <c r="AK56" s="136" t="n"/>
      <c r="AL56" s="136" t="n"/>
      <c r="AM56" s="136" t="n"/>
      <c r="AN56" s="136" t="n"/>
      <c r="AO56" s="136" t="n"/>
      <c r="AP56" s="136" t="n"/>
      <c r="AQ56" s="136" t="n"/>
      <c r="AR56" s="136" t="n"/>
    </row>
    <row r="57" ht="13.5" customHeight="1" s="196">
      <c r="A57" s="136" t="n"/>
      <c r="B57" s="136" t="n"/>
      <c r="C57" s="136" t="n"/>
      <c r="D57" s="141" t="n"/>
      <c r="E57" s="141" t="n"/>
      <c r="F57" s="141" t="n"/>
      <c r="G57" s="141" t="n"/>
      <c r="H57" s="141" t="n"/>
      <c r="I57" s="141" t="n"/>
      <c r="J57" s="141" t="n"/>
      <c r="K57" s="141" t="n"/>
      <c r="L57" s="141" t="n"/>
      <c r="M57" s="141" t="n"/>
      <c r="N57" s="141" t="n"/>
      <c r="O57" s="141" t="n"/>
      <c r="P57" s="141" t="n"/>
      <c r="Q57" s="141" t="n"/>
      <c r="R57" s="141" t="n"/>
      <c r="S57" s="141" t="n"/>
      <c r="T57" s="141" t="n"/>
      <c r="U57" s="141" t="n"/>
      <c r="V57" s="141" t="n"/>
      <c r="W57" s="156" t="n"/>
      <c r="X57" s="141" t="n"/>
      <c r="Y57" s="136" t="n"/>
      <c r="Z57" s="136" t="n"/>
      <c r="AA57" s="136" t="n"/>
      <c r="AB57" s="136" t="n"/>
      <c r="AC57" s="136" t="n"/>
      <c r="AD57" s="136" t="n"/>
      <c r="AE57" s="136" t="n"/>
      <c r="AF57" s="136" t="n"/>
      <c r="AG57" s="136" t="n"/>
      <c r="AH57" s="136" t="n"/>
      <c r="AI57" s="136" t="n"/>
      <c r="AJ57" s="136" t="n"/>
      <c r="AK57" s="136" t="n"/>
      <c r="AL57" s="136" t="n"/>
      <c r="AM57" s="136" t="n"/>
      <c r="AN57" s="136" t="n"/>
      <c r="AO57" s="136" t="n"/>
      <c r="AP57" s="136" t="n"/>
      <c r="AQ57" s="136" t="n"/>
      <c r="AR57" s="136" t="n"/>
    </row>
    <row r="58" ht="13.5" customHeight="1" s="196">
      <c r="A58" s="136" t="n"/>
      <c r="B58" s="136" t="n"/>
      <c r="C58" s="136" t="n"/>
      <c r="D58" s="141" t="n"/>
      <c r="E58" s="141" t="n"/>
      <c r="F58" s="141" t="n"/>
      <c r="G58" s="141" t="n"/>
      <c r="H58" s="141" t="n"/>
      <c r="I58" s="141" t="n"/>
      <c r="J58" s="141" t="n"/>
      <c r="K58" s="141" t="n"/>
      <c r="L58" s="141" t="n"/>
      <c r="M58" s="141" t="n"/>
      <c r="N58" s="141" t="n"/>
      <c r="O58" s="141" t="n"/>
      <c r="P58" s="141" t="n"/>
      <c r="Q58" s="141" t="n"/>
      <c r="R58" s="141" t="n"/>
      <c r="S58" s="141" t="n"/>
      <c r="T58" s="141" t="n"/>
      <c r="U58" s="141" t="n"/>
      <c r="V58" s="141" t="n"/>
      <c r="W58" s="156" t="n"/>
      <c r="X58" s="141" t="n"/>
      <c r="Y58" s="136" t="n"/>
      <c r="Z58" s="136" t="n"/>
      <c r="AA58" s="136" t="n"/>
      <c r="AB58" s="136" t="n"/>
      <c r="AC58" s="136" t="n"/>
      <c r="AD58" s="136" t="n"/>
      <c r="AE58" s="136" t="n"/>
      <c r="AF58" s="136" t="n"/>
      <c r="AG58" s="136" t="n"/>
      <c r="AH58" s="136" t="n"/>
      <c r="AI58" s="136" t="n"/>
      <c r="AJ58" s="136" t="n"/>
      <c r="AK58" s="136" t="n"/>
      <c r="AL58" s="136" t="n"/>
      <c r="AM58" s="136" t="n"/>
      <c r="AN58" s="136" t="n"/>
      <c r="AO58" s="136" t="n"/>
      <c r="AP58" s="136" t="n"/>
      <c r="AQ58" s="136" t="n"/>
      <c r="AR58" s="136" t="n"/>
    </row>
    <row r="59" ht="13.5" customHeight="1" s="196">
      <c r="A59" s="136" t="n"/>
      <c r="B59" s="136" t="n"/>
      <c r="C59" s="136" t="n"/>
      <c r="D59" s="141" t="n"/>
      <c r="E59" s="141" t="n"/>
      <c r="F59" s="141" t="n"/>
      <c r="G59" s="141" t="n"/>
      <c r="H59" s="141" t="n"/>
      <c r="I59" s="141" t="n"/>
      <c r="J59" s="141" t="n"/>
      <c r="K59" s="141" t="n"/>
      <c r="L59" s="141" t="n"/>
      <c r="M59" s="141" t="n"/>
      <c r="N59" s="141" t="n"/>
      <c r="O59" s="141" t="n"/>
      <c r="P59" s="141" t="n"/>
      <c r="Q59" s="141" t="n"/>
      <c r="R59" s="141" t="n"/>
      <c r="S59" s="141" t="n"/>
      <c r="T59" s="141" t="n"/>
      <c r="U59" s="141" t="n"/>
      <c r="V59" s="141" t="n"/>
      <c r="W59" s="156" t="n"/>
      <c r="X59" s="141" t="n"/>
      <c r="Y59" s="136" t="n"/>
      <c r="Z59" s="136" t="n"/>
      <c r="AA59" s="136" t="n"/>
      <c r="AB59" s="136" t="n"/>
      <c r="AC59" s="136" t="n"/>
      <c r="AD59" s="136" t="n"/>
      <c r="AE59" s="136" t="n"/>
      <c r="AF59" s="136" t="n"/>
      <c r="AG59" s="136" t="n"/>
      <c r="AH59" s="136" t="n"/>
      <c r="AI59" s="136" t="n"/>
      <c r="AJ59" s="136" t="n"/>
      <c r="AK59" s="136" t="n"/>
      <c r="AL59" s="136" t="n"/>
      <c r="AM59" s="136" t="n"/>
      <c r="AN59" s="136" t="n"/>
      <c r="AO59" s="136" t="n"/>
      <c r="AP59" s="136" t="n"/>
      <c r="AQ59" s="136" t="n"/>
      <c r="AR59" s="136" t="n"/>
    </row>
    <row r="60" ht="13.5" customHeight="1" s="196">
      <c r="A60" s="136" t="n"/>
      <c r="B60" s="136" t="n"/>
      <c r="C60" s="136" t="n"/>
      <c r="D60" s="141" t="n"/>
      <c r="E60" s="141" t="n"/>
      <c r="F60" s="141" t="n"/>
      <c r="G60" s="141" t="n"/>
      <c r="H60" s="141" t="n"/>
      <c r="I60" s="141" t="n"/>
      <c r="J60" s="141" t="n"/>
      <c r="K60" s="141" t="n"/>
      <c r="L60" s="141" t="n"/>
      <c r="M60" s="141" t="n"/>
      <c r="N60" s="141" t="n"/>
      <c r="O60" s="141" t="n"/>
      <c r="P60" s="141" t="n"/>
      <c r="Q60" s="141" t="n"/>
      <c r="R60" s="141" t="n"/>
      <c r="S60" s="141" t="n"/>
      <c r="T60" s="141" t="n"/>
      <c r="U60" s="141" t="n"/>
      <c r="V60" s="141" t="n"/>
      <c r="W60" s="156" t="n"/>
      <c r="X60" s="141" t="n"/>
      <c r="Y60" s="136" t="n"/>
      <c r="Z60" s="136" t="n"/>
      <c r="AA60" s="136" t="n"/>
      <c r="AB60" s="136" t="n"/>
      <c r="AC60" s="136" t="n"/>
      <c r="AD60" s="136" t="n"/>
      <c r="AE60" s="136" t="n"/>
      <c r="AF60" s="136" t="n"/>
      <c r="AG60" s="136" t="n"/>
      <c r="AH60" s="136" t="n"/>
      <c r="AI60" s="136" t="n"/>
      <c r="AJ60" s="136" t="n"/>
      <c r="AK60" s="136" t="n"/>
      <c r="AL60" s="136" t="n"/>
      <c r="AM60" s="136" t="n"/>
      <c r="AN60" s="136" t="n"/>
      <c r="AO60" s="136" t="n"/>
      <c r="AP60" s="136" t="n"/>
      <c r="AQ60" s="136" t="n"/>
      <c r="AR60" s="136" t="n"/>
    </row>
    <row r="61" ht="13.5" customHeight="1" s="196">
      <c r="A61" s="136" t="n"/>
      <c r="B61" s="136" t="n"/>
      <c r="C61" s="136" t="n"/>
      <c r="D61" s="141" t="n"/>
      <c r="E61" s="141" t="n"/>
      <c r="F61" s="141" t="n"/>
      <c r="G61" s="141" t="n"/>
      <c r="H61" s="141" t="n"/>
      <c r="I61" s="141" t="n"/>
      <c r="J61" s="141" t="n"/>
      <c r="K61" s="141" t="n"/>
      <c r="L61" s="141" t="n"/>
      <c r="M61" s="141" t="n"/>
      <c r="N61" s="141" t="n"/>
      <c r="O61" s="141" t="n"/>
      <c r="P61" s="141" t="n"/>
      <c r="Q61" s="141" t="n"/>
      <c r="R61" s="141" t="n"/>
      <c r="S61" s="141" t="n"/>
      <c r="T61" s="141" t="n"/>
      <c r="U61" s="141" t="n"/>
      <c r="V61" s="141" t="n"/>
      <c r="W61" s="156" t="n"/>
      <c r="X61" s="141" t="n"/>
      <c r="Y61" s="136" t="n"/>
      <c r="Z61" s="136" t="n"/>
      <c r="AA61" s="136" t="n"/>
      <c r="AB61" s="136" t="n"/>
      <c r="AC61" s="136" t="n"/>
      <c r="AD61" s="136" t="n"/>
      <c r="AE61" s="136" t="n"/>
      <c r="AF61" s="136" t="n"/>
      <c r="AG61" s="136" t="n"/>
      <c r="AH61" s="136" t="n"/>
      <c r="AI61" s="136" t="n"/>
      <c r="AJ61" s="136" t="n"/>
      <c r="AK61" s="136" t="n"/>
      <c r="AL61" s="136" t="n"/>
      <c r="AM61" s="136" t="n"/>
      <c r="AN61" s="136" t="n"/>
      <c r="AO61" s="136" t="n"/>
      <c r="AP61" s="136" t="n"/>
      <c r="AQ61" s="136" t="n"/>
      <c r="AR61" s="136" t="n"/>
    </row>
    <row r="62" ht="13.5" customHeight="1" s="196">
      <c r="A62" s="136" t="n"/>
      <c r="B62" s="136" t="n"/>
      <c r="C62" s="136" t="n"/>
      <c r="D62" s="141" t="n"/>
      <c r="E62" s="141" t="n"/>
      <c r="F62" s="141" t="n"/>
      <c r="G62" s="141" t="n"/>
      <c r="H62" s="141" t="n"/>
      <c r="I62" s="141" t="n"/>
      <c r="J62" s="141" t="n"/>
      <c r="K62" s="141" t="n"/>
      <c r="L62" s="141" t="n"/>
      <c r="M62" s="141" t="n"/>
      <c r="N62" s="141" t="n"/>
      <c r="O62" s="141" t="n"/>
      <c r="P62" s="141" t="n"/>
      <c r="Q62" s="141" t="n"/>
      <c r="R62" s="141" t="n"/>
      <c r="S62" s="141" t="n"/>
      <c r="T62" s="141" t="n"/>
      <c r="U62" s="141" t="n"/>
      <c r="V62" s="141" t="n"/>
      <c r="W62" s="156" t="n"/>
      <c r="X62" s="141" t="n"/>
      <c r="Y62" s="136" t="n"/>
      <c r="Z62" s="136" t="n"/>
      <c r="AA62" s="136" t="n"/>
      <c r="AB62" s="136" t="n"/>
      <c r="AC62" s="136" t="n"/>
      <c r="AD62" s="136" t="n"/>
      <c r="AE62" s="136" t="n"/>
      <c r="AF62" s="136" t="n"/>
      <c r="AG62" s="136" t="n"/>
      <c r="AH62" s="136" t="n"/>
      <c r="AI62" s="136" t="n"/>
      <c r="AJ62" s="136" t="n"/>
      <c r="AK62" s="136" t="n"/>
      <c r="AL62" s="136" t="n"/>
      <c r="AM62" s="136" t="n"/>
      <c r="AN62" s="136" t="n"/>
      <c r="AO62" s="136" t="n"/>
      <c r="AP62" s="136" t="n"/>
      <c r="AQ62" s="136" t="n"/>
      <c r="AR62" s="136" t="n"/>
    </row>
    <row r="63" ht="13.5" customHeight="1" s="196">
      <c r="A63" s="136" t="n"/>
      <c r="B63" s="136" t="n"/>
      <c r="C63" s="136" t="n"/>
      <c r="D63" s="141" t="n"/>
      <c r="E63" s="141" t="n"/>
      <c r="F63" s="141" t="n"/>
      <c r="G63" s="141" t="n"/>
      <c r="H63" s="141" t="n"/>
      <c r="I63" s="141" t="n"/>
      <c r="J63" s="141" t="n"/>
      <c r="K63" s="141" t="n"/>
      <c r="L63" s="141" t="n"/>
      <c r="M63" s="141" t="n"/>
      <c r="N63" s="141" t="n"/>
      <c r="O63" s="141" t="n"/>
      <c r="P63" s="141" t="n"/>
      <c r="Q63" s="141" t="n"/>
      <c r="R63" s="141" t="n"/>
      <c r="S63" s="141" t="n"/>
      <c r="T63" s="141" t="n"/>
      <c r="U63" s="141" t="n"/>
      <c r="V63" s="141" t="n"/>
      <c r="W63" s="156" t="n"/>
      <c r="X63" s="141" t="n"/>
      <c r="Y63" s="136" t="n"/>
      <c r="Z63" s="136" t="n"/>
      <c r="AA63" s="136" t="n"/>
      <c r="AB63" s="136" t="n"/>
      <c r="AC63" s="136" t="n"/>
      <c r="AD63" s="136" t="n"/>
      <c r="AE63" s="136" t="n"/>
      <c r="AF63" s="136" t="n"/>
      <c r="AG63" s="136" t="n"/>
      <c r="AH63" s="136" t="n"/>
      <c r="AI63" s="136" t="n"/>
      <c r="AJ63" s="136" t="n"/>
      <c r="AK63" s="136" t="n"/>
      <c r="AL63" s="136" t="n"/>
      <c r="AM63" s="136" t="n"/>
      <c r="AN63" s="136" t="n"/>
      <c r="AO63" s="136" t="n"/>
      <c r="AP63" s="136" t="n"/>
      <c r="AQ63" s="136" t="n"/>
      <c r="AR63" s="136" t="n"/>
    </row>
    <row r="64" ht="13.5" customHeight="1" s="196">
      <c r="A64" s="136" t="n"/>
      <c r="B64" s="136" t="n"/>
      <c r="C64" s="136" t="n"/>
      <c r="D64" s="141" t="n"/>
      <c r="E64" s="141" t="n"/>
      <c r="F64" s="141" t="n"/>
      <c r="G64" s="141" t="n"/>
      <c r="H64" s="141" t="n"/>
      <c r="I64" s="141" t="n"/>
      <c r="J64" s="141" t="n"/>
      <c r="K64" s="141" t="n"/>
      <c r="L64" s="141" t="n"/>
      <c r="M64" s="141" t="n"/>
      <c r="N64" s="141" t="n"/>
      <c r="O64" s="141" t="n"/>
      <c r="P64" s="141" t="n"/>
      <c r="Q64" s="141" t="n"/>
      <c r="R64" s="141" t="n"/>
      <c r="S64" s="141" t="n"/>
      <c r="T64" s="141" t="n"/>
      <c r="U64" s="141" t="n"/>
      <c r="V64" s="141" t="n"/>
      <c r="W64" s="156" t="n"/>
      <c r="X64" s="141" t="n"/>
      <c r="Y64" s="136" t="n"/>
      <c r="Z64" s="136" t="n"/>
      <c r="AA64" s="136" t="n"/>
      <c r="AB64" s="136" t="n"/>
      <c r="AC64" s="136" t="n"/>
      <c r="AD64" s="136" t="n"/>
      <c r="AE64" s="136" t="n"/>
      <c r="AF64" s="136" t="n"/>
      <c r="AG64" s="136" t="n"/>
      <c r="AH64" s="136" t="n"/>
      <c r="AI64" s="136" t="n"/>
      <c r="AJ64" s="136" t="n"/>
      <c r="AK64" s="136" t="n"/>
      <c r="AL64" s="136" t="n"/>
      <c r="AM64" s="136" t="n"/>
      <c r="AN64" s="136" t="n"/>
      <c r="AO64" s="136" t="n"/>
      <c r="AP64" s="136" t="n"/>
      <c r="AQ64" s="136" t="n"/>
      <c r="AR64" s="136" t="n"/>
    </row>
    <row r="65" ht="13.5" customHeight="1" s="196">
      <c r="A65" s="136" t="n"/>
      <c r="B65" s="136" t="n"/>
      <c r="C65" s="136" t="n"/>
      <c r="D65" s="141" t="n"/>
      <c r="E65" s="141" t="n"/>
      <c r="F65" s="141" t="n"/>
      <c r="G65" s="141" t="n"/>
      <c r="H65" s="141" t="n"/>
      <c r="I65" s="141" t="n"/>
      <c r="J65" s="141" t="n"/>
      <c r="K65" s="141" t="n"/>
      <c r="L65" s="141" t="n"/>
      <c r="M65" s="141" t="n"/>
      <c r="N65" s="141" t="n"/>
      <c r="O65" s="141" t="n"/>
      <c r="P65" s="141" t="n"/>
      <c r="Q65" s="141" t="n"/>
      <c r="R65" s="141" t="n"/>
      <c r="S65" s="141" t="n"/>
      <c r="T65" s="141" t="n"/>
      <c r="U65" s="141" t="n"/>
      <c r="V65" s="141" t="n"/>
      <c r="W65" s="141" t="n"/>
      <c r="X65" s="141" t="n"/>
      <c r="Y65" s="136" t="n"/>
      <c r="Z65" s="136" t="n"/>
      <c r="AA65" s="136" t="n"/>
      <c r="AB65" s="136" t="n"/>
      <c r="AC65" s="136" t="n"/>
      <c r="AD65" s="136" t="n"/>
      <c r="AE65" s="136" t="n"/>
      <c r="AF65" s="136" t="n"/>
      <c r="AG65" s="136" t="n"/>
      <c r="AH65" s="136" t="n"/>
      <c r="AI65" s="136" t="n"/>
      <c r="AJ65" s="136" t="n"/>
      <c r="AK65" s="136" t="n"/>
      <c r="AL65" s="136" t="n"/>
      <c r="AM65" s="136" t="n"/>
      <c r="AN65" s="136" t="n"/>
      <c r="AO65" s="136" t="n"/>
      <c r="AP65" s="136" t="n"/>
      <c r="AQ65" s="136" t="n"/>
      <c r="AR65" s="136" t="n"/>
    </row>
    <row r="66" ht="13.5" customHeight="1" s="196">
      <c r="A66" s="136" t="n"/>
      <c r="B66" s="136" t="n"/>
      <c r="C66" s="136" t="n"/>
      <c r="D66" s="141" t="n"/>
      <c r="E66" s="141" t="n"/>
      <c r="F66" s="141" t="n"/>
      <c r="G66" s="141" t="n"/>
      <c r="H66" s="141" t="n"/>
      <c r="I66" s="141" t="n"/>
      <c r="J66" s="141" t="n"/>
      <c r="K66" s="141" t="n"/>
      <c r="L66" s="141" t="n"/>
      <c r="M66" s="141" t="n"/>
      <c r="N66" s="141" t="n"/>
      <c r="O66" s="141" t="n"/>
      <c r="P66" s="141" t="n"/>
      <c r="Q66" s="141" t="n"/>
      <c r="R66" s="141" t="n"/>
      <c r="S66" s="141" t="n"/>
      <c r="T66" s="141" t="n"/>
      <c r="U66" s="141" t="n"/>
      <c r="V66" s="141" t="n"/>
      <c r="W66" s="141" t="n"/>
      <c r="X66" s="141" t="n"/>
      <c r="Y66" s="136" t="n"/>
      <c r="Z66" s="136" t="n"/>
      <c r="AA66" s="136" t="n"/>
      <c r="AB66" s="136" t="n"/>
      <c r="AC66" s="136" t="n"/>
      <c r="AD66" s="136" t="n"/>
      <c r="AE66" s="136" t="n"/>
      <c r="AF66" s="136" t="n"/>
      <c r="AG66" s="136" t="n"/>
      <c r="AH66" s="136" t="n"/>
      <c r="AI66" s="136" t="n"/>
      <c r="AJ66" s="136" t="n"/>
      <c r="AK66" s="136" t="n"/>
      <c r="AL66" s="136" t="n"/>
      <c r="AM66" s="136" t="n"/>
      <c r="AN66" s="136" t="n"/>
      <c r="AO66" s="136" t="n"/>
      <c r="AP66" s="136" t="n"/>
      <c r="AQ66" s="136" t="n"/>
      <c r="AR66" s="136" t="n"/>
    </row>
    <row r="67" ht="13.5" customHeight="1" s="196">
      <c r="A67" s="136" t="n"/>
      <c r="B67" s="136" t="n"/>
      <c r="C67" s="136" t="n"/>
      <c r="D67" s="141" t="n"/>
      <c r="E67" s="141" t="n"/>
      <c r="F67" s="141" t="n"/>
      <c r="G67" s="141" t="n"/>
      <c r="H67" s="141" t="n"/>
      <c r="I67" s="141" t="n"/>
      <c r="J67" s="141" t="n"/>
      <c r="K67" s="141" t="n"/>
      <c r="L67" s="141" t="n"/>
      <c r="M67" s="141" t="n"/>
      <c r="N67" s="141" t="n"/>
      <c r="O67" s="141" t="n"/>
      <c r="P67" s="141" t="n"/>
      <c r="Q67" s="141" t="n"/>
      <c r="R67" s="141" t="n"/>
      <c r="S67" s="141" t="n"/>
      <c r="T67" s="141" t="n"/>
      <c r="U67" s="141" t="n"/>
      <c r="V67" s="141" t="n"/>
      <c r="W67" s="141" t="n"/>
      <c r="X67" s="141" t="n"/>
      <c r="Y67" s="136" t="n"/>
      <c r="Z67" s="136" t="n"/>
      <c r="AA67" s="136" t="n"/>
      <c r="AB67" s="136" t="n"/>
      <c r="AC67" s="136" t="n"/>
      <c r="AD67" s="136" t="n"/>
      <c r="AE67" s="136" t="n"/>
      <c r="AF67" s="136" t="n"/>
      <c r="AG67" s="136" t="n"/>
      <c r="AH67" s="136" t="n"/>
      <c r="AI67" s="136" t="n"/>
      <c r="AJ67" s="136" t="n"/>
      <c r="AK67" s="136" t="n"/>
      <c r="AL67" s="136" t="n"/>
      <c r="AM67" s="136" t="n"/>
      <c r="AN67" s="136" t="n"/>
      <c r="AO67" s="136" t="n"/>
      <c r="AP67" s="136" t="n"/>
      <c r="AQ67" s="136" t="n"/>
      <c r="AR67" s="136" t="n"/>
    </row>
    <row r="68" ht="13.5" customHeight="1" s="196">
      <c r="A68" s="136" t="n"/>
      <c r="B68" s="136" t="n"/>
      <c r="C68" s="136" t="n"/>
      <c r="D68" s="141" t="n"/>
      <c r="E68" s="141" t="n"/>
      <c r="F68" s="141" t="n"/>
      <c r="G68" s="141" t="n"/>
      <c r="H68" s="141" t="n"/>
      <c r="I68" s="141" t="n"/>
      <c r="J68" s="141" t="n"/>
      <c r="K68" s="141" t="n"/>
      <c r="L68" s="141" t="n"/>
      <c r="M68" s="141" t="n"/>
      <c r="N68" s="141" t="n"/>
      <c r="O68" s="141" t="n"/>
      <c r="P68" s="141" t="n"/>
      <c r="Q68" s="141" t="n"/>
      <c r="R68" s="141" t="n"/>
      <c r="S68" s="141" t="n"/>
      <c r="T68" s="141" t="n"/>
      <c r="U68" s="141" t="n"/>
      <c r="V68" s="136" t="n"/>
      <c r="W68" s="141" t="n"/>
      <c r="X68" s="141" t="n"/>
      <c r="Y68" s="136" t="n"/>
      <c r="Z68" s="136" t="n"/>
      <c r="AA68" s="136" t="n"/>
      <c r="AB68" s="136" t="n"/>
      <c r="AC68" s="136" t="n"/>
      <c r="AD68" s="136" t="n"/>
      <c r="AE68" s="136" t="n"/>
      <c r="AF68" s="136" t="n"/>
      <c r="AG68" s="136" t="n"/>
      <c r="AH68" s="136" t="n"/>
      <c r="AI68" s="136" t="n"/>
      <c r="AJ68" s="136" t="n"/>
      <c r="AK68" s="136" t="n"/>
      <c r="AL68" s="136" t="n"/>
      <c r="AM68" s="136" t="n"/>
      <c r="AN68" s="136" t="n"/>
      <c r="AO68" s="136" t="n"/>
      <c r="AP68" s="136" t="n"/>
      <c r="AQ68" s="136" t="n"/>
      <c r="AR68" s="136" t="n"/>
    </row>
    <row r="69" ht="13.5" customHeight="1" s="196">
      <c r="A69" s="136" t="n"/>
      <c r="B69" s="136" t="n"/>
      <c r="C69" s="136" t="n"/>
      <c r="D69" s="141" t="n"/>
      <c r="E69" s="141" t="n"/>
      <c r="F69" s="141" t="n"/>
      <c r="G69" s="141" t="n"/>
      <c r="H69" s="141" t="n"/>
      <c r="I69" s="141" t="n"/>
      <c r="J69" s="141" t="n"/>
      <c r="K69" s="141" t="n"/>
      <c r="L69" s="141" t="n"/>
      <c r="M69" s="141" t="n"/>
      <c r="N69" s="141" t="n"/>
      <c r="O69" s="141" t="n"/>
      <c r="P69" s="141" t="n"/>
      <c r="Q69" s="141" t="n"/>
      <c r="R69" s="141" t="n"/>
      <c r="S69" s="141" t="n"/>
      <c r="T69" s="141" t="n"/>
      <c r="U69" s="141" t="n"/>
      <c r="V69" s="136" t="n"/>
      <c r="W69" s="141" t="n"/>
      <c r="X69" s="141" t="n"/>
      <c r="Y69" s="136" t="n"/>
      <c r="Z69" s="136" t="n"/>
      <c r="AA69" s="136" t="n"/>
      <c r="AB69" s="136" t="n"/>
      <c r="AC69" s="136" t="n"/>
      <c r="AD69" s="136" t="n"/>
      <c r="AE69" s="136" t="n"/>
      <c r="AF69" s="136" t="n"/>
      <c r="AG69" s="136" t="n"/>
      <c r="AH69" s="136" t="n"/>
      <c r="AI69" s="136" t="n"/>
      <c r="AJ69" s="136" t="n"/>
      <c r="AK69" s="136" t="n"/>
      <c r="AL69" s="136" t="n"/>
      <c r="AM69" s="136" t="n"/>
      <c r="AN69" s="136" t="n"/>
      <c r="AO69" s="136" t="n"/>
      <c r="AP69" s="136" t="n"/>
      <c r="AQ69" s="136" t="n"/>
      <c r="AR69" s="136" t="n"/>
    </row>
    <row r="70" ht="13.5" customHeight="1" s="196" thickBot="1">
      <c r="A70" s="136" t="n"/>
      <c r="B70" s="136" t="n"/>
      <c r="C70" s="136" t="n"/>
      <c r="D70" s="141" t="n"/>
      <c r="E70" s="141" t="n"/>
      <c r="F70" s="141" t="n"/>
      <c r="G70" s="141" t="n"/>
      <c r="H70" s="141" t="n"/>
      <c r="I70" s="141" t="n"/>
      <c r="J70" s="141" t="n"/>
      <c r="K70" s="141" t="n"/>
      <c r="L70" s="141" t="n"/>
      <c r="M70" s="141" t="n"/>
      <c r="N70" s="141" t="n"/>
      <c r="O70" s="141" t="n"/>
      <c r="P70" s="141" t="n"/>
      <c r="Q70" s="141" t="n"/>
      <c r="R70" s="141" t="n"/>
      <c r="S70" s="141" t="n"/>
      <c r="T70" s="141" t="n"/>
      <c r="U70" s="141" t="n"/>
      <c r="V70" s="136" t="n"/>
      <c r="W70" s="141" t="n"/>
      <c r="X70" s="141" t="n"/>
      <c r="Y70" s="136" t="n"/>
      <c r="Z70" s="136" t="n"/>
      <c r="AA70" s="136" t="n"/>
      <c r="AB70" s="136" t="n"/>
      <c r="AC70" s="136" t="n"/>
      <c r="AD70" s="136" t="n"/>
      <c r="AE70" s="136" t="n"/>
      <c r="AF70" s="136" t="n"/>
      <c r="AG70" s="136" t="n"/>
      <c r="AH70" s="136" t="n"/>
      <c r="AI70" s="136" t="n"/>
      <c r="AJ70" s="136" t="n"/>
      <c r="AK70" s="136" t="n"/>
      <c r="AL70" s="136" t="n"/>
      <c r="AM70" s="136" t="n"/>
      <c r="AN70" s="136" t="n"/>
      <c r="AO70" s="136" t="n"/>
      <c r="AP70" s="136" t="n"/>
      <c r="AQ70" s="136" t="n"/>
      <c r="AR70" s="136" t="n"/>
    </row>
    <row r="71" ht="13.5" customHeight="1" s="196">
      <c r="A71" s="136" t="n"/>
      <c r="B71" s="170" t="inlineStr">
        <is>
          <t>진단 도메인</t>
        </is>
      </c>
      <c r="C71" s="309" t="inlineStr">
        <is>
          <t>평균 점수</t>
        </is>
      </c>
      <c r="D71" s="310" t="inlineStr">
        <is>
          <t>총 평균</t>
        </is>
      </c>
      <c r="E71" s="141" t="n"/>
      <c r="F71" s="141" t="n"/>
      <c r="G71" s="141" t="n"/>
      <c r="H71" s="141" t="n"/>
      <c r="I71" s="141" t="n"/>
      <c r="J71" s="141" t="n"/>
      <c r="K71" s="141" t="n"/>
      <c r="L71" s="141" t="n"/>
      <c r="M71" s="141" t="n"/>
      <c r="N71" s="141" t="n"/>
      <c r="O71" s="141" t="n"/>
      <c r="P71" s="141" t="n"/>
      <c r="Q71" s="141" t="n"/>
      <c r="R71" s="141" t="n"/>
      <c r="S71" s="141" t="n"/>
      <c r="T71" s="141" t="n"/>
      <c r="U71" s="136" t="n"/>
      <c r="V71" s="136" t="n"/>
      <c r="W71" s="141" t="n"/>
      <c r="X71" s="141" t="n"/>
      <c r="Y71" s="136" t="n"/>
      <c r="Z71" s="136" t="n"/>
      <c r="AA71" s="136" t="n"/>
      <c r="AB71" s="136" t="n"/>
      <c r="AC71" s="136" t="n"/>
      <c r="AD71" s="136" t="n"/>
      <c r="AE71" s="136" t="n"/>
      <c r="AF71" s="136" t="n"/>
      <c r="AG71" s="136" t="n"/>
      <c r="AH71" s="136" t="n"/>
      <c r="AI71" s="136" t="n"/>
      <c r="AJ71" s="136" t="n"/>
      <c r="AK71" s="136" t="n"/>
      <c r="AL71" s="136" t="n"/>
      <c r="AM71" s="136" t="n"/>
      <c r="AN71" s="136" t="n"/>
      <c r="AO71" s="136" t="n"/>
      <c r="AP71" s="136" t="n"/>
      <c r="AQ71" s="136" t="n"/>
      <c r="AR71" s="136" t="n"/>
    </row>
    <row r="72" ht="13.5" customHeight="1" s="196">
      <c r="A72" s="136" t="n"/>
      <c r="B72" s="158">
        <f>'2-2. 요약 진단결과(Linux)'!B6</f>
        <v/>
      </c>
      <c r="C72" s="303">
        <f>'2-2. 요약 진단결과(Linux)'!V6</f>
        <v/>
      </c>
      <c r="D72" s="308">
        <f>$C$6</f>
        <v/>
      </c>
      <c r="E72" s="141" t="n"/>
      <c r="F72" s="141" t="n"/>
      <c r="G72" s="141" t="n"/>
      <c r="H72" s="141" t="n"/>
      <c r="I72" s="141" t="n"/>
      <c r="J72" s="141" t="n"/>
      <c r="K72" s="141" t="n"/>
      <c r="L72" s="141" t="n"/>
      <c r="M72" s="141" t="n"/>
      <c r="N72" s="141" t="n"/>
      <c r="O72" s="141" t="n"/>
      <c r="P72" s="141" t="n"/>
      <c r="Q72" s="141" t="n"/>
      <c r="R72" s="141" t="n"/>
      <c r="S72" s="141" t="n"/>
      <c r="T72" s="141" t="n"/>
      <c r="U72" s="136" t="n"/>
      <c r="V72" s="136" t="n"/>
      <c r="W72" s="141" t="n"/>
      <c r="X72" s="141" t="n"/>
      <c r="Y72" s="136" t="n"/>
      <c r="Z72" s="136" t="n"/>
      <c r="AA72" s="136" t="n"/>
      <c r="AB72" s="136" t="n"/>
      <c r="AC72" s="136" t="n"/>
      <c r="AD72" s="136" t="n"/>
      <c r="AE72" s="136" t="n"/>
      <c r="AF72" s="136" t="n"/>
      <c r="AG72" s="136" t="n"/>
      <c r="AH72" s="136" t="n"/>
      <c r="AI72" s="136" t="n"/>
      <c r="AJ72" s="136" t="n"/>
      <c r="AK72" s="136" t="n"/>
      <c r="AL72" s="136" t="n"/>
      <c r="AM72" s="136" t="n"/>
      <c r="AN72" s="136" t="n"/>
      <c r="AO72" s="136" t="n"/>
      <c r="AP72" s="136" t="n"/>
      <c r="AQ72" s="136" t="n"/>
      <c r="AR72" s="136" t="n"/>
    </row>
    <row r="73" ht="13.5" customHeight="1" s="196">
      <c r="A73" s="136" t="n"/>
      <c r="B73" s="158">
        <f>'2-2. 요약 진단결과(Linux)'!B19</f>
        <v/>
      </c>
      <c r="C73" s="303">
        <f>'2-2. 요약 진단결과(Linux)'!V19</f>
        <v/>
      </c>
      <c r="D73" s="308">
        <f>$C$6</f>
        <v/>
      </c>
      <c r="E73" s="141" t="n"/>
      <c r="F73" s="141" t="n"/>
      <c r="G73" s="141" t="n"/>
      <c r="H73" s="141" t="n"/>
      <c r="I73" s="141" t="n"/>
      <c r="J73" s="141" t="n"/>
      <c r="K73" s="141" t="n"/>
      <c r="L73" s="141" t="n"/>
      <c r="M73" s="141" t="n"/>
      <c r="N73" s="141" t="n"/>
      <c r="O73" s="141" t="n"/>
      <c r="P73" s="141" t="n"/>
      <c r="Q73" s="141" t="n"/>
      <c r="R73" s="141" t="n"/>
      <c r="S73" s="141" t="n"/>
      <c r="T73" s="141" t="n"/>
      <c r="U73" s="136" t="n"/>
      <c r="V73" s="136" t="n"/>
      <c r="W73" s="141" t="n"/>
      <c r="X73" s="141" t="n"/>
      <c r="Y73" s="136" t="n"/>
      <c r="Z73" s="136" t="n"/>
      <c r="AA73" s="136" t="n"/>
      <c r="AB73" s="136" t="n"/>
      <c r="AC73" s="136" t="n"/>
      <c r="AD73" s="136" t="n"/>
      <c r="AE73" s="136" t="n"/>
      <c r="AF73" s="136" t="n"/>
      <c r="AG73" s="136" t="n"/>
      <c r="AH73" s="136" t="n"/>
      <c r="AI73" s="136" t="n"/>
      <c r="AJ73" s="136" t="n"/>
      <c r="AK73" s="136" t="n"/>
      <c r="AL73" s="136" t="n"/>
      <c r="AM73" s="136" t="n"/>
      <c r="AN73" s="136" t="n"/>
      <c r="AO73" s="136" t="n"/>
      <c r="AP73" s="136" t="n"/>
      <c r="AQ73" s="136" t="n"/>
      <c r="AR73" s="136" t="n"/>
    </row>
    <row r="74" ht="13.5" customHeight="1" s="196">
      <c r="A74" s="136" t="n"/>
      <c r="B74" s="158">
        <f>'2-2. 요약 진단결과(Linux)'!B39</f>
        <v/>
      </c>
      <c r="C74" s="303">
        <f>'2-2. 요약 진단결과(Linux)'!V39</f>
        <v/>
      </c>
      <c r="D74" s="308">
        <f>$C$6</f>
        <v/>
      </c>
      <c r="E74" s="141" t="n"/>
      <c r="F74" s="141" t="n"/>
      <c r="G74" s="141" t="n"/>
      <c r="H74" s="141" t="n"/>
      <c r="I74" s="141" t="n"/>
      <c r="J74" s="141" t="n"/>
      <c r="K74" s="141" t="n"/>
      <c r="L74" s="141" t="n"/>
      <c r="M74" s="141" t="n"/>
      <c r="N74" s="141" t="n"/>
      <c r="O74" s="141" t="n"/>
      <c r="P74" s="141" t="n"/>
      <c r="Q74" s="141" t="n"/>
      <c r="R74" s="141" t="n"/>
      <c r="S74" s="141" t="n"/>
      <c r="T74" s="141" t="n"/>
      <c r="U74" s="136" t="n"/>
      <c r="V74" s="136" t="n"/>
      <c r="W74" s="141" t="n"/>
      <c r="X74" s="141" t="n"/>
      <c r="Y74" s="136" t="n"/>
      <c r="Z74" s="136" t="n"/>
      <c r="AA74" s="136" t="n"/>
      <c r="AB74" s="136" t="n"/>
      <c r="AC74" s="136" t="n"/>
      <c r="AD74" s="136" t="n"/>
      <c r="AE74" s="136" t="n"/>
      <c r="AF74" s="136" t="n"/>
      <c r="AG74" s="136" t="n"/>
      <c r="AH74" s="136" t="n"/>
      <c r="AI74" s="136" t="n"/>
      <c r="AJ74" s="136" t="n"/>
      <c r="AK74" s="136" t="n"/>
      <c r="AL74" s="136" t="n"/>
      <c r="AM74" s="136" t="n"/>
      <c r="AN74" s="136" t="n"/>
      <c r="AO74" s="136" t="n"/>
      <c r="AP74" s="136" t="n"/>
      <c r="AQ74" s="136" t="n"/>
      <c r="AR74" s="136" t="n"/>
    </row>
    <row r="75" ht="13.5" customHeight="1" s="196">
      <c r="A75" s="136" t="n"/>
      <c r="B75" s="158">
        <f>'2-2. 요약 진단결과(Linux)'!B69</f>
        <v/>
      </c>
      <c r="C75" s="303">
        <f>'2-2. 요약 진단결과(Linux)'!V69</f>
        <v/>
      </c>
      <c r="D75" s="308">
        <f>$C$6</f>
        <v/>
      </c>
      <c r="E75" s="141" t="n"/>
      <c r="F75" s="141" t="n"/>
      <c r="G75" s="141" t="n"/>
      <c r="H75" s="141" t="n"/>
      <c r="I75" s="141" t="n"/>
      <c r="J75" s="141" t="n"/>
      <c r="K75" s="141" t="n"/>
      <c r="L75" s="141" t="n"/>
      <c r="M75" s="141" t="n"/>
      <c r="N75" s="141" t="n"/>
      <c r="O75" s="141" t="n"/>
      <c r="P75" s="141" t="n"/>
      <c r="Q75" s="141" t="n"/>
      <c r="R75" s="141" t="n"/>
      <c r="S75" s="141" t="n"/>
      <c r="T75" s="141" t="n"/>
      <c r="U75" s="136" t="n"/>
      <c r="V75" s="136" t="n"/>
      <c r="W75" s="141" t="n"/>
      <c r="X75" s="141" t="n"/>
      <c r="Y75" s="136" t="n"/>
      <c r="Z75" s="136" t="n"/>
      <c r="AA75" s="136" t="n"/>
      <c r="AB75" s="136" t="n"/>
      <c r="AC75" s="136" t="n"/>
      <c r="AD75" s="136" t="n"/>
      <c r="AE75" s="136" t="n"/>
      <c r="AF75" s="136" t="n"/>
      <c r="AG75" s="136" t="n"/>
      <c r="AH75" s="136" t="n"/>
      <c r="AI75" s="136" t="n"/>
      <c r="AJ75" s="136" t="n"/>
      <c r="AK75" s="136" t="n"/>
      <c r="AL75" s="136" t="n"/>
      <c r="AM75" s="136" t="n"/>
      <c r="AN75" s="136" t="n"/>
      <c r="AO75" s="136" t="n"/>
      <c r="AP75" s="136" t="n"/>
      <c r="AQ75" s="136" t="n"/>
      <c r="AR75" s="136" t="n"/>
    </row>
    <row r="76" ht="13.5" customHeight="1" s="196">
      <c r="A76" s="136" t="n"/>
      <c r="B76" s="158">
        <f>'2-2. 요약 진단결과(Linux)'!B70</f>
        <v/>
      </c>
      <c r="C76" s="303">
        <f>'2-2. 요약 진단결과(Linux)'!V70</f>
        <v/>
      </c>
      <c r="D76" s="308">
        <f>$C$6</f>
        <v/>
      </c>
      <c r="E76" s="141" t="n"/>
      <c r="F76" s="141" t="n"/>
      <c r="G76" s="141" t="n"/>
      <c r="H76" s="141" t="n"/>
      <c r="I76" s="141" t="n"/>
      <c r="J76" s="141" t="n"/>
      <c r="K76" s="141" t="n"/>
      <c r="L76" s="141" t="n"/>
      <c r="M76" s="141" t="n"/>
      <c r="N76" s="141" t="n"/>
      <c r="O76" s="141" t="n"/>
      <c r="P76" s="141" t="n"/>
      <c r="Q76" s="141" t="n"/>
      <c r="R76" s="141" t="n"/>
      <c r="S76" s="141" t="n"/>
      <c r="T76" s="141" t="n"/>
      <c r="U76" s="136" t="n"/>
      <c r="V76" s="136" t="n"/>
      <c r="W76" s="141" t="n"/>
      <c r="X76" s="141" t="n"/>
      <c r="Y76" s="136" t="n"/>
      <c r="Z76" s="136" t="n"/>
      <c r="AA76" s="136" t="n"/>
      <c r="AB76" s="136" t="n"/>
      <c r="AC76" s="136" t="n"/>
      <c r="AD76" s="136" t="n"/>
      <c r="AE76" s="136" t="n"/>
      <c r="AF76" s="136" t="n"/>
      <c r="AG76" s="136" t="n"/>
      <c r="AH76" s="136" t="n"/>
      <c r="AI76" s="136" t="n"/>
      <c r="AJ76" s="136" t="n"/>
      <c r="AK76" s="136" t="n"/>
      <c r="AL76" s="136" t="n"/>
      <c r="AM76" s="136" t="n"/>
      <c r="AN76" s="136" t="n"/>
      <c r="AO76" s="136" t="n"/>
      <c r="AP76" s="136" t="n"/>
      <c r="AQ76" s="136" t="n"/>
      <c r="AR76" s="136" t="n"/>
    </row>
    <row r="77" ht="13.5" customHeight="1" s="196">
      <c r="A77" s="136" t="n"/>
      <c r="B77" s="136" t="n"/>
      <c r="C77" s="136" t="n"/>
      <c r="D77" s="136" t="n"/>
      <c r="E77" s="141" t="n"/>
      <c r="F77" s="141" t="n"/>
      <c r="G77" s="141" t="n"/>
      <c r="H77" s="141" t="n"/>
      <c r="I77" s="141" t="n"/>
      <c r="J77" s="141" t="n"/>
      <c r="K77" s="141" t="n"/>
      <c r="L77" s="141" t="n"/>
      <c r="M77" s="141" t="n"/>
      <c r="N77" s="141" t="n"/>
      <c r="O77" s="141" t="n"/>
      <c r="P77" s="141" t="n"/>
      <c r="Q77" s="141" t="n"/>
      <c r="R77" s="141" t="n"/>
      <c r="S77" s="141" t="n"/>
      <c r="T77" s="141" t="n"/>
      <c r="U77" s="136" t="n"/>
      <c r="V77" s="136" t="n"/>
      <c r="W77" s="141" t="n"/>
      <c r="X77" s="141" t="n"/>
      <c r="Y77" s="136" t="n"/>
      <c r="Z77" s="136" t="n"/>
      <c r="AA77" s="136" t="n"/>
      <c r="AB77" s="136" t="n"/>
      <c r="AC77" s="136" t="n"/>
      <c r="AD77" s="136" t="n"/>
      <c r="AE77" s="136" t="n"/>
      <c r="AF77" s="136" t="n"/>
      <c r="AG77" s="136" t="n"/>
      <c r="AH77" s="136" t="n"/>
      <c r="AI77" s="136" t="n"/>
      <c r="AJ77" s="136" t="n"/>
      <c r="AK77" s="136" t="n"/>
      <c r="AL77" s="136" t="n"/>
      <c r="AM77" s="136" t="n"/>
      <c r="AN77" s="136" t="n"/>
      <c r="AO77" s="136" t="n"/>
      <c r="AP77" s="136" t="n"/>
      <c r="AQ77" s="136" t="n"/>
      <c r="AR77" s="136" t="n"/>
    </row>
    <row r="78" ht="13.5" customHeight="1" s="196">
      <c r="A78" s="136" t="n"/>
      <c r="B78" s="136" t="n"/>
      <c r="C78" s="136" t="n"/>
      <c r="D78" s="136" t="n"/>
      <c r="E78" s="141" t="n"/>
      <c r="F78" s="141" t="n"/>
      <c r="G78" s="141" t="n"/>
      <c r="H78" s="141" t="n"/>
      <c r="I78" s="141" t="n"/>
      <c r="J78" s="141" t="n"/>
      <c r="K78" s="141" t="n"/>
      <c r="L78" s="141" t="n"/>
      <c r="M78" s="141" t="n"/>
      <c r="N78" s="141" t="n"/>
      <c r="O78" s="141" t="n"/>
      <c r="P78" s="141" t="n"/>
      <c r="Q78" s="141" t="n"/>
      <c r="R78" s="141" t="n"/>
      <c r="S78" s="141" t="n"/>
      <c r="T78" s="141" t="n"/>
      <c r="U78" s="173" t="n"/>
      <c r="V78" s="311" t="n"/>
      <c r="W78" s="141" t="n"/>
      <c r="X78" s="141" t="n"/>
      <c r="Y78" s="136" t="n"/>
      <c r="Z78" s="136" t="n"/>
      <c r="AA78" s="136" t="n"/>
      <c r="AB78" s="136" t="n"/>
      <c r="AC78" s="136" t="n"/>
      <c r="AD78" s="136" t="n"/>
      <c r="AE78" s="136" t="n"/>
      <c r="AF78" s="136" t="n"/>
      <c r="AG78" s="136" t="n"/>
      <c r="AH78" s="136" t="n"/>
      <c r="AI78" s="136" t="n"/>
      <c r="AJ78" s="136" t="n"/>
      <c r="AK78" s="136" t="n"/>
      <c r="AL78" s="136" t="n"/>
      <c r="AM78" s="136" t="n"/>
      <c r="AN78" s="136" t="n"/>
      <c r="AO78" s="136" t="n"/>
      <c r="AP78" s="136" t="n"/>
      <c r="AQ78" s="136" t="n"/>
      <c r="AR78" s="136" t="n"/>
    </row>
    <row r="79" ht="13.5" customHeight="1" s="196">
      <c r="A79" s="136" t="n"/>
      <c r="B79" s="136" t="n"/>
      <c r="C79" s="136" t="n"/>
      <c r="D79" s="136" t="n"/>
      <c r="E79" s="141" t="n"/>
      <c r="F79" s="141" t="n"/>
      <c r="G79" s="141" t="n"/>
      <c r="H79" s="141" t="n"/>
      <c r="I79" s="141" t="n"/>
      <c r="J79" s="141" t="n"/>
      <c r="K79" s="141" t="n"/>
      <c r="L79" s="141" t="n"/>
      <c r="M79" s="141" t="n"/>
      <c r="N79" s="141" t="n"/>
      <c r="O79" s="141" t="n"/>
      <c r="P79" s="141" t="n"/>
      <c r="Q79" s="141" t="n"/>
      <c r="R79" s="141" t="n"/>
      <c r="S79" s="141" t="n"/>
      <c r="T79" s="141" t="n"/>
      <c r="U79" s="173" t="n"/>
      <c r="V79" s="311" t="n"/>
      <c r="W79" s="141" t="n"/>
      <c r="X79" s="141" t="n"/>
      <c r="Y79" s="136" t="n"/>
      <c r="Z79" s="136" t="n"/>
      <c r="AA79" s="136" t="n"/>
      <c r="AB79" s="136" t="n"/>
      <c r="AC79" s="136" t="n"/>
      <c r="AD79" s="136" t="n"/>
      <c r="AE79" s="136" t="n"/>
      <c r="AF79" s="136" t="n"/>
      <c r="AG79" s="136" t="n"/>
      <c r="AH79" s="136" t="n"/>
      <c r="AI79" s="136" t="n"/>
      <c r="AJ79" s="136" t="n"/>
      <c r="AK79" s="136" t="n"/>
      <c r="AL79" s="136" t="n"/>
      <c r="AM79" s="136" t="n"/>
      <c r="AN79" s="136" t="n"/>
      <c r="AO79" s="136" t="n"/>
      <c r="AP79" s="136" t="n"/>
      <c r="AQ79" s="136" t="n"/>
      <c r="AR79" s="136" t="n"/>
    </row>
    <row r="80" ht="13.5" customHeight="1" s="196">
      <c r="A80" s="136" t="n"/>
      <c r="B80" s="136" t="n"/>
      <c r="C80" s="136" t="n"/>
      <c r="D80" s="136" t="n"/>
      <c r="E80" s="141" t="n"/>
      <c r="F80" s="141" t="n"/>
      <c r="G80" s="141" t="n"/>
      <c r="H80" s="141" t="n"/>
      <c r="I80" s="141" t="n"/>
      <c r="J80" s="141" t="n"/>
      <c r="K80" s="141" t="n"/>
      <c r="L80" s="141" t="n"/>
      <c r="M80" s="141" t="n"/>
      <c r="N80" s="141" t="n"/>
      <c r="O80" s="141" t="n"/>
      <c r="P80" s="141" t="n"/>
      <c r="Q80" s="141" t="n"/>
      <c r="R80" s="141" t="n"/>
      <c r="S80" s="141" t="n"/>
      <c r="T80" s="141" t="n"/>
      <c r="U80" s="141" t="n"/>
      <c r="V80" s="141" t="n"/>
      <c r="W80" s="141" t="n"/>
      <c r="X80" s="141" t="n"/>
      <c r="Y80" s="136" t="n"/>
      <c r="Z80" s="136" t="n"/>
      <c r="AA80" s="136" t="n"/>
      <c r="AB80" s="136" t="n"/>
      <c r="AC80" s="136" t="n"/>
      <c r="AD80" s="136" t="n"/>
      <c r="AE80" s="136" t="n"/>
      <c r="AF80" s="136" t="n"/>
      <c r="AG80" s="136" t="n"/>
      <c r="AH80" s="136" t="n"/>
      <c r="AI80" s="136" t="n"/>
      <c r="AJ80" s="136" t="n"/>
      <c r="AK80" s="136" t="n"/>
      <c r="AL80" s="136" t="n"/>
      <c r="AM80" s="136" t="n"/>
      <c r="AN80" s="136" t="n"/>
      <c r="AO80" s="136" t="n"/>
      <c r="AP80" s="136" t="n"/>
      <c r="AQ80" s="136" t="n"/>
      <c r="AR80" s="136" t="n"/>
    </row>
    <row r="81" ht="13.5" customHeight="1" s="196">
      <c r="A81" s="136" t="n"/>
      <c r="B81" s="136" t="n"/>
      <c r="C81" s="136" t="n"/>
      <c r="D81" s="141" t="n"/>
      <c r="E81" s="141" t="n"/>
      <c r="F81" s="141" t="n"/>
      <c r="G81" s="141" t="n"/>
      <c r="H81" s="141" t="n"/>
      <c r="I81" s="141" t="n"/>
      <c r="J81" s="141" t="n"/>
      <c r="K81" s="141" t="n"/>
      <c r="L81" s="141" t="n"/>
      <c r="M81" s="141" t="n"/>
      <c r="N81" s="141" t="n"/>
      <c r="O81" s="141" t="n"/>
      <c r="P81" s="141" t="n"/>
      <c r="Q81" s="141" t="n"/>
      <c r="R81" s="141" t="n"/>
      <c r="S81" s="141" t="n"/>
      <c r="T81" s="141" t="n"/>
      <c r="U81" s="141" t="n"/>
      <c r="V81" s="141" t="n"/>
      <c r="W81" s="141" t="n"/>
      <c r="X81" s="141" t="n"/>
      <c r="Y81" s="136" t="n"/>
      <c r="Z81" s="136" t="n"/>
      <c r="AA81" s="136" t="n"/>
      <c r="AB81" s="136" t="n"/>
      <c r="AC81" s="136" t="n"/>
      <c r="AD81" s="136" t="n"/>
      <c r="AE81" s="136" t="n"/>
      <c r="AF81" s="136" t="n"/>
      <c r="AG81" s="136" t="n"/>
      <c r="AH81" s="136" t="n"/>
      <c r="AI81" s="136" t="n"/>
      <c r="AJ81" s="136" t="n"/>
      <c r="AK81" s="136" t="n"/>
      <c r="AL81" s="136" t="n"/>
      <c r="AM81" s="136" t="n"/>
      <c r="AN81" s="136" t="n"/>
      <c r="AO81" s="136" t="n"/>
      <c r="AP81" s="136" t="n"/>
      <c r="AQ81" s="136" t="n"/>
      <c r="AR81" s="136" t="n"/>
    </row>
    <row r="82" ht="13.5" customHeight="1" s="196">
      <c r="A82" s="136" t="n"/>
      <c r="B82" s="136" t="n"/>
      <c r="C82" s="136" t="n"/>
      <c r="D82" s="141" t="n"/>
      <c r="E82" s="141" t="n"/>
      <c r="F82" s="141" t="n"/>
      <c r="G82" s="141" t="n"/>
      <c r="H82" s="141" t="n"/>
      <c r="I82" s="141" t="n"/>
      <c r="J82" s="141" t="n"/>
      <c r="K82" s="141" t="n"/>
      <c r="L82" s="141" t="n"/>
      <c r="M82" s="141" t="n"/>
      <c r="N82" s="141" t="n"/>
      <c r="O82" s="141" t="n"/>
      <c r="P82" s="141" t="n"/>
      <c r="Q82" s="141" t="n"/>
      <c r="R82" s="141" t="n"/>
      <c r="S82" s="141" t="n"/>
      <c r="T82" s="141" t="n"/>
      <c r="U82" s="141" t="n"/>
      <c r="V82" s="141" t="n"/>
      <c r="W82" s="141" t="n"/>
      <c r="X82" s="141" t="n"/>
      <c r="Y82" s="136" t="n"/>
      <c r="Z82" s="136" t="n"/>
      <c r="AA82" s="136" t="n"/>
      <c r="AB82" s="136" t="n"/>
      <c r="AC82" s="136" t="n"/>
      <c r="AD82" s="136" t="n"/>
      <c r="AE82" s="136" t="n"/>
      <c r="AF82" s="136" t="n"/>
      <c r="AG82" s="136" t="n"/>
      <c r="AH82" s="136" t="n"/>
      <c r="AI82" s="136" t="n"/>
      <c r="AJ82" s="136" t="n"/>
      <c r="AK82" s="136" t="n"/>
      <c r="AL82" s="136" t="n"/>
      <c r="AM82" s="136" t="n"/>
      <c r="AN82" s="136" t="n"/>
      <c r="AO82" s="136" t="n"/>
      <c r="AP82" s="136" t="n"/>
      <c r="AQ82" s="136" t="n"/>
      <c r="AR82" s="136" t="n"/>
    </row>
    <row r="83" ht="13.5" customHeight="1" s="196">
      <c r="A83" s="136" t="n"/>
      <c r="B83" s="136" t="n"/>
      <c r="C83" s="136" t="n"/>
      <c r="D83" s="141" t="n"/>
      <c r="E83" s="141" t="n"/>
      <c r="F83" s="141" t="n"/>
      <c r="G83" s="141" t="n"/>
      <c r="H83" s="141" t="n"/>
      <c r="I83" s="141" t="n"/>
      <c r="J83" s="141" t="n"/>
      <c r="K83" s="141" t="n"/>
      <c r="L83" s="141" t="n"/>
      <c r="M83" s="141" t="n"/>
      <c r="N83" s="141" t="n"/>
      <c r="O83" s="141" t="n"/>
      <c r="P83" s="141" t="n"/>
      <c r="Q83" s="141" t="n"/>
      <c r="R83" s="141" t="n"/>
      <c r="S83" s="141" t="n"/>
      <c r="T83" s="141" t="n"/>
      <c r="U83" s="141" t="n"/>
      <c r="V83" s="141" t="n"/>
      <c r="W83" s="141" t="n"/>
      <c r="X83" s="141" t="n"/>
      <c r="Y83" s="136" t="n"/>
      <c r="Z83" s="136" t="n"/>
      <c r="AA83" s="136" t="n"/>
      <c r="AB83" s="136" t="n"/>
      <c r="AC83" s="136" t="n"/>
      <c r="AD83" s="136" t="n"/>
      <c r="AE83" s="136" t="n"/>
      <c r="AF83" s="136" t="n"/>
      <c r="AG83" s="136" t="n"/>
      <c r="AH83" s="136" t="n"/>
      <c r="AI83" s="136" t="n"/>
      <c r="AJ83" s="136" t="n"/>
      <c r="AK83" s="136" t="n"/>
      <c r="AL83" s="136" t="n"/>
      <c r="AM83" s="136" t="n"/>
      <c r="AN83" s="136" t="n"/>
      <c r="AO83" s="136" t="n"/>
      <c r="AP83" s="136" t="n"/>
      <c r="AQ83" s="136" t="n"/>
      <c r="AR83" s="136" t="n"/>
    </row>
    <row r="84" ht="13.5" customHeight="1" s="196">
      <c r="A84" s="136" t="n"/>
      <c r="B84" s="136" t="n"/>
      <c r="C84" s="136" t="n"/>
      <c r="D84" s="141" t="n"/>
      <c r="E84" s="141" t="n"/>
      <c r="F84" s="141" t="n"/>
      <c r="G84" s="141" t="n"/>
      <c r="H84" s="141" t="n"/>
      <c r="I84" s="141" t="n"/>
      <c r="J84" s="141" t="n"/>
      <c r="K84" s="141" t="n"/>
      <c r="L84" s="141" t="n"/>
      <c r="M84" s="141" t="n"/>
      <c r="N84" s="141" t="n"/>
      <c r="O84" s="141" t="n"/>
      <c r="P84" s="141" t="n"/>
      <c r="Q84" s="141" t="n"/>
      <c r="R84" s="141" t="n"/>
      <c r="S84" s="141" t="n"/>
      <c r="T84" s="141" t="n"/>
      <c r="U84" s="141" t="n"/>
      <c r="V84" s="141" t="n"/>
      <c r="W84" s="141" t="n"/>
      <c r="X84" s="141" t="n"/>
      <c r="Y84" s="136" t="n"/>
      <c r="Z84" s="136" t="n"/>
      <c r="AA84" s="136" t="n"/>
      <c r="AB84" s="136" t="n"/>
      <c r="AC84" s="136" t="n"/>
      <c r="AD84" s="136" t="n"/>
      <c r="AE84" s="136" t="n"/>
      <c r="AF84" s="136" t="n"/>
      <c r="AG84" s="136" t="n"/>
      <c r="AH84" s="136" t="n"/>
      <c r="AI84" s="136" t="n"/>
      <c r="AJ84" s="136" t="n"/>
      <c r="AK84" s="136" t="n"/>
      <c r="AL84" s="136" t="n"/>
      <c r="AM84" s="136" t="n"/>
      <c r="AN84" s="136" t="n"/>
      <c r="AO84" s="136" t="n"/>
      <c r="AP84" s="136" t="n"/>
      <c r="AQ84" s="136" t="n"/>
      <c r="AR84" s="136" t="n"/>
    </row>
    <row r="85" ht="13.5" customHeight="1" s="196">
      <c r="A85" s="136" t="n"/>
      <c r="B85" s="136" t="n"/>
      <c r="C85" s="136" t="n"/>
      <c r="D85" s="141" t="n"/>
      <c r="E85" s="141" t="n"/>
      <c r="F85" s="141" t="n"/>
      <c r="G85" s="141" t="n"/>
      <c r="H85" s="141" t="n"/>
      <c r="I85" s="141" t="n"/>
      <c r="J85" s="141" t="n"/>
      <c r="K85" s="141" t="n"/>
      <c r="L85" s="141" t="n"/>
      <c r="M85" s="141" t="n"/>
      <c r="N85" s="141" t="n"/>
      <c r="O85" s="141" t="n"/>
      <c r="P85" s="141" t="n"/>
      <c r="Q85" s="141" t="n"/>
      <c r="R85" s="141" t="n"/>
      <c r="S85" s="141" t="n"/>
      <c r="T85" s="141" t="n"/>
      <c r="U85" s="141" t="n"/>
      <c r="V85" s="141" t="n"/>
      <c r="W85" s="141" t="n"/>
      <c r="X85" s="141" t="n"/>
      <c r="Y85" s="136" t="n"/>
      <c r="Z85" s="136" t="n"/>
      <c r="AA85" s="136" t="n"/>
      <c r="AB85" s="136" t="n"/>
      <c r="AC85" s="136" t="n"/>
      <c r="AD85" s="136" t="n"/>
      <c r="AE85" s="136" t="n"/>
      <c r="AF85" s="136" t="n"/>
      <c r="AG85" s="136" t="n"/>
      <c r="AH85" s="136" t="n"/>
      <c r="AI85" s="136" t="n"/>
      <c r="AJ85" s="136" t="n"/>
      <c r="AK85" s="136" t="n"/>
      <c r="AL85" s="136" t="n"/>
      <c r="AM85" s="136" t="n"/>
      <c r="AN85" s="136" t="n"/>
      <c r="AO85" s="136" t="n"/>
      <c r="AP85" s="136" t="n"/>
      <c r="AQ85" s="136" t="n"/>
      <c r="AR85" s="136" t="n"/>
    </row>
    <row r="86" ht="13.5" customHeight="1" s="196">
      <c r="A86" s="136" t="n"/>
      <c r="B86" s="136" t="n"/>
      <c r="C86" s="136" t="n"/>
      <c r="D86" s="141" t="n"/>
      <c r="E86" s="141" t="n"/>
      <c r="F86" s="141" t="n"/>
      <c r="G86" s="141" t="n"/>
      <c r="H86" s="141" t="n"/>
      <c r="I86" s="141" t="n"/>
      <c r="J86" s="141" t="n"/>
      <c r="K86" s="141" t="n"/>
      <c r="L86" s="141" t="n"/>
      <c r="M86" s="141" t="n"/>
      <c r="N86" s="141" t="n"/>
      <c r="O86" s="141" t="n"/>
      <c r="P86" s="141" t="n"/>
      <c r="Q86" s="141" t="n"/>
      <c r="R86" s="141" t="n"/>
      <c r="S86" s="141" t="n"/>
      <c r="T86" s="141" t="n"/>
      <c r="U86" s="141" t="n"/>
      <c r="V86" s="141" t="n"/>
      <c r="W86" s="141" t="n"/>
      <c r="X86" s="141" t="n"/>
      <c r="Y86" s="136" t="n"/>
      <c r="Z86" s="136" t="n"/>
      <c r="AA86" s="136" t="n"/>
      <c r="AB86" s="136" t="n"/>
      <c r="AC86" s="136" t="n"/>
      <c r="AD86" s="136" t="n"/>
      <c r="AE86" s="136" t="n"/>
      <c r="AF86" s="136" t="n"/>
      <c r="AG86" s="136" t="n"/>
      <c r="AH86" s="136" t="n"/>
      <c r="AI86" s="136" t="n"/>
      <c r="AJ86" s="136" t="n"/>
      <c r="AK86" s="136" t="n"/>
      <c r="AL86" s="136" t="n"/>
      <c r="AM86" s="136" t="n"/>
      <c r="AN86" s="136" t="n"/>
      <c r="AO86" s="136" t="n"/>
      <c r="AP86" s="136" t="n"/>
      <c r="AQ86" s="136" t="n"/>
      <c r="AR86" s="136" t="n"/>
    </row>
    <row r="87" ht="13.5" customHeight="1" s="196">
      <c r="A87" s="136" t="n"/>
      <c r="B87" s="136" t="n"/>
      <c r="C87" s="136" t="n"/>
      <c r="D87" s="141" t="n"/>
      <c r="E87" s="141" t="n"/>
      <c r="F87" s="141" t="n"/>
      <c r="G87" s="141" t="n"/>
      <c r="H87" s="141" t="n"/>
      <c r="I87" s="141" t="n"/>
      <c r="J87" s="141" t="n"/>
      <c r="K87" s="141" t="n"/>
      <c r="L87" s="141" t="n"/>
      <c r="M87" s="141" t="n"/>
      <c r="N87" s="141" t="n"/>
      <c r="O87" s="141" t="n"/>
      <c r="P87" s="141" t="n"/>
      <c r="Q87" s="141" t="n"/>
      <c r="R87" s="141" t="n"/>
      <c r="S87" s="141" t="n"/>
      <c r="T87" s="141" t="n"/>
      <c r="U87" s="141" t="n"/>
      <c r="V87" s="141" t="n"/>
      <c r="W87" s="141" t="n"/>
      <c r="X87" s="141" t="n"/>
      <c r="Y87" s="136" t="n"/>
      <c r="Z87" s="136" t="n"/>
      <c r="AA87" s="136" t="n"/>
      <c r="AB87" s="136" t="n"/>
      <c r="AC87" s="136" t="n"/>
      <c r="AD87" s="136" t="n"/>
      <c r="AE87" s="136" t="n"/>
      <c r="AF87" s="136" t="n"/>
      <c r="AG87" s="136" t="n"/>
      <c r="AH87" s="136" t="n"/>
      <c r="AI87" s="136" t="n"/>
      <c r="AJ87" s="136" t="n"/>
      <c r="AK87" s="136" t="n"/>
      <c r="AL87" s="136" t="n"/>
      <c r="AM87" s="136" t="n"/>
      <c r="AN87" s="136" t="n"/>
      <c r="AO87" s="136" t="n"/>
      <c r="AP87" s="136" t="n"/>
      <c r="AQ87" s="136" t="n"/>
      <c r="AR87" s="136" t="n"/>
    </row>
    <row r="88" ht="13.5" customHeight="1" s="196">
      <c r="A88" s="136" t="n"/>
      <c r="B88" s="136" t="n"/>
      <c r="C88" s="136" t="n"/>
      <c r="D88" s="141" t="n"/>
      <c r="E88" s="141" t="n"/>
      <c r="F88" s="141" t="n"/>
      <c r="G88" s="141" t="n"/>
      <c r="H88" s="141" t="n"/>
      <c r="I88" s="141" t="n"/>
      <c r="J88" s="141" t="n"/>
      <c r="K88" s="141" t="n"/>
      <c r="L88" s="141" t="n"/>
      <c r="M88" s="141" t="n"/>
      <c r="N88" s="141" t="n"/>
      <c r="O88" s="141" t="n"/>
      <c r="P88" s="141" t="n"/>
      <c r="Q88" s="141" t="n"/>
      <c r="R88" s="141" t="n"/>
      <c r="S88" s="141" t="n"/>
      <c r="T88" s="141" t="n"/>
      <c r="U88" s="141" t="n"/>
      <c r="V88" s="141" t="n"/>
      <c r="W88" s="141" t="n"/>
      <c r="X88" s="141" t="n"/>
      <c r="Y88" s="136" t="n"/>
      <c r="Z88" s="136" t="n"/>
      <c r="AA88" s="136" t="n"/>
      <c r="AB88" s="136" t="n"/>
      <c r="AC88" s="136" t="n"/>
      <c r="AD88" s="136" t="n"/>
      <c r="AE88" s="136" t="n"/>
      <c r="AF88" s="136" t="n"/>
      <c r="AG88" s="136" t="n"/>
      <c r="AH88" s="136" t="n"/>
      <c r="AI88" s="136" t="n"/>
      <c r="AJ88" s="136" t="n"/>
      <c r="AK88" s="136" t="n"/>
      <c r="AL88" s="136" t="n"/>
      <c r="AM88" s="136" t="n"/>
      <c r="AN88" s="136" t="n"/>
      <c r="AO88" s="136" t="n"/>
      <c r="AP88" s="136" t="n"/>
      <c r="AQ88" s="136" t="n"/>
      <c r="AR88" s="136" t="n"/>
    </row>
    <row r="89" ht="13.5" customHeight="1" s="196">
      <c r="A89" s="136" t="n"/>
      <c r="B89" s="136" t="n"/>
      <c r="C89" s="136" t="n"/>
      <c r="D89" s="141" t="n"/>
      <c r="E89" s="141" t="n"/>
      <c r="F89" s="141" t="n"/>
      <c r="G89" s="141" t="n"/>
      <c r="H89" s="141" t="n"/>
      <c r="I89" s="141" t="n"/>
      <c r="J89" s="141" t="n"/>
      <c r="K89" s="141" t="n"/>
      <c r="L89" s="141" t="n"/>
      <c r="M89" s="141" t="n"/>
      <c r="N89" s="141" t="n"/>
      <c r="O89" s="141" t="n"/>
      <c r="P89" s="141" t="n"/>
      <c r="Q89" s="141" t="n"/>
      <c r="R89" s="141" t="n"/>
      <c r="S89" s="141" t="n"/>
      <c r="T89" s="141" t="n"/>
      <c r="U89" s="141" t="n"/>
      <c r="V89" s="141" t="n"/>
      <c r="W89" s="141" t="n"/>
      <c r="X89" s="141" t="n"/>
      <c r="Y89" s="136" t="n"/>
      <c r="Z89" s="136" t="n"/>
      <c r="AA89" s="136" t="n"/>
      <c r="AB89" s="136" t="n"/>
      <c r="AC89" s="136" t="n"/>
      <c r="AD89" s="136" t="n"/>
      <c r="AE89" s="136" t="n"/>
      <c r="AF89" s="136" t="n"/>
      <c r="AG89" s="136" t="n"/>
      <c r="AH89" s="136" t="n"/>
      <c r="AI89" s="136" t="n"/>
      <c r="AJ89" s="136" t="n"/>
      <c r="AK89" s="136" t="n"/>
      <c r="AL89" s="136" t="n"/>
      <c r="AM89" s="136" t="n"/>
      <c r="AN89" s="136" t="n"/>
      <c r="AO89" s="136" t="n"/>
      <c r="AP89" s="136" t="n"/>
      <c r="AQ89" s="136" t="n"/>
      <c r="AR89" s="136" t="n"/>
    </row>
    <row r="90" ht="13.5" customHeight="1" s="196">
      <c r="A90" s="136" t="n"/>
      <c r="B90" s="136" t="n"/>
      <c r="C90" s="136" t="n"/>
      <c r="D90" s="141" t="n"/>
      <c r="E90" s="141" t="n"/>
      <c r="F90" s="141" t="n"/>
      <c r="G90" s="141" t="n"/>
      <c r="H90" s="141" t="n"/>
      <c r="I90" s="141" t="n"/>
      <c r="J90" s="141" t="n"/>
      <c r="K90" s="141" t="n"/>
      <c r="L90" s="141" t="n"/>
      <c r="M90" s="141" t="n"/>
      <c r="N90" s="141" t="n"/>
      <c r="O90" s="141" t="n"/>
      <c r="P90" s="141" t="n"/>
      <c r="Q90" s="141" t="n"/>
      <c r="R90" s="141" t="n"/>
      <c r="S90" s="141" t="n"/>
      <c r="T90" s="141" t="n"/>
      <c r="U90" s="141" t="n"/>
      <c r="V90" s="141" t="n"/>
      <c r="W90" s="141" t="n"/>
      <c r="X90" s="141" t="n"/>
      <c r="Y90" s="136" t="n"/>
      <c r="Z90" s="136" t="n"/>
      <c r="AA90" s="136" t="n"/>
      <c r="AB90" s="136" t="n"/>
      <c r="AC90" s="136" t="n"/>
      <c r="AD90" s="136" t="n"/>
      <c r="AE90" s="136" t="n"/>
      <c r="AF90" s="136" t="n"/>
      <c r="AG90" s="136" t="n"/>
      <c r="AH90" s="136" t="n"/>
      <c r="AI90" s="136" t="n"/>
      <c r="AJ90" s="136" t="n"/>
      <c r="AK90" s="136" t="n"/>
      <c r="AL90" s="136" t="n"/>
      <c r="AM90" s="136" t="n"/>
      <c r="AN90" s="136" t="n"/>
      <c r="AO90" s="136" t="n"/>
      <c r="AP90" s="136" t="n"/>
      <c r="AQ90" s="136" t="n"/>
      <c r="AR90" s="136" t="n"/>
    </row>
    <row r="91" ht="13.5" customHeight="1" s="196">
      <c r="A91" s="136" t="n"/>
      <c r="B91" s="136" t="n"/>
      <c r="C91" s="136" t="n"/>
      <c r="D91" s="141" t="n"/>
      <c r="E91" s="141" t="n"/>
      <c r="F91" s="141" t="n"/>
      <c r="G91" s="141" t="n"/>
      <c r="H91" s="141" t="n"/>
      <c r="I91" s="141" t="n"/>
      <c r="J91" s="141" t="n"/>
      <c r="K91" s="141" t="n"/>
      <c r="L91" s="141" t="n"/>
      <c r="M91" s="141" t="n"/>
      <c r="N91" s="141" t="n"/>
      <c r="O91" s="141" t="n"/>
      <c r="P91" s="141" t="n"/>
      <c r="Q91" s="141" t="n"/>
      <c r="R91" s="141" t="n"/>
      <c r="S91" s="141" t="n"/>
      <c r="T91" s="141" t="n"/>
      <c r="U91" s="141" t="n"/>
      <c r="V91" s="141" t="n"/>
      <c r="W91" s="141" t="n"/>
      <c r="X91" s="141" t="n"/>
      <c r="Y91" s="136" t="n"/>
      <c r="Z91" s="136" t="n"/>
      <c r="AA91" s="136" t="n"/>
      <c r="AB91" s="136" t="n"/>
      <c r="AC91" s="136" t="n"/>
      <c r="AD91" s="136" t="n"/>
      <c r="AE91" s="136" t="n"/>
      <c r="AF91" s="136" t="n"/>
      <c r="AG91" s="136" t="n"/>
      <c r="AH91" s="136" t="n"/>
      <c r="AI91" s="136" t="n"/>
      <c r="AJ91" s="136" t="n"/>
      <c r="AK91" s="136" t="n"/>
      <c r="AL91" s="136" t="n"/>
      <c r="AM91" s="136" t="n"/>
      <c r="AN91" s="136" t="n"/>
      <c r="AO91" s="136" t="n"/>
      <c r="AP91" s="136" t="n"/>
      <c r="AQ91" s="136" t="n"/>
      <c r="AR91" s="136" t="n"/>
    </row>
    <row r="92" ht="13.5" customHeight="1" s="196">
      <c r="A92" s="136" t="n"/>
      <c r="B92" s="136" t="n"/>
      <c r="C92" s="136" t="n"/>
      <c r="D92" s="141" t="n"/>
      <c r="E92" s="141" t="n"/>
      <c r="F92" s="141" t="n"/>
      <c r="G92" s="141" t="n"/>
      <c r="H92" s="141" t="n"/>
      <c r="I92" s="141" t="n"/>
      <c r="J92" s="141" t="n"/>
      <c r="K92" s="141" t="n"/>
      <c r="L92" s="141" t="n"/>
      <c r="M92" s="141" t="n"/>
      <c r="N92" s="141" t="n"/>
      <c r="O92" s="141" t="n"/>
      <c r="P92" s="141" t="n"/>
      <c r="Q92" s="141" t="n"/>
      <c r="R92" s="141" t="n"/>
      <c r="S92" s="141" t="n"/>
      <c r="T92" s="141" t="n"/>
      <c r="U92" s="141" t="n"/>
      <c r="V92" s="141" t="n"/>
      <c r="W92" s="141" t="n"/>
      <c r="X92" s="141" t="n"/>
      <c r="Y92" s="136" t="n"/>
      <c r="Z92" s="136" t="n"/>
      <c r="AA92" s="136" t="n"/>
      <c r="AB92" s="136" t="n"/>
      <c r="AC92" s="136" t="n"/>
      <c r="AD92" s="136" t="n"/>
      <c r="AE92" s="136" t="n"/>
      <c r="AF92" s="136" t="n"/>
      <c r="AG92" s="136" t="n"/>
      <c r="AH92" s="136" t="n"/>
      <c r="AI92" s="136" t="n"/>
      <c r="AJ92" s="136" t="n"/>
      <c r="AK92" s="136" t="n"/>
      <c r="AL92" s="136" t="n"/>
      <c r="AM92" s="136" t="n"/>
      <c r="AN92" s="136" t="n"/>
      <c r="AO92" s="136" t="n"/>
      <c r="AP92" s="136" t="n"/>
      <c r="AQ92" s="136" t="n"/>
      <c r="AR92" s="136" t="n"/>
    </row>
    <row r="93" ht="13.5" customHeight="1" s="196">
      <c r="A93" s="136" t="n"/>
      <c r="B93" s="136" t="n"/>
      <c r="C93" s="136" t="n"/>
      <c r="D93" s="141" t="n"/>
      <c r="E93" s="141" t="n"/>
      <c r="F93" s="141" t="n"/>
      <c r="G93" s="141" t="n"/>
      <c r="H93" s="141" t="n"/>
      <c r="I93" s="141" t="n"/>
      <c r="J93" s="141" t="n"/>
      <c r="K93" s="141" t="n"/>
      <c r="L93" s="141" t="n"/>
      <c r="M93" s="141" t="n"/>
      <c r="N93" s="141" t="n"/>
      <c r="O93" s="141" t="n"/>
      <c r="P93" s="141" t="n"/>
      <c r="Q93" s="141" t="n"/>
      <c r="R93" s="141" t="n"/>
      <c r="S93" s="141" t="n"/>
      <c r="T93" s="141" t="n"/>
      <c r="U93" s="141" t="n"/>
      <c r="V93" s="141" t="n"/>
      <c r="W93" s="141" t="n"/>
      <c r="X93" s="141" t="n"/>
      <c r="Y93" s="136" t="n"/>
      <c r="Z93" s="136" t="n"/>
      <c r="AA93" s="136" t="n"/>
      <c r="AB93" s="136" t="n"/>
      <c r="AC93" s="136" t="n"/>
      <c r="AD93" s="136" t="n"/>
      <c r="AE93" s="136" t="n"/>
      <c r="AF93" s="136" t="n"/>
      <c r="AG93" s="136" t="n"/>
      <c r="AH93" s="136" t="n"/>
      <c r="AI93" s="136" t="n"/>
      <c r="AJ93" s="136" t="n"/>
      <c r="AK93" s="136" t="n"/>
      <c r="AL93" s="136" t="n"/>
      <c r="AM93" s="136" t="n"/>
      <c r="AN93" s="136" t="n"/>
      <c r="AO93" s="136" t="n"/>
      <c r="AP93" s="136" t="n"/>
      <c r="AQ93" s="136" t="n"/>
      <c r="AR93" s="136" t="n"/>
    </row>
    <row r="94" ht="13.5" customHeight="1" s="196">
      <c r="A94" s="136" t="n"/>
      <c r="B94" s="136" t="n"/>
      <c r="C94" s="136" t="n"/>
      <c r="D94" s="141" t="n"/>
      <c r="E94" s="141" t="n"/>
      <c r="F94" s="141" t="n"/>
      <c r="G94" s="141" t="n"/>
      <c r="H94" s="141" t="n"/>
      <c r="I94" s="141" t="n"/>
      <c r="J94" s="141" t="n"/>
      <c r="K94" s="141" t="n"/>
      <c r="L94" s="141" t="n"/>
      <c r="M94" s="141" t="n"/>
      <c r="N94" s="141" t="n"/>
      <c r="O94" s="141" t="n"/>
      <c r="P94" s="141" t="n"/>
      <c r="Q94" s="141" t="n"/>
      <c r="R94" s="141" t="n"/>
      <c r="S94" s="141" t="n"/>
      <c r="T94" s="141" t="n"/>
      <c r="U94" s="141" t="n"/>
      <c r="V94" s="141" t="n"/>
      <c r="W94" s="141" t="n"/>
      <c r="X94" s="141" t="n"/>
      <c r="Y94" s="136" t="n"/>
      <c r="Z94" s="136" t="n"/>
      <c r="AA94" s="136" t="n"/>
      <c r="AB94" s="136" t="n"/>
      <c r="AC94" s="136" t="n"/>
      <c r="AD94" s="136" t="n"/>
      <c r="AE94" s="136" t="n"/>
      <c r="AF94" s="136" t="n"/>
      <c r="AG94" s="136" t="n"/>
      <c r="AH94" s="136" t="n"/>
      <c r="AI94" s="136" t="n"/>
      <c r="AJ94" s="136" t="n"/>
      <c r="AK94" s="136" t="n"/>
      <c r="AL94" s="136" t="n"/>
      <c r="AM94" s="136" t="n"/>
      <c r="AN94" s="136" t="n"/>
      <c r="AO94" s="136" t="n"/>
      <c r="AP94" s="136" t="n"/>
      <c r="AQ94" s="136" t="n"/>
      <c r="AR94" s="136" t="n"/>
    </row>
    <row r="95" ht="13.5" customHeight="1" s="196">
      <c r="A95" s="136" t="n"/>
      <c r="B95" s="136" t="n"/>
      <c r="C95" s="136" t="n"/>
      <c r="D95" s="141" t="n"/>
      <c r="E95" s="141" t="n"/>
      <c r="F95" s="141" t="n"/>
      <c r="G95" s="141" t="n"/>
      <c r="H95" s="141" t="n"/>
      <c r="I95" s="141" t="n"/>
      <c r="J95" s="141" t="n"/>
      <c r="K95" s="141" t="n"/>
      <c r="L95" s="141" t="n"/>
      <c r="M95" s="141" t="n"/>
      <c r="N95" s="141" t="n"/>
      <c r="O95" s="141" t="n"/>
      <c r="P95" s="141" t="n"/>
      <c r="Q95" s="141" t="n"/>
      <c r="R95" s="141" t="n"/>
      <c r="S95" s="141" t="n"/>
      <c r="T95" s="141" t="n"/>
      <c r="U95" s="141" t="n"/>
      <c r="V95" s="141" t="n"/>
      <c r="W95" s="141" t="n"/>
      <c r="X95" s="141" t="n"/>
      <c r="Y95" s="136" t="n"/>
      <c r="Z95" s="136" t="n"/>
      <c r="AA95" s="136" t="n"/>
      <c r="AB95" s="136" t="n"/>
      <c r="AC95" s="136" t="n"/>
      <c r="AD95" s="136" t="n"/>
      <c r="AE95" s="136" t="n"/>
      <c r="AF95" s="136" t="n"/>
      <c r="AG95" s="136" t="n"/>
      <c r="AH95" s="136" t="n"/>
      <c r="AI95" s="136" t="n"/>
      <c r="AJ95" s="136" t="n"/>
      <c r="AK95" s="136" t="n"/>
      <c r="AL95" s="136" t="n"/>
      <c r="AM95" s="136" t="n"/>
      <c r="AN95" s="136" t="n"/>
      <c r="AO95" s="136" t="n"/>
      <c r="AP95" s="136" t="n"/>
      <c r="AQ95" s="136" t="n"/>
      <c r="AR95" s="136" t="n"/>
    </row>
    <row r="96" ht="13.5" customHeight="1" s="196">
      <c r="A96" s="136" t="n"/>
      <c r="B96" s="136" t="n"/>
      <c r="C96" s="136" t="n"/>
      <c r="D96" s="141" t="n"/>
      <c r="E96" s="141" t="n"/>
      <c r="F96" s="141" t="n"/>
      <c r="G96" s="141" t="n"/>
      <c r="H96" s="141" t="n"/>
      <c r="I96" s="141" t="n"/>
      <c r="J96" s="141" t="n"/>
      <c r="K96" s="141" t="n"/>
      <c r="L96" s="141" t="n"/>
      <c r="M96" s="141" t="n"/>
      <c r="N96" s="141" t="n"/>
      <c r="O96" s="141" t="n"/>
      <c r="P96" s="141" t="n"/>
      <c r="Q96" s="141" t="n"/>
      <c r="R96" s="141" t="n"/>
      <c r="S96" s="141" t="n"/>
      <c r="T96" s="141" t="n"/>
      <c r="U96" s="141" t="n"/>
      <c r="V96" s="141" t="n"/>
      <c r="W96" s="141" t="n"/>
      <c r="X96" s="141" t="n"/>
      <c r="Y96" s="136" t="n"/>
      <c r="Z96" s="136" t="n"/>
      <c r="AA96" s="136" t="n"/>
      <c r="AB96" s="136" t="n"/>
      <c r="AC96" s="136" t="n"/>
      <c r="AD96" s="136" t="n"/>
      <c r="AE96" s="136" t="n"/>
      <c r="AF96" s="136" t="n"/>
      <c r="AG96" s="136" t="n"/>
      <c r="AH96" s="136" t="n"/>
      <c r="AI96" s="136" t="n"/>
      <c r="AJ96" s="136" t="n"/>
      <c r="AK96" s="136" t="n"/>
      <c r="AL96" s="136" t="n"/>
      <c r="AM96" s="136" t="n"/>
      <c r="AN96" s="136" t="n"/>
      <c r="AO96" s="136" t="n"/>
      <c r="AP96" s="136" t="n"/>
      <c r="AQ96" s="136" t="n"/>
      <c r="AR96" s="136" t="n"/>
    </row>
    <row r="97" ht="13.5" customHeight="1" s="196">
      <c r="A97" s="136" t="n"/>
      <c r="B97" s="136" t="n"/>
      <c r="C97" s="136" t="n"/>
      <c r="D97" s="141" t="n"/>
      <c r="E97" s="141" t="n"/>
      <c r="F97" s="141" t="n"/>
      <c r="G97" s="141" t="n"/>
      <c r="H97" s="141" t="n"/>
      <c r="I97" s="141" t="n"/>
      <c r="J97" s="141" t="n"/>
      <c r="K97" s="141" t="n"/>
      <c r="L97" s="141" t="n"/>
      <c r="M97" s="141" t="n"/>
      <c r="N97" s="141" t="n"/>
      <c r="O97" s="141" t="n"/>
      <c r="P97" s="141" t="n"/>
      <c r="Q97" s="141" t="n"/>
      <c r="R97" s="141" t="n"/>
      <c r="S97" s="141" t="n"/>
      <c r="T97" s="141" t="n"/>
      <c r="U97" s="141" t="n"/>
      <c r="V97" s="141" t="n"/>
      <c r="W97" s="141" t="n"/>
      <c r="X97" s="141" t="n"/>
      <c r="Y97" s="136" t="n"/>
      <c r="Z97" s="136" t="n"/>
      <c r="AA97" s="136" t="n"/>
      <c r="AB97" s="136" t="n"/>
      <c r="AC97" s="136" t="n"/>
      <c r="AD97" s="136" t="n"/>
      <c r="AE97" s="136" t="n"/>
      <c r="AF97" s="136" t="n"/>
      <c r="AG97" s="136" t="n"/>
      <c r="AH97" s="136" t="n"/>
      <c r="AI97" s="136" t="n"/>
      <c r="AJ97" s="136" t="n"/>
      <c r="AK97" s="136" t="n"/>
      <c r="AL97" s="136" t="n"/>
      <c r="AM97" s="136" t="n"/>
      <c r="AN97" s="136" t="n"/>
      <c r="AO97" s="136" t="n"/>
      <c r="AP97" s="136" t="n"/>
      <c r="AQ97" s="136" t="n"/>
      <c r="AR97" s="136" t="n"/>
    </row>
    <row r="98" ht="13.5" customHeight="1" s="196">
      <c r="A98" s="136" t="n"/>
      <c r="B98" s="136" t="n"/>
      <c r="C98" s="136" t="n"/>
      <c r="D98" s="141" t="n"/>
      <c r="E98" s="141" t="n"/>
      <c r="F98" s="141" t="n"/>
      <c r="G98" s="141" t="n"/>
      <c r="H98" s="141" t="n"/>
      <c r="I98" s="141" t="n"/>
      <c r="J98" s="141" t="n"/>
      <c r="K98" s="141" t="n"/>
      <c r="L98" s="141" t="n"/>
      <c r="M98" s="141" t="n"/>
      <c r="N98" s="141" t="n"/>
      <c r="O98" s="141" t="n"/>
      <c r="P98" s="141" t="n"/>
      <c r="Q98" s="141" t="n"/>
      <c r="R98" s="141" t="n"/>
      <c r="S98" s="141" t="n"/>
      <c r="T98" s="141" t="n"/>
      <c r="U98" s="141" t="n"/>
      <c r="V98" s="141" t="n"/>
      <c r="W98" s="141" t="n"/>
      <c r="X98" s="141" t="n"/>
      <c r="Y98" s="136" t="n"/>
      <c r="Z98" s="136" t="n"/>
      <c r="AA98" s="136" t="n"/>
      <c r="AB98" s="136" t="n"/>
      <c r="AC98" s="136" t="n"/>
      <c r="AD98" s="136" t="n"/>
      <c r="AE98" s="136" t="n"/>
      <c r="AF98" s="136" t="n"/>
      <c r="AG98" s="136" t="n"/>
      <c r="AH98" s="136" t="n"/>
      <c r="AI98" s="136" t="n"/>
      <c r="AJ98" s="136" t="n"/>
      <c r="AK98" s="136" t="n"/>
      <c r="AL98" s="136" t="n"/>
      <c r="AM98" s="136" t="n"/>
      <c r="AN98" s="136" t="n"/>
      <c r="AO98" s="136" t="n"/>
      <c r="AP98" s="136" t="n"/>
      <c r="AQ98" s="136" t="n"/>
      <c r="AR98" s="136" t="n"/>
    </row>
    <row r="99" ht="13.5" customHeight="1" s="196">
      <c r="A99" s="136" t="n"/>
      <c r="B99" s="136" t="n"/>
      <c r="C99" s="136" t="n"/>
      <c r="D99" s="141" t="n"/>
      <c r="E99" s="141" t="n"/>
      <c r="F99" s="141" t="n"/>
      <c r="G99" s="141" t="n"/>
      <c r="H99" s="141" t="n"/>
      <c r="I99" s="141" t="n"/>
      <c r="J99" s="141" t="n"/>
      <c r="K99" s="141" t="n"/>
      <c r="L99" s="141" t="n"/>
      <c r="M99" s="141" t="n"/>
      <c r="N99" s="141" t="n"/>
      <c r="O99" s="141" t="n"/>
      <c r="P99" s="141" t="n"/>
      <c r="Q99" s="141" t="n"/>
      <c r="R99" s="141" t="n"/>
      <c r="S99" s="141" t="n"/>
      <c r="T99" s="141" t="n"/>
      <c r="U99" s="141" t="n"/>
      <c r="V99" s="141" t="n"/>
      <c r="W99" s="141" t="n"/>
      <c r="X99" s="141" t="n"/>
      <c r="Y99" s="136" t="n"/>
      <c r="Z99" s="136" t="n"/>
      <c r="AA99" s="136" t="n"/>
      <c r="AB99" s="136" t="n"/>
      <c r="AC99" s="136" t="n"/>
      <c r="AD99" s="136" t="n"/>
      <c r="AE99" s="136" t="n"/>
      <c r="AF99" s="136" t="n"/>
      <c r="AG99" s="136" t="n"/>
      <c r="AH99" s="136" t="n"/>
      <c r="AI99" s="136" t="n"/>
      <c r="AJ99" s="136" t="n"/>
      <c r="AK99" s="136" t="n"/>
      <c r="AL99" s="136" t="n"/>
      <c r="AM99" s="136" t="n"/>
      <c r="AN99" s="136" t="n"/>
      <c r="AO99" s="136" t="n"/>
      <c r="AP99" s="136" t="n"/>
      <c r="AQ99" s="136" t="n"/>
      <c r="AR99" s="136" t="n"/>
    </row>
    <row r="100" ht="13.5" customHeight="1" s="196">
      <c r="A100" s="136" t="n"/>
      <c r="B100" s="136" t="n"/>
      <c r="C100" s="136" t="n"/>
      <c r="D100" s="141" t="n"/>
      <c r="E100" s="141" t="n"/>
      <c r="F100" s="141" t="n"/>
      <c r="G100" s="141" t="n"/>
      <c r="H100" s="141" t="n"/>
      <c r="I100" s="141" t="n"/>
      <c r="J100" s="141" t="n"/>
      <c r="K100" s="141" t="n"/>
      <c r="L100" s="141" t="n"/>
      <c r="M100" s="141" t="n"/>
      <c r="N100" s="141" t="n"/>
      <c r="O100" s="141" t="n"/>
      <c r="P100" s="141" t="n"/>
      <c r="Q100" s="141" t="n"/>
      <c r="R100" s="141" t="n"/>
      <c r="S100" s="141" t="n"/>
      <c r="T100" s="141" t="n"/>
      <c r="U100" s="141" t="n"/>
      <c r="V100" s="141" t="n"/>
      <c r="W100" s="141" t="n"/>
      <c r="X100" s="141" t="n"/>
      <c r="Y100" s="136" t="n"/>
      <c r="Z100" s="136" t="n"/>
      <c r="AA100" s="136" t="n"/>
      <c r="AB100" s="136" t="n"/>
      <c r="AC100" s="136" t="n"/>
      <c r="AD100" s="136" t="n"/>
      <c r="AE100" s="136" t="n"/>
      <c r="AF100" s="136" t="n"/>
      <c r="AG100" s="136" t="n"/>
      <c r="AH100" s="136" t="n"/>
      <c r="AI100" s="136" t="n"/>
      <c r="AJ100" s="136" t="n"/>
      <c r="AK100" s="136" t="n"/>
      <c r="AL100" s="136" t="n"/>
      <c r="AM100" s="136" t="n"/>
      <c r="AN100" s="136" t="n"/>
      <c r="AO100" s="136" t="n"/>
      <c r="AP100" s="136" t="n"/>
      <c r="AQ100" s="136" t="n"/>
      <c r="AR100" s="136" t="n"/>
    </row>
    <row r="101" ht="13.5" customHeight="1" s="196">
      <c r="A101" s="136" t="n"/>
      <c r="B101" s="136" t="n"/>
      <c r="C101" s="136" t="n"/>
      <c r="D101" s="141" t="n"/>
      <c r="E101" s="141" t="n"/>
      <c r="F101" s="141" t="n"/>
      <c r="G101" s="141" t="n"/>
      <c r="H101" s="141" t="n"/>
      <c r="I101" s="141" t="n"/>
      <c r="J101" s="141" t="n"/>
      <c r="K101" s="141" t="n"/>
      <c r="L101" s="141" t="n"/>
      <c r="M101" s="141" t="n"/>
      <c r="N101" s="141" t="n"/>
      <c r="O101" s="141" t="n"/>
      <c r="P101" s="141" t="n"/>
      <c r="Q101" s="141" t="n"/>
      <c r="R101" s="141" t="n"/>
      <c r="S101" s="141" t="n"/>
      <c r="T101" s="141" t="n"/>
      <c r="U101" s="141" t="n"/>
      <c r="V101" s="141" t="n"/>
      <c r="W101" s="141" t="n"/>
      <c r="X101" s="141" t="n"/>
      <c r="Y101" s="136" t="n"/>
      <c r="Z101" s="136" t="n"/>
      <c r="AA101" s="136" t="n"/>
      <c r="AB101" s="136" t="n"/>
      <c r="AC101" s="136" t="n"/>
      <c r="AD101" s="136" t="n"/>
      <c r="AE101" s="136" t="n"/>
      <c r="AF101" s="136" t="n"/>
      <c r="AG101" s="136" t="n"/>
      <c r="AH101" s="136" t="n"/>
      <c r="AI101" s="136" t="n"/>
      <c r="AJ101" s="136" t="n"/>
      <c r="AK101" s="136" t="n"/>
      <c r="AL101" s="136" t="n"/>
      <c r="AM101" s="136" t="n"/>
      <c r="AN101" s="136" t="n"/>
      <c r="AO101" s="136" t="n"/>
      <c r="AP101" s="136" t="n"/>
      <c r="AQ101" s="136" t="n"/>
      <c r="AR101" s="136" t="n"/>
    </row>
    <row r="102" ht="13.5" customHeight="1" s="196">
      <c r="A102" s="136" t="n"/>
      <c r="B102" s="136" t="n"/>
      <c r="C102" s="136" t="n"/>
      <c r="D102" s="141" t="n"/>
      <c r="E102" s="141" t="n"/>
      <c r="F102" s="141" t="n"/>
      <c r="G102" s="141" t="n"/>
      <c r="H102" s="141" t="n"/>
      <c r="I102" s="141" t="n"/>
      <c r="J102" s="141" t="n"/>
      <c r="K102" s="141" t="n"/>
      <c r="L102" s="141" t="n"/>
      <c r="M102" s="141" t="n"/>
      <c r="N102" s="141" t="n"/>
      <c r="O102" s="141" t="n"/>
      <c r="P102" s="141" t="n"/>
      <c r="Q102" s="141" t="n"/>
      <c r="R102" s="141" t="n"/>
      <c r="S102" s="141" t="n"/>
      <c r="T102" s="141" t="n"/>
      <c r="U102" s="141" t="n"/>
      <c r="V102" s="141" t="n"/>
      <c r="W102" s="141" t="n"/>
      <c r="X102" s="141" t="n"/>
      <c r="Y102" s="136" t="n"/>
      <c r="Z102" s="136" t="n"/>
      <c r="AA102" s="136" t="n"/>
      <c r="AB102" s="136" t="n"/>
      <c r="AC102" s="136" t="n"/>
      <c r="AD102" s="136" t="n"/>
      <c r="AE102" s="136" t="n"/>
      <c r="AF102" s="136" t="n"/>
      <c r="AG102" s="136" t="n"/>
      <c r="AH102" s="136" t="n"/>
      <c r="AI102" s="136" t="n"/>
      <c r="AJ102" s="136" t="n"/>
      <c r="AK102" s="136" t="n"/>
      <c r="AL102" s="136" t="n"/>
      <c r="AM102" s="136" t="n"/>
      <c r="AN102" s="136" t="n"/>
      <c r="AO102" s="136" t="n"/>
      <c r="AP102" s="136" t="n"/>
      <c r="AQ102" s="136" t="n"/>
      <c r="AR102" s="136" t="n"/>
    </row>
    <row r="103" ht="13.5" customHeight="1" s="196">
      <c r="A103" s="136" t="n"/>
      <c r="B103" s="136" t="n"/>
      <c r="C103" s="136" t="n"/>
      <c r="D103" s="141" t="n"/>
      <c r="E103" s="141" t="n"/>
      <c r="F103" s="141" t="n"/>
      <c r="G103" s="141" t="n"/>
      <c r="H103" s="141" t="n"/>
      <c r="I103" s="141" t="n"/>
      <c r="J103" s="141" t="n"/>
      <c r="K103" s="141" t="n"/>
      <c r="L103" s="141" t="n"/>
      <c r="M103" s="141" t="n"/>
      <c r="N103" s="141" t="n"/>
      <c r="O103" s="141" t="n"/>
      <c r="P103" s="141" t="n"/>
      <c r="Q103" s="141" t="n"/>
      <c r="R103" s="141" t="n"/>
      <c r="S103" s="141" t="n"/>
      <c r="T103" s="141" t="n"/>
      <c r="U103" s="141" t="n"/>
      <c r="V103" s="141" t="n"/>
      <c r="W103" s="141" t="n"/>
      <c r="X103" s="141" t="n"/>
      <c r="Y103" s="136" t="n"/>
      <c r="Z103" s="136" t="n"/>
      <c r="AA103" s="136" t="n"/>
      <c r="AB103" s="136" t="n"/>
      <c r="AC103" s="136" t="n"/>
      <c r="AD103" s="136" t="n"/>
      <c r="AE103" s="136" t="n"/>
      <c r="AF103" s="136" t="n"/>
      <c r="AG103" s="136" t="n"/>
      <c r="AH103" s="136" t="n"/>
      <c r="AI103" s="136" t="n"/>
      <c r="AJ103" s="136" t="n"/>
      <c r="AK103" s="136" t="n"/>
      <c r="AL103" s="136" t="n"/>
      <c r="AM103" s="136" t="n"/>
      <c r="AN103" s="136" t="n"/>
      <c r="AO103" s="136" t="n"/>
      <c r="AP103" s="136" t="n"/>
      <c r="AQ103" s="136" t="n"/>
      <c r="AR103" s="136" t="n"/>
    </row>
    <row r="104" ht="13.5" customHeight="1" s="196">
      <c r="A104" s="136" t="n"/>
      <c r="B104" s="136" t="n"/>
      <c r="C104" s="136" t="n"/>
      <c r="D104" s="141" t="n"/>
      <c r="E104" s="141" t="n"/>
      <c r="F104" s="141" t="n"/>
      <c r="G104" s="141" t="n"/>
      <c r="H104" s="141" t="n"/>
      <c r="I104" s="141" t="n"/>
      <c r="J104" s="141" t="n"/>
      <c r="K104" s="141" t="n"/>
      <c r="L104" s="141" t="n"/>
      <c r="M104" s="141" t="n"/>
      <c r="N104" s="141" t="n"/>
      <c r="O104" s="141" t="n"/>
      <c r="P104" s="141" t="n"/>
      <c r="Q104" s="141" t="n"/>
      <c r="R104" s="141" t="n"/>
      <c r="S104" s="141" t="n"/>
      <c r="T104" s="141" t="n"/>
      <c r="U104" s="141" t="n"/>
      <c r="V104" s="141" t="n"/>
      <c r="W104" s="141" t="n"/>
      <c r="X104" s="141" t="n"/>
      <c r="Y104" s="136" t="n"/>
      <c r="Z104" s="136" t="n"/>
      <c r="AA104" s="136" t="n"/>
      <c r="AB104" s="136" t="n"/>
      <c r="AC104" s="136" t="n"/>
      <c r="AD104" s="136" t="n"/>
      <c r="AE104" s="136" t="n"/>
      <c r="AF104" s="136" t="n"/>
      <c r="AG104" s="136" t="n"/>
      <c r="AH104" s="136" t="n"/>
      <c r="AI104" s="136" t="n"/>
      <c r="AJ104" s="136" t="n"/>
      <c r="AK104" s="136" t="n"/>
      <c r="AL104" s="136" t="n"/>
      <c r="AM104" s="136" t="n"/>
      <c r="AN104" s="136" t="n"/>
      <c r="AO104" s="136" t="n"/>
      <c r="AP104" s="136" t="n"/>
      <c r="AQ104" s="136" t="n"/>
      <c r="AR104" s="136" t="n"/>
    </row>
    <row r="105" ht="13.5" customHeight="1" s="196">
      <c r="A105" s="136" t="n"/>
      <c r="B105" s="136" t="n"/>
      <c r="C105" s="136" t="n"/>
      <c r="D105" s="141" t="n"/>
      <c r="E105" s="141" t="n"/>
      <c r="F105" s="141" t="n"/>
      <c r="G105" s="141" t="n"/>
      <c r="H105" s="141" t="n"/>
      <c r="I105" s="141" t="n"/>
      <c r="J105" s="141" t="n"/>
      <c r="K105" s="141" t="n"/>
      <c r="L105" s="141" t="n"/>
      <c r="M105" s="141" t="n"/>
      <c r="N105" s="141" t="n"/>
      <c r="O105" s="141" t="n"/>
      <c r="P105" s="141" t="n"/>
      <c r="Q105" s="141" t="n"/>
      <c r="R105" s="141" t="n"/>
      <c r="S105" s="141" t="n"/>
      <c r="T105" s="141" t="n"/>
      <c r="U105" s="141" t="n"/>
      <c r="V105" s="141" t="n"/>
      <c r="W105" s="141" t="n"/>
      <c r="X105" s="141" t="n"/>
      <c r="Y105" s="136" t="n"/>
      <c r="Z105" s="136" t="n"/>
      <c r="AA105" s="136" t="n"/>
      <c r="AB105" s="136" t="n"/>
      <c r="AC105" s="136" t="n"/>
      <c r="AD105" s="136" t="n"/>
      <c r="AE105" s="136" t="n"/>
      <c r="AF105" s="136" t="n"/>
      <c r="AG105" s="136" t="n"/>
      <c r="AH105" s="136" t="n"/>
      <c r="AI105" s="136" t="n"/>
      <c r="AJ105" s="136" t="n"/>
      <c r="AK105" s="136" t="n"/>
      <c r="AL105" s="136" t="n"/>
      <c r="AM105" s="136" t="n"/>
      <c r="AN105" s="136" t="n"/>
      <c r="AO105" s="136" t="n"/>
      <c r="AP105" s="136" t="n"/>
      <c r="AQ105" s="136" t="n"/>
      <c r="AR105" s="136" t="n"/>
    </row>
    <row r="106" ht="13.5" customHeight="1" s="196">
      <c r="A106" s="136" t="n"/>
      <c r="B106" s="136" t="n"/>
      <c r="C106" s="136" t="n"/>
      <c r="D106" s="141" t="n"/>
      <c r="E106" s="141" t="n"/>
      <c r="F106" s="141" t="n"/>
      <c r="G106" s="141" t="n"/>
      <c r="H106" s="141" t="n"/>
      <c r="I106" s="141" t="n"/>
      <c r="J106" s="141" t="n"/>
      <c r="K106" s="141" t="n"/>
      <c r="L106" s="141" t="n"/>
      <c r="M106" s="141" t="n"/>
      <c r="N106" s="141" t="n"/>
      <c r="O106" s="141" t="n"/>
      <c r="P106" s="141" t="n"/>
      <c r="Q106" s="141" t="n"/>
      <c r="R106" s="141" t="n"/>
      <c r="S106" s="141" t="n"/>
      <c r="T106" s="141" t="n"/>
      <c r="U106" s="141" t="n"/>
      <c r="V106" s="141" t="n"/>
      <c r="W106" s="141" t="n"/>
      <c r="X106" s="141" t="n"/>
      <c r="Y106" s="136" t="n"/>
      <c r="Z106" s="136" t="n"/>
      <c r="AA106" s="136" t="n"/>
      <c r="AB106" s="136" t="n"/>
      <c r="AC106" s="136" t="n"/>
      <c r="AD106" s="136" t="n"/>
      <c r="AE106" s="136" t="n"/>
      <c r="AF106" s="136" t="n"/>
      <c r="AG106" s="136" t="n"/>
      <c r="AH106" s="136" t="n"/>
      <c r="AI106" s="136" t="n"/>
      <c r="AJ106" s="136" t="n"/>
      <c r="AK106" s="136" t="n"/>
      <c r="AL106" s="136" t="n"/>
      <c r="AM106" s="136" t="n"/>
      <c r="AN106" s="136" t="n"/>
      <c r="AO106" s="136" t="n"/>
      <c r="AP106" s="136" t="n"/>
      <c r="AQ106" s="136" t="n"/>
      <c r="AR106" s="136" t="n"/>
    </row>
    <row r="107" ht="13.5" customHeight="1" s="196">
      <c r="A107" s="136" t="n"/>
      <c r="B107" s="136" t="n"/>
      <c r="C107" s="136" t="n"/>
      <c r="D107" s="141" t="n"/>
      <c r="E107" s="141" t="n"/>
      <c r="F107" s="141" t="n"/>
      <c r="G107" s="141" t="n"/>
      <c r="H107" s="141" t="n"/>
      <c r="I107" s="141" t="n"/>
      <c r="J107" s="141" t="n"/>
      <c r="K107" s="141" t="n"/>
      <c r="L107" s="141" t="n"/>
      <c r="M107" s="141" t="n"/>
      <c r="N107" s="141" t="n"/>
      <c r="O107" s="141" t="n"/>
      <c r="P107" s="141" t="n"/>
      <c r="Q107" s="141" t="n"/>
      <c r="R107" s="141" t="n"/>
      <c r="S107" s="141" t="n"/>
      <c r="T107" s="141" t="n"/>
      <c r="U107" s="141" t="n"/>
      <c r="V107" s="141" t="n"/>
      <c r="W107" s="141" t="n"/>
      <c r="X107" s="141" t="n"/>
      <c r="Y107" s="136" t="n"/>
      <c r="Z107" s="136" t="n"/>
      <c r="AA107" s="136" t="n"/>
      <c r="AB107" s="136" t="n"/>
      <c r="AC107" s="136" t="n"/>
      <c r="AD107" s="136" t="n"/>
      <c r="AE107" s="136" t="n"/>
      <c r="AF107" s="136" t="n"/>
      <c r="AG107" s="136" t="n"/>
      <c r="AH107" s="136" t="n"/>
      <c r="AI107" s="136" t="n"/>
      <c r="AJ107" s="136" t="n"/>
      <c r="AK107" s="136" t="n"/>
      <c r="AL107" s="136" t="n"/>
      <c r="AM107" s="136" t="n"/>
      <c r="AN107" s="136" t="n"/>
      <c r="AO107" s="136" t="n"/>
      <c r="AP107" s="136" t="n"/>
      <c r="AQ107" s="136" t="n"/>
      <c r="AR107" s="136" t="n"/>
    </row>
    <row r="108" ht="13.5" customHeight="1" s="196">
      <c r="A108" s="136" t="n"/>
      <c r="B108" s="136" t="n"/>
      <c r="C108" s="136" t="n"/>
      <c r="D108" s="141" t="n"/>
      <c r="E108" s="141" t="n"/>
      <c r="F108" s="141" t="n"/>
      <c r="G108" s="141" t="n"/>
      <c r="H108" s="141" t="n"/>
      <c r="I108" s="141" t="n"/>
      <c r="J108" s="141" t="n"/>
      <c r="K108" s="141" t="n"/>
      <c r="L108" s="141" t="n"/>
      <c r="M108" s="141" t="n"/>
      <c r="N108" s="141" t="n"/>
      <c r="O108" s="141" t="n"/>
      <c r="P108" s="141" t="n"/>
      <c r="Q108" s="141" t="n"/>
      <c r="R108" s="141" t="n"/>
      <c r="S108" s="141" t="n"/>
      <c r="T108" s="141" t="n"/>
      <c r="U108" s="141" t="n"/>
      <c r="V108" s="141" t="n"/>
      <c r="W108" s="141" t="n"/>
      <c r="X108" s="141" t="n"/>
      <c r="Y108" s="136" t="n"/>
      <c r="Z108" s="136" t="n"/>
      <c r="AA108" s="136" t="n"/>
      <c r="AB108" s="136" t="n"/>
      <c r="AC108" s="136" t="n"/>
      <c r="AD108" s="136" t="n"/>
      <c r="AE108" s="136" t="n"/>
      <c r="AF108" s="136" t="n"/>
      <c r="AG108" s="136" t="n"/>
      <c r="AH108" s="136" t="n"/>
      <c r="AI108" s="136" t="n"/>
      <c r="AJ108" s="136" t="n"/>
      <c r="AK108" s="136" t="n"/>
      <c r="AL108" s="136" t="n"/>
      <c r="AM108" s="136" t="n"/>
      <c r="AN108" s="136" t="n"/>
      <c r="AO108" s="136" t="n"/>
      <c r="AP108" s="136" t="n"/>
      <c r="AQ108" s="136" t="n"/>
      <c r="AR108" s="136" t="n"/>
    </row>
    <row r="109" ht="13.5" customHeight="1" s="196">
      <c r="A109" s="136" t="n"/>
      <c r="B109" s="136" t="n"/>
      <c r="C109" s="136" t="n"/>
      <c r="D109" s="141" t="n"/>
      <c r="E109" s="141" t="n"/>
      <c r="F109" s="141" t="n"/>
      <c r="G109" s="141" t="n"/>
      <c r="H109" s="141" t="n"/>
      <c r="I109" s="141" t="n"/>
      <c r="J109" s="141" t="n"/>
      <c r="K109" s="141" t="n"/>
      <c r="L109" s="141" t="n"/>
      <c r="M109" s="141" t="n"/>
      <c r="N109" s="141" t="n"/>
      <c r="O109" s="141" t="n"/>
      <c r="P109" s="141" t="n"/>
      <c r="Q109" s="141" t="n"/>
      <c r="R109" s="141" t="n"/>
      <c r="S109" s="141" t="n"/>
      <c r="T109" s="141" t="n"/>
      <c r="U109" s="141" t="n"/>
      <c r="V109" s="141" t="n"/>
      <c r="W109" s="141" t="n"/>
      <c r="X109" s="141" t="n"/>
      <c r="Y109" s="136" t="n"/>
      <c r="Z109" s="136" t="n"/>
      <c r="AA109" s="136" t="n"/>
      <c r="AB109" s="136" t="n"/>
      <c r="AC109" s="136" t="n"/>
      <c r="AD109" s="136" t="n"/>
      <c r="AE109" s="136" t="n"/>
      <c r="AF109" s="136" t="n"/>
      <c r="AG109" s="136" t="n"/>
      <c r="AH109" s="136" t="n"/>
      <c r="AI109" s="136" t="n"/>
      <c r="AJ109" s="136" t="n"/>
      <c r="AK109" s="136" t="n"/>
      <c r="AL109" s="136" t="n"/>
      <c r="AM109" s="136" t="n"/>
      <c r="AN109" s="136" t="n"/>
      <c r="AO109" s="136" t="n"/>
      <c r="AP109" s="136" t="n"/>
      <c r="AQ109" s="136" t="n"/>
      <c r="AR109" s="136" t="n"/>
    </row>
    <row r="110" ht="13.5" customHeight="1" s="196">
      <c r="A110" s="136" t="n"/>
      <c r="B110" s="136" t="n"/>
      <c r="C110" s="136" t="n"/>
      <c r="D110" s="141" t="n"/>
      <c r="E110" s="141" t="n"/>
      <c r="F110" s="141" t="n"/>
      <c r="G110" s="141" t="n"/>
      <c r="H110" s="141" t="n"/>
      <c r="I110" s="141" t="n"/>
      <c r="J110" s="141" t="n"/>
      <c r="K110" s="141" t="n"/>
      <c r="L110" s="141" t="n"/>
      <c r="M110" s="141" t="n"/>
      <c r="N110" s="141" t="n"/>
      <c r="O110" s="141" t="n"/>
      <c r="P110" s="141" t="n"/>
      <c r="Q110" s="141" t="n"/>
      <c r="R110" s="141" t="n"/>
      <c r="S110" s="141" t="n"/>
      <c r="T110" s="141" t="n"/>
      <c r="U110" s="141" t="n"/>
      <c r="V110" s="141" t="n"/>
      <c r="W110" s="141" t="n"/>
      <c r="X110" s="141" t="n"/>
      <c r="Y110" s="136" t="n"/>
      <c r="Z110" s="136" t="n"/>
      <c r="AA110" s="136" t="n"/>
      <c r="AB110" s="136" t="n"/>
      <c r="AC110" s="136" t="n"/>
      <c r="AD110" s="136" t="n"/>
      <c r="AE110" s="136" t="n"/>
      <c r="AF110" s="136" t="n"/>
      <c r="AG110" s="136" t="n"/>
      <c r="AH110" s="136" t="n"/>
      <c r="AI110" s="136" t="n"/>
      <c r="AJ110" s="136" t="n"/>
      <c r="AK110" s="136" t="n"/>
      <c r="AL110" s="136" t="n"/>
      <c r="AM110" s="136" t="n"/>
      <c r="AN110" s="136" t="n"/>
      <c r="AO110" s="136" t="n"/>
      <c r="AP110" s="136" t="n"/>
      <c r="AQ110" s="136" t="n"/>
      <c r="AR110" s="136" t="n"/>
    </row>
    <row r="111" ht="13.5" customHeight="1" s="196">
      <c r="A111" s="136" t="n"/>
      <c r="B111" s="136" t="n"/>
      <c r="C111" s="136" t="n"/>
      <c r="D111" s="141" t="n"/>
      <c r="E111" s="141" t="n"/>
      <c r="F111" s="141" t="n"/>
      <c r="G111" s="141" t="n"/>
      <c r="H111" s="141" t="n"/>
      <c r="I111" s="141" t="n"/>
      <c r="J111" s="141" t="n"/>
      <c r="K111" s="141" t="n"/>
      <c r="L111" s="141" t="n"/>
      <c r="M111" s="141" t="n"/>
      <c r="N111" s="141" t="n"/>
      <c r="O111" s="141" t="n"/>
      <c r="P111" s="141" t="n"/>
      <c r="Q111" s="141" t="n"/>
      <c r="R111" s="141" t="n"/>
      <c r="S111" s="141" t="n"/>
      <c r="T111" s="141" t="n"/>
      <c r="U111" s="141" t="n"/>
      <c r="V111" s="141" t="n"/>
      <c r="W111" s="141" t="n"/>
      <c r="X111" s="141" t="n"/>
      <c r="Y111" s="136" t="n"/>
      <c r="Z111" s="136" t="n"/>
      <c r="AA111" s="136" t="n"/>
      <c r="AB111" s="136" t="n"/>
      <c r="AC111" s="136" t="n"/>
      <c r="AD111" s="136" t="n"/>
      <c r="AE111" s="136" t="n"/>
      <c r="AF111" s="136" t="n"/>
      <c r="AG111" s="136" t="n"/>
      <c r="AH111" s="136" t="n"/>
      <c r="AI111" s="136" t="n"/>
      <c r="AJ111" s="136" t="n"/>
      <c r="AK111" s="136" t="n"/>
      <c r="AL111" s="136" t="n"/>
      <c r="AM111" s="136" t="n"/>
      <c r="AN111" s="136" t="n"/>
      <c r="AO111" s="136" t="n"/>
      <c r="AP111" s="136" t="n"/>
      <c r="AQ111" s="136" t="n"/>
      <c r="AR111" s="136" t="n"/>
    </row>
    <row r="112" ht="13.5" customHeight="1" s="196">
      <c r="A112" s="136" t="n"/>
      <c r="B112" s="136" t="n"/>
      <c r="C112" s="136" t="n"/>
      <c r="D112" s="141" t="n"/>
      <c r="E112" s="141" t="n"/>
      <c r="F112" s="141" t="n"/>
      <c r="G112" s="141" t="n"/>
      <c r="H112" s="141" t="n"/>
      <c r="I112" s="141" t="n"/>
      <c r="J112" s="141" t="n"/>
      <c r="K112" s="141" t="n"/>
      <c r="L112" s="141" t="n"/>
      <c r="M112" s="141" t="n"/>
      <c r="N112" s="141" t="n"/>
      <c r="O112" s="141" t="n"/>
      <c r="P112" s="141" t="n"/>
      <c r="Q112" s="141" t="n"/>
      <c r="R112" s="141" t="n"/>
      <c r="S112" s="141" t="n"/>
      <c r="T112" s="141" t="n"/>
      <c r="U112" s="141" t="n"/>
      <c r="V112" s="141" t="n"/>
      <c r="W112" s="141" t="n"/>
      <c r="X112" s="141" t="n"/>
      <c r="Y112" s="136" t="n"/>
      <c r="Z112" s="136" t="n"/>
      <c r="AA112" s="136" t="n"/>
      <c r="AB112" s="136" t="n"/>
      <c r="AC112" s="136" t="n"/>
      <c r="AD112" s="136" t="n"/>
      <c r="AE112" s="136" t="n"/>
      <c r="AF112" s="136" t="n"/>
      <c r="AG112" s="136" t="n"/>
      <c r="AH112" s="136" t="n"/>
      <c r="AI112" s="136" t="n"/>
      <c r="AJ112" s="136" t="n"/>
      <c r="AK112" s="136" t="n"/>
      <c r="AL112" s="136" t="n"/>
      <c r="AM112" s="136" t="n"/>
      <c r="AN112" s="136" t="n"/>
      <c r="AO112" s="136" t="n"/>
      <c r="AP112" s="136" t="n"/>
      <c r="AQ112" s="136" t="n"/>
      <c r="AR112" s="136" t="n"/>
    </row>
    <row r="113" ht="13.5" customHeight="1" s="196">
      <c r="A113" s="136" t="n"/>
      <c r="B113" s="136" t="n"/>
      <c r="C113" s="136" t="n"/>
      <c r="D113" s="141" t="n"/>
      <c r="E113" s="141" t="n"/>
      <c r="F113" s="141" t="n"/>
      <c r="G113" s="141" t="n"/>
      <c r="H113" s="141" t="n"/>
      <c r="I113" s="141" t="n"/>
      <c r="J113" s="141" t="n"/>
      <c r="K113" s="141" t="n"/>
      <c r="L113" s="141" t="n"/>
      <c r="M113" s="141" t="n"/>
      <c r="N113" s="141" t="n"/>
      <c r="O113" s="141" t="n"/>
      <c r="P113" s="141" t="n"/>
      <c r="Q113" s="141" t="n"/>
      <c r="R113" s="141" t="n"/>
      <c r="S113" s="141" t="n"/>
      <c r="T113" s="141" t="n"/>
      <c r="U113" s="141" t="n"/>
      <c r="V113" s="141" t="n"/>
      <c r="W113" s="141" t="n"/>
      <c r="X113" s="141" t="n"/>
      <c r="Y113" s="136" t="n"/>
      <c r="Z113" s="136" t="n"/>
      <c r="AA113" s="136" t="n"/>
      <c r="AB113" s="136" t="n"/>
      <c r="AC113" s="136" t="n"/>
      <c r="AD113" s="136" t="n"/>
      <c r="AE113" s="136" t="n"/>
      <c r="AF113" s="136" t="n"/>
      <c r="AG113" s="136" t="n"/>
      <c r="AH113" s="136" t="n"/>
      <c r="AI113" s="136" t="n"/>
      <c r="AJ113" s="136" t="n"/>
      <c r="AK113" s="136" t="n"/>
      <c r="AL113" s="136" t="n"/>
      <c r="AM113" s="136" t="n"/>
      <c r="AN113" s="136" t="n"/>
      <c r="AO113" s="136" t="n"/>
      <c r="AP113" s="136" t="n"/>
      <c r="AQ113" s="136" t="n"/>
      <c r="AR113" s="136" t="n"/>
    </row>
    <row r="114" ht="13.5" customHeight="1" s="196">
      <c r="A114" s="136" t="n"/>
      <c r="B114" s="136" t="n"/>
      <c r="C114" s="136" t="n"/>
      <c r="D114" s="141" t="n"/>
      <c r="E114" s="141" t="n"/>
      <c r="F114" s="141" t="n"/>
      <c r="G114" s="141" t="n"/>
      <c r="H114" s="141" t="n"/>
      <c r="I114" s="141" t="n"/>
      <c r="J114" s="141" t="n"/>
      <c r="K114" s="141" t="n"/>
      <c r="L114" s="141" t="n"/>
      <c r="M114" s="141" t="n"/>
      <c r="N114" s="141" t="n"/>
      <c r="O114" s="141" t="n"/>
      <c r="P114" s="141" t="n"/>
      <c r="Q114" s="141" t="n"/>
      <c r="R114" s="141" t="n"/>
      <c r="S114" s="141" t="n"/>
      <c r="T114" s="141" t="n"/>
      <c r="U114" s="141" t="n"/>
      <c r="V114" s="141" t="n"/>
      <c r="W114" s="141" t="n"/>
      <c r="X114" s="141" t="n"/>
      <c r="Y114" s="136" t="n"/>
      <c r="Z114" s="136" t="n"/>
      <c r="AA114" s="136" t="n"/>
      <c r="AB114" s="136" t="n"/>
      <c r="AC114" s="136" t="n"/>
      <c r="AD114" s="136" t="n"/>
      <c r="AE114" s="136" t="n"/>
      <c r="AF114" s="136" t="n"/>
      <c r="AG114" s="136" t="n"/>
      <c r="AH114" s="136" t="n"/>
      <c r="AI114" s="136" t="n"/>
      <c r="AJ114" s="136" t="n"/>
      <c r="AK114" s="136" t="n"/>
      <c r="AL114" s="136" t="n"/>
      <c r="AM114" s="136" t="n"/>
      <c r="AN114" s="136" t="n"/>
      <c r="AO114" s="136" t="n"/>
      <c r="AP114" s="136" t="n"/>
      <c r="AQ114" s="136" t="n"/>
      <c r="AR114" s="136" t="n"/>
    </row>
    <row r="115" ht="13.5" customHeight="1" s="196">
      <c r="A115" s="136" t="n"/>
      <c r="B115" s="136" t="n"/>
      <c r="C115" s="136" t="n"/>
      <c r="D115" s="141" t="n"/>
      <c r="E115" s="141" t="n"/>
      <c r="F115" s="141" t="n"/>
      <c r="G115" s="141" t="n"/>
      <c r="H115" s="141" t="n"/>
      <c r="I115" s="141" t="n"/>
      <c r="J115" s="141" t="n"/>
      <c r="K115" s="141" t="n"/>
      <c r="L115" s="141" t="n"/>
      <c r="M115" s="141" t="n"/>
      <c r="N115" s="141" t="n"/>
      <c r="O115" s="141" t="n"/>
      <c r="P115" s="141" t="n"/>
      <c r="Q115" s="141" t="n"/>
      <c r="R115" s="141" t="n"/>
      <c r="S115" s="141" t="n"/>
      <c r="T115" s="141" t="n"/>
      <c r="U115" s="141" t="n"/>
      <c r="V115" s="141" t="n"/>
      <c r="W115" s="141" t="n"/>
      <c r="X115" s="141" t="n"/>
      <c r="Y115" s="136" t="n"/>
      <c r="Z115" s="136" t="n"/>
      <c r="AA115" s="136" t="n"/>
      <c r="AB115" s="136" t="n"/>
      <c r="AC115" s="136" t="n"/>
      <c r="AD115" s="136" t="n"/>
      <c r="AE115" s="136" t="n"/>
      <c r="AF115" s="136" t="n"/>
      <c r="AG115" s="136" t="n"/>
      <c r="AH115" s="136" t="n"/>
      <c r="AI115" s="136" t="n"/>
      <c r="AJ115" s="136" t="n"/>
      <c r="AK115" s="136" t="n"/>
      <c r="AL115" s="136" t="n"/>
      <c r="AM115" s="136" t="n"/>
      <c r="AN115" s="136" t="n"/>
      <c r="AO115" s="136" t="n"/>
      <c r="AP115" s="136" t="n"/>
      <c r="AQ115" s="136" t="n"/>
      <c r="AR115" s="136" t="n"/>
    </row>
    <row r="116" ht="13.5" customHeight="1" s="196">
      <c r="A116" s="136" t="n"/>
      <c r="B116" s="136" t="n"/>
      <c r="C116" s="136" t="n"/>
      <c r="D116" s="141" t="n"/>
      <c r="E116" s="141" t="n"/>
      <c r="F116" s="141" t="n"/>
      <c r="G116" s="141" t="n"/>
      <c r="H116" s="141" t="n"/>
      <c r="I116" s="141" t="n"/>
      <c r="J116" s="141" t="n"/>
      <c r="K116" s="141" t="n"/>
      <c r="L116" s="141" t="n"/>
      <c r="M116" s="141" t="n"/>
      <c r="N116" s="141" t="n"/>
      <c r="O116" s="141" t="n"/>
      <c r="P116" s="141" t="n"/>
      <c r="Q116" s="141" t="n"/>
      <c r="R116" s="141" t="n"/>
      <c r="S116" s="141" t="n"/>
      <c r="T116" s="141" t="n"/>
      <c r="U116" s="141" t="n"/>
      <c r="V116" s="141" t="n"/>
      <c r="W116" s="141" t="n"/>
      <c r="X116" s="141" t="n"/>
      <c r="Y116" s="136" t="n"/>
      <c r="Z116" s="136" t="n"/>
      <c r="AA116" s="136" t="n"/>
      <c r="AB116" s="136" t="n"/>
      <c r="AC116" s="136" t="n"/>
      <c r="AD116" s="136" t="n"/>
      <c r="AE116" s="136" t="n"/>
      <c r="AF116" s="136" t="n"/>
      <c r="AG116" s="136" t="n"/>
      <c r="AH116" s="136" t="n"/>
      <c r="AI116" s="136" t="n"/>
      <c r="AJ116" s="136" t="n"/>
      <c r="AK116" s="136" t="n"/>
      <c r="AL116" s="136" t="n"/>
      <c r="AM116" s="136" t="n"/>
      <c r="AN116" s="136" t="n"/>
      <c r="AO116" s="136" t="n"/>
      <c r="AP116" s="136" t="n"/>
      <c r="AQ116" s="136" t="n"/>
      <c r="AR116" s="136" t="n"/>
    </row>
    <row r="117" ht="13.5" customHeight="1" s="196">
      <c r="A117" s="136" t="n"/>
      <c r="B117" s="136" t="n"/>
      <c r="C117" s="136" t="n"/>
      <c r="D117" s="141" t="n"/>
      <c r="E117" s="141" t="n"/>
      <c r="F117" s="141" t="n"/>
      <c r="G117" s="141" t="n"/>
      <c r="H117" s="141" t="n"/>
      <c r="I117" s="141" t="n"/>
      <c r="J117" s="141" t="n"/>
      <c r="K117" s="141" t="n"/>
      <c r="L117" s="141" t="n"/>
      <c r="M117" s="141" t="n"/>
      <c r="N117" s="141" t="n"/>
      <c r="O117" s="141" t="n"/>
      <c r="P117" s="141" t="n"/>
      <c r="Q117" s="141" t="n"/>
      <c r="R117" s="141" t="n"/>
      <c r="S117" s="141" t="n"/>
      <c r="T117" s="141" t="n"/>
      <c r="U117" s="141" t="n"/>
      <c r="V117" s="141" t="n"/>
      <c r="W117" s="141" t="n"/>
      <c r="X117" s="141" t="n"/>
      <c r="Y117" s="136" t="n"/>
      <c r="Z117" s="136" t="n"/>
      <c r="AA117" s="136" t="n"/>
      <c r="AB117" s="136" t="n"/>
      <c r="AC117" s="136" t="n"/>
      <c r="AD117" s="136" t="n"/>
      <c r="AE117" s="136" t="n"/>
      <c r="AF117" s="136" t="n"/>
      <c r="AG117" s="136" t="n"/>
      <c r="AH117" s="136" t="n"/>
      <c r="AI117" s="136" t="n"/>
      <c r="AJ117" s="136" t="n"/>
      <c r="AK117" s="136" t="n"/>
      <c r="AL117" s="136" t="n"/>
      <c r="AM117" s="136" t="n"/>
      <c r="AN117" s="136" t="n"/>
      <c r="AO117" s="136" t="n"/>
      <c r="AP117" s="136" t="n"/>
      <c r="AQ117" s="136" t="n"/>
      <c r="AR117" s="136" t="n"/>
    </row>
    <row r="118" ht="13.5" customHeight="1" s="196">
      <c r="A118" s="136" t="n"/>
      <c r="B118" s="136" t="n"/>
      <c r="C118" s="136" t="n"/>
      <c r="D118" s="141" t="n"/>
      <c r="E118" s="141" t="n"/>
      <c r="F118" s="141" t="n"/>
      <c r="G118" s="141" t="n"/>
      <c r="H118" s="141" t="n"/>
      <c r="I118" s="141" t="n"/>
      <c r="J118" s="141" t="n"/>
      <c r="K118" s="141" t="n"/>
      <c r="L118" s="141" t="n"/>
      <c r="M118" s="141" t="n"/>
      <c r="N118" s="141" t="n"/>
      <c r="O118" s="141" t="n"/>
      <c r="P118" s="141" t="n"/>
      <c r="Q118" s="141" t="n"/>
      <c r="R118" s="141" t="n"/>
      <c r="S118" s="141" t="n"/>
      <c r="T118" s="141" t="n"/>
      <c r="U118" s="141" t="n"/>
      <c r="V118" s="141" t="n"/>
      <c r="W118" s="141" t="n"/>
      <c r="X118" s="141" t="n"/>
      <c r="Y118" s="136" t="n"/>
      <c r="Z118" s="136" t="n"/>
      <c r="AA118" s="136" t="n"/>
      <c r="AB118" s="136" t="n"/>
      <c r="AC118" s="136" t="n"/>
      <c r="AD118" s="136" t="n"/>
      <c r="AE118" s="136" t="n"/>
      <c r="AF118" s="136" t="n"/>
      <c r="AG118" s="136" t="n"/>
      <c r="AH118" s="136" t="n"/>
      <c r="AI118" s="136" t="n"/>
      <c r="AJ118" s="136" t="n"/>
      <c r="AK118" s="136" t="n"/>
      <c r="AL118" s="136" t="n"/>
      <c r="AM118" s="136" t="n"/>
      <c r="AN118" s="136" t="n"/>
      <c r="AO118" s="136" t="n"/>
      <c r="AP118" s="136" t="n"/>
      <c r="AQ118" s="136" t="n"/>
      <c r="AR118" s="136" t="n"/>
    </row>
    <row r="119" ht="13.5" customHeight="1" s="196">
      <c r="A119" s="136" t="n"/>
      <c r="B119" s="136" t="n"/>
      <c r="C119" s="136" t="n"/>
      <c r="D119" s="141" t="n"/>
      <c r="E119" s="141" t="n"/>
      <c r="F119" s="141" t="n"/>
      <c r="G119" s="141" t="n"/>
      <c r="H119" s="141" t="n"/>
      <c r="I119" s="141" t="n"/>
      <c r="J119" s="141" t="n"/>
      <c r="K119" s="141" t="n"/>
      <c r="L119" s="141" t="n"/>
      <c r="M119" s="141" t="n"/>
      <c r="N119" s="141" t="n"/>
      <c r="O119" s="141" t="n"/>
      <c r="P119" s="141" t="n"/>
      <c r="Q119" s="141" t="n"/>
      <c r="R119" s="141" t="n"/>
      <c r="S119" s="141" t="n"/>
      <c r="T119" s="141" t="n"/>
      <c r="U119" s="141" t="n"/>
      <c r="V119" s="141" t="n"/>
      <c r="W119" s="141" t="n"/>
      <c r="X119" s="141" t="n"/>
      <c r="Y119" s="136" t="n"/>
      <c r="Z119" s="136" t="n"/>
      <c r="AA119" s="136" t="n"/>
      <c r="AB119" s="136" t="n"/>
      <c r="AC119" s="136" t="n"/>
      <c r="AD119" s="136" t="n"/>
      <c r="AE119" s="136" t="n"/>
      <c r="AF119" s="136" t="n"/>
      <c r="AG119" s="136" t="n"/>
      <c r="AH119" s="136" t="n"/>
      <c r="AI119" s="136" t="n"/>
      <c r="AJ119" s="136" t="n"/>
      <c r="AK119" s="136" t="n"/>
      <c r="AL119" s="136" t="n"/>
      <c r="AM119" s="136" t="n"/>
      <c r="AN119" s="136" t="n"/>
      <c r="AO119" s="136" t="n"/>
      <c r="AP119" s="136" t="n"/>
      <c r="AQ119" s="136" t="n"/>
      <c r="AR119" s="136" t="n"/>
    </row>
    <row r="120" ht="13.5" customHeight="1" s="196">
      <c r="A120" s="136" t="n"/>
      <c r="B120" s="136" t="n"/>
      <c r="C120" s="136" t="n"/>
      <c r="D120" s="141" t="n"/>
      <c r="E120" s="141" t="n"/>
      <c r="F120" s="141" t="n"/>
      <c r="G120" s="141" t="n"/>
      <c r="H120" s="141" t="n"/>
      <c r="I120" s="141" t="n"/>
      <c r="J120" s="141" t="n"/>
      <c r="K120" s="141" t="n"/>
      <c r="L120" s="141" t="n"/>
      <c r="M120" s="141" t="n"/>
      <c r="N120" s="141" t="n"/>
      <c r="O120" s="141" t="n"/>
      <c r="P120" s="141" t="n"/>
      <c r="Q120" s="141" t="n"/>
      <c r="R120" s="141" t="n"/>
      <c r="S120" s="141" t="n"/>
      <c r="T120" s="141" t="n"/>
      <c r="U120" s="141" t="n"/>
      <c r="V120" s="141" t="n"/>
      <c r="W120" s="141" t="n"/>
      <c r="X120" s="141" t="n"/>
      <c r="Y120" s="136" t="n"/>
      <c r="Z120" s="136" t="n"/>
      <c r="AA120" s="136" t="n"/>
      <c r="AB120" s="136" t="n"/>
      <c r="AC120" s="136" t="n"/>
      <c r="AD120" s="136" t="n"/>
      <c r="AE120" s="136" t="n"/>
      <c r="AF120" s="136" t="n"/>
      <c r="AG120" s="136" t="n"/>
      <c r="AH120" s="136" t="n"/>
      <c r="AI120" s="136" t="n"/>
      <c r="AJ120" s="136" t="n"/>
      <c r="AK120" s="136" t="n"/>
      <c r="AL120" s="136" t="n"/>
      <c r="AM120" s="136" t="n"/>
      <c r="AN120" s="136" t="n"/>
      <c r="AO120" s="136" t="n"/>
      <c r="AP120" s="136" t="n"/>
      <c r="AQ120" s="136" t="n"/>
      <c r="AR120" s="136" t="n"/>
    </row>
    <row r="121" ht="13.5" customHeight="1" s="196">
      <c r="A121" s="136" t="n"/>
      <c r="B121" s="136" t="n"/>
      <c r="C121" s="136" t="n"/>
      <c r="D121" s="141" t="n"/>
      <c r="E121" s="141" t="n"/>
      <c r="F121" s="141" t="n"/>
      <c r="G121" s="141" t="n"/>
      <c r="H121" s="141" t="n"/>
      <c r="I121" s="141" t="n"/>
      <c r="J121" s="141" t="n"/>
      <c r="K121" s="141" t="n"/>
      <c r="L121" s="141" t="n"/>
      <c r="M121" s="141" t="n"/>
      <c r="N121" s="141" t="n"/>
      <c r="O121" s="141" t="n"/>
      <c r="P121" s="141" t="n"/>
      <c r="Q121" s="141" t="n"/>
      <c r="R121" s="141" t="n"/>
      <c r="S121" s="141" t="n"/>
      <c r="T121" s="141" t="n"/>
      <c r="U121" s="141" t="n"/>
      <c r="V121" s="141" t="n"/>
      <c r="W121" s="141" t="n"/>
      <c r="X121" s="141" t="n"/>
      <c r="Y121" s="136" t="n"/>
      <c r="Z121" s="136" t="n"/>
      <c r="AA121" s="136" t="n"/>
      <c r="AB121" s="136" t="n"/>
      <c r="AC121" s="136" t="n"/>
      <c r="AD121" s="136" t="n"/>
      <c r="AE121" s="136" t="n"/>
      <c r="AF121" s="136" t="n"/>
      <c r="AG121" s="136" t="n"/>
      <c r="AH121" s="136" t="n"/>
      <c r="AI121" s="136" t="n"/>
      <c r="AJ121" s="136" t="n"/>
      <c r="AK121" s="136" t="n"/>
      <c r="AL121" s="136" t="n"/>
      <c r="AM121" s="136" t="n"/>
      <c r="AN121" s="136" t="n"/>
      <c r="AO121" s="136" t="n"/>
      <c r="AP121" s="136" t="n"/>
      <c r="AQ121" s="136" t="n"/>
      <c r="AR121" s="136" t="n"/>
    </row>
    <row r="122" ht="13.5" customHeight="1" s="196">
      <c r="A122" s="136" t="n"/>
      <c r="B122" s="136" t="n"/>
      <c r="C122" s="136" t="n"/>
      <c r="D122" s="141" t="n"/>
      <c r="E122" s="141" t="n"/>
      <c r="F122" s="141" t="n"/>
      <c r="G122" s="141" t="n"/>
      <c r="H122" s="141" t="n"/>
      <c r="I122" s="141" t="n"/>
      <c r="J122" s="141" t="n"/>
      <c r="K122" s="141" t="n"/>
      <c r="L122" s="141" t="n"/>
      <c r="M122" s="141" t="n"/>
      <c r="N122" s="141" t="n"/>
      <c r="O122" s="141" t="n"/>
      <c r="P122" s="141" t="n"/>
      <c r="Q122" s="141" t="n"/>
      <c r="R122" s="141" t="n"/>
      <c r="S122" s="141" t="n"/>
      <c r="T122" s="141" t="n"/>
      <c r="U122" s="141" t="n"/>
      <c r="V122" s="141" t="n"/>
      <c r="W122" s="141" t="n"/>
      <c r="X122" s="141" t="n"/>
      <c r="Y122" s="136" t="n"/>
      <c r="Z122" s="136" t="n"/>
      <c r="AA122" s="136" t="n"/>
      <c r="AB122" s="136" t="n"/>
      <c r="AC122" s="136" t="n"/>
      <c r="AD122" s="136" t="n"/>
      <c r="AE122" s="136" t="n"/>
      <c r="AF122" s="136" t="n"/>
      <c r="AG122" s="136" t="n"/>
      <c r="AH122" s="136" t="n"/>
      <c r="AI122" s="136" t="n"/>
      <c r="AJ122" s="136" t="n"/>
      <c r="AK122" s="136" t="n"/>
      <c r="AL122" s="136" t="n"/>
      <c r="AM122" s="136" t="n"/>
      <c r="AN122" s="136" t="n"/>
      <c r="AO122" s="136" t="n"/>
      <c r="AP122" s="136" t="n"/>
      <c r="AQ122" s="136" t="n"/>
      <c r="AR122" s="136" t="n"/>
    </row>
    <row r="123" ht="13.5" customHeight="1" s="196">
      <c r="A123" s="136" t="n"/>
      <c r="B123" s="136" t="n"/>
      <c r="C123" s="136" t="n"/>
      <c r="D123" s="141" t="n"/>
      <c r="E123" s="141" t="n"/>
      <c r="F123" s="141" t="n"/>
      <c r="G123" s="141" t="n"/>
      <c r="H123" s="141" t="n"/>
      <c r="I123" s="141" t="n"/>
      <c r="J123" s="141" t="n"/>
      <c r="K123" s="141" t="n"/>
      <c r="L123" s="141" t="n"/>
      <c r="M123" s="141" t="n"/>
      <c r="N123" s="141" t="n"/>
      <c r="O123" s="141" t="n"/>
      <c r="P123" s="141" t="n"/>
      <c r="Q123" s="141" t="n"/>
      <c r="R123" s="141" t="n"/>
      <c r="S123" s="141" t="n"/>
      <c r="T123" s="141" t="n"/>
      <c r="U123" s="141" t="n"/>
      <c r="V123" s="141" t="n"/>
      <c r="W123" s="141" t="n"/>
      <c r="X123" s="141" t="n"/>
      <c r="Y123" s="136" t="n"/>
      <c r="Z123" s="136" t="n"/>
      <c r="AA123" s="136" t="n"/>
      <c r="AB123" s="136" t="n"/>
      <c r="AC123" s="136" t="n"/>
      <c r="AD123" s="136" t="n"/>
      <c r="AE123" s="136" t="n"/>
      <c r="AF123" s="136" t="n"/>
      <c r="AG123" s="136" t="n"/>
      <c r="AH123" s="136" t="n"/>
      <c r="AI123" s="136" t="n"/>
      <c r="AJ123" s="136" t="n"/>
      <c r="AK123" s="136" t="n"/>
      <c r="AL123" s="136" t="n"/>
      <c r="AM123" s="136" t="n"/>
      <c r="AN123" s="136" t="n"/>
      <c r="AO123" s="136" t="n"/>
      <c r="AP123" s="136" t="n"/>
      <c r="AQ123" s="136" t="n"/>
      <c r="AR123" s="136" t="n"/>
    </row>
    <row r="124" ht="13.5" customHeight="1" s="196">
      <c r="A124" s="136" t="n"/>
      <c r="B124" s="136" t="n"/>
      <c r="C124" s="136" t="n"/>
      <c r="D124" s="141" t="n"/>
      <c r="E124" s="141" t="n"/>
      <c r="F124" s="141" t="n"/>
      <c r="G124" s="141" t="n"/>
      <c r="H124" s="141" t="n"/>
      <c r="I124" s="141" t="n"/>
      <c r="J124" s="141" t="n"/>
      <c r="K124" s="141" t="n"/>
      <c r="L124" s="141" t="n"/>
      <c r="M124" s="141" t="n"/>
      <c r="N124" s="141" t="n"/>
      <c r="O124" s="141" t="n"/>
      <c r="P124" s="141" t="n"/>
      <c r="Q124" s="141" t="n"/>
      <c r="R124" s="141" t="n"/>
      <c r="S124" s="141" t="n"/>
      <c r="T124" s="141" t="n"/>
      <c r="U124" s="141" t="n"/>
      <c r="V124" s="141" t="n"/>
      <c r="W124" s="141" t="n"/>
      <c r="X124" s="141" t="n"/>
      <c r="Y124" s="136" t="n"/>
      <c r="Z124" s="136" t="n"/>
      <c r="AA124" s="136" t="n"/>
      <c r="AB124" s="136" t="n"/>
      <c r="AC124" s="136" t="n"/>
      <c r="AD124" s="136" t="n"/>
      <c r="AE124" s="136" t="n"/>
      <c r="AF124" s="136" t="n"/>
      <c r="AG124" s="136" t="n"/>
      <c r="AH124" s="136" t="n"/>
      <c r="AI124" s="136" t="n"/>
      <c r="AJ124" s="136" t="n"/>
      <c r="AK124" s="136" t="n"/>
      <c r="AL124" s="136" t="n"/>
      <c r="AM124" s="136" t="n"/>
      <c r="AN124" s="136" t="n"/>
      <c r="AO124" s="136" t="n"/>
      <c r="AP124" s="136" t="n"/>
      <c r="AQ124" s="136" t="n"/>
      <c r="AR124" s="136" t="n"/>
    </row>
    <row r="125" ht="13.5" customHeight="1" s="196">
      <c r="A125" s="136" t="n"/>
      <c r="B125" s="136" t="n"/>
      <c r="C125" s="136" t="n"/>
      <c r="D125" s="141" t="n"/>
      <c r="E125" s="141" t="n"/>
      <c r="F125" s="141" t="n"/>
      <c r="G125" s="141" t="n"/>
      <c r="H125" s="141" t="n"/>
      <c r="I125" s="141" t="n"/>
      <c r="J125" s="141" t="n"/>
      <c r="K125" s="141" t="n"/>
      <c r="L125" s="141" t="n"/>
      <c r="M125" s="141" t="n"/>
      <c r="N125" s="141" t="n"/>
      <c r="O125" s="141" t="n"/>
      <c r="P125" s="141" t="n"/>
      <c r="Q125" s="141" t="n"/>
      <c r="R125" s="141" t="n"/>
      <c r="S125" s="141" t="n"/>
      <c r="T125" s="141" t="n"/>
      <c r="U125" s="141" t="n"/>
      <c r="V125" s="141" t="n"/>
      <c r="W125" s="141" t="n"/>
      <c r="X125" s="141" t="n"/>
      <c r="Y125" s="136" t="n"/>
      <c r="Z125" s="136" t="n"/>
      <c r="AA125" s="136" t="n"/>
      <c r="AB125" s="136" t="n"/>
      <c r="AC125" s="136" t="n"/>
      <c r="AD125" s="136" t="n"/>
      <c r="AE125" s="136" t="n"/>
      <c r="AF125" s="136" t="n"/>
      <c r="AG125" s="136" t="n"/>
      <c r="AH125" s="136" t="n"/>
      <c r="AI125" s="136" t="n"/>
      <c r="AJ125" s="136" t="n"/>
      <c r="AK125" s="136" t="n"/>
      <c r="AL125" s="136" t="n"/>
      <c r="AM125" s="136" t="n"/>
      <c r="AN125" s="136" t="n"/>
      <c r="AO125" s="136" t="n"/>
      <c r="AP125" s="136" t="n"/>
      <c r="AQ125" s="136" t="n"/>
      <c r="AR125" s="136" t="n"/>
    </row>
    <row r="126" ht="13.5" customHeight="1" s="196">
      <c r="A126" s="136" t="n"/>
      <c r="B126" s="136" t="n"/>
      <c r="C126" s="136" t="n"/>
      <c r="D126" s="141" t="n"/>
      <c r="E126" s="141" t="n"/>
      <c r="F126" s="141" t="n"/>
      <c r="G126" s="141" t="n"/>
      <c r="H126" s="141" t="n"/>
      <c r="I126" s="141" t="n"/>
      <c r="J126" s="141" t="n"/>
      <c r="K126" s="141" t="n"/>
      <c r="L126" s="141" t="n"/>
      <c r="M126" s="141" t="n"/>
      <c r="N126" s="141" t="n"/>
      <c r="O126" s="141" t="n"/>
      <c r="P126" s="141" t="n"/>
      <c r="Q126" s="141" t="n"/>
      <c r="R126" s="141" t="n"/>
      <c r="S126" s="141" t="n"/>
      <c r="T126" s="141" t="n"/>
      <c r="U126" s="141" t="n"/>
      <c r="V126" s="141" t="n"/>
      <c r="W126" s="141" t="n"/>
      <c r="X126" s="141" t="n"/>
      <c r="Y126" s="136" t="n"/>
      <c r="Z126" s="136" t="n"/>
      <c r="AA126" s="136" t="n"/>
      <c r="AB126" s="136" t="n"/>
      <c r="AC126" s="136" t="n"/>
      <c r="AD126" s="136" t="n"/>
      <c r="AE126" s="136" t="n"/>
      <c r="AF126" s="136" t="n"/>
      <c r="AG126" s="136" t="n"/>
      <c r="AH126" s="136" t="n"/>
      <c r="AI126" s="136" t="n"/>
      <c r="AJ126" s="136" t="n"/>
      <c r="AK126" s="136" t="n"/>
      <c r="AL126" s="136" t="n"/>
      <c r="AM126" s="136" t="n"/>
      <c r="AN126" s="136" t="n"/>
      <c r="AO126" s="136" t="n"/>
      <c r="AP126" s="136" t="n"/>
      <c r="AQ126" s="136" t="n"/>
      <c r="AR126" s="136" t="n"/>
    </row>
    <row r="127" ht="13.5" customHeight="1" s="196">
      <c r="A127" s="136" t="n"/>
      <c r="B127" s="136" t="n"/>
      <c r="C127" s="136" t="n"/>
      <c r="D127" s="141" t="n"/>
      <c r="E127" s="141" t="n"/>
      <c r="F127" s="141" t="n"/>
      <c r="G127" s="141" t="n"/>
      <c r="H127" s="141" t="n"/>
      <c r="I127" s="141" t="n"/>
      <c r="J127" s="141" t="n"/>
      <c r="K127" s="141" t="n"/>
      <c r="L127" s="141" t="n"/>
      <c r="M127" s="141" t="n"/>
      <c r="N127" s="141" t="n"/>
      <c r="O127" s="141" t="n"/>
      <c r="P127" s="141" t="n"/>
      <c r="Q127" s="141" t="n"/>
      <c r="R127" s="141" t="n"/>
      <c r="S127" s="141" t="n"/>
      <c r="T127" s="141" t="n"/>
      <c r="U127" s="141" t="n"/>
      <c r="V127" s="141" t="n"/>
      <c r="W127" s="141" t="n"/>
      <c r="X127" s="141" t="n"/>
      <c r="Y127" s="136" t="n"/>
      <c r="Z127" s="136" t="n"/>
      <c r="AA127" s="136" t="n"/>
      <c r="AB127" s="136" t="n"/>
      <c r="AC127" s="136" t="n"/>
      <c r="AD127" s="136" t="n"/>
      <c r="AE127" s="136" t="n"/>
      <c r="AF127" s="136" t="n"/>
      <c r="AG127" s="136" t="n"/>
      <c r="AH127" s="136" t="n"/>
      <c r="AI127" s="136" t="n"/>
      <c r="AJ127" s="136" t="n"/>
      <c r="AK127" s="136" t="n"/>
      <c r="AL127" s="136" t="n"/>
      <c r="AM127" s="136" t="n"/>
      <c r="AN127" s="136" t="n"/>
      <c r="AO127" s="136" t="n"/>
      <c r="AP127" s="136" t="n"/>
      <c r="AQ127" s="136" t="n"/>
      <c r="AR127" s="136" t="n"/>
    </row>
    <row r="128" ht="13.5" customHeight="1" s="196">
      <c r="A128" s="136" t="n"/>
      <c r="B128" s="136" t="n"/>
      <c r="C128" s="136" t="n"/>
      <c r="D128" s="141" t="n"/>
      <c r="E128" s="141" t="n"/>
      <c r="F128" s="141" t="n"/>
      <c r="G128" s="141" t="n"/>
      <c r="H128" s="141" t="n"/>
      <c r="I128" s="141" t="n"/>
      <c r="J128" s="141" t="n"/>
      <c r="K128" s="141" t="n"/>
      <c r="L128" s="141" t="n"/>
      <c r="M128" s="141" t="n"/>
      <c r="N128" s="141" t="n"/>
      <c r="O128" s="141" t="n"/>
      <c r="P128" s="141" t="n"/>
      <c r="Q128" s="141" t="n"/>
      <c r="R128" s="141" t="n"/>
      <c r="S128" s="141" t="n"/>
      <c r="T128" s="141" t="n"/>
      <c r="U128" s="141" t="n"/>
      <c r="V128" s="141" t="n"/>
      <c r="W128" s="141" t="n"/>
      <c r="X128" s="141" t="n"/>
      <c r="Y128" s="136" t="n"/>
      <c r="Z128" s="136" t="n"/>
      <c r="AA128" s="136" t="n"/>
      <c r="AB128" s="136" t="n"/>
      <c r="AC128" s="136" t="n"/>
      <c r="AD128" s="136" t="n"/>
      <c r="AE128" s="136" t="n"/>
      <c r="AF128" s="136" t="n"/>
      <c r="AG128" s="136" t="n"/>
      <c r="AH128" s="136" t="n"/>
      <c r="AI128" s="136" t="n"/>
      <c r="AJ128" s="136" t="n"/>
      <c r="AK128" s="136" t="n"/>
      <c r="AL128" s="136" t="n"/>
      <c r="AM128" s="136" t="n"/>
      <c r="AN128" s="136" t="n"/>
      <c r="AO128" s="136" t="n"/>
      <c r="AP128" s="136" t="n"/>
      <c r="AQ128" s="136" t="n"/>
      <c r="AR128" s="136" t="n"/>
    </row>
    <row r="129" ht="13.5" customHeight="1" s="196">
      <c r="A129" s="136" t="n"/>
      <c r="B129" s="136" t="n"/>
      <c r="C129" s="136" t="n"/>
      <c r="D129" s="141" t="n"/>
      <c r="E129" s="141" t="n"/>
      <c r="F129" s="141" t="n"/>
      <c r="G129" s="141" t="n"/>
      <c r="H129" s="141" t="n"/>
      <c r="I129" s="141" t="n"/>
      <c r="J129" s="141" t="n"/>
      <c r="K129" s="141" t="n"/>
      <c r="L129" s="141" t="n"/>
      <c r="M129" s="141" t="n"/>
      <c r="N129" s="141" t="n"/>
      <c r="O129" s="141" t="n"/>
      <c r="P129" s="141" t="n"/>
      <c r="Q129" s="141" t="n"/>
      <c r="R129" s="141" t="n"/>
      <c r="S129" s="141" t="n"/>
      <c r="T129" s="141" t="n"/>
      <c r="U129" s="141" t="n"/>
      <c r="V129" s="141" t="n"/>
      <c r="W129" s="141" t="n"/>
      <c r="X129" s="141" t="n"/>
      <c r="Y129" s="136" t="n"/>
      <c r="Z129" s="136" t="n"/>
      <c r="AA129" s="136" t="n"/>
      <c r="AB129" s="136" t="n"/>
      <c r="AC129" s="136" t="n"/>
      <c r="AD129" s="136" t="n"/>
      <c r="AE129" s="136" t="n"/>
      <c r="AF129" s="136" t="n"/>
      <c r="AG129" s="136" t="n"/>
      <c r="AH129" s="136" t="n"/>
      <c r="AI129" s="136" t="n"/>
      <c r="AJ129" s="136" t="n"/>
      <c r="AK129" s="136" t="n"/>
      <c r="AL129" s="136" t="n"/>
      <c r="AM129" s="136" t="n"/>
      <c r="AN129" s="136" t="n"/>
      <c r="AO129" s="136" t="n"/>
      <c r="AP129" s="136" t="n"/>
      <c r="AQ129" s="136" t="n"/>
      <c r="AR129" s="136" t="n"/>
    </row>
    <row r="130" ht="13.5" customHeight="1" s="196">
      <c r="A130" s="136" t="n"/>
      <c r="B130" s="136" t="n"/>
      <c r="C130" s="136" t="n"/>
      <c r="D130" s="141" t="n"/>
      <c r="E130" s="141" t="n"/>
      <c r="F130" s="141" t="n"/>
      <c r="G130" s="141" t="n"/>
      <c r="H130" s="141" t="n"/>
      <c r="I130" s="141" t="n"/>
      <c r="J130" s="141" t="n"/>
      <c r="K130" s="141" t="n"/>
      <c r="L130" s="141" t="n"/>
      <c r="M130" s="141" t="n"/>
      <c r="N130" s="141" t="n"/>
      <c r="O130" s="141" t="n"/>
      <c r="P130" s="141" t="n"/>
      <c r="Q130" s="141" t="n"/>
      <c r="R130" s="141" t="n"/>
      <c r="S130" s="141" t="n"/>
      <c r="T130" s="141" t="n"/>
      <c r="U130" s="141" t="n"/>
      <c r="V130" s="141" t="n"/>
      <c r="W130" s="141" t="n"/>
      <c r="X130" s="141" t="n"/>
      <c r="Y130" s="136" t="n"/>
      <c r="Z130" s="136" t="n"/>
      <c r="AA130" s="136" t="n"/>
      <c r="AB130" s="136" t="n"/>
      <c r="AC130" s="136" t="n"/>
      <c r="AD130" s="136" t="n"/>
      <c r="AE130" s="136" t="n"/>
      <c r="AF130" s="136" t="n"/>
      <c r="AG130" s="136" t="n"/>
      <c r="AH130" s="136" t="n"/>
      <c r="AI130" s="136" t="n"/>
      <c r="AJ130" s="136" t="n"/>
      <c r="AK130" s="136" t="n"/>
      <c r="AL130" s="136" t="n"/>
      <c r="AM130" s="136" t="n"/>
      <c r="AN130" s="136" t="n"/>
      <c r="AO130" s="136" t="n"/>
      <c r="AP130" s="136" t="n"/>
      <c r="AQ130" s="136" t="n"/>
      <c r="AR130" s="136" t="n"/>
    </row>
    <row r="131" ht="13.5" customHeight="1" s="196">
      <c r="A131" s="136" t="n"/>
      <c r="B131" s="136" t="n"/>
      <c r="C131" s="136" t="n"/>
      <c r="D131" s="141" t="n"/>
      <c r="E131" s="141" t="n"/>
      <c r="F131" s="141" t="n"/>
      <c r="G131" s="141" t="n"/>
      <c r="H131" s="141" t="n"/>
      <c r="I131" s="141" t="n"/>
      <c r="J131" s="141" t="n"/>
      <c r="K131" s="141" t="n"/>
      <c r="L131" s="141" t="n"/>
      <c r="M131" s="141" t="n"/>
      <c r="N131" s="141" t="n"/>
      <c r="O131" s="141" t="n"/>
      <c r="P131" s="141" t="n"/>
      <c r="Q131" s="141" t="n"/>
      <c r="R131" s="141" t="n"/>
      <c r="S131" s="141" t="n"/>
      <c r="T131" s="141" t="n"/>
      <c r="U131" s="141" t="n"/>
      <c r="V131" s="141" t="n"/>
      <c r="W131" s="141" t="n"/>
      <c r="X131" s="141" t="n"/>
      <c r="Y131" s="136" t="n"/>
      <c r="Z131" s="136" t="n"/>
      <c r="AA131" s="136" t="n"/>
      <c r="AB131" s="136" t="n"/>
      <c r="AC131" s="136" t="n"/>
      <c r="AD131" s="136" t="n"/>
      <c r="AE131" s="136" t="n"/>
      <c r="AF131" s="136" t="n"/>
      <c r="AG131" s="136" t="n"/>
      <c r="AH131" s="136" t="n"/>
      <c r="AI131" s="136" t="n"/>
      <c r="AJ131" s="136" t="n"/>
      <c r="AK131" s="136" t="n"/>
      <c r="AL131" s="136" t="n"/>
      <c r="AM131" s="136" t="n"/>
      <c r="AN131" s="136" t="n"/>
      <c r="AO131" s="136" t="n"/>
      <c r="AP131" s="136" t="n"/>
      <c r="AQ131" s="136" t="n"/>
      <c r="AR131" s="136" t="n"/>
    </row>
    <row r="132" ht="13.5" customHeight="1" s="196">
      <c r="A132" s="136" t="n"/>
      <c r="B132" s="136" t="n"/>
      <c r="C132" s="136" t="n"/>
      <c r="D132" s="141" t="n"/>
      <c r="E132" s="141" t="n"/>
      <c r="F132" s="141" t="n"/>
      <c r="G132" s="141" t="n"/>
      <c r="H132" s="141" t="n"/>
      <c r="I132" s="141" t="n"/>
      <c r="J132" s="141" t="n"/>
      <c r="K132" s="141" t="n"/>
      <c r="L132" s="141" t="n"/>
      <c r="M132" s="141" t="n"/>
      <c r="N132" s="141" t="n"/>
      <c r="O132" s="141" t="n"/>
      <c r="P132" s="141" t="n"/>
      <c r="Q132" s="141" t="n"/>
      <c r="R132" s="141" t="n"/>
      <c r="S132" s="141" t="n"/>
      <c r="T132" s="141" t="n"/>
      <c r="U132" s="141" t="n"/>
      <c r="V132" s="141" t="n"/>
      <c r="W132" s="141" t="n"/>
      <c r="X132" s="141" t="n"/>
      <c r="Y132" s="136" t="n"/>
      <c r="Z132" s="136" t="n"/>
      <c r="AA132" s="136" t="n"/>
      <c r="AB132" s="136" t="n"/>
      <c r="AC132" s="136" t="n"/>
      <c r="AD132" s="136" t="n"/>
      <c r="AE132" s="136" t="n"/>
      <c r="AF132" s="136" t="n"/>
      <c r="AG132" s="136" t="n"/>
      <c r="AH132" s="136" t="n"/>
      <c r="AI132" s="136" t="n"/>
      <c r="AJ132" s="136" t="n"/>
      <c r="AK132" s="136" t="n"/>
      <c r="AL132" s="136" t="n"/>
      <c r="AM132" s="136" t="n"/>
      <c r="AN132" s="136" t="n"/>
      <c r="AO132" s="136" t="n"/>
      <c r="AP132" s="136" t="n"/>
      <c r="AQ132" s="136" t="n"/>
      <c r="AR132" s="136" t="n"/>
    </row>
    <row r="133" ht="13.5" customHeight="1" s="196">
      <c r="A133" s="136" t="n"/>
      <c r="B133" s="136" t="n"/>
      <c r="C133" s="136" t="n"/>
      <c r="D133" s="141" t="n"/>
      <c r="E133" s="141" t="n"/>
      <c r="F133" s="141" t="n"/>
      <c r="G133" s="141" t="n"/>
      <c r="H133" s="141" t="n"/>
      <c r="I133" s="141" t="n"/>
      <c r="J133" s="141" t="n"/>
      <c r="K133" s="141" t="n"/>
      <c r="L133" s="141" t="n"/>
      <c r="M133" s="141" t="n"/>
      <c r="N133" s="141" t="n"/>
      <c r="O133" s="141" t="n"/>
      <c r="P133" s="141" t="n"/>
      <c r="Q133" s="141" t="n"/>
      <c r="R133" s="141" t="n"/>
      <c r="S133" s="141" t="n"/>
      <c r="T133" s="141" t="n"/>
      <c r="U133" s="141" t="n"/>
      <c r="V133" s="141" t="n"/>
      <c r="W133" s="141" t="n"/>
      <c r="X133" s="141" t="n"/>
      <c r="Y133" s="136" t="n"/>
      <c r="Z133" s="136" t="n"/>
      <c r="AA133" s="136" t="n"/>
      <c r="AB133" s="136" t="n"/>
      <c r="AC133" s="136" t="n"/>
      <c r="AD133" s="136" t="n"/>
      <c r="AE133" s="136" t="n"/>
      <c r="AF133" s="136" t="n"/>
      <c r="AG133" s="136" t="n"/>
      <c r="AH133" s="136" t="n"/>
      <c r="AI133" s="136" t="n"/>
      <c r="AJ133" s="136" t="n"/>
      <c r="AK133" s="136" t="n"/>
      <c r="AL133" s="136" t="n"/>
      <c r="AM133" s="136" t="n"/>
      <c r="AN133" s="136" t="n"/>
      <c r="AO133" s="136" t="n"/>
      <c r="AP133" s="136" t="n"/>
      <c r="AQ133" s="136" t="n"/>
      <c r="AR133" s="136" t="n"/>
    </row>
    <row r="134" ht="13.5" customHeight="1" s="196">
      <c r="A134" s="136" t="n"/>
      <c r="B134" s="136" t="n"/>
      <c r="C134" s="136" t="n"/>
      <c r="D134" s="141" t="n"/>
      <c r="E134" s="141" t="n"/>
      <c r="F134" s="141" t="n"/>
      <c r="G134" s="141" t="n"/>
      <c r="H134" s="141" t="n"/>
      <c r="I134" s="141" t="n"/>
      <c r="J134" s="141" t="n"/>
      <c r="K134" s="141" t="n"/>
      <c r="L134" s="141" t="n"/>
      <c r="M134" s="141" t="n"/>
      <c r="N134" s="141" t="n"/>
      <c r="O134" s="141" t="n"/>
      <c r="P134" s="141" t="n"/>
      <c r="Q134" s="141" t="n"/>
      <c r="R134" s="141" t="n"/>
      <c r="S134" s="141" t="n"/>
      <c r="T134" s="141" t="n"/>
      <c r="U134" s="141" t="n"/>
      <c r="V134" s="141" t="n"/>
      <c r="W134" s="141" t="n"/>
      <c r="X134" s="141" t="n"/>
      <c r="Y134" s="136" t="n"/>
      <c r="Z134" s="136" t="n"/>
      <c r="AA134" s="136" t="n"/>
      <c r="AB134" s="136" t="n"/>
      <c r="AC134" s="136" t="n"/>
      <c r="AD134" s="136" t="n"/>
      <c r="AE134" s="136" t="n"/>
      <c r="AF134" s="136" t="n"/>
      <c r="AG134" s="136" t="n"/>
      <c r="AH134" s="136" t="n"/>
      <c r="AI134" s="136" t="n"/>
      <c r="AJ134" s="136" t="n"/>
      <c r="AK134" s="136" t="n"/>
      <c r="AL134" s="136" t="n"/>
      <c r="AM134" s="136" t="n"/>
      <c r="AN134" s="136" t="n"/>
      <c r="AO134" s="136" t="n"/>
      <c r="AP134" s="136" t="n"/>
      <c r="AQ134" s="136" t="n"/>
      <c r="AR134" s="136" t="n"/>
    </row>
    <row r="135" ht="13.5" customHeight="1" s="196">
      <c r="A135" s="136" t="n"/>
      <c r="B135" s="136" t="n"/>
      <c r="C135" s="136" t="n"/>
      <c r="D135" s="141" t="n"/>
      <c r="E135" s="141" t="n"/>
      <c r="F135" s="141" t="n"/>
      <c r="G135" s="141" t="n"/>
      <c r="H135" s="141" t="n"/>
      <c r="I135" s="141" t="n"/>
      <c r="J135" s="141" t="n"/>
      <c r="K135" s="141" t="n"/>
      <c r="L135" s="141" t="n"/>
      <c r="M135" s="141" t="n"/>
      <c r="N135" s="141" t="n"/>
      <c r="O135" s="141" t="n"/>
      <c r="P135" s="141" t="n"/>
      <c r="Q135" s="141" t="n"/>
      <c r="R135" s="141" t="n"/>
      <c r="S135" s="141" t="n"/>
      <c r="T135" s="141" t="n"/>
      <c r="U135" s="141" t="n"/>
      <c r="V135" s="141" t="n"/>
      <c r="W135" s="141" t="n"/>
      <c r="X135" s="141" t="n"/>
      <c r="Y135" s="136" t="n"/>
      <c r="Z135" s="136" t="n"/>
      <c r="AA135" s="136" t="n"/>
      <c r="AB135" s="136" t="n"/>
      <c r="AC135" s="136" t="n"/>
      <c r="AD135" s="136" t="n"/>
      <c r="AE135" s="136" t="n"/>
      <c r="AF135" s="136" t="n"/>
      <c r="AG135" s="136" t="n"/>
      <c r="AH135" s="136" t="n"/>
      <c r="AI135" s="136" t="n"/>
      <c r="AJ135" s="136" t="n"/>
      <c r="AK135" s="136" t="n"/>
      <c r="AL135" s="136" t="n"/>
      <c r="AM135" s="136" t="n"/>
      <c r="AN135" s="136" t="n"/>
      <c r="AO135" s="136" t="n"/>
      <c r="AP135" s="136" t="n"/>
      <c r="AQ135" s="136" t="n"/>
      <c r="AR135" s="136" t="n"/>
    </row>
    <row r="136" ht="13.5" customHeight="1" s="196">
      <c r="A136" s="136" t="n"/>
      <c r="B136" s="136" t="n"/>
      <c r="C136" s="136" t="n"/>
      <c r="D136" s="141" t="n"/>
      <c r="E136" s="141" t="n"/>
      <c r="F136" s="141" t="n"/>
      <c r="G136" s="141" t="n"/>
      <c r="H136" s="141" t="n"/>
      <c r="I136" s="141" t="n"/>
      <c r="J136" s="141" t="n"/>
      <c r="K136" s="141" t="n"/>
      <c r="L136" s="141" t="n"/>
      <c r="M136" s="141" t="n"/>
      <c r="N136" s="141" t="n"/>
      <c r="O136" s="141" t="n"/>
      <c r="P136" s="141" t="n"/>
      <c r="Q136" s="141" t="n"/>
      <c r="R136" s="141" t="n"/>
      <c r="S136" s="141" t="n"/>
      <c r="T136" s="141" t="n"/>
      <c r="U136" s="141" t="n"/>
      <c r="V136" s="141" t="n"/>
      <c r="W136" s="141" t="n"/>
      <c r="X136" s="141" t="n"/>
      <c r="Y136" s="136" t="n"/>
      <c r="Z136" s="136" t="n"/>
      <c r="AA136" s="136" t="n"/>
      <c r="AB136" s="136" t="n"/>
      <c r="AC136" s="136" t="n"/>
      <c r="AD136" s="136" t="n"/>
      <c r="AE136" s="136" t="n"/>
      <c r="AF136" s="136" t="n"/>
      <c r="AG136" s="136" t="n"/>
      <c r="AH136" s="136" t="n"/>
      <c r="AI136" s="136" t="n"/>
      <c r="AJ136" s="136" t="n"/>
      <c r="AK136" s="136" t="n"/>
      <c r="AL136" s="136" t="n"/>
      <c r="AM136" s="136" t="n"/>
      <c r="AN136" s="136" t="n"/>
      <c r="AO136" s="136" t="n"/>
      <c r="AP136" s="136" t="n"/>
      <c r="AQ136" s="136" t="n"/>
      <c r="AR136" s="136" t="n"/>
    </row>
    <row r="137" ht="13.5" customHeight="1" s="196">
      <c r="A137" s="136" t="n"/>
      <c r="B137" s="136" t="n"/>
      <c r="C137" s="136" t="n"/>
      <c r="D137" s="141" t="n"/>
      <c r="E137" s="141" t="n"/>
      <c r="F137" s="141" t="n"/>
      <c r="G137" s="141" t="n"/>
      <c r="H137" s="141" t="n"/>
      <c r="I137" s="141" t="n"/>
      <c r="J137" s="141" t="n"/>
      <c r="K137" s="141" t="n"/>
      <c r="L137" s="141" t="n"/>
      <c r="M137" s="141" t="n"/>
      <c r="N137" s="141" t="n"/>
      <c r="O137" s="141" t="n"/>
      <c r="P137" s="141" t="n"/>
      <c r="Q137" s="141" t="n"/>
      <c r="R137" s="141" t="n"/>
      <c r="S137" s="141" t="n"/>
      <c r="T137" s="141" t="n"/>
      <c r="U137" s="141" t="n"/>
      <c r="V137" s="141" t="n"/>
      <c r="W137" s="141" t="n"/>
      <c r="X137" s="141" t="n"/>
      <c r="Y137" s="136" t="n"/>
      <c r="Z137" s="136" t="n"/>
      <c r="AA137" s="136" t="n"/>
      <c r="AB137" s="136" t="n"/>
      <c r="AC137" s="136" t="n"/>
      <c r="AD137" s="136" t="n"/>
      <c r="AE137" s="136" t="n"/>
      <c r="AF137" s="136" t="n"/>
      <c r="AG137" s="136" t="n"/>
      <c r="AH137" s="136" t="n"/>
      <c r="AI137" s="136" t="n"/>
      <c r="AJ137" s="136" t="n"/>
      <c r="AK137" s="136" t="n"/>
      <c r="AL137" s="136" t="n"/>
      <c r="AM137" s="136" t="n"/>
      <c r="AN137" s="136" t="n"/>
      <c r="AO137" s="136" t="n"/>
      <c r="AP137" s="136" t="n"/>
      <c r="AQ137" s="136" t="n"/>
      <c r="AR137" s="136" t="n"/>
    </row>
    <row r="138" ht="13.5" customHeight="1" s="196">
      <c r="A138" s="136" t="n"/>
      <c r="B138" s="136" t="n"/>
      <c r="C138" s="136" t="n"/>
      <c r="D138" s="141" t="n"/>
      <c r="E138" s="141" t="n"/>
      <c r="F138" s="141" t="n"/>
      <c r="G138" s="141" t="n"/>
      <c r="H138" s="141" t="n"/>
      <c r="I138" s="141" t="n"/>
      <c r="J138" s="141" t="n"/>
      <c r="K138" s="141" t="n"/>
      <c r="L138" s="141" t="n"/>
      <c r="M138" s="141" t="n"/>
      <c r="N138" s="141" t="n"/>
      <c r="O138" s="141" t="n"/>
      <c r="P138" s="141" t="n"/>
      <c r="Q138" s="141" t="n"/>
      <c r="R138" s="141" t="n"/>
      <c r="S138" s="141" t="n"/>
      <c r="T138" s="141" t="n"/>
      <c r="U138" s="141" t="n"/>
      <c r="V138" s="141" t="n"/>
      <c r="W138" s="141" t="n"/>
      <c r="X138" s="141" t="n"/>
      <c r="Y138" s="136" t="n"/>
      <c r="Z138" s="136" t="n"/>
      <c r="AA138" s="136" t="n"/>
      <c r="AB138" s="136" t="n"/>
      <c r="AC138" s="136" t="n"/>
      <c r="AD138" s="136" t="n"/>
      <c r="AE138" s="136" t="n"/>
      <c r="AF138" s="136" t="n"/>
      <c r="AG138" s="136" t="n"/>
      <c r="AH138" s="136" t="n"/>
      <c r="AI138" s="136" t="n"/>
      <c r="AJ138" s="136" t="n"/>
      <c r="AK138" s="136" t="n"/>
      <c r="AL138" s="136" t="n"/>
      <c r="AM138" s="136" t="n"/>
      <c r="AN138" s="136" t="n"/>
      <c r="AO138" s="136" t="n"/>
      <c r="AP138" s="136" t="n"/>
      <c r="AQ138" s="136" t="n"/>
      <c r="AR138" s="136" t="n"/>
    </row>
    <row r="139" ht="13.5" customHeight="1" s="196">
      <c r="A139" s="136" t="n"/>
      <c r="B139" s="136" t="n"/>
      <c r="C139" s="136" t="n"/>
      <c r="D139" s="141" t="n"/>
      <c r="E139" s="141" t="n"/>
      <c r="F139" s="141" t="n"/>
      <c r="G139" s="141" t="n"/>
      <c r="H139" s="141" t="n"/>
      <c r="I139" s="141" t="n"/>
      <c r="J139" s="141" t="n"/>
      <c r="K139" s="141" t="n"/>
      <c r="L139" s="141" t="n"/>
      <c r="M139" s="141" t="n"/>
      <c r="N139" s="141" t="n"/>
      <c r="O139" s="141" t="n"/>
      <c r="P139" s="141" t="n"/>
      <c r="Q139" s="141" t="n"/>
      <c r="R139" s="141" t="n"/>
      <c r="S139" s="141" t="n"/>
      <c r="T139" s="141" t="n"/>
      <c r="U139" s="141" t="n"/>
      <c r="V139" s="141" t="n"/>
      <c r="W139" s="141" t="n"/>
      <c r="X139" s="141" t="n"/>
      <c r="Y139" s="136" t="n"/>
      <c r="Z139" s="136" t="n"/>
      <c r="AA139" s="136" t="n"/>
      <c r="AB139" s="136" t="n"/>
      <c r="AC139" s="136" t="n"/>
      <c r="AD139" s="136" t="n"/>
      <c r="AE139" s="136" t="n"/>
      <c r="AF139" s="136" t="n"/>
      <c r="AG139" s="136" t="n"/>
      <c r="AH139" s="136" t="n"/>
      <c r="AI139" s="136" t="n"/>
      <c r="AJ139" s="136" t="n"/>
      <c r="AK139" s="136" t="n"/>
      <c r="AL139" s="136" t="n"/>
      <c r="AM139" s="136" t="n"/>
      <c r="AN139" s="136" t="n"/>
      <c r="AO139" s="136" t="n"/>
      <c r="AP139" s="136" t="n"/>
      <c r="AQ139" s="136" t="n"/>
      <c r="AR139" s="136" t="n"/>
    </row>
    <row r="140" ht="13.5" customHeight="1" s="196">
      <c r="A140" s="136" t="n"/>
      <c r="B140" s="136" t="n"/>
      <c r="C140" s="136" t="n"/>
      <c r="D140" s="141" t="n"/>
      <c r="E140" s="141" t="n"/>
      <c r="F140" s="141" t="n"/>
      <c r="G140" s="141" t="n"/>
      <c r="H140" s="141" t="n"/>
      <c r="I140" s="141" t="n"/>
      <c r="J140" s="141" t="n"/>
      <c r="K140" s="141" t="n"/>
      <c r="L140" s="141" t="n"/>
      <c r="M140" s="141" t="n"/>
      <c r="N140" s="141" t="n"/>
      <c r="O140" s="141" t="n"/>
      <c r="P140" s="141" t="n"/>
      <c r="Q140" s="141" t="n"/>
      <c r="R140" s="141" t="n"/>
      <c r="S140" s="141" t="n"/>
      <c r="T140" s="141" t="n"/>
      <c r="U140" s="141" t="n"/>
      <c r="V140" s="141" t="n"/>
      <c r="W140" s="141" t="n"/>
      <c r="X140" s="141" t="n"/>
      <c r="Y140" s="136" t="n"/>
      <c r="Z140" s="136" t="n"/>
      <c r="AA140" s="136" t="n"/>
      <c r="AB140" s="136" t="n"/>
      <c r="AC140" s="136" t="n"/>
      <c r="AD140" s="136" t="n"/>
      <c r="AE140" s="136" t="n"/>
      <c r="AF140" s="136" t="n"/>
      <c r="AG140" s="136" t="n"/>
      <c r="AH140" s="136" t="n"/>
      <c r="AI140" s="136" t="n"/>
      <c r="AJ140" s="136" t="n"/>
      <c r="AK140" s="136" t="n"/>
      <c r="AL140" s="136" t="n"/>
      <c r="AM140" s="136" t="n"/>
      <c r="AN140" s="136" t="n"/>
      <c r="AO140" s="136" t="n"/>
      <c r="AP140" s="136" t="n"/>
      <c r="AQ140" s="136" t="n"/>
      <c r="AR140" s="136" t="n"/>
    </row>
    <row r="141" ht="13.5" customHeight="1" s="196">
      <c r="A141" s="136" t="n"/>
      <c r="B141" s="136" t="n"/>
      <c r="C141" s="136" t="n"/>
      <c r="D141" s="141" t="n"/>
      <c r="E141" s="141" t="n"/>
      <c r="F141" s="141" t="n"/>
      <c r="G141" s="141" t="n"/>
      <c r="H141" s="141" t="n"/>
      <c r="I141" s="141" t="n"/>
      <c r="J141" s="141" t="n"/>
      <c r="K141" s="141" t="n"/>
      <c r="L141" s="141" t="n"/>
      <c r="M141" s="141" t="n"/>
      <c r="N141" s="141" t="n"/>
      <c r="O141" s="141" t="n"/>
      <c r="P141" s="141" t="n"/>
      <c r="Q141" s="141" t="n"/>
      <c r="R141" s="141" t="n"/>
      <c r="S141" s="141" t="n"/>
      <c r="T141" s="141" t="n"/>
      <c r="U141" s="141" t="n"/>
      <c r="V141" s="141" t="n"/>
      <c r="W141" s="141" t="n"/>
      <c r="X141" s="141" t="n"/>
      <c r="Y141" s="136" t="n"/>
      <c r="Z141" s="136" t="n"/>
      <c r="AA141" s="136" t="n"/>
      <c r="AB141" s="136" t="n"/>
      <c r="AC141" s="136" t="n"/>
      <c r="AD141" s="136" t="n"/>
      <c r="AE141" s="136" t="n"/>
      <c r="AF141" s="136" t="n"/>
      <c r="AG141" s="136" t="n"/>
      <c r="AH141" s="136" t="n"/>
      <c r="AI141" s="136" t="n"/>
      <c r="AJ141" s="136" t="n"/>
      <c r="AK141" s="136" t="n"/>
      <c r="AL141" s="136" t="n"/>
      <c r="AM141" s="136" t="n"/>
      <c r="AN141" s="136" t="n"/>
      <c r="AO141" s="136" t="n"/>
      <c r="AP141" s="136" t="n"/>
      <c r="AQ141" s="136" t="n"/>
      <c r="AR141" s="136" t="n"/>
    </row>
    <row r="142" ht="13.5" customHeight="1" s="196">
      <c r="A142" s="136" t="n"/>
      <c r="B142" s="136" t="n"/>
      <c r="C142" s="136" t="n"/>
      <c r="D142" s="141" t="n"/>
      <c r="E142" s="141" t="n"/>
      <c r="F142" s="141" t="n"/>
      <c r="G142" s="141" t="n"/>
      <c r="H142" s="141" t="n"/>
      <c r="I142" s="141" t="n"/>
      <c r="J142" s="141" t="n"/>
      <c r="K142" s="141" t="n"/>
      <c r="L142" s="141" t="n"/>
      <c r="M142" s="141" t="n"/>
      <c r="N142" s="141" t="n"/>
      <c r="O142" s="141" t="n"/>
      <c r="P142" s="141" t="n"/>
      <c r="Q142" s="141" t="n"/>
      <c r="R142" s="141" t="n"/>
      <c r="S142" s="141" t="n"/>
      <c r="T142" s="141" t="n"/>
      <c r="U142" s="141" t="n"/>
      <c r="V142" s="141" t="n"/>
      <c r="W142" s="141" t="n"/>
      <c r="X142" s="141" t="n"/>
      <c r="Y142" s="136" t="n"/>
      <c r="Z142" s="136" t="n"/>
      <c r="AA142" s="136" t="n"/>
      <c r="AB142" s="136" t="n"/>
      <c r="AC142" s="136" t="n"/>
      <c r="AD142" s="136" t="n"/>
      <c r="AE142" s="136" t="n"/>
      <c r="AF142" s="136" t="n"/>
      <c r="AG142" s="136" t="n"/>
      <c r="AH142" s="136" t="n"/>
      <c r="AI142" s="136" t="n"/>
      <c r="AJ142" s="136" t="n"/>
      <c r="AK142" s="136" t="n"/>
      <c r="AL142" s="136" t="n"/>
      <c r="AM142" s="136" t="n"/>
      <c r="AN142" s="136" t="n"/>
      <c r="AO142" s="136" t="n"/>
      <c r="AP142" s="136" t="n"/>
      <c r="AQ142" s="136" t="n"/>
      <c r="AR142" s="136" t="n"/>
    </row>
    <row r="143" ht="13.5" customHeight="1" s="196">
      <c r="A143" s="136" t="n"/>
      <c r="B143" s="136" t="n"/>
      <c r="C143" s="136" t="n"/>
      <c r="D143" s="141" t="n"/>
      <c r="E143" s="141" t="n"/>
      <c r="F143" s="141" t="n"/>
      <c r="G143" s="141" t="n"/>
      <c r="H143" s="141" t="n"/>
      <c r="I143" s="141" t="n"/>
      <c r="J143" s="141" t="n"/>
      <c r="K143" s="141" t="n"/>
      <c r="L143" s="141" t="n"/>
      <c r="M143" s="141" t="n"/>
      <c r="N143" s="141" t="n"/>
      <c r="O143" s="141" t="n"/>
      <c r="P143" s="141" t="n"/>
      <c r="Q143" s="141" t="n"/>
      <c r="R143" s="141" t="n"/>
      <c r="S143" s="141" t="n"/>
      <c r="T143" s="141" t="n"/>
      <c r="U143" s="141" t="n"/>
      <c r="V143" s="141" t="n"/>
      <c r="W143" s="141" t="n"/>
      <c r="X143" s="141" t="n"/>
      <c r="Y143" s="136" t="n"/>
      <c r="Z143" s="136" t="n"/>
      <c r="AA143" s="136" t="n"/>
      <c r="AB143" s="136" t="n"/>
      <c r="AC143" s="136" t="n"/>
      <c r="AD143" s="136" t="n"/>
      <c r="AE143" s="136" t="n"/>
      <c r="AF143" s="136" t="n"/>
      <c r="AG143" s="136" t="n"/>
      <c r="AH143" s="136" t="n"/>
      <c r="AI143" s="136" t="n"/>
      <c r="AJ143" s="136" t="n"/>
      <c r="AK143" s="136" t="n"/>
      <c r="AL143" s="136" t="n"/>
      <c r="AM143" s="136" t="n"/>
      <c r="AN143" s="136" t="n"/>
      <c r="AO143" s="136" t="n"/>
      <c r="AP143" s="136" t="n"/>
      <c r="AQ143" s="136" t="n"/>
      <c r="AR143" s="136" t="n"/>
    </row>
    <row r="144" ht="13.5" customHeight="1" s="196">
      <c r="A144" s="136" t="n"/>
      <c r="B144" s="136" t="n"/>
      <c r="C144" s="136" t="n"/>
      <c r="D144" s="141" t="n"/>
      <c r="E144" s="141" t="n"/>
      <c r="F144" s="141" t="n"/>
      <c r="G144" s="141" t="n"/>
      <c r="H144" s="141" t="n"/>
      <c r="I144" s="141" t="n"/>
      <c r="J144" s="141" t="n"/>
      <c r="K144" s="141" t="n"/>
      <c r="L144" s="141" t="n"/>
      <c r="M144" s="141" t="n"/>
      <c r="N144" s="141" t="n"/>
      <c r="O144" s="141" t="n"/>
      <c r="P144" s="141" t="n"/>
      <c r="Q144" s="141" t="n"/>
      <c r="R144" s="141" t="n"/>
      <c r="S144" s="141" t="n"/>
      <c r="T144" s="141" t="n"/>
      <c r="U144" s="141" t="n"/>
      <c r="V144" s="141" t="n"/>
      <c r="W144" s="141" t="n"/>
      <c r="X144" s="141" t="n"/>
      <c r="Y144" s="136" t="n"/>
      <c r="Z144" s="136" t="n"/>
      <c r="AA144" s="136" t="n"/>
      <c r="AB144" s="136" t="n"/>
      <c r="AC144" s="136" t="n"/>
      <c r="AD144" s="136" t="n"/>
      <c r="AE144" s="136" t="n"/>
      <c r="AF144" s="136" t="n"/>
      <c r="AG144" s="136" t="n"/>
      <c r="AH144" s="136" t="n"/>
      <c r="AI144" s="136" t="n"/>
      <c r="AJ144" s="136" t="n"/>
      <c r="AK144" s="136" t="n"/>
      <c r="AL144" s="136" t="n"/>
      <c r="AM144" s="136" t="n"/>
      <c r="AN144" s="136" t="n"/>
      <c r="AO144" s="136" t="n"/>
      <c r="AP144" s="136" t="n"/>
      <c r="AQ144" s="136" t="n"/>
      <c r="AR144" s="136" t="n"/>
    </row>
    <row r="145" ht="13.5" customHeight="1" s="196">
      <c r="A145" s="136" t="n"/>
      <c r="B145" s="136" t="n"/>
      <c r="C145" s="136" t="n"/>
      <c r="D145" s="141" t="n"/>
      <c r="E145" s="141" t="n"/>
      <c r="F145" s="141" t="n"/>
      <c r="G145" s="141" t="n"/>
      <c r="H145" s="141" t="n"/>
      <c r="I145" s="141" t="n"/>
      <c r="J145" s="141" t="n"/>
      <c r="K145" s="141" t="n"/>
      <c r="L145" s="141" t="n"/>
      <c r="M145" s="141" t="n"/>
      <c r="N145" s="141" t="n"/>
      <c r="O145" s="141" t="n"/>
      <c r="P145" s="141" t="n"/>
      <c r="Q145" s="141" t="n"/>
      <c r="R145" s="141" t="n"/>
      <c r="S145" s="141" t="n"/>
      <c r="T145" s="141" t="n"/>
      <c r="U145" s="141" t="n"/>
      <c r="V145" s="141" t="n"/>
      <c r="W145" s="141" t="n"/>
      <c r="X145" s="141" t="n"/>
      <c r="Y145" s="136" t="n"/>
      <c r="Z145" s="136" t="n"/>
      <c r="AA145" s="136" t="n"/>
      <c r="AB145" s="136" t="n"/>
      <c r="AC145" s="136" t="n"/>
      <c r="AD145" s="136" t="n"/>
      <c r="AE145" s="136" t="n"/>
      <c r="AF145" s="136" t="n"/>
      <c r="AG145" s="136" t="n"/>
      <c r="AH145" s="136" t="n"/>
      <c r="AI145" s="136" t="n"/>
      <c r="AJ145" s="136" t="n"/>
      <c r="AK145" s="136" t="n"/>
      <c r="AL145" s="136" t="n"/>
      <c r="AM145" s="136" t="n"/>
      <c r="AN145" s="136" t="n"/>
      <c r="AO145" s="136" t="n"/>
      <c r="AP145" s="136" t="n"/>
      <c r="AQ145" s="136" t="n"/>
      <c r="AR145" s="136" t="n"/>
    </row>
    <row r="146" ht="13.5" customHeight="1" s="196">
      <c r="A146" s="136" t="n"/>
      <c r="B146" s="136" t="n"/>
      <c r="C146" s="136" t="n"/>
      <c r="D146" s="141" t="n"/>
      <c r="E146" s="141" t="n"/>
      <c r="F146" s="141" t="n"/>
      <c r="G146" s="141" t="n"/>
      <c r="H146" s="141" t="n"/>
      <c r="I146" s="141" t="n"/>
      <c r="J146" s="141" t="n"/>
      <c r="K146" s="141" t="n"/>
      <c r="L146" s="141" t="n"/>
      <c r="M146" s="141" t="n"/>
      <c r="N146" s="141" t="n"/>
      <c r="O146" s="141" t="n"/>
      <c r="P146" s="141" t="n"/>
      <c r="Q146" s="141" t="n"/>
      <c r="R146" s="141" t="n"/>
      <c r="S146" s="141" t="n"/>
      <c r="T146" s="141" t="n"/>
      <c r="U146" s="141" t="n"/>
      <c r="V146" s="141" t="n"/>
      <c r="W146" s="141" t="n"/>
      <c r="X146" s="141" t="n"/>
      <c r="Y146" s="136" t="n"/>
      <c r="Z146" s="136" t="n"/>
      <c r="AA146" s="136" t="n"/>
      <c r="AB146" s="136" t="n"/>
      <c r="AC146" s="136" t="n"/>
      <c r="AD146" s="136" t="n"/>
      <c r="AE146" s="136" t="n"/>
      <c r="AF146" s="136" t="n"/>
      <c r="AG146" s="136" t="n"/>
      <c r="AH146" s="136" t="n"/>
      <c r="AI146" s="136" t="n"/>
      <c r="AJ146" s="136" t="n"/>
      <c r="AK146" s="136" t="n"/>
      <c r="AL146" s="136" t="n"/>
      <c r="AM146" s="136" t="n"/>
      <c r="AN146" s="136" t="n"/>
      <c r="AO146" s="136" t="n"/>
      <c r="AP146" s="136" t="n"/>
      <c r="AQ146" s="136" t="n"/>
      <c r="AR146" s="136" t="n"/>
    </row>
    <row r="147" ht="13.5" customHeight="1" s="196">
      <c r="A147" s="136" t="n"/>
      <c r="B147" s="136" t="n"/>
      <c r="C147" s="136" t="n"/>
      <c r="D147" s="141" t="n"/>
      <c r="E147" s="141" t="n"/>
      <c r="F147" s="141" t="n"/>
      <c r="G147" s="141" t="n"/>
      <c r="H147" s="141" t="n"/>
      <c r="I147" s="141" t="n"/>
      <c r="J147" s="141" t="n"/>
      <c r="K147" s="141" t="n"/>
      <c r="L147" s="141" t="n"/>
      <c r="M147" s="141" t="n"/>
      <c r="N147" s="141" t="n"/>
      <c r="O147" s="141" t="n"/>
      <c r="P147" s="141" t="n"/>
      <c r="Q147" s="141" t="n"/>
      <c r="R147" s="141" t="n"/>
      <c r="S147" s="141" t="n"/>
      <c r="T147" s="141" t="n"/>
      <c r="U147" s="141" t="n"/>
      <c r="V147" s="141" t="n"/>
      <c r="W147" s="141" t="n"/>
      <c r="X147" s="141" t="n"/>
      <c r="Y147" s="136" t="n"/>
      <c r="Z147" s="136" t="n"/>
      <c r="AA147" s="136" t="n"/>
      <c r="AB147" s="136" t="n"/>
      <c r="AC147" s="136" t="n"/>
      <c r="AD147" s="136" t="n"/>
      <c r="AE147" s="136" t="n"/>
      <c r="AF147" s="136" t="n"/>
      <c r="AG147" s="136" t="n"/>
      <c r="AH147" s="136" t="n"/>
      <c r="AI147" s="136" t="n"/>
      <c r="AJ147" s="136" t="n"/>
      <c r="AK147" s="136" t="n"/>
      <c r="AL147" s="136" t="n"/>
      <c r="AM147" s="136" t="n"/>
      <c r="AN147" s="136" t="n"/>
      <c r="AO147" s="136" t="n"/>
      <c r="AP147" s="136" t="n"/>
      <c r="AQ147" s="136" t="n"/>
      <c r="AR147" s="136" t="n"/>
    </row>
    <row r="148" ht="13.5" customHeight="1" s="196">
      <c r="A148" s="136" t="n"/>
      <c r="B148" s="136" t="n"/>
      <c r="C148" s="136" t="n"/>
      <c r="D148" s="141" t="n"/>
      <c r="E148" s="141" t="n"/>
      <c r="F148" s="141" t="n"/>
      <c r="G148" s="141" t="n"/>
      <c r="H148" s="141" t="n"/>
      <c r="I148" s="141" t="n"/>
      <c r="J148" s="141" t="n"/>
      <c r="K148" s="141" t="n"/>
      <c r="L148" s="141" t="n"/>
      <c r="M148" s="141" t="n"/>
      <c r="N148" s="141" t="n"/>
      <c r="O148" s="141" t="n"/>
      <c r="P148" s="141" t="n"/>
      <c r="Q148" s="141" t="n"/>
      <c r="R148" s="141" t="n"/>
      <c r="S148" s="141" t="n"/>
      <c r="T148" s="141" t="n"/>
      <c r="U148" s="141" t="n"/>
      <c r="V148" s="141" t="n"/>
      <c r="W148" s="141" t="n"/>
      <c r="X148" s="141" t="n"/>
      <c r="Y148" s="136" t="n"/>
      <c r="Z148" s="136" t="n"/>
      <c r="AA148" s="136" t="n"/>
      <c r="AB148" s="136" t="n"/>
      <c r="AC148" s="136" t="n"/>
      <c r="AD148" s="136" t="n"/>
      <c r="AE148" s="136" t="n"/>
      <c r="AF148" s="136" t="n"/>
      <c r="AG148" s="136" t="n"/>
      <c r="AH148" s="136" t="n"/>
      <c r="AI148" s="136" t="n"/>
      <c r="AJ148" s="136" t="n"/>
      <c r="AK148" s="136" t="n"/>
      <c r="AL148" s="136" t="n"/>
      <c r="AM148" s="136" t="n"/>
      <c r="AN148" s="136" t="n"/>
      <c r="AO148" s="136" t="n"/>
      <c r="AP148" s="136" t="n"/>
      <c r="AQ148" s="136" t="n"/>
      <c r="AR148" s="136" t="n"/>
    </row>
    <row r="149" ht="13.5" customHeight="1" s="196">
      <c r="A149" s="136" t="n"/>
      <c r="B149" s="136" t="n"/>
      <c r="C149" s="136" t="n"/>
      <c r="D149" s="141" t="n"/>
      <c r="E149" s="141" t="n"/>
      <c r="F149" s="141" t="n"/>
      <c r="G149" s="141" t="n"/>
      <c r="H149" s="141" t="n"/>
      <c r="I149" s="141" t="n"/>
      <c r="J149" s="141" t="n"/>
      <c r="K149" s="141" t="n"/>
      <c r="L149" s="141" t="n"/>
      <c r="M149" s="141" t="n"/>
      <c r="N149" s="141" t="n"/>
      <c r="O149" s="141" t="n"/>
      <c r="P149" s="141" t="n"/>
      <c r="Q149" s="141" t="n"/>
      <c r="R149" s="141" t="n"/>
      <c r="S149" s="141" t="n"/>
      <c r="T149" s="141" t="n"/>
      <c r="U149" s="141" t="n"/>
      <c r="V149" s="141" t="n"/>
      <c r="W149" s="141" t="n"/>
      <c r="X149" s="141" t="n"/>
      <c r="Y149" s="136" t="n"/>
      <c r="Z149" s="136" t="n"/>
      <c r="AA149" s="136" t="n"/>
      <c r="AB149" s="136" t="n"/>
      <c r="AC149" s="136" t="n"/>
      <c r="AD149" s="136" t="n"/>
      <c r="AE149" s="136" t="n"/>
      <c r="AF149" s="136" t="n"/>
      <c r="AG149" s="136" t="n"/>
      <c r="AH149" s="136" t="n"/>
      <c r="AI149" s="136" t="n"/>
      <c r="AJ149" s="136" t="n"/>
      <c r="AK149" s="136" t="n"/>
      <c r="AL149" s="136" t="n"/>
      <c r="AM149" s="136" t="n"/>
      <c r="AN149" s="136" t="n"/>
      <c r="AO149" s="136" t="n"/>
      <c r="AP149" s="136" t="n"/>
      <c r="AQ149" s="136" t="n"/>
      <c r="AR149" s="136" t="n"/>
    </row>
    <row r="150" ht="13.5" customHeight="1" s="196">
      <c r="A150" s="136" t="n"/>
      <c r="B150" s="136" t="n"/>
      <c r="C150" s="136" t="n"/>
      <c r="D150" s="141" t="n"/>
      <c r="E150" s="141" t="n"/>
      <c r="F150" s="141" t="n"/>
      <c r="G150" s="141" t="n"/>
      <c r="H150" s="141" t="n"/>
      <c r="I150" s="141" t="n"/>
      <c r="J150" s="141" t="n"/>
      <c r="K150" s="141" t="n"/>
      <c r="L150" s="141" t="n"/>
      <c r="M150" s="141" t="n"/>
      <c r="N150" s="141" t="n"/>
      <c r="O150" s="141" t="n"/>
      <c r="P150" s="141" t="n"/>
      <c r="Q150" s="141" t="n"/>
      <c r="R150" s="141" t="n"/>
      <c r="S150" s="141" t="n"/>
      <c r="T150" s="141" t="n"/>
      <c r="U150" s="141" t="n"/>
      <c r="V150" s="141" t="n"/>
      <c r="W150" s="141" t="n"/>
      <c r="X150" s="141" t="n"/>
      <c r="Y150" s="136" t="n"/>
      <c r="Z150" s="136" t="n"/>
      <c r="AA150" s="136" t="n"/>
      <c r="AB150" s="136" t="n"/>
      <c r="AC150" s="136" t="n"/>
      <c r="AD150" s="136" t="n"/>
      <c r="AE150" s="136" t="n"/>
      <c r="AF150" s="136" t="n"/>
      <c r="AG150" s="136" t="n"/>
      <c r="AH150" s="136" t="n"/>
      <c r="AI150" s="136" t="n"/>
      <c r="AJ150" s="136" t="n"/>
      <c r="AK150" s="136" t="n"/>
      <c r="AL150" s="136" t="n"/>
      <c r="AM150" s="136" t="n"/>
      <c r="AN150" s="136" t="n"/>
      <c r="AO150" s="136" t="n"/>
      <c r="AP150" s="136" t="n"/>
      <c r="AQ150" s="136" t="n"/>
      <c r="AR150" s="136" t="n"/>
    </row>
    <row r="151" ht="13.5" customHeight="1" s="196">
      <c r="A151" s="136" t="n"/>
      <c r="B151" s="136" t="n"/>
      <c r="C151" s="136" t="n"/>
      <c r="D151" s="141" t="n"/>
      <c r="E151" s="141" t="n"/>
      <c r="F151" s="141" t="n"/>
      <c r="G151" s="141" t="n"/>
      <c r="H151" s="141" t="n"/>
      <c r="I151" s="141" t="n"/>
      <c r="J151" s="141" t="n"/>
      <c r="K151" s="141" t="n"/>
      <c r="L151" s="141" t="n"/>
      <c r="M151" s="141" t="n"/>
      <c r="N151" s="141" t="n"/>
      <c r="O151" s="141" t="n"/>
      <c r="P151" s="141" t="n"/>
      <c r="Q151" s="141" t="n"/>
      <c r="R151" s="141" t="n"/>
      <c r="S151" s="141" t="n"/>
      <c r="T151" s="141" t="n"/>
      <c r="U151" s="141" t="n"/>
      <c r="V151" s="141" t="n"/>
      <c r="W151" s="141" t="n"/>
      <c r="X151" s="141" t="n"/>
      <c r="Y151" s="136" t="n"/>
      <c r="Z151" s="136" t="n"/>
      <c r="AA151" s="136" t="n"/>
      <c r="AB151" s="136" t="n"/>
      <c r="AC151" s="136" t="n"/>
      <c r="AD151" s="136" t="n"/>
      <c r="AE151" s="136" t="n"/>
      <c r="AF151" s="136" t="n"/>
      <c r="AG151" s="136" t="n"/>
      <c r="AH151" s="136" t="n"/>
      <c r="AI151" s="136" t="n"/>
      <c r="AJ151" s="136" t="n"/>
      <c r="AK151" s="136" t="n"/>
      <c r="AL151" s="136" t="n"/>
      <c r="AM151" s="136" t="n"/>
      <c r="AN151" s="136" t="n"/>
      <c r="AO151" s="136" t="n"/>
      <c r="AP151" s="136" t="n"/>
      <c r="AQ151" s="136" t="n"/>
      <c r="AR151" s="136" t="n"/>
    </row>
    <row r="152" ht="13.5" customHeight="1" s="196">
      <c r="A152" s="136" t="n"/>
      <c r="B152" s="136" t="n"/>
      <c r="C152" s="136" t="n"/>
      <c r="D152" s="141" t="n"/>
      <c r="E152" s="141" t="n"/>
      <c r="F152" s="141" t="n"/>
      <c r="G152" s="141" t="n"/>
      <c r="H152" s="141" t="n"/>
      <c r="I152" s="141" t="n"/>
      <c r="J152" s="141" t="n"/>
      <c r="K152" s="141" t="n"/>
      <c r="L152" s="141" t="n"/>
      <c r="M152" s="141" t="n"/>
      <c r="N152" s="141" t="n"/>
      <c r="O152" s="141" t="n"/>
      <c r="P152" s="141" t="n"/>
      <c r="Q152" s="141" t="n"/>
      <c r="R152" s="141" t="n"/>
      <c r="S152" s="141" t="n"/>
      <c r="T152" s="141" t="n"/>
      <c r="U152" s="141" t="n"/>
      <c r="V152" s="141" t="n"/>
      <c r="W152" s="141" t="n"/>
      <c r="X152" s="141" t="n"/>
      <c r="Y152" s="136" t="n"/>
      <c r="Z152" s="136" t="n"/>
      <c r="AA152" s="136" t="n"/>
      <c r="AB152" s="136" t="n"/>
      <c r="AC152" s="136" t="n"/>
      <c r="AD152" s="136" t="n"/>
      <c r="AE152" s="136" t="n"/>
      <c r="AF152" s="136" t="n"/>
      <c r="AG152" s="136" t="n"/>
      <c r="AH152" s="136" t="n"/>
      <c r="AI152" s="136" t="n"/>
      <c r="AJ152" s="136" t="n"/>
      <c r="AK152" s="136" t="n"/>
      <c r="AL152" s="136" t="n"/>
      <c r="AM152" s="136" t="n"/>
      <c r="AN152" s="136" t="n"/>
      <c r="AO152" s="136" t="n"/>
      <c r="AP152" s="136" t="n"/>
      <c r="AQ152" s="136" t="n"/>
      <c r="AR152" s="136" t="n"/>
    </row>
    <row r="153" ht="13.5" customHeight="1" s="196">
      <c r="A153" s="136" t="n"/>
      <c r="B153" s="136" t="n"/>
      <c r="C153" s="136" t="n"/>
      <c r="D153" s="141" t="n"/>
      <c r="E153" s="141" t="n"/>
      <c r="F153" s="141" t="n"/>
      <c r="G153" s="141" t="n"/>
      <c r="H153" s="141" t="n"/>
      <c r="I153" s="141" t="n"/>
      <c r="J153" s="141" t="n"/>
      <c r="K153" s="141" t="n"/>
      <c r="L153" s="141" t="n"/>
      <c r="M153" s="141" t="n"/>
      <c r="N153" s="141" t="n"/>
      <c r="O153" s="141" t="n"/>
      <c r="P153" s="141" t="n"/>
      <c r="Q153" s="141" t="n"/>
      <c r="R153" s="141" t="n"/>
      <c r="S153" s="141" t="n"/>
      <c r="T153" s="141" t="n"/>
      <c r="U153" s="141" t="n"/>
      <c r="V153" s="141" t="n"/>
      <c r="W153" s="141" t="n"/>
      <c r="X153" s="141" t="n"/>
      <c r="Y153" s="136" t="n"/>
      <c r="Z153" s="136" t="n"/>
      <c r="AA153" s="136" t="n"/>
      <c r="AB153" s="136" t="n"/>
      <c r="AC153" s="136" t="n"/>
      <c r="AD153" s="136" t="n"/>
      <c r="AE153" s="136" t="n"/>
      <c r="AF153" s="136" t="n"/>
      <c r="AG153" s="136" t="n"/>
      <c r="AH153" s="136" t="n"/>
      <c r="AI153" s="136" t="n"/>
      <c r="AJ153" s="136" t="n"/>
      <c r="AK153" s="136" t="n"/>
      <c r="AL153" s="136" t="n"/>
      <c r="AM153" s="136" t="n"/>
      <c r="AN153" s="136" t="n"/>
      <c r="AO153" s="136" t="n"/>
      <c r="AP153" s="136" t="n"/>
      <c r="AQ153" s="136" t="n"/>
      <c r="AR153" s="136" t="n"/>
    </row>
    <row r="154" ht="13.5" customHeight="1" s="196">
      <c r="A154" s="136" t="n"/>
      <c r="B154" s="136" t="n"/>
      <c r="C154" s="136" t="n"/>
      <c r="D154" s="141" t="n"/>
      <c r="E154" s="141" t="n"/>
      <c r="F154" s="141" t="n"/>
      <c r="G154" s="141" t="n"/>
      <c r="H154" s="141" t="n"/>
      <c r="I154" s="141" t="n"/>
      <c r="J154" s="141" t="n"/>
      <c r="K154" s="141" t="n"/>
      <c r="L154" s="141" t="n"/>
      <c r="M154" s="141" t="n"/>
      <c r="N154" s="141" t="n"/>
      <c r="O154" s="141" t="n"/>
      <c r="P154" s="141" t="n"/>
      <c r="Q154" s="141" t="n"/>
      <c r="R154" s="141" t="n"/>
      <c r="S154" s="141" t="n"/>
      <c r="T154" s="141" t="n"/>
      <c r="U154" s="141" t="n"/>
      <c r="V154" s="141" t="n"/>
      <c r="W154" s="141" t="n"/>
      <c r="X154" s="141" t="n"/>
      <c r="Y154" s="136" t="n"/>
      <c r="Z154" s="136" t="n"/>
      <c r="AA154" s="136" t="n"/>
      <c r="AB154" s="136" t="n"/>
      <c r="AC154" s="136" t="n"/>
      <c r="AD154" s="136" t="n"/>
      <c r="AE154" s="136" t="n"/>
      <c r="AF154" s="136" t="n"/>
      <c r="AG154" s="136" t="n"/>
      <c r="AH154" s="136" t="n"/>
      <c r="AI154" s="136" t="n"/>
      <c r="AJ154" s="136" t="n"/>
      <c r="AK154" s="136" t="n"/>
      <c r="AL154" s="136" t="n"/>
      <c r="AM154" s="136" t="n"/>
      <c r="AN154" s="136" t="n"/>
      <c r="AO154" s="136" t="n"/>
      <c r="AP154" s="136" t="n"/>
      <c r="AQ154" s="136" t="n"/>
      <c r="AR154" s="136" t="n"/>
    </row>
    <row r="155" ht="13.5" customHeight="1" s="196">
      <c r="A155" s="136" t="n"/>
      <c r="B155" s="136" t="n"/>
      <c r="C155" s="136" t="n"/>
      <c r="D155" s="141" t="n"/>
      <c r="E155" s="141" t="n"/>
      <c r="F155" s="141" t="n"/>
      <c r="G155" s="141" t="n"/>
      <c r="H155" s="141" t="n"/>
      <c r="I155" s="141" t="n"/>
      <c r="J155" s="141" t="n"/>
      <c r="K155" s="141" t="n"/>
      <c r="L155" s="141" t="n"/>
      <c r="M155" s="141" t="n"/>
      <c r="N155" s="141" t="n"/>
      <c r="O155" s="141" t="n"/>
      <c r="P155" s="141" t="n"/>
      <c r="Q155" s="141" t="n"/>
      <c r="R155" s="141" t="n"/>
      <c r="S155" s="141" t="n"/>
      <c r="T155" s="141" t="n"/>
      <c r="U155" s="141" t="n"/>
      <c r="V155" s="141" t="n"/>
      <c r="W155" s="141" t="n"/>
      <c r="X155" s="141" t="n"/>
      <c r="Y155" s="136" t="n"/>
      <c r="Z155" s="136" t="n"/>
      <c r="AA155" s="136" t="n"/>
      <c r="AB155" s="136" t="n"/>
      <c r="AC155" s="136" t="n"/>
      <c r="AD155" s="136" t="n"/>
      <c r="AE155" s="136" t="n"/>
      <c r="AF155" s="136" t="n"/>
      <c r="AG155" s="136" t="n"/>
      <c r="AH155" s="136" t="n"/>
      <c r="AI155" s="136" t="n"/>
      <c r="AJ155" s="136" t="n"/>
      <c r="AK155" s="136" t="n"/>
      <c r="AL155" s="136" t="n"/>
      <c r="AM155" s="136" t="n"/>
      <c r="AN155" s="136" t="n"/>
      <c r="AO155" s="136" t="n"/>
      <c r="AP155" s="136" t="n"/>
      <c r="AQ155" s="136" t="n"/>
      <c r="AR155" s="136" t="n"/>
    </row>
    <row r="156" ht="13.5" customHeight="1" s="196">
      <c r="A156" s="136" t="n"/>
      <c r="B156" s="136" t="n"/>
      <c r="C156" s="136" t="n"/>
      <c r="D156" s="141" t="n"/>
      <c r="E156" s="141" t="n"/>
      <c r="F156" s="141" t="n"/>
      <c r="G156" s="141" t="n"/>
      <c r="H156" s="141" t="n"/>
      <c r="I156" s="141" t="n"/>
      <c r="J156" s="141" t="n"/>
      <c r="K156" s="141" t="n"/>
      <c r="L156" s="141" t="n"/>
      <c r="M156" s="141" t="n"/>
      <c r="N156" s="141" t="n"/>
      <c r="O156" s="141" t="n"/>
      <c r="P156" s="141" t="n"/>
      <c r="Q156" s="141" t="n"/>
      <c r="R156" s="141" t="n"/>
      <c r="S156" s="141" t="n"/>
      <c r="T156" s="141" t="n"/>
      <c r="U156" s="141" t="n"/>
      <c r="V156" s="141" t="n"/>
      <c r="W156" s="141" t="n"/>
      <c r="X156" s="141" t="n"/>
      <c r="Y156" s="136" t="n"/>
      <c r="Z156" s="136" t="n"/>
      <c r="AA156" s="136" t="n"/>
      <c r="AB156" s="136" t="n"/>
      <c r="AC156" s="136" t="n"/>
      <c r="AD156" s="136" t="n"/>
      <c r="AE156" s="136" t="n"/>
      <c r="AF156" s="136" t="n"/>
      <c r="AG156" s="136" t="n"/>
      <c r="AH156" s="136" t="n"/>
      <c r="AI156" s="136" t="n"/>
      <c r="AJ156" s="136" t="n"/>
      <c r="AK156" s="136" t="n"/>
      <c r="AL156" s="136" t="n"/>
      <c r="AM156" s="136" t="n"/>
      <c r="AN156" s="136" t="n"/>
      <c r="AO156" s="136" t="n"/>
      <c r="AP156" s="136" t="n"/>
      <c r="AQ156" s="136" t="n"/>
      <c r="AR156" s="136" t="n"/>
    </row>
    <row r="157" ht="13.5" customHeight="1" s="196">
      <c r="A157" s="136" t="n"/>
      <c r="B157" s="136" t="n"/>
      <c r="C157" s="136" t="n"/>
      <c r="D157" s="141" t="n"/>
      <c r="E157" s="141" t="n"/>
      <c r="F157" s="141" t="n"/>
      <c r="G157" s="141" t="n"/>
      <c r="H157" s="141" t="n"/>
      <c r="I157" s="141" t="n"/>
      <c r="J157" s="141" t="n"/>
      <c r="K157" s="141" t="n"/>
      <c r="L157" s="141" t="n"/>
      <c r="M157" s="141" t="n"/>
      <c r="N157" s="141" t="n"/>
      <c r="O157" s="141" t="n"/>
      <c r="P157" s="141" t="n"/>
      <c r="Q157" s="141" t="n"/>
      <c r="R157" s="141" t="n"/>
      <c r="S157" s="141" t="n"/>
      <c r="T157" s="141" t="n"/>
      <c r="U157" s="141" t="n"/>
      <c r="V157" s="141" t="n"/>
      <c r="W157" s="141" t="n"/>
      <c r="X157" s="141" t="n"/>
      <c r="Y157" s="136" t="n"/>
      <c r="Z157" s="136" t="n"/>
      <c r="AA157" s="136" t="n"/>
      <c r="AB157" s="136" t="n"/>
      <c r="AC157" s="136" t="n"/>
      <c r="AD157" s="136" t="n"/>
      <c r="AE157" s="136" t="n"/>
      <c r="AF157" s="136" t="n"/>
      <c r="AG157" s="136" t="n"/>
      <c r="AH157" s="136" t="n"/>
      <c r="AI157" s="136" t="n"/>
      <c r="AJ157" s="136" t="n"/>
      <c r="AK157" s="136" t="n"/>
      <c r="AL157" s="136" t="n"/>
      <c r="AM157" s="136" t="n"/>
      <c r="AN157" s="136" t="n"/>
      <c r="AO157" s="136" t="n"/>
      <c r="AP157" s="136" t="n"/>
      <c r="AQ157" s="136" t="n"/>
      <c r="AR157" s="136" t="n"/>
    </row>
    <row r="158" ht="13.5" customHeight="1" s="196">
      <c r="A158" s="136" t="n"/>
      <c r="B158" s="136" t="n"/>
      <c r="C158" s="136" t="n"/>
      <c r="D158" s="141" t="n"/>
      <c r="E158" s="141" t="n"/>
      <c r="F158" s="141" t="n"/>
      <c r="G158" s="141" t="n"/>
      <c r="H158" s="141" t="n"/>
      <c r="I158" s="141" t="n"/>
      <c r="J158" s="141" t="n"/>
      <c r="K158" s="141" t="n"/>
      <c r="L158" s="141" t="n"/>
      <c r="M158" s="141" t="n"/>
      <c r="N158" s="141" t="n"/>
      <c r="O158" s="141" t="n"/>
      <c r="P158" s="141" t="n"/>
      <c r="Q158" s="141" t="n"/>
      <c r="R158" s="141" t="n"/>
      <c r="S158" s="141" t="n"/>
      <c r="T158" s="141" t="n"/>
      <c r="U158" s="141" t="n"/>
      <c r="V158" s="141" t="n"/>
      <c r="W158" s="141" t="n"/>
      <c r="X158" s="141" t="n"/>
      <c r="Y158" s="136" t="n"/>
      <c r="Z158" s="136" t="n"/>
      <c r="AA158" s="136" t="n"/>
      <c r="AB158" s="136" t="n"/>
      <c r="AC158" s="136" t="n"/>
      <c r="AD158" s="136" t="n"/>
      <c r="AE158" s="136" t="n"/>
      <c r="AF158" s="136" t="n"/>
      <c r="AG158" s="136" t="n"/>
      <c r="AH158" s="136" t="n"/>
      <c r="AI158" s="136" t="n"/>
      <c r="AJ158" s="136" t="n"/>
      <c r="AK158" s="136" t="n"/>
      <c r="AL158" s="136" t="n"/>
      <c r="AM158" s="136" t="n"/>
      <c r="AN158" s="136" t="n"/>
      <c r="AO158" s="136" t="n"/>
      <c r="AP158" s="136" t="n"/>
      <c r="AQ158" s="136" t="n"/>
      <c r="AR158" s="136" t="n"/>
    </row>
    <row r="159" ht="13.5" customHeight="1" s="196">
      <c r="A159" s="136" t="n"/>
      <c r="B159" s="136" t="n"/>
      <c r="C159" s="136" t="n"/>
      <c r="D159" s="141" t="n"/>
      <c r="E159" s="141" t="n"/>
      <c r="F159" s="141" t="n"/>
      <c r="G159" s="141" t="n"/>
      <c r="H159" s="141" t="n"/>
      <c r="I159" s="141" t="n"/>
      <c r="J159" s="141" t="n"/>
      <c r="K159" s="141" t="n"/>
      <c r="L159" s="141" t="n"/>
      <c r="M159" s="141" t="n"/>
      <c r="N159" s="141" t="n"/>
      <c r="O159" s="141" t="n"/>
      <c r="P159" s="141" t="n"/>
      <c r="Q159" s="141" t="n"/>
      <c r="R159" s="141" t="n"/>
      <c r="S159" s="141" t="n"/>
      <c r="T159" s="141" t="n"/>
      <c r="U159" s="141" t="n"/>
      <c r="V159" s="141" t="n"/>
      <c r="W159" s="141" t="n"/>
      <c r="X159" s="141" t="n"/>
      <c r="Y159" s="136" t="n"/>
      <c r="Z159" s="136" t="n"/>
      <c r="AA159" s="136" t="n"/>
      <c r="AB159" s="136" t="n"/>
      <c r="AC159" s="136" t="n"/>
      <c r="AD159" s="136" t="n"/>
      <c r="AE159" s="136" t="n"/>
      <c r="AF159" s="136" t="n"/>
      <c r="AG159" s="136" t="n"/>
      <c r="AH159" s="136" t="n"/>
      <c r="AI159" s="136" t="n"/>
      <c r="AJ159" s="136" t="n"/>
      <c r="AK159" s="136" t="n"/>
      <c r="AL159" s="136" t="n"/>
      <c r="AM159" s="136" t="n"/>
      <c r="AN159" s="136" t="n"/>
      <c r="AO159" s="136" t="n"/>
      <c r="AP159" s="136" t="n"/>
      <c r="AQ159" s="136" t="n"/>
      <c r="AR159" s="136" t="n"/>
    </row>
    <row r="160" ht="13.5" customHeight="1" s="196">
      <c r="A160" s="136" t="n"/>
      <c r="B160" s="136" t="n"/>
      <c r="C160" s="136" t="n"/>
      <c r="D160" s="141" t="n"/>
      <c r="E160" s="141" t="n"/>
      <c r="F160" s="141" t="n"/>
      <c r="G160" s="141" t="n"/>
      <c r="H160" s="141" t="n"/>
      <c r="I160" s="141" t="n"/>
      <c r="J160" s="141" t="n"/>
      <c r="K160" s="141" t="n"/>
      <c r="L160" s="141" t="n"/>
      <c r="M160" s="141" t="n"/>
      <c r="N160" s="141" t="n"/>
      <c r="O160" s="141" t="n"/>
      <c r="P160" s="141" t="n"/>
      <c r="Q160" s="141" t="n"/>
      <c r="R160" s="141" t="n"/>
      <c r="S160" s="141" t="n"/>
      <c r="T160" s="141" t="n"/>
      <c r="U160" s="141" t="n"/>
      <c r="V160" s="141" t="n"/>
      <c r="W160" s="141" t="n"/>
      <c r="X160" s="141" t="n"/>
      <c r="Y160" s="136" t="n"/>
      <c r="Z160" s="136" t="n"/>
      <c r="AA160" s="136" t="n"/>
      <c r="AB160" s="136" t="n"/>
      <c r="AC160" s="136" t="n"/>
      <c r="AD160" s="136" t="n"/>
      <c r="AE160" s="136" t="n"/>
      <c r="AF160" s="136" t="n"/>
      <c r="AG160" s="136" t="n"/>
      <c r="AH160" s="136" t="n"/>
      <c r="AI160" s="136" t="n"/>
      <c r="AJ160" s="136" t="n"/>
      <c r="AK160" s="136" t="n"/>
      <c r="AL160" s="136" t="n"/>
      <c r="AM160" s="136" t="n"/>
      <c r="AN160" s="136" t="n"/>
      <c r="AO160" s="136" t="n"/>
      <c r="AP160" s="136" t="n"/>
      <c r="AQ160" s="136" t="n"/>
      <c r="AR160" s="136" t="n"/>
    </row>
    <row r="161" ht="13.5" customHeight="1" s="196">
      <c r="A161" s="136" t="n"/>
      <c r="B161" s="136" t="n"/>
      <c r="C161" s="136" t="n"/>
      <c r="D161" s="141" t="n"/>
      <c r="E161" s="141" t="n"/>
      <c r="F161" s="141" t="n"/>
      <c r="G161" s="141" t="n"/>
      <c r="H161" s="141" t="n"/>
      <c r="I161" s="141" t="n"/>
      <c r="J161" s="141" t="n"/>
      <c r="K161" s="141" t="n"/>
      <c r="L161" s="141" t="n"/>
      <c r="M161" s="141" t="n"/>
      <c r="N161" s="141" t="n"/>
      <c r="O161" s="141" t="n"/>
      <c r="P161" s="141" t="n"/>
      <c r="Q161" s="141" t="n"/>
      <c r="R161" s="141" t="n"/>
      <c r="S161" s="141" t="n"/>
      <c r="T161" s="141" t="n"/>
      <c r="U161" s="141" t="n"/>
      <c r="V161" s="141" t="n"/>
      <c r="W161" s="141" t="n"/>
      <c r="X161" s="141" t="n"/>
      <c r="Y161" s="136" t="n"/>
      <c r="Z161" s="136" t="n"/>
      <c r="AA161" s="136" t="n"/>
      <c r="AB161" s="136" t="n"/>
      <c r="AC161" s="136" t="n"/>
      <c r="AD161" s="136" t="n"/>
      <c r="AE161" s="136" t="n"/>
      <c r="AF161" s="136" t="n"/>
      <c r="AG161" s="136" t="n"/>
      <c r="AH161" s="136" t="n"/>
      <c r="AI161" s="136" t="n"/>
      <c r="AJ161" s="136" t="n"/>
      <c r="AK161" s="136" t="n"/>
      <c r="AL161" s="136" t="n"/>
      <c r="AM161" s="136" t="n"/>
      <c r="AN161" s="136" t="n"/>
      <c r="AO161" s="136" t="n"/>
      <c r="AP161" s="136" t="n"/>
      <c r="AQ161" s="136" t="n"/>
      <c r="AR161" s="136" t="n"/>
    </row>
    <row r="162" ht="13.5" customHeight="1" s="196">
      <c r="A162" s="136" t="n"/>
      <c r="B162" s="136" t="n"/>
      <c r="C162" s="136" t="n"/>
      <c r="D162" s="141" t="n"/>
      <c r="E162" s="141" t="n"/>
      <c r="F162" s="141" t="n"/>
      <c r="G162" s="141" t="n"/>
      <c r="H162" s="141" t="n"/>
      <c r="I162" s="141" t="n"/>
      <c r="J162" s="141" t="n"/>
      <c r="K162" s="141" t="n"/>
      <c r="L162" s="141" t="n"/>
      <c r="M162" s="141" t="n"/>
      <c r="N162" s="141" t="n"/>
      <c r="O162" s="141" t="n"/>
      <c r="P162" s="141" t="n"/>
      <c r="Q162" s="141" t="n"/>
      <c r="R162" s="141" t="n"/>
      <c r="S162" s="141" t="n"/>
      <c r="T162" s="141" t="n"/>
      <c r="U162" s="141" t="n"/>
      <c r="V162" s="141" t="n"/>
      <c r="W162" s="141" t="n"/>
      <c r="X162" s="141" t="n"/>
      <c r="Y162" s="136" t="n"/>
      <c r="Z162" s="136" t="n"/>
      <c r="AA162" s="136" t="n"/>
      <c r="AB162" s="136" t="n"/>
      <c r="AC162" s="136" t="n"/>
      <c r="AD162" s="136" t="n"/>
      <c r="AE162" s="136" t="n"/>
      <c r="AF162" s="136" t="n"/>
      <c r="AG162" s="136" t="n"/>
      <c r="AH162" s="136" t="n"/>
      <c r="AI162" s="136" t="n"/>
      <c r="AJ162" s="136" t="n"/>
      <c r="AK162" s="136" t="n"/>
      <c r="AL162" s="136" t="n"/>
      <c r="AM162" s="136" t="n"/>
      <c r="AN162" s="136" t="n"/>
      <c r="AO162" s="136" t="n"/>
      <c r="AP162" s="136" t="n"/>
      <c r="AQ162" s="136" t="n"/>
      <c r="AR162" s="136" t="n"/>
    </row>
    <row r="163" ht="13.5" customHeight="1" s="196">
      <c r="A163" s="136" t="n"/>
      <c r="B163" s="136" t="n"/>
      <c r="C163" s="136" t="n"/>
      <c r="D163" s="141" t="n"/>
      <c r="E163" s="141" t="n"/>
      <c r="F163" s="141" t="n"/>
      <c r="G163" s="141" t="n"/>
      <c r="H163" s="141" t="n"/>
      <c r="I163" s="141" t="n"/>
      <c r="J163" s="141" t="n"/>
      <c r="K163" s="141" t="n"/>
      <c r="L163" s="141" t="n"/>
      <c r="M163" s="141" t="n"/>
      <c r="N163" s="141" t="n"/>
      <c r="O163" s="141" t="n"/>
      <c r="P163" s="141" t="n"/>
      <c r="Q163" s="141" t="n"/>
      <c r="R163" s="141" t="n"/>
      <c r="S163" s="141" t="n"/>
      <c r="T163" s="141" t="n"/>
      <c r="U163" s="141" t="n"/>
      <c r="V163" s="141" t="n"/>
      <c r="W163" s="141" t="n"/>
      <c r="X163" s="141" t="n"/>
      <c r="Y163" s="136" t="n"/>
      <c r="Z163" s="136" t="n"/>
      <c r="AA163" s="136" t="n"/>
      <c r="AB163" s="136" t="n"/>
      <c r="AC163" s="136" t="n"/>
      <c r="AD163" s="136" t="n"/>
      <c r="AE163" s="136" t="n"/>
      <c r="AF163" s="136" t="n"/>
      <c r="AG163" s="136" t="n"/>
      <c r="AH163" s="136" t="n"/>
      <c r="AI163" s="136" t="n"/>
      <c r="AJ163" s="136" t="n"/>
      <c r="AK163" s="136" t="n"/>
      <c r="AL163" s="136" t="n"/>
      <c r="AM163" s="136" t="n"/>
      <c r="AN163" s="136" t="n"/>
      <c r="AO163" s="136" t="n"/>
      <c r="AP163" s="136" t="n"/>
      <c r="AQ163" s="136" t="n"/>
      <c r="AR163" s="136" t="n"/>
    </row>
    <row r="164" ht="13.5" customHeight="1" s="196">
      <c r="A164" s="136" t="n"/>
      <c r="B164" s="136" t="n"/>
      <c r="C164" s="136" t="n"/>
      <c r="D164" s="141" t="n"/>
      <c r="E164" s="141" t="n"/>
      <c r="F164" s="141" t="n"/>
      <c r="G164" s="141" t="n"/>
      <c r="H164" s="141" t="n"/>
      <c r="I164" s="141" t="n"/>
      <c r="J164" s="141" t="n"/>
      <c r="K164" s="141" t="n"/>
      <c r="L164" s="141" t="n"/>
      <c r="M164" s="141" t="n"/>
      <c r="N164" s="141" t="n"/>
      <c r="O164" s="141" t="n"/>
      <c r="P164" s="141" t="n"/>
      <c r="Q164" s="141" t="n"/>
      <c r="R164" s="141" t="n"/>
      <c r="S164" s="141" t="n"/>
      <c r="T164" s="141" t="n"/>
      <c r="U164" s="141" t="n"/>
      <c r="V164" s="141" t="n"/>
      <c r="W164" s="141" t="n"/>
      <c r="X164" s="141" t="n"/>
      <c r="Y164" s="136" t="n"/>
      <c r="Z164" s="136" t="n"/>
      <c r="AA164" s="136" t="n"/>
      <c r="AB164" s="136" t="n"/>
      <c r="AC164" s="136" t="n"/>
      <c r="AD164" s="136" t="n"/>
      <c r="AE164" s="136" t="n"/>
      <c r="AF164" s="136" t="n"/>
      <c r="AG164" s="136" t="n"/>
      <c r="AH164" s="136" t="n"/>
      <c r="AI164" s="136" t="n"/>
      <c r="AJ164" s="136" t="n"/>
      <c r="AK164" s="136" t="n"/>
      <c r="AL164" s="136" t="n"/>
      <c r="AM164" s="136" t="n"/>
      <c r="AN164" s="136" t="n"/>
      <c r="AO164" s="136" t="n"/>
      <c r="AP164" s="136" t="n"/>
      <c r="AQ164" s="136" t="n"/>
      <c r="AR164" s="136" t="n"/>
    </row>
    <row r="165" ht="13.5" customHeight="1" s="196">
      <c r="A165" s="136" t="n"/>
      <c r="B165" s="136" t="n"/>
      <c r="C165" s="136" t="n"/>
      <c r="D165" s="141" t="n"/>
      <c r="E165" s="141" t="n"/>
      <c r="F165" s="141" t="n"/>
      <c r="G165" s="141" t="n"/>
      <c r="H165" s="141" t="n"/>
      <c r="I165" s="141" t="n"/>
      <c r="J165" s="141" t="n"/>
      <c r="K165" s="141" t="n"/>
      <c r="L165" s="141" t="n"/>
      <c r="M165" s="141" t="n"/>
      <c r="N165" s="141" t="n"/>
      <c r="O165" s="141" t="n"/>
      <c r="P165" s="141" t="n"/>
      <c r="Q165" s="141" t="n"/>
      <c r="R165" s="141" t="n"/>
      <c r="S165" s="141" t="n"/>
      <c r="T165" s="141" t="n"/>
      <c r="U165" s="141" t="n"/>
      <c r="V165" s="141" t="n"/>
      <c r="W165" s="141" t="n"/>
      <c r="X165" s="141" t="n"/>
      <c r="Y165" s="136" t="n"/>
      <c r="Z165" s="136" t="n"/>
      <c r="AA165" s="136" t="n"/>
      <c r="AB165" s="136" t="n"/>
      <c r="AC165" s="136" t="n"/>
      <c r="AD165" s="136" t="n"/>
      <c r="AE165" s="136" t="n"/>
      <c r="AF165" s="136" t="n"/>
      <c r="AG165" s="136" t="n"/>
      <c r="AH165" s="136" t="n"/>
      <c r="AI165" s="136" t="n"/>
      <c r="AJ165" s="136" t="n"/>
      <c r="AK165" s="136" t="n"/>
      <c r="AL165" s="136" t="n"/>
      <c r="AM165" s="136" t="n"/>
      <c r="AN165" s="136" t="n"/>
      <c r="AO165" s="136" t="n"/>
      <c r="AP165" s="136" t="n"/>
      <c r="AQ165" s="136" t="n"/>
      <c r="AR165" s="136" t="n"/>
    </row>
    <row r="166" ht="13.5" customHeight="1" s="196">
      <c r="A166" s="136" t="n"/>
      <c r="B166" s="136" t="n"/>
      <c r="C166" s="136" t="n"/>
      <c r="D166" s="141" t="n"/>
      <c r="E166" s="141" t="n"/>
      <c r="F166" s="141" t="n"/>
      <c r="G166" s="141" t="n"/>
      <c r="H166" s="141" t="n"/>
      <c r="I166" s="141" t="n"/>
      <c r="J166" s="141" t="n"/>
      <c r="K166" s="141" t="n"/>
      <c r="L166" s="141" t="n"/>
      <c r="M166" s="141" t="n"/>
      <c r="N166" s="141" t="n"/>
      <c r="O166" s="141" t="n"/>
      <c r="P166" s="141" t="n"/>
      <c r="Q166" s="141" t="n"/>
      <c r="R166" s="141" t="n"/>
      <c r="S166" s="141" t="n"/>
      <c r="T166" s="141" t="n"/>
      <c r="U166" s="141" t="n"/>
      <c r="V166" s="141" t="n"/>
      <c r="W166" s="141" t="n"/>
      <c r="X166" s="141" t="n"/>
      <c r="Y166" s="136" t="n"/>
      <c r="Z166" s="136" t="n"/>
      <c r="AA166" s="136" t="n"/>
      <c r="AB166" s="136" t="n"/>
      <c r="AC166" s="136" t="n"/>
      <c r="AD166" s="136" t="n"/>
      <c r="AE166" s="136" t="n"/>
      <c r="AF166" s="136" t="n"/>
      <c r="AG166" s="136" t="n"/>
      <c r="AH166" s="136" t="n"/>
      <c r="AI166" s="136" t="n"/>
      <c r="AJ166" s="136" t="n"/>
      <c r="AK166" s="136" t="n"/>
      <c r="AL166" s="136" t="n"/>
      <c r="AM166" s="136" t="n"/>
      <c r="AN166" s="136" t="n"/>
      <c r="AO166" s="136" t="n"/>
      <c r="AP166" s="136" t="n"/>
      <c r="AQ166" s="136" t="n"/>
      <c r="AR166" s="136" t="n"/>
    </row>
    <row r="167" ht="13.5" customHeight="1" s="196">
      <c r="A167" s="136" t="n"/>
      <c r="B167" s="136" t="n"/>
      <c r="C167" s="136" t="n"/>
      <c r="D167" s="141" t="n"/>
      <c r="E167" s="141" t="n"/>
      <c r="F167" s="141" t="n"/>
      <c r="G167" s="141" t="n"/>
      <c r="H167" s="141" t="n"/>
      <c r="I167" s="141" t="n"/>
      <c r="J167" s="141" t="n"/>
      <c r="K167" s="141" t="n"/>
      <c r="L167" s="141" t="n"/>
      <c r="M167" s="141" t="n"/>
      <c r="N167" s="141" t="n"/>
      <c r="O167" s="141" t="n"/>
      <c r="P167" s="141" t="n"/>
      <c r="Q167" s="141" t="n"/>
      <c r="R167" s="141" t="n"/>
      <c r="S167" s="141" t="n"/>
      <c r="T167" s="141" t="n"/>
      <c r="U167" s="141" t="n"/>
      <c r="V167" s="141" t="n"/>
      <c r="W167" s="141" t="n"/>
      <c r="X167" s="141" t="n"/>
      <c r="Y167" s="136" t="n"/>
      <c r="Z167" s="136" t="n"/>
      <c r="AA167" s="136" t="n"/>
      <c r="AB167" s="136" t="n"/>
      <c r="AC167" s="136" t="n"/>
      <c r="AD167" s="136" t="n"/>
      <c r="AE167" s="136" t="n"/>
      <c r="AF167" s="136" t="n"/>
      <c r="AG167" s="136" t="n"/>
      <c r="AH167" s="136" t="n"/>
      <c r="AI167" s="136" t="n"/>
      <c r="AJ167" s="136" t="n"/>
      <c r="AK167" s="136" t="n"/>
      <c r="AL167" s="136" t="n"/>
      <c r="AM167" s="136" t="n"/>
      <c r="AN167" s="136" t="n"/>
      <c r="AO167" s="136" t="n"/>
      <c r="AP167" s="136" t="n"/>
      <c r="AQ167" s="136" t="n"/>
      <c r="AR167" s="136" t="n"/>
    </row>
    <row r="168" ht="13.5" customHeight="1" s="196">
      <c r="A168" s="136" t="n"/>
      <c r="B168" s="136" t="n"/>
      <c r="C168" s="136" t="n"/>
      <c r="D168" s="141" t="n"/>
      <c r="E168" s="141" t="n"/>
      <c r="F168" s="141" t="n"/>
      <c r="G168" s="141" t="n"/>
      <c r="H168" s="141" t="n"/>
      <c r="I168" s="141" t="n"/>
      <c r="J168" s="141" t="n"/>
      <c r="K168" s="141" t="n"/>
      <c r="L168" s="141" t="n"/>
      <c r="M168" s="141" t="n"/>
      <c r="N168" s="141" t="n"/>
      <c r="O168" s="141" t="n"/>
      <c r="P168" s="141" t="n"/>
      <c r="Q168" s="141" t="n"/>
      <c r="R168" s="141" t="n"/>
      <c r="S168" s="141" t="n"/>
      <c r="T168" s="141" t="n"/>
      <c r="U168" s="141" t="n"/>
      <c r="V168" s="141" t="n"/>
      <c r="W168" s="141" t="n"/>
      <c r="X168" s="141" t="n"/>
      <c r="Y168" s="136" t="n"/>
      <c r="Z168" s="136" t="n"/>
      <c r="AA168" s="136" t="n"/>
      <c r="AB168" s="136" t="n"/>
      <c r="AC168" s="136" t="n"/>
      <c r="AD168" s="136" t="n"/>
      <c r="AE168" s="136" t="n"/>
      <c r="AF168" s="136" t="n"/>
      <c r="AG168" s="136" t="n"/>
      <c r="AH168" s="136" t="n"/>
      <c r="AI168" s="136" t="n"/>
      <c r="AJ168" s="136" t="n"/>
      <c r="AK168" s="136" t="n"/>
      <c r="AL168" s="136" t="n"/>
      <c r="AM168" s="136" t="n"/>
      <c r="AN168" s="136" t="n"/>
      <c r="AO168" s="136" t="n"/>
      <c r="AP168" s="136" t="n"/>
      <c r="AQ168" s="136" t="n"/>
      <c r="AR168" s="136" t="n"/>
    </row>
    <row r="169" ht="13.5" customHeight="1" s="196">
      <c r="A169" s="136" t="n"/>
      <c r="B169" s="136" t="n"/>
      <c r="C169" s="136" t="n"/>
      <c r="D169" s="141" t="n"/>
      <c r="E169" s="141" t="n"/>
      <c r="F169" s="141" t="n"/>
      <c r="G169" s="141" t="n"/>
      <c r="H169" s="141" t="n"/>
      <c r="I169" s="141" t="n"/>
      <c r="J169" s="141" t="n"/>
      <c r="K169" s="141" t="n"/>
      <c r="L169" s="141" t="n"/>
      <c r="M169" s="141" t="n"/>
      <c r="N169" s="141" t="n"/>
      <c r="O169" s="141" t="n"/>
      <c r="P169" s="141" t="n"/>
      <c r="Q169" s="141" t="n"/>
      <c r="R169" s="141" t="n"/>
      <c r="S169" s="141" t="n"/>
      <c r="T169" s="141" t="n"/>
      <c r="U169" s="141" t="n"/>
      <c r="V169" s="141" t="n"/>
      <c r="W169" s="141" t="n"/>
      <c r="X169" s="141" t="n"/>
      <c r="Y169" s="136" t="n"/>
      <c r="Z169" s="136" t="n"/>
      <c r="AA169" s="136" t="n"/>
      <c r="AB169" s="136" t="n"/>
      <c r="AC169" s="136" t="n"/>
      <c r="AD169" s="136" t="n"/>
      <c r="AE169" s="136" t="n"/>
      <c r="AF169" s="136" t="n"/>
      <c r="AG169" s="136" t="n"/>
      <c r="AH169" s="136" t="n"/>
      <c r="AI169" s="136" t="n"/>
      <c r="AJ169" s="136" t="n"/>
      <c r="AK169" s="136" t="n"/>
      <c r="AL169" s="136" t="n"/>
      <c r="AM169" s="136" t="n"/>
      <c r="AN169" s="136" t="n"/>
      <c r="AO169" s="136" t="n"/>
      <c r="AP169" s="136" t="n"/>
      <c r="AQ169" s="136" t="n"/>
      <c r="AR169" s="136" t="n"/>
    </row>
    <row r="170" ht="13.5" customHeight="1" s="196">
      <c r="A170" s="136" t="n"/>
      <c r="B170" s="136" t="n"/>
      <c r="C170" s="136" t="n"/>
      <c r="D170" s="141" t="n"/>
      <c r="E170" s="141" t="n"/>
      <c r="F170" s="141" t="n"/>
      <c r="G170" s="141" t="n"/>
      <c r="H170" s="141" t="n"/>
      <c r="I170" s="141" t="n"/>
      <c r="J170" s="141" t="n"/>
      <c r="K170" s="141" t="n"/>
      <c r="L170" s="141" t="n"/>
      <c r="M170" s="141" t="n"/>
      <c r="N170" s="141" t="n"/>
      <c r="O170" s="141" t="n"/>
      <c r="P170" s="141" t="n"/>
      <c r="Q170" s="141" t="n"/>
      <c r="R170" s="141" t="n"/>
      <c r="S170" s="141" t="n"/>
      <c r="T170" s="141" t="n"/>
      <c r="U170" s="141" t="n"/>
      <c r="V170" s="141" t="n"/>
      <c r="W170" s="141" t="n"/>
      <c r="X170" s="141" t="n"/>
      <c r="Y170" s="136" t="n"/>
      <c r="Z170" s="136" t="n"/>
      <c r="AA170" s="136" t="n"/>
      <c r="AB170" s="136" t="n"/>
      <c r="AC170" s="136" t="n"/>
      <c r="AD170" s="136" t="n"/>
      <c r="AE170" s="136" t="n"/>
      <c r="AF170" s="136" t="n"/>
      <c r="AG170" s="136" t="n"/>
      <c r="AH170" s="136" t="n"/>
      <c r="AI170" s="136" t="n"/>
      <c r="AJ170" s="136" t="n"/>
      <c r="AK170" s="136" t="n"/>
      <c r="AL170" s="136" t="n"/>
      <c r="AM170" s="136" t="n"/>
      <c r="AN170" s="136" t="n"/>
      <c r="AO170" s="136" t="n"/>
      <c r="AP170" s="136" t="n"/>
      <c r="AQ170" s="136" t="n"/>
      <c r="AR170" s="136" t="n"/>
    </row>
    <row r="171" ht="13.5" customHeight="1" s="196">
      <c r="A171" s="136" t="n"/>
      <c r="B171" s="136" t="n"/>
      <c r="C171" s="136" t="n"/>
      <c r="D171" s="141" t="n"/>
      <c r="E171" s="141" t="n"/>
      <c r="F171" s="141" t="n"/>
      <c r="G171" s="141" t="n"/>
      <c r="H171" s="141" t="n"/>
      <c r="I171" s="141" t="n"/>
      <c r="J171" s="141" t="n"/>
      <c r="K171" s="141" t="n"/>
      <c r="L171" s="141" t="n"/>
      <c r="M171" s="141" t="n"/>
      <c r="N171" s="141" t="n"/>
      <c r="O171" s="141" t="n"/>
      <c r="P171" s="141" t="n"/>
      <c r="Q171" s="141" t="n"/>
      <c r="R171" s="141" t="n"/>
      <c r="S171" s="141" t="n"/>
      <c r="T171" s="141" t="n"/>
      <c r="U171" s="141" t="n"/>
      <c r="V171" s="141" t="n"/>
      <c r="W171" s="141" t="n"/>
      <c r="X171" s="141" t="n"/>
      <c r="Y171" s="136" t="n"/>
      <c r="Z171" s="136" t="n"/>
      <c r="AA171" s="136" t="n"/>
      <c r="AB171" s="136" t="n"/>
      <c r="AC171" s="136" t="n"/>
      <c r="AD171" s="136" t="n"/>
      <c r="AE171" s="136" t="n"/>
      <c r="AF171" s="136" t="n"/>
      <c r="AG171" s="136" t="n"/>
      <c r="AH171" s="136" t="n"/>
      <c r="AI171" s="136" t="n"/>
      <c r="AJ171" s="136" t="n"/>
      <c r="AK171" s="136" t="n"/>
      <c r="AL171" s="136" t="n"/>
      <c r="AM171" s="136" t="n"/>
      <c r="AN171" s="136" t="n"/>
      <c r="AO171" s="136" t="n"/>
      <c r="AP171" s="136" t="n"/>
      <c r="AQ171" s="136" t="n"/>
      <c r="AR171" s="136" t="n"/>
    </row>
    <row r="172" ht="13.5" customHeight="1" s="196">
      <c r="A172" s="136" t="n"/>
      <c r="B172" s="136" t="n"/>
      <c r="C172" s="136" t="n"/>
      <c r="D172" s="141" t="n"/>
      <c r="E172" s="141" t="n"/>
      <c r="F172" s="141" t="n"/>
      <c r="G172" s="141" t="n"/>
      <c r="H172" s="141" t="n"/>
      <c r="I172" s="141" t="n"/>
      <c r="J172" s="141" t="n"/>
      <c r="K172" s="141" t="n"/>
      <c r="L172" s="141" t="n"/>
      <c r="M172" s="141" t="n"/>
      <c r="N172" s="141" t="n"/>
      <c r="O172" s="141" t="n"/>
      <c r="P172" s="141" t="n"/>
      <c r="Q172" s="141" t="n"/>
      <c r="R172" s="141" t="n"/>
      <c r="S172" s="141" t="n"/>
      <c r="T172" s="141" t="n"/>
      <c r="U172" s="141" t="n"/>
      <c r="V172" s="141" t="n"/>
      <c r="W172" s="141" t="n"/>
      <c r="X172" s="141" t="n"/>
      <c r="Y172" s="136" t="n"/>
      <c r="Z172" s="136" t="n"/>
      <c r="AA172" s="136" t="n"/>
      <c r="AB172" s="136" t="n"/>
      <c r="AC172" s="136" t="n"/>
      <c r="AD172" s="136" t="n"/>
      <c r="AE172" s="136" t="n"/>
      <c r="AF172" s="136" t="n"/>
      <c r="AG172" s="136" t="n"/>
      <c r="AH172" s="136" t="n"/>
      <c r="AI172" s="136" t="n"/>
      <c r="AJ172" s="136" t="n"/>
      <c r="AK172" s="136" t="n"/>
      <c r="AL172" s="136" t="n"/>
      <c r="AM172" s="136" t="n"/>
      <c r="AN172" s="136" t="n"/>
      <c r="AO172" s="136" t="n"/>
      <c r="AP172" s="136" t="n"/>
      <c r="AQ172" s="136" t="n"/>
      <c r="AR172" s="136" t="n"/>
    </row>
    <row r="173" ht="13.5" customHeight="1" s="196">
      <c r="A173" s="136" t="n"/>
      <c r="B173" s="136" t="n"/>
      <c r="C173" s="136" t="n"/>
      <c r="D173" s="141" t="n"/>
      <c r="E173" s="141" t="n"/>
      <c r="F173" s="141" t="n"/>
      <c r="G173" s="141" t="n"/>
      <c r="H173" s="141" t="n"/>
      <c r="I173" s="141" t="n"/>
      <c r="J173" s="141" t="n"/>
      <c r="K173" s="141" t="n"/>
      <c r="L173" s="141" t="n"/>
      <c r="M173" s="141" t="n"/>
      <c r="N173" s="141" t="n"/>
      <c r="O173" s="141" t="n"/>
      <c r="P173" s="141" t="n"/>
      <c r="Q173" s="141" t="n"/>
      <c r="R173" s="141" t="n"/>
      <c r="S173" s="141" t="n"/>
      <c r="T173" s="141" t="n"/>
      <c r="U173" s="141" t="n"/>
      <c r="V173" s="141" t="n"/>
      <c r="W173" s="141" t="n"/>
      <c r="X173" s="141" t="n"/>
      <c r="Y173" s="136" t="n"/>
      <c r="Z173" s="136" t="n"/>
      <c r="AA173" s="136" t="n"/>
      <c r="AB173" s="136" t="n"/>
      <c r="AC173" s="136" t="n"/>
      <c r="AD173" s="136" t="n"/>
      <c r="AE173" s="136" t="n"/>
      <c r="AF173" s="136" t="n"/>
      <c r="AG173" s="136" t="n"/>
      <c r="AH173" s="136" t="n"/>
      <c r="AI173" s="136" t="n"/>
      <c r="AJ173" s="136" t="n"/>
      <c r="AK173" s="136" t="n"/>
      <c r="AL173" s="136" t="n"/>
      <c r="AM173" s="136" t="n"/>
      <c r="AN173" s="136" t="n"/>
      <c r="AO173" s="136" t="n"/>
      <c r="AP173" s="136" t="n"/>
      <c r="AQ173" s="136" t="n"/>
      <c r="AR173" s="136" t="n"/>
    </row>
    <row r="174" ht="13.5" customHeight="1" s="196">
      <c r="A174" s="136" t="n"/>
      <c r="B174" s="136" t="n"/>
      <c r="C174" s="136" t="n"/>
      <c r="D174" s="141" t="n"/>
      <c r="E174" s="141" t="n"/>
      <c r="F174" s="141" t="n"/>
      <c r="G174" s="141" t="n"/>
      <c r="H174" s="141" t="n"/>
      <c r="I174" s="141" t="n"/>
      <c r="J174" s="141" t="n"/>
      <c r="K174" s="141" t="n"/>
      <c r="L174" s="141" t="n"/>
      <c r="M174" s="141" t="n"/>
      <c r="N174" s="141" t="n"/>
      <c r="O174" s="141" t="n"/>
      <c r="P174" s="141" t="n"/>
      <c r="Q174" s="141" t="n"/>
      <c r="R174" s="141" t="n"/>
      <c r="S174" s="141" t="n"/>
      <c r="T174" s="141" t="n"/>
      <c r="U174" s="141" t="n"/>
      <c r="V174" s="141" t="n"/>
      <c r="W174" s="141" t="n"/>
      <c r="X174" s="141" t="n"/>
      <c r="Y174" s="136" t="n"/>
      <c r="Z174" s="136" t="n"/>
      <c r="AA174" s="136" t="n"/>
      <c r="AB174" s="136" t="n"/>
      <c r="AC174" s="136" t="n"/>
      <c r="AD174" s="136" t="n"/>
      <c r="AE174" s="136" t="n"/>
      <c r="AF174" s="136" t="n"/>
      <c r="AG174" s="136" t="n"/>
      <c r="AH174" s="136" t="n"/>
      <c r="AI174" s="136" t="n"/>
      <c r="AJ174" s="136" t="n"/>
      <c r="AK174" s="136" t="n"/>
      <c r="AL174" s="136" t="n"/>
      <c r="AM174" s="136" t="n"/>
      <c r="AN174" s="136" t="n"/>
      <c r="AO174" s="136" t="n"/>
      <c r="AP174" s="136" t="n"/>
      <c r="AQ174" s="136" t="n"/>
      <c r="AR174" s="136" t="n"/>
    </row>
    <row r="175" ht="13.5" customHeight="1" s="196">
      <c r="A175" s="136" t="n"/>
      <c r="B175" s="136" t="n"/>
      <c r="C175" s="136" t="n"/>
      <c r="D175" s="141" t="n"/>
      <c r="E175" s="141" t="n"/>
      <c r="F175" s="141" t="n"/>
      <c r="G175" s="141" t="n"/>
      <c r="H175" s="141" t="n"/>
      <c r="I175" s="141" t="n"/>
      <c r="J175" s="141" t="n"/>
      <c r="K175" s="141" t="n"/>
      <c r="L175" s="141" t="n"/>
      <c r="M175" s="141" t="n"/>
      <c r="N175" s="141" t="n"/>
      <c r="O175" s="141" t="n"/>
      <c r="P175" s="141" t="n"/>
      <c r="Q175" s="141" t="n"/>
      <c r="R175" s="141" t="n"/>
      <c r="S175" s="141" t="n"/>
      <c r="T175" s="141" t="n"/>
      <c r="U175" s="141" t="n"/>
      <c r="V175" s="141" t="n"/>
      <c r="W175" s="141" t="n"/>
      <c r="X175" s="141" t="n"/>
      <c r="Y175" s="136" t="n"/>
      <c r="Z175" s="136" t="n"/>
      <c r="AA175" s="136" t="n"/>
      <c r="AB175" s="136" t="n"/>
      <c r="AC175" s="136" t="n"/>
      <c r="AD175" s="136" t="n"/>
      <c r="AE175" s="136" t="n"/>
      <c r="AF175" s="136" t="n"/>
      <c r="AG175" s="136" t="n"/>
      <c r="AH175" s="136" t="n"/>
      <c r="AI175" s="136" t="n"/>
      <c r="AJ175" s="136" t="n"/>
      <c r="AK175" s="136" t="n"/>
      <c r="AL175" s="136" t="n"/>
      <c r="AM175" s="136" t="n"/>
      <c r="AN175" s="136" t="n"/>
      <c r="AO175" s="136" t="n"/>
      <c r="AP175" s="136" t="n"/>
      <c r="AQ175" s="136" t="n"/>
      <c r="AR175" s="136" t="n"/>
    </row>
    <row r="176" ht="13.5" customHeight="1" s="196">
      <c r="A176" s="136" t="n"/>
      <c r="B176" s="136" t="n"/>
      <c r="C176" s="136" t="n"/>
      <c r="D176" s="141" t="n"/>
      <c r="E176" s="141" t="n"/>
      <c r="F176" s="141" t="n"/>
      <c r="G176" s="141" t="n"/>
      <c r="H176" s="141" t="n"/>
      <c r="I176" s="141" t="n"/>
      <c r="J176" s="141" t="n"/>
      <c r="K176" s="141" t="n"/>
      <c r="L176" s="141" t="n"/>
      <c r="M176" s="141" t="n"/>
      <c r="N176" s="141" t="n"/>
      <c r="O176" s="141" t="n"/>
      <c r="P176" s="141" t="n"/>
      <c r="Q176" s="141" t="n"/>
      <c r="R176" s="141" t="n"/>
      <c r="S176" s="141" t="n"/>
      <c r="T176" s="141" t="n"/>
      <c r="U176" s="141" t="n"/>
      <c r="V176" s="141" t="n"/>
      <c r="W176" s="141" t="n"/>
      <c r="X176" s="141" t="n"/>
      <c r="Y176" s="136" t="n"/>
      <c r="Z176" s="136" t="n"/>
      <c r="AA176" s="136" t="n"/>
      <c r="AB176" s="136" t="n"/>
      <c r="AC176" s="136" t="n"/>
      <c r="AD176" s="136" t="n"/>
      <c r="AE176" s="136" t="n"/>
      <c r="AF176" s="136" t="n"/>
      <c r="AG176" s="136" t="n"/>
      <c r="AH176" s="136" t="n"/>
      <c r="AI176" s="136" t="n"/>
      <c r="AJ176" s="136" t="n"/>
      <c r="AK176" s="136" t="n"/>
      <c r="AL176" s="136" t="n"/>
      <c r="AM176" s="136" t="n"/>
      <c r="AN176" s="136" t="n"/>
      <c r="AO176" s="136" t="n"/>
      <c r="AP176" s="136" t="n"/>
      <c r="AQ176" s="136" t="n"/>
      <c r="AR176" s="136" t="n"/>
    </row>
    <row r="177" ht="13.5" customHeight="1" s="196">
      <c r="A177" s="136" t="n"/>
      <c r="B177" s="136" t="n"/>
      <c r="C177" s="136" t="n"/>
      <c r="D177" s="141" t="n"/>
      <c r="E177" s="141" t="n"/>
      <c r="F177" s="141" t="n"/>
      <c r="G177" s="141" t="n"/>
      <c r="H177" s="141" t="n"/>
      <c r="I177" s="141" t="n"/>
      <c r="J177" s="141" t="n"/>
      <c r="K177" s="141" t="n"/>
      <c r="L177" s="141" t="n"/>
      <c r="M177" s="141" t="n"/>
      <c r="N177" s="141" t="n"/>
      <c r="O177" s="141" t="n"/>
      <c r="P177" s="141" t="n"/>
      <c r="Q177" s="141" t="n"/>
      <c r="R177" s="141" t="n"/>
      <c r="S177" s="141" t="n"/>
      <c r="T177" s="141" t="n"/>
      <c r="U177" s="141" t="n"/>
      <c r="V177" s="141" t="n"/>
      <c r="W177" s="141" t="n"/>
      <c r="X177" s="141" t="n"/>
      <c r="Y177" s="136" t="n"/>
      <c r="Z177" s="136" t="n"/>
      <c r="AA177" s="136" t="n"/>
      <c r="AB177" s="136" t="n"/>
      <c r="AC177" s="136" t="n"/>
      <c r="AD177" s="136" t="n"/>
      <c r="AE177" s="136" t="n"/>
      <c r="AF177" s="136" t="n"/>
      <c r="AG177" s="136" t="n"/>
      <c r="AH177" s="136" t="n"/>
      <c r="AI177" s="136" t="n"/>
      <c r="AJ177" s="136" t="n"/>
      <c r="AK177" s="136" t="n"/>
      <c r="AL177" s="136" t="n"/>
      <c r="AM177" s="136" t="n"/>
      <c r="AN177" s="136" t="n"/>
      <c r="AO177" s="136" t="n"/>
      <c r="AP177" s="136" t="n"/>
      <c r="AQ177" s="136" t="n"/>
      <c r="AR177" s="136" t="n"/>
    </row>
    <row r="178" ht="13.5" customHeight="1" s="196">
      <c r="A178" s="136" t="n"/>
      <c r="B178" s="136" t="n"/>
      <c r="C178" s="136" t="n"/>
      <c r="D178" s="141" t="n"/>
      <c r="E178" s="141" t="n"/>
      <c r="F178" s="141" t="n"/>
      <c r="G178" s="141" t="n"/>
      <c r="H178" s="141" t="n"/>
      <c r="I178" s="141" t="n"/>
      <c r="J178" s="141" t="n"/>
      <c r="K178" s="141" t="n"/>
      <c r="L178" s="141" t="n"/>
      <c r="M178" s="141" t="n"/>
      <c r="N178" s="141" t="n"/>
      <c r="O178" s="141" t="n"/>
      <c r="P178" s="141" t="n"/>
      <c r="Q178" s="141" t="n"/>
      <c r="R178" s="141" t="n"/>
      <c r="S178" s="141" t="n"/>
      <c r="T178" s="141" t="n"/>
      <c r="U178" s="141" t="n"/>
      <c r="V178" s="141" t="n"/>
      <c r="W178" s="141" t="n"/>
      <c r="X178" s="141" t="n"/>
      <c r="Y178" s="136" t="n"/>
      <c r="Z178" s="136" t="n"/>
      <c r="AA178" s="136" t="n"/>
      <c r="AB178" s="136" t="n"/>
      <c r="AC178" s="136" t="n"/>
      <c r="AD178" s="136" t="n"/>
      <c r="AE178" s="136" t="n"/>
      <c r="AF178" s="136" t="n"/>
      <c r="AG178" s="136" t="n"/>
      <c r="AH178" s="136" t="n"/>
      <c r="AI178" s="136" t="n"/>
      <c r="AJ178" s="136" t="n"/>
      <c r="AK178" s="136" t="n"/>
      <c r="AL178" s="136" t="n"/>
      <c r="AM178" s="136" t="n"/>
      <c r="AN178" s="136" t="n"/>
      <c r="AO178" s="136" t="n"/>
      <c r="AP178" s="136" t="n"/>
      <c r="AQ178" s="136" t="n"/>
      <c r="AR178" s="136" t="n"/>
    </row>
    <row r="179" ht="13.5" customHeight="1" s="196">
      <c r="A179" s="136" t="n"/>
      <c r="B179" s="136" t="n"/>
      <c r="C179" s="136" t="n"/>
      <c r="D179" s="141" t="n"/>
      <c r="E179" s="141" t="n"/>
      <c r="F179" s="141" t="n"/>
      <c r="G179" s="141" t="n"/>
      <c r="H179" s="141" t="n"/>
      <c r="I179" s="141" t="n"/>
      <c r="J179" s="141" t="n"/>
      <c r="K179" s="141" t="n"/>
      <c r="L179" s="141" t="n"/>
      <c r="M179" s="141" t="n"/>
      <c r="N179" s="141" t="n"/>
      <c r="O179" s="141" t="n"/>
      <c r="P179" s="141" t="n"/>
      <c r="Q179" s="141" t="n"/>
      <c r="R179" s="141" t="n"/>
      <c r="S179" s="141" t="n"/>
      <c r="T179" s="141" t="n"/>
      <c r="U179" s="141" t="n"/>
      <c r="V179" s="141" t="n"/>
      <c r="W179" s="141" t="n"/>
      <c r="X179" s="141" t="n"/>
      <c r="Y179" s="136" t="n"/>
      <c r="Z179" s="136" t="n"/>
      <c r="AA179" s="136" t="n"/>
      <c r="AB179" s="136" t="n"/>
      <c r="AC179" s="136" t="n"/>
      <c r="AD179" s="136" t="n"/>
      <c r="AE179" s="136" t="n"/>
      <c r="AF179" s="136" t="n"/>
      <c r="AG179" s="136" t="n"/>
      <c r="AH179" s="136" t="n"/>
      <c r="AI179" s="136" t="n"/>
      <c r="AJ179" s="136" t="n"/>
      <c r="AK179" s="136" t="n"/>
      <c r="AL179" s="136" t="n"/>
      <c r="AM179" s="136" t="n"/>
      <c r="AN179" s="136" t="n"/>
      <c r="AO179" s="136" t="n"/>
      <c r="AP179" s="136" t="n"/>
      <c r="AQ179" s="136" t="n"/>
      <c r="AR179" s="136" t="n"/>
    </row>
    <row r="180" ht="13.5" customHeight="1" s="196">
      <c r="A180" s="136" t="n"/>
      <c r="B180" s="136" t="n"/>
      <c r="C180" s="136" t="n"/>
      <c r="D180" s="141" t="n"/>
      <c r="E180" s="141" t="n"/>
      <c r="F180" s="141" t="n"/>
      <c r="G180" s="141" t="n"/>
      <c r="H180" s="141" t="n"/>
      <c r="I180" s="141" t="n"/>
      <c r="J180" s="141" t="n"/>
      <c r="K180" s="141" t="n"/>
      <c r="L180" s="141" t="n"/>
      <c r="M180" s="141" t="n"/>
      <c r="N180" s="141" t="n"/>
      <c r="O180" s="141" t="n"/>
      <c r="P180" s="141" t="n"/>
      <c r="Q180" s="141" t="n"/>
      <c r="R180" s="141" t="n"/>
      <c r="S180" s="141" t="n"/>
      <c r="T180" s="141" t="n"/>
      <c r="U180" s="141" t="n"/>
      <c r="V180" s="141" t="n"/>
      <c r="W180" s="141" t="n"/>
      <c r="X180" s="141" t="n"/>
      <c r="Y180" s="136" t="n"/>
      <c r="Z180" s="136" t="n"/>
      <c r="AA180" s="136" t="n"/>
      <c r="AB180" s="136" t="n"/>
      <c r="AC180" s="136" t="n"/>
      <c r="AD180" s="136" t="n"/>
      <c r="AE180" s="136" t="n"/>
      <c r="AF180" s="136" t="n"/>
      <c r="AG180" s="136" t="n"/>
      <c r="AH180" s="136" t="n"/>
      <c r="AI180" s="136" t="n"/>
      <c r="AJ180" s="136" t="n"/>
      <c r="AK180" s="136" t="n"/>
      <c r="AL180" s="136" t="n"/>
      <c r="AM180" s="136" t="n"/>
      <c r="AN180" s="136" t="n"/>
      <c r="AO180" s="136" t="n"/>
      <c r="AP180" s="136" t="n"/>
      <c r="AQ180" s="136" t="n"/>
      <c r="AR180" s="136" t="n"/>
    </row>
    <row r="181" ht="13.5" customHeight="1" s="196">
      <c r="A181" s="136" t="n"/>
      <c r="B181" s="136" t="n"/>
      <c r="C181" s="136" t="n"/>
      <c r="D181" s="141" t="n"/>
      <c r="E181" s="141" t="n"/>
      <c r="F181" s="141" t="n"/>
      <c r="G181" s="141" t="n"/>
      <c r="H181" s="141" t="n"/>
      <c r="I181" s="141" t="n"/>
      <c r="J181" s="141" t="n"/>
      <c r="K181" s="141" t="n"/>
      <c r="L181" s="141" t="n"/>
      <c r="M181" s="141" t="n"/>
      <c r="N181" s="141" t="n"/>
      <c r="O181" s="141" t="n"/>
      <c r="P181" s="141" t="n"/>
      <c r="Q181" s="141" t="n"/>
      <c r="R181" s="141" t="n"/>
      <c r="S181" s="141" t="n"/>
      <c r="T181" s="141" t="n"/>
      <c r="U181" s="141" t="n"/>
      <c r="V181" s="141" t="n"/>
      <c r="W181" s="141" t="n"/>
      <c r="X181" s="141" t="n"/>
      <c r="Y181" s="136" t="n"/>
      <c r="Z181" s="136" t="n"/>
      <c r="AA181" s="136" t="n"/>
      <c r="AB181" s="136" t="n"/>
      <c r="AC181" s="136" t="n"/>
      <c r="AD181" s="136" t="n"/>
      <c r="AE181" s="136" t="n"/>
      <c r="AF181" s="136" t="n"/>
      <c r="AG181" s="136" t="n"/>
      <c r="AH181" s="136" t="n"/>
      <c r="AI181" s="136" t="n"/>
      <c r="AJ181" s="136" t="n"/>
      <c r="AK181" s="136" t="n"/>
      <c r="AL181" s="136" t="n"/>
      <c r="AM181" s="136" t="n"/>
      <c r="AN181" s="136" t="n"/>
      <c r="AO181" s="136" t="n"/>
      <c r="AP181" s="136" t="n"/>
      <c r="AQ181" s="136" t="n"/>
      <c r="AR181" s="136" t="n"/>
    </row>
    <row r="182" ht="13.5" customHeight="1" s="196">
      <c r="A182" s="136" t="n"/>
      <c r="B182" s="136" t="n"/>
      <c r="C182" s="136" t="n"/>
      <c r="D182" s="141" t="n"/>
      <c r="E182" s="141" t="n"/>
      <c r="F182" s="141" t="n"/>
      <c r="G182" s="141" t="n"/>
      <c r="H182" s="141" t="n"/>
      <c r="I182" s="141" t="n"/>
      <c r="J182" s="141" t="n"/>
      <c r="K182" s="141" t="n"/>
      <c r="L182" s="141" t="n"/>
      <c r="M182" s="141" t="n"/>
      <c r="N182" s="141" t="n"/>
      <c r="O182" s="141" t="n"/>
      <c r="P182" s="141" t="n"/>
      <c r="Q182" s="141" t="n"/>
      <c r="R182" s="141" t="n"/>
      <c r="S182" s="141" t="n"/>
      <c r="T182" s="141" t="n"/>
      <c r="U182" s="141" t="n"/>
      <c r="V182" s="141" t="n"/>
      <c r="W182" s="141" t="n"/>
      <c r="X182" s="141" t="n"/>
      <c r="Y182" s="136" t="n"/>
      <c r="Z182" s="136" t="n"/>
      <c r="AA182" s="136" t="n"/>
      <c r="AB182" s="136" t="n"/>
      <c r="AC182" s="136" t="n"/>
      <c r="AD182" s="136" t="n"/>
      <c r="AE182" s="136" t="n"/>
      <c r="AF182" s="136" t="n"/>
      <c r="AG182" s="136" t="n"/>
      <c r="AH182" s="136" t="n"/>
      <c r="AI182" s="136" t="n"/>
      <c r="AJ182" s="136" t="n"/>
      <c r="AK182" s="136" t="n"/>
      <c r="AL182" s="136" t="n"/>
      <c r="AM182" s="136" t="n"/>
      <c r="AN182" s="136" t="n"/>
      <c r="AO182" s="136" t="n"/>
      <c r="AP182" s="136" t="n"/>
      <c r="AQ182" s="136" t="n"/>
      <c r="AR182" s="136" t="n"/>
    </row>
    <row r="183" ht="13.5" customHeight="1" s="196">
      <c r="A183" s="136" t="n"/>
      <c r="B183" s="136" t="n"/>
      <c r="C183" s="136" t="n"/>
      <c r="D183" s="141" t="n"/>
      <c r="E183" s="141" t="n"/>
      <c r="F183" s="141" t="n"/>
      <c r="G183" s="141" t="n"/>
      <c r="H183" s="141" t="n"/>
      <c r="I183" s="141" t="n"/>
      <c r="J183" s="141" t="n"/>
      <c r="K183" s="141" t="n"/>
      <c r="L183" s="141" t="n"/>
      <c r="M183" s="141" t="n"/>
      <c r="N183" s="141" t="n"/>
      <c r="O183" s="141" t="n"/>
      <c r="P183" s="141" t="n"/>
      <c r="Q183" s="141" t="n"/>
      <c r="R183" s="141" t="n"/>
      <c r="S183" s="141" t="n"/>
      <c r="T183" s="141" t="n"/>
      <c r="U183" s="141" t="n"/>
      <c r="V183" s="141" t="n"/>
      <c r="W183" s="141" t="n"/>
      <c r="X183" s="141" t="n"/>
      <c r="Y183" s="136" t="n"/>
      <c r="Z183" s="136" t="n"/>
      <c r="AA183" s="136" t="n"/>
      <c r="AB183" s="136" t="n"/>
      <c r="AC183" s="136" t="n"/>
      <c r="AD183" s="136" t="n"/>
      <c r="AE183" s="136" t="n"/>
      <c r="AF183" s="136" t="n"/>
      <c r="AG183" s="136" t="n"/>
      <c r="AH183" s="136" t="n"/>
      <c r="AI183" s="136" t="n"/>
      <c r="AJ183" s="136" t="n"/>
      <c r="AK183" s="136" t="n"/>
      <c r="AL183" s="136" t="n"/>
      <c r="AM183" s="136" t="n"/>
      <c r="AN183" s="136" t="n"/>
      <c r="AO183" s="136" t="n"/>
      <c r="AP183" s="136" t="n"/>
      <c r="AQ183" s="136" t="n"/>
      <c r="AR183" s="136" t="n"/>
    </row>
    <row r="184" ht="13.5" customHeight="1" s="196">
      <c r="A184" s="136" t="n"/>
      <c r="B184" s="136" t="n"/>
      <c r="C184" s="136" t="n"/>
      <c r="D184" s="141" t="n"/>
      <c r="E184" s="141" t="n"/>
      <c r="F184" s="141" t="n"/>
      <c r="G184" s="141" t="n"/>
      <c r="H184" s="141" t="n"/>
      <c r="I184" s="141" t="n"/>
      <c r="J184" s="141" t="n"/>
      <c r="K184" s="141" t="n"/>
      <c r="L184" s="141" t="n"/>
      <c r="M184" s="141" t="n"/>
      <c r="N184" s="141" t="n"/>
      <c r="O184" s="141" t="n"/>
      <c r="P184" s="141" t="n"/>
      <c r="Q184" s="141" t="n"/>
      <c r="R184" s="141" t="n"/>
      <c r="S184" s="141" t="n"/>
      <c r="T184" s="141" t="n"/>
      <c r="U184" s="141" t="n"/>
      <c r="V184" s="141" t="n"/>
      <c r="W184" s="141" t="n"/>
      <c r="X184" s="141" t="n"/>
      <c r="Y184" s="136" t="n"/>
      <c r="Z184" s="136" t="n"/>
      <c r="AA184" s="136" t="n"/>
      <c r="AB184" s="136" t="n"/>
      <c r="AC184" s="136" t="n"/>
      <c r="AD184" s="136" t="n"/>
      <c r="AE184" s="136" t="n"/>
      <c r="AF184" s="136" t="n"/>
      <c r="AG184" s="136" t="n"/>
      <c r="AH184" s="136" t="n"/>
      <c r="AI184" s="136" t="n"/>
      <c r="AJ184" s="136" t="n"/>
      <c r="AK184" s="136" t="n"/>
      <c r="AL184" s="136" t="n"/>
      <c r="AM184" s="136" t="n"/>
      <c r="AN184" s="136" t="n"/>
      <c r="AO184" s="136" t="n"/>
      <c r="AP184" s="136" t="n"/>
      <c r="AQ184" s="136" t="n"/>
      <c r="AR184" s="136" t="n"/>
    </row>
    <row r="185" ht="13.5" customHeight="1" s="196">
      <c r="A185" s="136" t="n"/>
      <c r="B185" s="136" t="n"/>
      <c r="C185" s="136" t="n"/>
      <c r="D185" s="141" t="n"/>
      <c r="E185" s="141" t="n"/>
      <c r="F185" s="141" t="n"/>
      <c r="G185" s="141" t="n"/>
      <c r="H185" s="141" t="n"/>
      <c r="I185" s="141" t="n"/>
      <c r="J185" s="141" t="n"/>
      <c r="K185" s="141" t="n"/>
      <c r="L185" s="141" t="n"/>
      <c r="M185" s="141" t="n"/>
      <c r="N185" s="141" t="n"/>
      <c r="O185" s="141" t="n"/>
      <c r="P185" s="141" t="n"/>
      <c r="Q185" s="141" t="n"/>
      <c r="R185" s="141" t="n"/>
      <c r="S185" s="141" t="n"/>
      <c r="T185" s="141" t="n"/>
      <c r="U185" s="141" t="n"/>
      <c r="V185" s="141" t="n"/>
      <c r="W185" s="141" t="n"/>
      <c r="X185" s="141" t="n"/>
      <c r="Y185" s="136" t="n"/>
      <c r="Z185" s="136" t="n"/>
      <c r="AA185" s="136" t="n"/>
      <c r="AB185" s="136" t="n"/>
      <c r="AC185" s="136" t="n"/>
      <c r="AD185" s="136" t="n"/>
      <c r="AE185" s="136" t="n"/>
      <c r="AF185" s="136" t="n"/>
      <c r="AG185" s="136" t="n"/>
      <c r="AH185" s="136" t="n"/>
      <c r="AI185" s="136" t="n"/>
      <c r="AJ185" s="136" t="n"/>
      <c r="AK185" s="136" t="n"/>
      <c r="AL185" s="136" t="n"/>
      <c r="AM185" s="136" t="n"/>
      <c r="AN185" s="136" t="n"/>
      <c r="AO185" s="136" t="n"/>
      <c r="AP185" s="136" t="n"/>
      <c r="AQ185" s="136" t="n"/>
      <c r="AR185" s="136" t="n"/>
    </row>
    <row r="186" ht="13.5" customHeight="1" s="196">
      <c r="A186" s="136" t="n"/>
      <c r="B186" s="136" t="n"/>
      <c r="C186" s="136" t="n"/>
      <c r="D186" s="141" t="n"/>
      <c r="E186" s="141" t="n"/>
      <c r="F186" s="141" t="n"/>
      <c r="G186" s="141" t="n"/>
      <c r="H186" s="141" t="n"/>
      <c r="I186" s="141" t="n"/>
      <c r="J186" s="141" t="n"/>
      <c r="K186" s="141" t="n"/>
      <c r="L186" s="141" t="n"/>
      <c r="M186" s="141" t="n"/>
      <c r="N186" s="141" t="n"/>
      <c r="O186" s="141" t="n"/>
      <c r="P186" s="141" t="n"/>
      <c r="Q186" s="141" t="n"/>
      <c r="R186" s="141" t="n"/>
      <c r="S186" s="141" t="n"/>
      <c r="T186" s="141" t="n"/>
      <c r="U186" s="141" t="n"/>
      <c r="V186" s="141" t="n"/>
      <c r="W186" s="141" t="n"/>
      <c r="X186" s="141" t="n"/>
      <c r="Y186" s="136" t="n"/>
      <c r="Z186" s="136" t="n"/>
      <c r="AA186" s="136" t="n"/>
      <c r="AB186" s="136" t="n"/>
      <c r="AC186" s="136" t="n"/>
      <c r="AD186" s="136" t="n"/>
      <c r="AE186" s="136" t="n"/>
      <c r="AF186" s="136" t="n"/>
      <c r="AG186" s="136" t="n"/>
      <c r="AH186" s="136" t="n"/>
      <c r="AI186" s="136" t="n"/>
      <c r="AJ186" s="136" t="n"/>
      <c r="AK186" s="136" t="n"/>
      <c r="AL186" s="136" t="n"/>
      <c r="AM186" s="136" t="n"/>
      <c r="AN186" s="136" t="n"/>
      <c r="AO186" s="136" t="n"/>
      <c r="AP186" s="136" t="n"/>
      <c r="AQ186" s="136" t="n"/>
      <c r="AR186" s="136" t="n"/>
    </row>
    <row r="187" ht="13.5" customHeight="1" s="196">
      <c r="A187" s="136" t="n"/>
      <c r="B187" s="136" t="n"/>
      <c r="C187" s="136" t="n"/>
      <c r="D187" s="141" t="n"/>
      <c r="E187" s="141" t="n"/>
      <c r="F187" s="141" t="n"/>
      <c r="G187" s="141" t="n"/>
      <c r="H187" s="141" t="n"/>
      <c r="I187" s="141" t="n"/>
      <c r="J187" s="141" t="n"/>
      <c r="K187" s="141" t="n"/>
      <c r="L187" s="141" t="n"/>
      <c r="M187" s="141" t="n"/>
      <c r="N187" s="141" t="n"/>
      <c r="O187" s="141" t="n"/>
      <c r="P187" s="141" t="n"/>
      <c r="Q187" s="141" t="n"/>
      <c r="R187" s="141" t="n"/>
      <c r="S187" s="141" t="n"/>
      <c r="T187" s="141" t="n"/>
      <c r="U187" s="141" t="n"/>
      <c r="V187" s="141" t="n"/>
      <c r="W187" s="141" t="n"/>
      <c r="X187" s="141" t="n"/>
      <c r="Y187" s="136" t="n"/>
      <c r="Z187" s="136" t="n"/>
      <c r="AA187" s="136" t="n"/>
      <c r="AB187" s="136" t="n"/>
      <c r="AC187" s="136" t="n"/>
      <c r="AD187" s="136" t="n"/>
      <c r="AE187" s="136" t="n"/>
      <c r="AF187" s="136" t="n"/>
      <c r="AG187" s="136" t="n"/>
      <c r="AH187" s="136" t="n"/>
      <c r="AI187" s="136" t="n"/>
      <c r="AJ187" s="136" t="n"/>
      <c r="AK187" s="136" t="n"/>
      <c r="AL187" s="136" t="n"/>
      <c r="AM187" s="136" t="n"/>
      <c r="AN187" s="136" t="n"/>
      <c r="AO187" s="136" t="n"/>
      <c r="AP187" s="136" t="n"/>
      <c r="AQ187" s="136" t="n"/>
      <c r="AR187" s="136" t="n"/>
    </row>
    <row r="188" ht="13.5" customHeight="1" s="196">
      <c r="A188" s="136" t="n"/>
      <c r="B188" s="136" t="n"/>
      <c r="C188" s="136" t="n"/>
      <c r="D188" s="141" t="n"/>
      <c r="E188" s="141" t="n"/>
      <c r="F188" s="141" t="n"/>
      <c r="G188" s="141" t="n"/>
      <c r="H188" s="141" t="n"/>
      <c r="I188" s="141" t="n"/>
      <c r="J188" s="141" t="n"/>
      <c r="K188" s="141" t="n"/>
      <c r="L188" s="141" t="n"/>
      <c r="M188" s="141" t="n"/>
      <c r="N188" s="141" t="n"/>
      <c r="O188" s="141" t="n"/>
      <c r="P188" s="141" t="n"/>
      <c r="Q188" s="141" t="n"/>
      <c r="R188" s="141" t="n"/>
      <c r="S188" s="141" t="n"/>
      <c r="T188" s="141" t="n"/>
      <c r="U188" s="141" t="n"/>
      <c r="V188" s="141" t="n"/>
      <c r="W188" s="141" t="n"/>
      <c r="X188" s="141" t="n"/>
      <c r="Y188" s="136" t="n"/>
      <c r="Z188" s="136" t="n"/>
      <c r="AA188" s="136" t="n"/>
      <c r="AB188" s="136" t="n"/>
      <c r="AC188" s="136" t="n"/>
      <c r="AD188" s="136" t="n"/>
      <c r="AE188" s="136" t="n"/>
      <c r="AF188" s="136" t="n"/>
      <c r="AG188" s="136" t="n"/>
      <c r="AH188" s="136" t="n"/>
      <c r="AI188" s="136" t="n"/>
      <c r="AJ188" s="136" t="n"/>
      <c r="AK188" s="136" t="n"/>
      <c r="AL188" s="136" t="n"/>
      <c r="AM188" s="136" t="n"/>
      <c r="AN188" s="136" t="n"/>
      <c r="AO188" s="136" t="n"/>
      <c r="AP188" s="136" t="n"/>
      <c r="AQ188" s="136" t="n"/>
      <c r="AR188" s="136" t="n"/>
    </row>
    <row r="189" ht="13.5" customHeight="1" s="196">
      <c r="A189" s="136" t="n"/>
      <c r="B189" s="136" t="n"/>
      <c r="C189" s="136" t="n"/>
      <c r="D189" s="141" t="n"/>
      <c r="E189" s="141" t="n"/>
      <c r="F189" s="141" t="n"/>
      <c r="G189" s="141" t="n"/>
      <c r="H189" s="141" t="n"/>
      <c r="I189" s="141" t="n"/>
      <c r="J189" s="141" t="n"/>
      <c r="K189" s="141" t="n"/>
      <c r="L189" s="141" t="n"/>
      <c r="M189" s="141" t="n"/>
      <c r="N189" s="141" t="n"/>
      <c r="O189" s="141" t="n"/>
      <c r="P189" s="141" t="n"/>
      <c r="Q189" s="141" t="n"/>
      <c r="R189" s="141" t="n"/>
      <c r="S189" s="141" t="n"/>
      <c r="T189" s="141" t="n"/>
      <c r="U189" s="141" t="n"/>
      <c r="V189" s="141" t="n"/>
      <c r="W189" s="141" t="n"/>
      <c r="X189" s="141" t="n"/>
      <c r="Y189" s="136" t="n"/>
      <c r="Z189" s="136" t="n"/>
      <c r="AA189" s="136" t="n"/>
      <c r="AB189" s="136" t="n"/>
      <c r="AC189" s="136" t="n"/>
      <c r="AD189" s="136" t="n"/>
      <c r="AE189" s="136" t="n"/>
      <c r="AF189" s="136" t="n"/>
      <c r="AG189" s="136" t="n"/>
      <c r="AH189" s="136" t="n"/>
      <c r="AI189" s="136" t="n"/>
      <c r="AJ189" s="136" t="n"/>
      <c r="AK189" s="136" t="n"/>
      <c r="AL189" s="136" t="n"/>
      <c r="AM189" s="136" t="n"/>
      <c r="AN189" s="136" t="n"/>
      <c r="AO189" s="136" t="n"/>
      <c r="AP189" s="136" t="n"/>
      <c r="AQ189" s="136" t="n"/>
      <c r="AR189" s="136" t="n"/>
    </row>
    <row r="190" ht="13.5" customHeight="1" s="196">
      <c r="A190" s="136" t="n"/>
      <c r="B190" s="136" t="n"/>
      <c r="C190" s="136" t="n"/>
      <c r="D190" s="141" t="n"/>
      <c r="E190" s="141" t="n"/>
      <c r="F190" s="141" t="n"/>
      <c r="G190" s="141" t="n"/>
      <c r="H190" s="141" t="n"/>
      <c r="I190" s="141" t="n"/>
      <c r="J190" s="141" t="n"/>
      <c r="K190" s="141" t="n"/>
      <c r="L190" s="141" t="n"/>
      <c r="M190" s="141" t="n"/>
      <c r="N190" s="141" t="n"/>
      <c r="O190" s="141" t="n"/>
      <c r="P190" s="141" t="n"/>
      <c r="Q190" s="141" t="n"/>
      <c r="R190" s="141" t="n"/>
      <c r="S190" s="141" t="n"/>
      <c r="T190" s="141" t="n"/>
      <c r="U190" s="141" t="n"/>
      <c r="V190" s="141" t="n"/>
      <c r="W190" s="141" t="n"/>
      <c r="X190" s="141" t="n"/>
      <c r="Y190" s="136" t="n"/>
      <c r="Z190" s="136" t="n"/>
      <c r="AA190" s="136" t="n"/>
      <c r="AB190" s="136" t="n"/>
      <c r="AC190" s="136" t="n"/>
      <c r="AD190" s="136" t="n"/>
      <c r="AE190" s="136" t="n"/>
      <c r="AF190" s="136" t="n"/>
      <c r="AG190" s="136" t="n"/>
      <c r="AH190" s="136" t="n"/>
      <c r="AI190" s="136" t="n"/>
      <c r="AJ190" s="136" t="n"/>
      <c r="AK190" s="136" t="n"/>
      <c r="AL190" s="136" t="n"/>
      <c r="AM190" s="136" t="n"/>
      <c r="AN190" s="136" t="n"/>
      <c r="AO190" s="136" t="n"/>
      <c r="AP190" s="136" t="n"/>
      <c r="AQ190" s="136" t="n"/>
      <c r="AR190" s="136" t="n"/>
    </row>
    <row r="191" ht="13.5" customHeight="1" s="196">
      <c r="A191" s="136" t="n"/>
      <c r="B191" s="136" t="n"/>
      <c r="C191" s="136" t="n"/>
      <c r="D191" s="141" t="n"/>
      <c r="E191" s="141" t="n"/>
      <c r="F191" s="141" t="n"/>
      <c r="G191" s="141" t="n"/>
      <c r="H191" s="141" t="n"/>
      <c r="I191" s="141" t="n"/>
      <c r="J191" s="141" t="n"/>
      <c r="K191" s="141" t="n"/>
      <c r="L191" s="141" t="n"/>
      <c r="M191" s="141" t="n"/>
      <c r="N191" s="141" t="n"/>
      <c r="O191" s="141" t="n"/>
      <c r="P191" s="141" t="n"/>
      <c r="Q191" s="141" t="n"/>
      <c r="R191" s="141" t="n"/>
      <c r="S191" s="141" t="n"/>
      <c r="T191" s="141" t="n"/>
      <c r="U191" s="141" t="n"/>
      <c r="V191" s="141" t="n"/>
      <c r="W191" s="141" t="n"/>
      <c r="X191" s="141" t="n"/>
      <c r="Y191" s="136" t="n"/>
      <c r="Z191" s="136" t="n"/>
      <c r="AA191" s="136" t="n"/>
      <c r="AB191" s="136" t="n"/>
      <c r="AC191" s="136" t="n"/>
      <c r="AD191" s="136" t="n"/>
      <c r="AE191" s="136" t="n"/>
      <c r="AF191" s="136" t="n"/>
      <c r="AG191" s="136" t="n"/>
      <c r="AH191" s="136" t="n"/>
      <c r="AI191" s="136" t="n"/>
      <c r="AJ191" s="136" t="n"/>
      <c r="AK191" s="136" t="n"/>
      <c r="AL191" s="136" t="n"/>
      <c r="AM191" s="136" t="n"/>
      <c r="AN191" s="136" t="n"/>
      <c r="AO191" s="136" t="n"/>
      <c r="AP191" s="136" t="n"/>
      <c r="AQ191" s="136" t="n"/>
      <c r="AR191" s="136" t="n"/>
    </row>
    <row r="192" ht="13.5" customHeight="1" s="196">
      <c r="A192" s="136" t="n"/>
      <c r="B192" s="136" t="n"/>
      <c r="C192" s="136" t="n"/>
      <c r="D192" s="141" t="n"/>
      <c r="E192" s="141" t="n"/>
      <c r="F192" s="141" t="n"/>
      <c r="G192" s="141" t="n"/>
      <c r="H192" s="141" t="n"/>
      <c r="I192" s="141" t="n"/>
      <c r="J192" s="141" t="n"/>
      <c r="K192" s="141" t="n"/>
      <c r="L192" s="141" t="n"/>
      <c r="M192" s="141" t="n"/>
      <c r="N192" s="141" t="n"/>
      <c r="O192" s="141" t="n"/>
      <c r="P192" s="141" t="n"/>
      <c r="Q192" s="141" t="n"/>
      <c r="R192" s="141" t="n"/>
      <c r="S192" s="141" t="n"/>
      <c r="T192" s="141" t="n"/>
      <c r="U192" s="141" t="n"/>
      <c r="V192" s="141" t="n"/>
      <c r="W192" s="141" t="n"/>
      <c r="X192" s="141" t="n"/>
      <c r="Y192" s="136" t="n"/>
      <c r="Z192" s="136" t="n"/>
      <c r="AA192" s="136" t="n"/>
      <c r="AB192" s="136" t="n"/>
      <c r="AC192" s="136" t="n"/>
      <c r="AD192" s="136" t="n"/>
      <c r="AE192" s="136" t="n"/>
      <c r="AF192" s="136" t="n"/>
      <c r="AG192" s="136" t="n"/>
      <c r="AH192" s="136" t="n"/>
      <c r="AI192" s="136" t="n"/>
      <c r="AJ192" s="136" t="n"/>
      <c r="AK192" s="136" t="n"/>
      <c r="AL192" s="136" t="n"/>
      <c r="AM192" s="136" t="n"/>
      <c r="AN192" s="136" t="n"/>
      <c r="AO192" s="136" t="n"/>
      <c r="AP192" s="136" t="n"/>
      <c r="AQ192" s="136" t="n"/>
      <c r="AR192" s="136" t="n"/>
    </row>
    <row r="193" ht="13.5" customHeight="1" s="196">
      <c r="A193" s="136" t="n"/>
      <c r="B193" s="136" t="n"/>
      <c r="C193" s="136" t="n"/>
      <c r="D193" s="141" t="n"/>
      <c r="E193" s="141" t="n"/>
      <c r="F193" s="141" t="n"/>
      <c r="G193" s="141" t="n"/>
      <c r="H193" s="141" t="n"/>
      <c r="I193" s="141" t="n"/>
      <c r="J193" s="141" t="n"/>
      <c r="K193" s="141" t="n"/>
      <c r="L193" s="141" t="n"/>
      <c r="M193" s="141" t="n"/>
      <c r="N193" s="141" t="n"/>
      <c r="O193" s="141" t="n"/>
      <c r="P193" s="141" t="n"/>
      <c r="Q193" s="141" t="n"/>
      <c r="R193" s="141" t="n"/>
      <c r="S193" s="141" t="n"/>
      <c r="T193" s="141" t="n"/>
      <c r="U193" s="141" t="n"/>
      <c r="V193" s="141" t="n"/>
      <c r="W193" s="141" t="n"/>
      <c r="X193" s="141" t="n"/>
      <c r="Y193" s="136" t="n"/>
      <c r="Z193" s="136" t="n"/>
      <c r="AA193" s="136" t="n"/>
      <c r="AB193" s="136" t="n"/>
      <c r="AC193" s="136" t="n"/>
      <c r="AD193" s="136" t="n"/>
      <c r="AE193" s="136" t="n"/>
      <c r="AF193" s="136" t="n"/>
      <c r="AG193" s="136" t="n"/>
      <c r="AH193" s="136" t="n"/>
      <c r="AI193" s="136" t="n"/>
      <c r="AJ193" s="136" t="n"/>
      <c r="AK193" s="136" t="n"/>
      <c r="AL193" s="136" t="n"/>
      <c r="AM193" s="136" t="n"/>
      <c r="AN193" s="136" t="n"/>
      <c r="AO193" s="136" t="n"/>
      <c r="AP193" s="136" t="n"/>
      <c r="AQ193" s="136" t="n"/>
      <c r="AR193" s="136" t="n"/>
    </row>
    <row r="194" ht="13.5" customHeight="1" s="196">
      <c r="A194" s="136" t="n"/>
      <c r="B194" s="136" t="n"/>
      <c r="C194" s="136" t="n"/>
      <c r="D194" s="141" t="n"/>
      <c r="E194" s="141" t="n"/>
      <c r="F194" s="141" t="n"/>
      <c r="G194" s="141" t="n"/>
      <c r="H194" s="141" t="n"/>
      <c r="I194" s="141" t="n"/>
      <c r="J194" s="141" t="n"/>
      <c r="K194" s="141" t="n"/>
      <c r="L194" s="141" t="n"/>
      <c r="M194" s="141" t="n"/>
      <c r="N194" s="141" t="n"/>
      <c r="O194" s="141" t="n"/>
      <c r="P194" s="141" t="n"/>
      <c r="Q194" s="141" t="n"/>
      <c r="R194" s="141" t="n"/>
      <c r="S194" s="141" t="n"/>
      <c r="T194" s="141" t="n"/>
      <c r="U194" s="141" t="n"/>
      <c r="V194" s="141" t="n"/>
      <c r="W194" s="141" t="n"/>
      <c r="X194" s="141" t="n"/>
      <c r="Y194" s="136" t="n"/>
      <c r="Z194" s="136" t="n"/>
      <c r="AA194" s="136" t="n"/>
      <c r="AB194" s="136" t="n"/>
      <c r="AC194" s="136" t="n"/>
      <c r="AD194" s="136" t="n"/>
      <c r="AE194" s="136" t="n"/>
      <c r="AF194" s="136" t="n"/>
      <c r="AG194" s="136" t="n"/>
      <c r="AH194" s="136" t="n"/>
      <c r="AI194" s="136" t="n"/>
      <c r="AJ194" s="136" t="n"/>
      <c r="AK194" s="136" t="n"/>
      <c r="AL194" s="136" t="n"/>
      <c r="AM194" s="136" t="n"/>
      <c r="AN194" s="136" t="n"/>
      <c r="AO194" s="136" t="n"/>
      <c r="AP194" s="136" t="n"/>
      <c r="AQ194" s="136" t="n"/>
      <c r="AR194" s="136" t="n"/>
    </row>
    <row r="195" ht="13.5" customHeight="1" s="196">
      <c r="A195" s="136" t="n"/>
      <c r="B195" s="136" t="n"/>
      <c r="C195" s="136" t="n"/>
      <c r="D195" s="141" t="n"/>
      <c r="E195" s="141" t="n"/>
      <c r="F195" s="141" t="n"/>
      <c r="G195" s="141" t="n"/>
      <c r="H195" s="141" t="n"/>
      <c r="I195" s="141" t="n"/>
      <c r="J195" s="141" t="n"/>
      <c r="K195" s="141" t="n"/>
      <c r="L195" s="141" t="n"/>
      <c r="M195" s="141" t="n"/>
      <c r="N195" s="141" t="n"/>
      <c r="O195" s="141" t="n"/>
      <c r="P195" s="141" t="n"/>
      <c r="Q195" s="141" t="n"/>
      <c r="R195" s="141" t="n"/>
      <c r="S195" s="141" t="n"/>
      <c r="T195" s="141" t="n"/>
      <c r="U195" s="141" t="n"/>
      <c r="V195" s="141" t="n"/>
      <c r="W195" s="141" t="n"/>
      <c r="X195" s="141" t="n"/>
      <c r="Y195" s="136" t="n"/>
      <c r="Z195" s="136" t="n"/>
      <c r="AA195" s="136" t="n"/>
      <c r="AB195" s="136" t="n"/>
      <c r="AC195" s="136" t="n"/>
      <c r="AD195" s="136" t="n"/>
      <c r="AE195" s="136" t="n"/>
      <c r="AF195" s="136" t="n"/>
      <c r="AG195" s="136" t="n"/>
      <c r="AH195" s="136" t="n"/>
      <c r="AI195" s="136" t="n"/>
      <c r="AJ195" s="136" t="n"/>
      <c r="AK195" s="136" t="n"/>
      <c r="AL195" s="136" t="n"/>
      <c r="AM195" s="136" t="n"/>
      <c r="AN195" s="136" t="n"/>
      <c r="AO195" s="136" t="n"/>
      <c r="AP195" s="136" t="n"/>
      <c r="AQ195" s="136" t="n"/>
      <c r="AR195" s="136" t="n"/>
    </row>
    <row r="196" ht="13.5" customHeight="1" s="196">
      <c r="A196" s="136" t="n"/>
      <c r="B196" s="136" t="n"/>
      <c r="C196" s="136" t="n"/>
      <c r="D196" s="141" t="n"/>
      <c r="E196" s="141" t="n"/>
      <c r="F196" s="141" t="n"/>
      <c r="G196" s="141" t="n"/>
      <c r="H196" s="141" t="n"/>
      <c r="I196" s="141" t="n"/>
      <c r="J196" s="141" t="n"/>
      <c r="K196" s="141" t="n"/>
      <c r="L196" s="141" t="n"/>
      <c r="M196" s="141" t="n"/>
      <c r="N196" s="141" t="n"/>
      <c r="O196" s="141" t="n"/>
      <c r="P196" s="141" t="n"/>
      <c r="Q196" s="141" t="n"/>
      <c r="R196" s="141" t="n"/>
      <c r="S196" s="141" t="n"/>
      <c r="T196" s="141" t="n"/>
      <c r="U196" s="141" t="n"/>
      <c r="V196" s="141" t="n"/>
      <c r="W196" s="141" t="n"/>
      <c r="X196" s="141" t="n"/>
      <c r="Y196" s="136" t="n"/>
      <c r="Z196" s="136" t="n"/>
      <c r="AA196" s="136" t="n"/>
      <c r="AB196" s="136" t="n"/>
      <c r="AC196" s="136" t="n"/>
      <c r="AD196" s="136" t="n"/>
      <c r="AE196" s="136" t="n"/>
      <c r="AF196" s="136" t="n"/>
      <c r="AG196" s="136" t="n"/>
      <c r="AH196" s="136" t="n"/>
      <c r="AI196" s="136" t="n"/>
      <c r="AJ196" s="136" t="n"/>
      <c r="AK196" s="136" t="n"/>
      <c r="AL196" s="136" t="n"/>
      <c r="AM196" s="136" t="n"/>
      <c r="AN196" s="136" t="n"/>
      <c r="AO196" s="136" t="n"/>
      <c r="AP196" s="136" t="n"/>
      <c r="AQ196" s="136" t="n"/>
      <c r="AR196" s="136" t="n"/>
    </row>
    <row r="197" ht="13.5" customHeight="1" s="196">
      <c r="A197" s="136" t="n"/>
      <c r="B197" s="136" t="n"/>
      <c r="C197" s="136" t="n"/>
      <c r="D197" s="141" t="n"/>
      <c r="E197" s="141" t="n"/>
      <c r="F197" s="141" t="n"/>
      <c r="G197" s="141" t="n"/>
      <c r="H197" s="141" t="n"/>
      <c r="I197" s="141" t="n"/>
      <c r="J197" s="141" t="n"/>
      <c r="K197" s="141" t="n"/>
      <c r="L197" s="141" t="n"/>
      <c r="M197" s="141" t="n"/>
      <c r="N197" s="141" t="n"/>
      <c r="O197" s="141" t="n"/>
      <c r="P197" s="141" t="n"/>
      <c r="Q197" s="141" t="n"/>
      <c r="R197" s="141" t="n"/>
      <c r="S197" s="141" t="n"/>
      <c r="T197" s="141" t="n"/>
      <c r="U197" s="141" t="n"/>
      <c r="V197" s="141" t="n"/>
      <c r="W197" s="141" t="n"/>
      <c r="X197" s="141" t="n"/>
      <c r="Y197" s="136" t="n"/>
      <c r="Z197" s="136" t="n"/>
      <c r="AA197" s="136" t="n"/>
      <c r="AB197" s="136" t="n"/>
      <c r="AC197" s="136" t="n"/>
      <c r="AD197" s="136" t="n"/>
      <c r="AE197" s="136" t="n"/>
      <c r="AF197" s="136" t="n"/>
      <c r="AG197" s="136" t="n"/>
      <c r="AH197" s="136" t="n"/>
      <c r="AI197" s="136" t="n"/>
      <c r="AJ197" s="136" t="n"/>
      <c r="AK197" s="136" t="n"/>
      <c r="AL197" s="136" t="n"/>
      <c r="AM197" s="136" t="n"/>
      <c r="AN197" s="136" t="n"/>
      <c r="AO197" s="136" t="n"/>
      <c r="AP197" s="136" t="n"/>
      <c r="AQ197" s="136" t="n"/>
      <c r="AR197" s="136" t="n"/>
    </row>
    <row r="198" ht="13.5" customHeight="1" s="196">
      <c r="A198" s="136" t="n"/>
      <c r="B198" s="136" t="n"/>
      <c r="C198" s="136" t="n"/>
      <c r="D198" s="141" t="n"/>
      <c r="E198" s="141" t="n"/>
      <c r="F198" s="141" t="n"/>
      <c r="G198" s="141" t="n"/>
      <c r="H198" s="141" t="n"/>
      <c r="I198" s="141" t="n"/>
      <c r="J198" s="141" t="n"/>
      <c r="K198" s="141" t="n"/>
      <c r="L198" s="141" t="n"/>
      <c r="M198" s="141" t="n"/>
      <c r="N198" s="141" t="n"/>
      <c r="O198" s="141" t="n"/>
      <c r="P198" s="141" t="n"/>
      <c r="Q198" s="141" t="n"/>
      <c r="R198" s="141" t="n"/>
      <c r="S198" s="141" t="n"/>
      <c r="T198" s="141" t="n"/>
      <c r="U198" s="141" t="n"/>
      <c r="V198" s="141" t="n"/>
      <c r="W198" s="141" t="n"/>
      <c r="X198" s="141" t="n"/>
      <c r="Y198" s="136" t="n"/>
      <c r="Z198" s="136" t="n"/>
      <c r="AA198" s="136" t="n"/>
      <c r="AB198" s="136" t="n"/>
      <c r="AC198" s="136" t="n"/>
      <c r="AD198" s="136" t="n"/>
      <c r="AE198" s="136" t="n"/>
      <c r="AF198" s="136" t="n"/>
      <c r="AG198" s="136" t="n"/>
      <c r="AH198" s="136" t="n"/>
      <c r="AI198" s="136" t="n"/>
      <c r="AJ198" s="136" t="n"/>
      <c r="AK198" s="136" t="n"/>
      <c r="AL198" s="136" t="n"/>
      <c r="AM198" s="136" t="n"/>
      <c r="AN198" s="136" t="n"/>
      <c r="AO198" s="136" t="n"/>
      <c r="AP198" s="136" t="n"/>
      <c r="AQ198" s="136" t="n"/>
      <c r="AR198" s="136" t="n"/>
    </row>
    <row r="199" ht="13.5" customHeight="1" s="196">
      <c r="A199" s="136" t="n"/>
      <c r="B199" s="136" t="n"/>
      <c r="C199" s="136" t="n"/>
      <c r="D199" s="141" t="n"/>
      <c r="E199" s="141" t="n"/>
      <c r="F199" s="141" t="n"/>
      <c r="G199" s="141" t="n"/>
      <c r="H199" s="141" t="n"/>
      <c r="I199" s="141" t="n"/>
      <c r="J199" s="141" t="n"/>
      <c r="K199" s="141" t="n"/>
      <c r="L199" s="141" t="n"/>
      <c r="M199" s="141" t="n"/>
      <c r="N199" s="141" t="n"/>
      <c r="O199" s="141" t="n"/>
      <c r="P199" s="141" t="n"/>
      <c r="Q199" s="141" t="n"/>
      <c r="R199" s="141" t="n"/>
      <c r="S199" s="141" t="n"/>
      <c r="T199" s="141" t="n"/>
      <c r="U199" s="141" t="n"/>
      <c r="V199" s="141" t="n"/>
      <c r="W199" s="141" t="n"/>
      <c r="X199" s="141" t="n"/>
      <c r="Y199" s="136" t="n"/>
      <c r="Z199" s="136" t="n"/>
      <c r="AA199" s="136" t="n"/>
      <c r="AB199" s="136" t="n"/>
      <c r="AC199" s="136" t="n"/>
      <c r="AD199" s="136" t="n"/>
      <c r="AE199" s="136" t="n"/>
      <c r="AF199" s="136" t="n"/>
      <c r="AG199" s="136" t="n"/>
      <c r="AH199" s="136" t="n"/>
      <c r="AI199" s="136" t="n"/>
      <c r="AJ199" s="136" t="n"/>
      <c r="AK199" s="136" t="n"/>
      <c r="AL199" s="136" t="n"/>
      <c r="AM199" s="136" t="n"/>
      <c r="AN199" s="136" t="n"/>
      <c r="AO199" s="136" t="n"/>
      <c r="AP199" s="136" t="n"/>
      <c r="AQ199" s="136" t="n"/>
      <c r="AR199" s="136" t="n"/>
    </row>
    <row r="200" ht="13.5" customHeight="1" s="196">
      <c r="A200" s="136" t="n"/>
      <c r="B200" s="136" t="n"/>
      <c r="C200" s="136" t="n"/>
      <c r="D200" s="141" t="n"/>
      <c r="E200" s="141" t="n"/>
      <c r="F200" s="141" t="n"/>
      <c r="G200" s="141" t="n"/>
      <c r="H200" s="141" t="n"/>
      <c r="I200" s="141" t="n"/>
      <c r="J200" s="141" t="n"/>
      <c r="K200" s="141" t="n"/>
      <c r="L200" s="141" t="n"/>
      <c r="M200" s="141" t="n"/>
      <c r="N200" s="141" t="n"/>
      <c r="O200" s="141" t="n"/>
      <c r="P200" s="141" t="n"/>
      <c r="Q200" s="141" t="n"/>
      <c r="R200" s="141" t="n"/>
      <c r="S200" s="141" t="n"/>
      <c r="T200" s="141" t="n"/>
      <c r="U200" s="141" t="n"/>
      <c r="V200" s="141" t="n"/>
      <c r="W200" s="141" t="n"/>
      <c r="X200" s="141" t="n"/>
      <c r="Y200" s="136" t="n"/>
      <c r="Z200" s="136" t="n"/>
      <c r="AA200" s="136" t="n"/>
      <c r="AB200" s="136" t="n"/>
      <c r="AC200" s="136" t="n"/>
      <c r="AD200" s="136" t="n"/>
      <c r="AE200" s="136" t="n"/>
      <c r="AF200" s="136" t="n"/>
      <c r="AG200" s="136" t="n"/>
      <c r="AH200" s="136" t="n"/>
      <c r="AI200" s="136" t="n"/>
      <c r="AJ200" s="136" t="n"/>
      <c r="AK200" s="136" t="n"/>
      <c r="AL200" s="136" t="n"/>
      <c r="AM200" s="136" t="n"/>
      <c r="AN200" s="136" t="n"/>
      <c r="AO200" s="136" t="n"/>
      <c r="AP200" s="136" t="n"/>
      <c r="AQ200" s="136" t="n"/>
      <c r="AR200" s="136" t="n"/>
    </row>
    <row r="201" ht="13.5" customHeight="1" s="196">
      <c r="A201" s="136" t="n"/>
      <c r="B201" s="136" t="n"/>
      <c r="C201" s="136" t="n"/>
      <c r="D201" s="141" t="n"/>
      <c r="E201" s="141" t="n"/>
      <c r="F201" s="141" t="n"/>
      <c r="G201" s="141" t="n"/>
      <c r="H201" s="141" t="n"/>
      <c r="I201" s="141" t="n"/>
      <c r="J201" s="141" t="n"/>
      <c r="K201" s="141" t="n"/>
      <c r="L201" s="141" t="n"/>
      <c r="M201" s="141" t="n"/>
      <c r="N201" s="141" t="n"/>
      <c r="O201" s="141" t="n"/>
      <c r="P201" s="141" t="n"/>
      <c r="Q201" s="141" t="n"/>
      <c r="R201" s="141" t="n"/>
      <c r="S201" s="141" t="n"/>
      <c r="T201" s="141" t="n"/>
      <c r="U201" s="141" t="n"/>
      <c r="V201" s="141" t="n"/>
      <c r="W201" s="141" t="n"/>
      <c r="X201" s="141" t="n"/>
      <c r="Y201" s="136" t="n"/>
      <c r="Z201" s="136" t="n"/>
      <c r="AA201" s="136" t="n"/>
      <c r="AB201" s="136" t="n"/>
      <c r="AC201" s="136" t="n"/>
      <c r="AD201" s="136" t="n"/>
      <c r="AE201" s="136" t="n"/>
      <c r="AF201" s="136" t="n"/>
      <c r="AG201" s="136" t="n"/>
      <c r="AH201" s="136" t="n"/>
      <c r="AI201" s="136" t="n"/>
      <c r="AJ201" s="136" t="n"/>
      <c r="AK201" s="136" t="n"/>
      <c r="AL201" s="136" t="n"/>
      <c r="AM201" s="136" t="n"/>
      <c r="AN201" s="136" t="n"/>
      <c r="AO201" s="136" t="n"/>
      <c r="AP201" s="136" t="n"/>
      <c r="AQ201" s="136" t="n"/>
      <c r="AR201" s="136" t="n"/>
    </row>
    <row r="202" ht="13.5" customHeight="1" s="196">
      <c r="A202" s="136" t="n"/>
      <c r="B202" s="136" t="n"/>
      <c r="C202" s="136" t="n"/>
      <c r="D202" s="141" t="n"/>
      <c r="E202" s="141" t="n"/>
      <c r="F202" s="141" t="n"/>
      <c r="G202" s="141" t="n"/>
      <c r="H202" s="141" t="n"/>
      <c r="I202" s="141" t="n"/>
      <c r="J202" s="141" t="n"/>
      <c r="K202" s="141" t="n"/>
      <c r="L202" s="141" t="n"/>
      <c r="M202" s="141" t="n"/>
      <c r="N202" s="141" t="n"/>
      <c r="O202" s="141" t="n"/>
      <c r="P202" s="141" t="n"/>
      <c r="Q202" s="141" t="n"/>
      <c r="R202" s="141" t="n"/>
      <c r="S202" s="141" t="n"/>
      <c r="T202" s="141" t="n"/>
      <c r="U202" s="141" t="n"/>
      <c r="V202" s="141" t="n"/>
      <c r="W202" s="141" t="n"/>
      <c r="X202" s="141" t="n"/>
      <c r="Y202" s="136" t="n"/>
      <c r="Z202" s="136" t="n"/>
      <c r="AA202" s="136" t="n"/>
      <c r="AB202" s="136" t="n"/>
      <c r="AC202" s="136" t="n"/>
      <c r="AD202" s="136" t="n"/>
      <c r="AE202" s="136" t="n"/>
      <c r="AF202" s="136" t="n"/>
      <c r="AG202" s="136" t="n"/>
      <c r="AH202" s="136" t="n"/>
      <c r="AI202" s="136" t="n"/>
      <c r="AJ202" s="136" t="n"/>
      <c r="AK202" s="136" t="n"/>
      <c r="AL202" s="136" t="n"/>
      <c r="AM202" s="136" t="n"/>
      <c r="AN202" s="136" t="n"/>
      <c r="AO202" s="136" t="n"/>
      <c r="AP202" s="136" t="n"/>
      <c r="AQ202" s="136" t="n"/>
      <c r="AR202" s="136" t="n"/>
    </row>
    <row r="203" ht="13.5" customHeight="1" s="196">
      <c r="A203" s="136" t="n"/>
      <c r="B203" s="136" t="n"/>
      <c r="C203" s="136" t="n"/>
      <c r="D203" s="141" t="n"/>
      <c r="E203" s="141" t="n"/>
      <c r="F203" s="141" t="n"/>
      <c r="G203" s="141" t="n"/>
      <c r="H203" s="141" t="n"/>
      <c r="I203" s="141" t="n"/>
      <c r="J203" s="141" t="n"/>
      <c r="K203" s="141" t="n"/>
      <c r="L203" s="141" t="n"/>
      <c r="M203" s="141" t="n"/>
      <c r="N203" s="141" t="n"/>
      <c r="O203" s="141" t="n"/>
      <c r="P203" s="141" t="n"/>
      <c r="Q203" s="141" t="n"/>
      <c r="R203" s="141" t="n"/>
      <c r="S203" s="141" t="n"/>
      <c r="T203" s="141" t="n"/>
      <c r="U203" s="141" t="n"/>
      <c r="V203" s="141" t="n"/>
      <c r="W203" s="141" t="n"/>
      <c r="X203" s="141" t="n"/>
      <c r="Y203" s="136" t="n"/>
      <c r="Z203" s="136" t="n"/>
      <c r="AA203" s="136" t="n"/>
      <c r="AB203" s="136" t="n"/>
      <c r="AC203" s="136" t="n"/>
      <c r="AD203" s="136" t="n"/>
      <c r="AE203" s="136" t="n"/>
      <c r="AF203" s="136" t="n"/>
      <c r="AG203" s="136" t="n"/>
      <c r="AH203" s="136" t="n"/>
      <c r="AI203" s="136" t="n"/>
      <c r="AJ203" s="136" t="n"/>
      <c r="AK203" s="136" t="n"/>
      <c r="AL203" s="136" t="n"/>
      <c r="AM203" s="136" t="n"/>
      <c r="AN203" s="136" t="n"/>
      <c r="AO203" s="136" t="n"/>
      <c r="AP203" s="136" t="n"/>
      <c r="AQ203" s="136" t="n"/>
      <c r="AR203" s="136" t="n"/>
    </row>
    <row r="204" ht="13.5" customHeight="1" s="196">
      <c r="A204" s="136" t="n"/>
      <c r="B204" s="136" t="n"/>
      <c r="C204" s="136" t="n"/>
      <c r="D204" s="141" t="n"/>
      <c r="E204" s="141" t="n"/>
      <c r="F204" s="141" t="n"/>
      <c r="G204" s="141" t="n"/>
      <c r="H204" s="141" t="n"/>
      <c r="I204" s="141" t="n"/>
      <c r="J204" s="141" t="n"/>
      <c r="K204" s="141" t="n"/>
      <c r="L204" s="141" t="n"/>
      <c r="M204" s="141" t="n"/>
      <c r="N204" s="141" t="n"/>
      <c r="O204" s="141" t="n"/>
      <c r="P204" s="141" t="n"/>
      <c r="Q204" s="141" t="n"/>
      <c r="R204" s="141" t="n"/>
      <c r="S204" s="141" t="n"/>
      <c r="T204" s="141" t="n"/>
      <c r="U204" s="141" t="n"/>
      <c r="V204" s="141" t="n"/>
      <c r="W204" s="141" t="n"/>
      <c r="X204" s="141" t="n"/>
      <c r="Y204" s="136" t="n"/>
      <c r="Z204" s="136" t="n"/>
      <c r="AA204" s="136" t="n"/>
      <c r="AB204" s="136" t="n"/>
      <c r="AC204" s="136" t="n"/>
      <c r="AD204" s="136" t="n"/>
      <c r="AE204" s="136" t="n"/>
      <c r="AF204" s="136" t="n"/>
      <c r="AG204" s="136" t="n"/>
      <c r="AH204" s="136" t="n"/>
      <c r="AI204" s="136" t="n"/>
      <c r="AJ204" s="136" t="n"/>
      <c r="AK204" s="136" t="n"/>
      <c r="AL204" s="136" t="n"/>
      <c r="AM204" s="136" t="n"/>
      <c r="AN204" s="136" t="n"/>
      <c r="AO204" s="136" t="n"/>
      <c r="AP204" s="136" t="n"/>
      <c r="AQ204" s="136" t="n"/>
      <c r="AR204" s="136" t="n"/>
    </row>
    <row r="205" ht="13.5" customHeight="1" s="196">
      <c r="A205" s="136" t="n"/>
      <c r="B205" s="136" t="n"/>
      <c r="C205" s="136" t="n"/>
      <c r="D205" s="141" t="n"/>
      <c r="E205" s="141" t="n"/>
      <c r="F205" s="141" t="n"/>
      <c r="G205" s="141" t="n"/>
      <c r="H205" s="141" t="n"/>
      <c r="I205" s="141" t="n"/>
      <c r="J205" s="141" t="n"/>
      <c r="K205" s="141" t="n"/>
      <c r="L205" s="141" t="n"/>
      <c r="M205" s="141" t="n"/>
      <c r="N205" s="141" t="n"/>
      <c r="O205" s="141" t="n"/>
      <c r="P205" s="141" t="n"/>
      <c r="Q205" s="141" t="n"/>
      <c r="R205" s="141" t="n"/>
      <c r="S205" s="141" t="n"/>
      <c r="T205" s="141" t="n"/>
      <c r="U205" s="141" t="n"/>
      <c r="V205" s="141" t="n"/>
      <c r="W205" s="141" t="n"/>
      <c r="X205" s="141" t="n"/>
      <c r="Y205" s="136" t="n"/>
      <c r="Z205" s="136" t="n"/>
      <c r="AA205" s="136" t="n"/>
      <c r="AB205" s="136" t="n"/>
      <c r="AC205" s="136" t="n"/>
      <c r="AD205" s="136" t="n"/>
      <c r="AE205" s="136" t="n"/>
      <c r="AF205" s="136" t="n"/>
      <c r="AG205" s="136" t="n"/>
      <c r="AH205" s="136" t="n"/>
      <c r="AI205" s="136" t="n"/>
      <c r="AJ205" s="136" t="n"/>
      <c r="AK205" s="136" t="n"/>
      <c r="AL205" s="136" t="n"/>
      <c r="AM205" s="136" t="n"/>
      <c r="AN205" s="136" t="n"/>
      <c r="AO205" s="136" t="n"/>
      <c r="AP205" s="136" t="n"/>
      <c r="AQ205" s="136" t="n"/>
      <c r="AR205" s="136" t="n"/>
    </row>
    <row r="206" ht="13.5" customHeight="1" s="196">
      <c r="A206" s="136" t="n"/>
      <c r="B206" s="136" t="n"/>
      <c r="C206" s="136" t="n"/>
      <c r="D206" s="141" t="n"/>
      <c r="E206" s="141" t="n"/>
      <c r="F206" s="141" t="n"/>
      <c r="G206" s="141" t="n"/>
      <c r="H206" s="141" t="n"/>
      <c r="I206" s="141" t="n"/>
      <c r="J206" s="141" t="n"/>
      <c r="K206" s="141" t="n"/>
      <c r="L206" s="141" t="n"/>
      <c r="M206" s="141" t="n"/>
      <c r="N206" s="141" t="n"/>
      <c r="O206" s="141" t="n"/>
      <c r="P206" s="141" t="n"/>
      <c r="Q206" s="141" t="n"/>
      <c r="R206" s="141" t="n"/>
      <c r="S206" s="141" t="n"/>
      <c r="T206" s="141" t="n"/>
      <c r="U206" s="141" t="n"/>
      <c r="V206" s="141" t="n"/>
      <c r="W206" s="141" t="n"/>
      <c r="X206" s="141" t="n"/>
      <c r="Y206" s="136" t="n"/>
      <c r="Z206" s="136" t="n"/>
      <c r="AA206" s="136" t="n"/>
      <c r="AB206" s="136" t="n"/>
      <c r="AC206" s="136" t="n"/>
      <c r="AD206" s="136" t="n"/>
      <c r="AE206" s="136" t="n"/>
      <c r="AF206" s="136" t="n"/>
      <c r="AG206" s="136" t="n"/>
      <c r="AH206" s="136" t="n"/>
      <c r="AI206" s="136" t="n"/>
      <c r="AJ206" s="136" t="n"/>
      <c r="AK206" s="136" t="n"/>
      <c r="AL206" s="136" t="n"/>
      <c r="AM206" s="136" t="n"/>
      <c r="AN206" s="136" t="n"/>
      <c r="AO206" s="136" t="n"/>
      <c r="AP206" s="136" t="n"/>
      <c r="AQ206" s="136" t="n"/>
      <c r="AR206" s="136" t="n"/>
    </row>
    <row r="207" ht="13.5" customHeight="1" s="196">
      <c r="A207" s="136" t="n"/>
      <c r="B207" s="136" t="n"/>
      <c r="C207" s="136" t="n"/>
      <c r="D207" s="141" t="n"/>
      <c r="E207" s="141" t="n"/>
      <c r="F207" s="141" t="n"/>
      <c r="G207" s="141" t="n"/>
      <c r="H207" s="141" t="n"/>
      <c r="I207" s="141" t="n"/>
      <c r="J207" s="141" t="n"/>
      <c r="K207" s="141" t="n"/>
      <c r="L207" s="141" t="n"/>
      <c r="M207" s="141" t="n"/>
      <c r="N207" s="141" t="n"/>
      <c r="O207" s="141" t="n"/>
      <c r="P207" s="141" t="n"/>
      <c r="Q207" s="141" t="n"/>
      <c r="R207" s="141" t="n"/>
      <c r="S207" s="141" t="n"/>
      <c r="T207" s="141" t="n"/>
      <c r="U207" s="141" t="n"/>
      <c r="V207" s="141" t="n"/>
      <c r="W207" s="141" t="n"/>
      <c r="X207" s="141" t="n"/>
      <c r="Y207" s="136" t="n"/>
      <c r="Z207" s="136" t="n"/>
      <c r="AA207" s="136" t="n"/>
      <c r="AB207" s="136" t="n"/>
      <c r="AC207" s="136" t="n"/>
      <c r="AD207" s="136" t="n"/>
      <c r="AE207" s="136" t="n"/>
      <c r="AF207" s="136" t="n"/>
      <c r="AG207" s="136" t="n"/>
      <c r="AH207" s="136" t="n"/>
      <c r="AI207" s="136" t="n"/>
      <c r="AJ207" s="136" t="n"/>
      <c r="AK207" s="136" t="n"/>
      <c r="AL207" s="136" t="n"/>
      <c r="AM207" s="136" t="n"/>
      <c r="AN207" s="136" t="n"/>
      <c r="AO207" s="136" t="n"/>
      <c r="AP207" s="136" t="n"/>
      <c r="AQ207" s="136" t="n"/>
      <c r="AR207" s="136" t="n"/>
    </row>
    <row r="208" ht="13.5" customHeight="1" s="196">
      <c r="A208" s="136" t="n"/>
      <c r="B208" s="136" t="n"/>
      <c r="C208" s="136" t="n"/>
      <c r="D208" s="141" t="n"/>
      <c r="E208" s="141" t="n"/>
      <c r="F208" s="141" t="n"/>
      <c r="G208" s="141" t="n"/>
      <c r="H208" s="141" t="n"/>
      <c r="I208" s="141" t="n"/>
      <c r="J208" s="141" t="n"/>
      <c r="K208" s="141" t="n"/>
      <c r="L208" s="141" t="n"/>
      <c r="M208" s="141" t="n"/>
      <c r="N208" s="141" t="n"/>
      <c r="O208" s="141" t="n"/>
      <c r="P208" s="141" t="n"/>
      <c r="Q208" s="141" t="n"/>
      <c r="R208" s="141" t="n"/>
      <c r="S208" s="141" t="n"/>
      <c r="T208" s="141" t="n"/>
      <c r="U208" s="141" t="n"/>
      <c r="V208" s="141" t="n"/>
      <c r="W208" s="141" t="n"/>
      <c r="X208" s="141" t="n"/>
      <c r="Y208" s="136" t="n"/>
      <c r="Z208" s="136" t="n"/>
      <c r="AA208" s="136" t="n"/>
      <c r="AB208" s="136" t="n"/>
      <c r="AC208" s="136" t="n"/>
      <c r="AD208" s="136" t="n"/>
      <c r="AE208" s="136" t="n"/>
      <c r="AF208" s="136" t="n"/>
      <c r="AG208" s="136" t="n"/>
      <c r="AH208" s="136" t="n"/>
      <c r="AI208" s="136" t="n"/>
      <c r="AJ208" s="136" t="n"/>
      <c r="AK208" s="136" t="n"/>
      <c r="AL208" s="136" t="n"/>
      <c r="AM208" s="136" t="n"/>
      <c r="AN208" s="136" t="n"/>
      <c r="AO208" s="136" t="n"/>
      <c r="AP208" s="136" t="n"/>
      <c r="AQ208" s="136" t="n"/>
      <c r="AR208" s="136" t="n"/>
    </row>
    <row r="209" ht="13.5" customHeight="1" s="196">
      <c r="A209" s="136" t="n"/>
      <c r="B209" s="136" t="n"/>
      <c r="C209" s="136" t="n"/>
      <c r="D209" s="141" t="n"/>
      <c r="E209" s="141" t="n"/>
      <c r="F209" s="141" t="n"/>
      <c r="G209" s="141" t="n"/>
      <c r="H209" s="141" t="n"/>
      <c r="I209" s="141" t="n"/>
      <c r="J209" s="141" t="n"/>
      <c r="K209" s="141" t="n"/>
      <c r="L209" s="141" t="n"/>
      <c r="M209" s="141" t="n"/>
      <c r="N209" s="141" t="n"/>
      <c r="O209" s="141" t="n"/>
      <c r="P209" s="141" t="n"/>
      <c r="Q209" s="141" t="n"/>
      <c r="R209" s="141" t="n"/>
      <c r="S209" s="141" t="n"/>
      <c r="T209" s="141" t="n"/>
      <c r="U209" s="141" t="n"/>
      <c r="V209" s="141" t="n"/>
      <c r="W209" s="141" t="n"/>
      <c r="X209" s="141" t="n"/>
      <c r="Y209" s="136" t="n"/>
      <c r="Z209" s="136" t="n"/>
      <c r="AA209" s="136" t="n"/>
      <c r="AB209" s="136" t="n"/>
      <c r="AC209" s="136" t="n"/>
      <c r="AD209" s="136" t="n"/>
      <c r="AE209" s="136" t="n"/>
      <c r="AF209" s="136" t="n"/>
      <c r="AG209" s="136" t="n"/>
      <c r="AH209" s="136" t="n"/>
      <c r="AI209" s="136" t="n"/>
      <c r="AJ209" s="136" t="n"/>
      <c r="AK209" s="136" t="n"/>
      <c r="AL209" s="136" t="n"/>
      <c r="AM209" s="136" t="n"/>
      <c r="AN209" s="136" t="n"/>
      <c r="AO209" s="136" t="n"/>
      <c r="AP209" s="136" t="n"/>
      <c r="AQ209" s="136" t="n"/>
      <c r="AR209" s="136" t="n"/>
    </row>
    <row r="210" ht="13.5" customHeight="1" s="196">
      <c r="A210" s="136" t="n"/>
      <c r="B210" s="136" t="n"/>
      <c r="C210" s="136" t="n"/>
      <c r="D210" s="141" t="n"/>
      <c r="E210" s="141" t="n"/>
      <c r="F210" s="141" t="n"/>
      <c r="G210" s="141" t="n"/>
      <c r="H210" s="141" t="n"/>
      <c r="I210" s="141" t="n"/>
      <c r="J210" s="141" t="n"/>
      <c r="K210" s="141" t="n"/>
      <c r="L210" s="141" t="n"/>
      <c r="M210" s="141" t="n"/>
      <c r="N210" s="141" t="n"/>
      <c r="O210" s="141" t="n"/>
      <c r="P210" s="141" t="n"/>
      <c r="Q210" s="141" t="n"/>
      <c r="R210" s="141" t="n"/>
      <c r="S210" s="141" t="n"/>
      <c r="T210" s="141" t="n"/>
      <c r="U210" s="141" t="n"/>
      <c r="V210" s="141" t="n"/>
      <c r="W210" s="141" t="n"/>
      <c r="X210" s="141" t="n"/>
      <c r="Y210" s="136" t="n"/>
      <c r="Z210" s="136" t="n"/>
      <c r="AA210" s="136" t="n"/>
      <c r="AB210" s="136" t="n"/>
      <c r="AC210" s="136" t="n"/>
      <c r="AD210" s="136" t="n"/>
      <c r="AE210" s="136" t="n"/>
      <c r="AF210" s="136" t="n"/>
      <c r="AG210" s="136" t="n"/>
      <c r="AH210" s="136" t="n"/>
      <c r="AI210" s="136" t="n"/>
      <c r="AJ210" s="136" t="n"/>
      <c r="AK210" s="136" t="n"/>
      <c r="AL210" s="136" t="n"/>
      <c r="AM210" s="136" t="n"/>
      <c r="AN210" s="136" t="n"/>
      <c r="AO210" s="136" t="n"/>
      <c r="AP210" s="136" t="n"/>
      <c r="AQ210" s="136" t="n"/>
      <c r="AR210" s="136" t="n"/>
    </row>
    <row r="211" ht="13.5" customHeight="1" s="196">
      <c r="A211" s="136" t="n"/>
      <c r="B211" s="136" t="n"/>
      <c r="C211" s="136" t="n"/>
      <c r="D211" s="141" t="n"/>
      <c r="E211" s="141" t="n"/>
      <c r="F211" s="141" t="n"/>
      <c r="G211" s="141" t="n"/>
      <c r="H211" s="141" t="n"/>
      <c r="I211" s="141" t="n"/>
      <c r="J211" s="141" t="n"/>
      <c r="K211" s="141" t="n"/>
      <c r="L211" s="141" t="n"/>
      <c r="M211" s="141" t="n"/>
      <c r="N211" s="141" t="n"/>
      <c r="O211" s="141" t="n"/>
      <c r="P211" s="141" t="n"/>
      <c r="Q211" s="141" t="n"/>
      <c r="R211" s="141" t="n"/>
      <c r="S211" s="141" t="n"/>
      <c r="T211" s="141" t="n"/>
      <c r="U211" s="141" t="n"/>
      <c r="V211" s="141" t="n"/>
      <c r="W211" s="141" t="n"/>
      <c r="X211" s="141" t="n"/>
      <c r="Y211" s="136" t="n"/>
      <c r="Z211" s="136" t="n"/>
      <c r="AA211" s="136" t="n"/>
      <c r="AB211" s="136" t="n"/>
      <c r="AC211" s="136" t="n"/>
      <c r="AD211" s="136" t="n"/>
      <c r="AE211" s="136" t="n"/>
      <c r="AF211" s="136" t="n"/>
      <c r="AG211" s="136" t="n"/>
      <c r="AH211" s="136" t="n"/>
      <c r="AI211" s="136" t="n"/>
      <c r="AJ211" s="136" t="n"/>
      <c r="AK211" s="136" t="n"/>
      <c r="AL211" s="136" t="n"/>
      <c r="AM211" s="136" t="n"/>
      <c r="AN211" s="136" t="n"/>
      <c r="AO211" s="136" t="n"/>
      <c r="AP211" s="136" t="n"/>
      <c r="AQ211" s="136" t="n"/>
      <c r="AR211" s="136" t="n"/>
    </row>
    <row r="212" ht="13.5" customHeight="1" s="196">
      <c r="A212" s="136" t="n"/>
      <c r="B212" s="136" t="n"/>
      <c r="C212" s="136" t="n"/>
      <c r="D212" s="141" t="n"/>
      <c r="E212" s="141" t="n"/>
      <c r="F212" s="141" t="n"/>
      <c r="G212" s="141" t="n"/>
      <c r="H212" s="141" t="n"/>
      <c r="I212" s="141" t="n"/>
      <c r="J212" s="141" t="n"/>
      <c r="K212" s="141" t="n"/>
      <c r="L212" s="141" t="n"/>
      <c r="M212" s="141" t="n"/>
      <c r="N212" s="141" t="n"/>
      <c r="O212" s="141" t="n"/>
      <c r="P212" s="141" t="n"/>
      <c r="Q212" s="141" t="n"/>
      <c r="R212" s="141" t="n"/>
      <c r="S212" s="141" t="n"/>
      <c r="T212" s="141" t="n"/>
      <c r="U212" s="141" t="n"/>
      <c r="V212" s="141" t="n"/>
      <c r="W212" s="141" t="n"/>
      <c r="X212" s="141" t="n"/>
      <c r="Y212" s="136" t="n"/>
      <c r="Z212" s="136" t="n"/>
      <c r="AA212" s="136" t="n"/>
      <c r="AB212" s="136" t="n"/>
      <c r="AC212" s="136" t="n"/>
      <c r="AD212" s="136" t="n"/>
      <c r="AE212" s="136" t="n"/>
      <c r="AF212" s="136" t="n"/>
      <c r="AG212" s="136" t="n"/>
      <c r="AH212" s="136" t="n"/>
      <c r="AI212" s="136" t="n"/>
      <c r="AJ212" s="136" t="n"/>
      <c r="AK212" s="136" t="n"/>
      <c r="AL212" s="136" t="n"/>
      <c r="AM212" s="136" t="n"/>
      <c r="AN212" s="136" t="n"/>
      <c r="AO212" s="136" t="n"/>
      <c r="AP212" s="136" t="n"/>
      <c r="AQ212" s="136" t="n"/>
      <c r="AR212" s="136" t="n"/>
    </row>
    <row r="213" ht="13.5" customHeight="1" s="196">
      <c r="A213" s="136" t="n"/>
      <c r="B213" s="136" t="n"/>
      <c r="C213" s="136" t="n"/>
      <c r="D213" s="141" t="n"/>
      <c r="E213" s="141" t="n"/>
      <c r="F213" s="141" t="n"/>
      <c r="G213" s="141" t="n"/>
      <c r="H213" s="141" t="n"/>
      <c r="I213" s="141" t="n"/>
      <c r="J213" s="141" t="n"/>
      <c r="K213" s="141" t="n"/>
      <c r="L213" s="141" t="n"/>
      <c r="M213" s="141" t="n"/>
      <c r="N213" s="141" t="n"/>
      <c r="O213" s="141" t="n"/>
      <c r="P213" s="141" t="n"/>
      <c r="Q213" s="141" t="n"/>
      <c r="R213" s="141" t="n"/>
      <c r="S213" s="141" t="n"/>
      <c r="T213" s="141" t="n"/>
      <c r="U213" s="141" t="n"/>
      <c r="V213" s="141" t="n"/>
      <c r="W213" s="141" t="n"/>
      <c r="X213" s="141" t="n"/>
      <c r="Y213" s="136" t="n"/>
      <c r="Z213" s="136" t="n"/>
      <c r="AA213" s="136" t="n"/>
      <c r="AB213" s="136" t="n"/>
      <c r="AC213" s="136" t="n"/>
      <c r="AD213" s="136" t="n"/>
      <c r="AE213" s="136" t="n"/>
      <c r="AF213" s="136" t="n"/>
      <c r="AG213" s="136" t="n"/>
      <c r="AH213" s="136" t="n"/>
      <c r="AI213" s="136" t="n"/>
      <c r="AJ213" s="136" t="n"/>
      <c r="AK213" s="136" t="n"/>
      <c r="AL213" s="136" t="n"/>
      <c r="AM213" s="136" t="n"/>
      <c r="AN213" s="136" t="n"/>
      <c r="AO213" s="136" t="n"/>
      <c r="AP213" s="136" t="n"/>
      <c r="AQ213" s="136" t="n"/>
      <c r="AR213" s="136" t="n"/>
    </row>
    <row r="214" ht="13.5" customHeight="1" s="196">
      <c r="A214" s="136" t="n"/>
      <c r="B214" s="136" t="n"/>
      <c r="C214" s="136" t="n"/>
      <c r="D214" s="141" t="n"/>
      <c r="E214" s="141" t="n"/>
      <c r="F214" s="141" t="n"/>
      <c r="G214" s="141" t="n"/>
      <c r="H214" s="141" t="n"/>
      <c r="I214" s="141" t="n"/>
      <c r="J214" s="141" t="n"/>
      <c r="K214" s="141" t="n"/>
      <c r="L214" s="141" t="n"/>
      <c r="M214" s="141" t="n"/>
      <c r="N214" s="141" t="n"/>
      <c r="O214" s="141" t="n"/>
      <c r="P214" s="141" t="n"/>
      <c r="Q214" s="141" t="n"/>
      <c r="R214" s="141" t="n"/>
      <c r="S214" s="141" t="n"/>
      <c r="T214" s="141" t="n"/>
      <c r="U214" s="141" t="n"/>
      <c r="V214" s="141" t="n"/>
      <c r="W214" s="141" t="n"/>
      <c r="X214" s="141" t="n"/>
      <c r="Y214" s="136" t="n"/>
      <c r="Z214" s="136" t="n"/>
      <c r="AA214" s="136" t="n"/>
      <c r="AB214" s="136" t="n"/>
      <c r="AC214" s="136" t="n"/>
      <c r="AD214" s="136" t="n"/>
      <c r="AE214" s="136" t="n"/>
      <c r="AF214" s="136" t="n"/>
      <c r="AG214" s="136" t="n"/>
      <c r="AH214" s="136" t="n"/>
      <c r="AI214" s="136" t="n"/>
      <c r="AJ214" s="136" t="n"/>
      <c r="AK214" s="136" t="n"/>
      <c r="AL214" s="136" t="n"/>
      <c r="AM214" s="136" t="n"/>
      <c r="AN214" s="136" t="n"/>
      <c r="AO214" s="136" t="n"/>
      <c r="AP214" s="136" t="n"/>
      <c r="AQ214" s="136" t="n"/>
      <c r="AR214" s="136" t="n"/>
    </row>
    <row r="215" ht="13.5" customHeight="1" s="196">
      <c r="A215" s="136" t="n"/>
      <c r="B215" s="136" t="n"/>
      <c r="C215" s="136" t="n"/>
      <c r="D215" s="141" t="n"/>
      <c r="E215" s="141" t="n"/>
      <c r="F215" s="141" t="n"/>
      <c r="G215" s="141" t="n"/>
      <c r="H215" s="141" t="n"/>
      <c r="I215" s="141" t="n"/>
      <c r="J215" s="141" t="n"/>
      <c r="K215" s="141" t="n"/>
      <c r="L215" s="141" t="n"/>
      <c r="M215" s="141" t="n"/>
      <c r="N215" s="141" t="n"/>
      <c r="O215" s="141" t="n"/>
      <c r="P215" s="141" t="n"/>
      <c r="Q215" s="141" t="n"/>
      <c r="R215" s="141" t="n"/>
      <c r="S215" s="141" t="n"/>
      <c r="T215" s="141" t="n"/>
      <c r="U215" s="141" t="n"/>
      <c r="V215" s="141" t="n"/>
      <c r="W215" s="141" t="n"/>
      <c r="X215" s="141" t="n"/>
      <c r="Y215" s="136" t="n"/>
      <c r="Z215" s="136" t="n"/>
      <c r="AA215" s="136" t="n"/>
      <c r="AB215" s="136" t="n"/>
      <c r="AC215" s="136" t="n"/>
      <c r="AD215" s="136" t="n"/>
      <c r="AE215" s="136" t="n"/>
      <c r="AF215" s="136" t="n"/>
      <c r="AG215" s="136" t="n"/>
      <c r="AH215" s="136" t="n"/>
      <c r="AI215" s="136" t="n"/>
      <c r="AJ215" s="136" t="n"/>
      <c r="AK215" s="136" t="n"/>
      <c r="AL215" s="136" t="n"/>
      <c r="AM215" s="136" t="n"/>
      <c r="AN215" s="136" t="n"/>
      <c r="AO215" s="136" t="n"/>
      <c r="AP215" s="136" t="n"/>
      <c r="AQ215" s="136" t="n"/>
      <c r="AR215" s="136" t="n"/>
    </row>
    <row r="216" ht="13.5" customHeight="1" s="196">
      <c r="A216" s="136" t="n"/>
      <c r="B216" s="136" t="n"/>
      <c r="C216" s="136" t="n"/>
      <c r="D216" s="141" t="n"/>
      <c r="E216" s="141" t="n"/>
      <c r="F216" s="141" t="n"/>
      <c r="G216" s="141" t="n"/>
      <c r="H216" s="141" t="n"/>
      <c r="I216" s="141" t="n"/>
      <c r="J216" s="141" t="n"/>
      <c r="K216" s="141" t="n"/>
      <c r="L216" s="141" t="n"/>
      <c r="M216" s="141" t="n"/>
      <c r="N216" s="141" t="n"/>
      <c r="O216" s="141" t="n"/>
      <c r="P216" s="141" t="n"/>
      <c r="Q216" s="141" t="n"/>
      <c r="R216" s="141" t="n"/>
      <c r="S216" s="141" t="n"/>
      <c r="T216" s="141" t="n"/>
      <c r="U216" s="141" t="n"/>
      <c r="V216" s="141" t="n"/>
      <c r="W216" s="141" t="n"/>
      <c r="X216" s="141" t="n"/>
      <c r="Y216" s="136" t="n"/>
      <c r="Z216" s="136" t="n"/>
      <c r="AA216" s="136" t="n"/>
      <c r="AB216" s="136" t="n"/>
      <c r="AC216" s="136" t="n"/>
      <c r="AD216" s="136" t="n"/>
      <c r="AE216" s="136" t="n"/>
      <c r="AF216" s="136" t="n"/>
      <c r="AG216" s="136" t="n"/>
      <c r="AH216" s="136" t="n"/>
      <c r="AI216" s="136" t="n"/>
      <c r="AJ216" s="136" t="n"/>
      <c r="AK216" s="136" t="n"/>
      <c r="AL216" s="136" t="n"/>
      <c r="AM216" s="136" t="n"/>
      <c r="AN216" s="136" t="n"/>
      <c r="AO216" s="136" t="n"/>
      <c r="AP216" s="136" t="n"/>
      <c r="AQ216" s="136" t="n"/>
      <c r="AR216" s="136" t="n"/>
    </row>
    <row r="217" ht="13.5" customHeight="1" s="196">
      <c r="A217" s="136" t="n"/>
      <c r="B217" s="136" t="n"/>
      <c r="C217" s="136" t="n"/>
      <c r="D217" s="141" t="n"/>
      <c r="E217" s="141" t="n"/>
      <c r="F217" s="141" t="n"/>
      <c r="G217" s="141" t="n"/>
      <c r="H217" s="141" t="n"/>
      <c r="I217" s="141" t="n"/>
      <c r="J217" s="141" t="n"/>
      <c r="K217" s="141" t="n"/>
      <c r="L217" s="141" t="n"/>
      <c r="M217" s="141" t="n"/>
      <c r="N217" s="141" t="n"/>
      <c r="O217" s="141" t="n"/>
      <c r="P217" s="141" t="n"/>
      <c r="Q217" s="141" t="n"/>
      <c r="R217" s="141" t="n"/>
      <c r="S217" s="141" t="n"/>
      <c r="T217" s="141" t="n"/>
      <c r="U217" s="141" t="n"/>
      <c r="V217" s="141" t="n"/>
      <c r="W217" s="141" t="n"/>
      <c r="X217" s="141" t="n"/>
      <c r="Y217" s="136" t="n"/>
      <c r="Z217" s="136" t="n"/>
      <c r="AA217" s="136" t="n"/>
      <c r="AB217" s="136" t="n"/>
      <c r="AC217" s="136" t="n"/>
      <c r="AD217" s="136" t="n"/>
      <c r="AE217" s="136" t="n"/>
      <c r="AF217" s="136" t="n"/>
      <c r="AG217" s="136" t="n"/>
      <c r="AH217" s="136" t="n"/>
      <c r="AI217" s="136" t="n"/>
      <c r="AJ217" s="136" t="n"/>
      <c r="AK217" s="136" t="n"/>
      <c r="AL217" s="136" t="n"/>
      <c r="AM217" s="136" t="n"/>
      <c r="AN217" s="136" t="n"/>
      <c r="AO217" s="136" t="n"/>
      <c r="AP217" s="136" t="n"/>
      <c r="AQ217" s="136" t="n"/>
      <c r="AR217" s="136" t="n"/>
    </row>
    <row r="218" ht="13.5" customHeight="1" s="196">
      <c r="A218" s="136" t="n"/>
      <c r="B218" s="136" t="n"/>
      <c r="C218" s="136" t="n"/>
      <c r="D218" s="141" t="n"/>
      <c r="E218" s="141" t="n"/>
      <c r="F218" s="141" t="n"/>
      <c r="G218" s="141" t="n"/>
      <c r="H218" s="141" t="n"/>
      <c r="I218" s="141" t="n"/>
      <c r="J218" s="141" t="n"/>
      <c r="K218" s="141" t="n"/>
      <c r="L218" s="141" t="n"/>
      <c r="M218" s="141" t="n"/>
      <c r="N218" s="141" t="n"/>
      <c r="O218" s="141" t="n"/>
      <c r="P218" s="141" t="n"/>
      <c r="Q218" s="141" t="n"/>
      <c r="R218" s="141" t="n"/>
      <c r="S218" s="141" t="n"/>
      <c r="T218" s="141" t="n"/>
      <c r="U218" s="141" t="n"/>
      <c r="V218" s="141" t="n"/>
      <c r="W218" s="141" t="n"/>
      <c r="X218" s="141" t="n"/>
      <c r="Y218" s="136" t="n"/>
      <c r="Z218" s="136" t="n"/>
      <c r="AA218" s="136" t="n"/>
      <c r="AB218" s="136" t="n"/>
      <c r="AC218" s="136" t="n"/>
      <c r="AD218" s="136" t="n"/>
      <c r="AE218" s="136" t="n"/>
      <c r="AF218" s="136" t="n"/>
      <c r="AG218" s="136" t="n"/>
      <c r="AH218" s="136" t="n"/>
      <c r="AI218" s="136" t="n"/>
      <c r="AJ218" s="136" t="n"/>
      <c r="AK218" s="136" t="n"/>
      <c r="AL218" s="136" t="n"/>
      <c r="AM218" s="136" t="n"/>
      <c r="AN218" s="136" t="n"/>
      <c r="AO218" s="136" t="n"/>
      <c r="AP218" s="136" t="n"/>
      <c r="AQ218" s="136" t="n"/>
      <c r="AR218" s="136" t="n"/>
    </row>
    <row r="219" ht="13.5" customHeight="1" s="196">
      <c r="A219" s="136" t="n"/>
      <c r="B219" s="136" t="n"/>
      <c r="C219" s="136" t="n"/>
      <c r="D219" s="141" t="n"/>
      <c r="E219" s="141" t="n"/>
      <c r="F219" s="141" t="n"/>
      <c r="G219" s="141" t="n"/>
      <c r="H219" s="141" t="n"/>
      <c r="I219" s="141" t="n"/>
      <c r="J219" s="141" t="n"/>
      <c r="K219" s="141" t="n"/>
      <c r="L219" s="141" t="n"/>
      <c r="M219" s="141" t="n"/>
      <c r="N219" s="141" t="n"/>
      <c r="O219" s="141" t="n"/>
      <c r="P219" s="141" t="n"/>
      <c r="Q219" s="141" t="n"/>
      <c r="R219" s="141" t="n"/>
      <c r="S219" s="141" t="n"/>
      <c r="T219" s="141" t="n"/>
      <c r="U219" s="141" t="n"/>
      <c r="V219" s="141" t="n"/>
      <c r="W219" s="141" t="n"/>
      <c r="X219" s="141" t="n"/>
      <c r="Y219" s="136" t="n"/>
      <c r="Z219" s="136" t="n"/>
      <c r="AA219" s="136" t="n"/>
      <c r="AB219" s="136" t="n"/>
      <c r="AC219" s="136" t="n"/>
      <c r="AD219" s="136" t="n"/>
      <c r="AE219" s="136" t="n"/>
      <c r="AF219" s="136" t="n"/>
      <c r="AG219" s="136" t="n"/>
      <c r="AH219" s="136" t="n"/>
      <c r="AI219" s="136" t="n"/>
      <c r="AJ219" s="136" t="n"/>
      <c r="AK219" s="136" t="n"/>
      <c r="AL219" s="136" t="n"/>
      <c r="AM219" s="136" t="n"/>
      <c r="AN219" s="136" t="n"/>
      <c r="AO219" s="136" t="n"/>
      <c r="AP219" s="136" t="n"/>
      <c r="AQ219" s="136" t="n"/>
      <c r="AR219" s="136" t="n"/>
    </row>
    <row r="220" ht="13.5" customHeight="1" s="196">
      <c r="A220" s="136" t="n"/>
      <c r="B220" s="136" t="n"/>
      <c r="C220" s="136" t="n"/>
      <c r="D220" s="141" t="n"/>
      <c r="E220" s="141" t="n"/>
      <c r="F220" s="141" t="n"/>
      <c r="G220" s="141" t="n"/>
      <c r="H220" s="141" t="n"/>
      <c r="I220" s="141" t="n"/>
      <c r="J220" s="141" t="n"/>
      <c r="K220" s="141" t="n"/>
      <c r="L220" s="141" t="n"/>
      <c r="M220" s="141" t="n"/>
      <c r="N220" s="141" t="n"/>
      <c r="O220" s="141" t="n"/>
      <c r="P220" s="141" t="n"/>
      <c r="Q220" s="141" t="n"/>
      <c r="R220" s="141" t="n"/>
      <c r="S220" s="141" t="n"/>
      <c r="T220" s="141" t="n"/>
      <c r="U220" s="141" t="n"/>
      <c r="V220" s="141" t="n"/>
      <c r="W220" s="141" t="n"/>
      <c r="X220" s="141" t="n"/>
      <c r="Y220" s="136" t="n"/>
      <c r="Z220" s="136" t="n"/>
      <c r="AA220" s="136" t="n"/>
      <c r="AB220" s="136" t="n"/>
      <c r="AC220" s="136" t="n"/>
      <c r="AD220" s="136" t="n"/>
      <c r="AE220" s="136" t="n"/>
      <c r="AF220" s="136" t="n"/>
      <c r="AG220" s="136" t="n"/>
      <c r="AH220" s="136" t="n"/>
      <c r="AI220" s="136" t="n"/>
      <c r="AJ220" s="136" t="n"/>
      <c r="AK220" s="136" t="n"/>
      <c r="AL220" s="136" t="n"/>
      <c r="AM220" s="136" t="n"/>
      <c r="AN220" s="136" t="n"/>
      <c r="AO220" s="136" t="n"/>
      <c r="AP220" s="136" t="n"/>
      <c r="AQ220" s="136" t="n"/>
      <c r="AR220" s="136" t="n"/>
    </row>
    <row r="221" ht="13.5" customHeight="1" s="196">
      <c r="A221" s="136" t="n"/>
      <c r="B221" s="136" t="n"/>
      <c r="C221" s="136" t="n"/>
      <c r="D221" s="141" t="n"/>
      <c r="E221" s="141" t="n"/>
      <c r="F221" s="141" t="n"/>
      <c r="G221" s="141" t="n"/>
      <c r="H221" s="141" t="n"/>
      <c r="I221" s="141" t="n"/>
      <c r="J221" s="141" t="n"/>
      <c r="K221" s="141" t="n"/>
      <c r="L221" s="141" t="n"/>
      <c r="M221" s="141" t="n"/>
      <c r="N221" s="141" t="n"/>
      <c r="O221" s="141" t="n"/>
      <c r="P221" s="141" t="n"/>
      <c r="Q221" s="141" t="n"/>
      <c r="R221" s="141" t="n"/>
      <c r="S221" s="141" t="n"/>
      <c r="T221" s="141" t="n"/>
      <c r="U221" s="141" t="n"/>
      <c r="V221" s="141" t="n"/>
      <c r="W221" s="141" t="n"/>
      <c r="X221" s="141" t="n"/>
      <c r="Y221" s="136" t="n"/>
      <c r="Z221" s="136" t="n"/>
      <c r="AA221" s="136" t="n"/>
      <c r="AB221" s="136" t="n"/>
      <c r="AC221" s="136" t="n"/>
      <c r="AD221" s="136" t="n"/>
      <c r="AE221" s="136" t="n"/>
      <c r="AF221" s="136" t="n"/>
      <c r="AG221" s="136" t="n"/>
      <c r="AH221" s="136" t="n"/>
      <c r="AI221" s="136" t="n"/>
      <c r="AJ221" s="136" t="n"/>
      <c r="AK221" s="136" t="n"/>
      <c r="AL221" s="136" t="n"/>
      <c r="AM221" s="136" t="n"/>
      <c r="AN221" s="136" t="n"/>
      <c r="AO221" s="136" t="n"/>
      <c r="AP221" s="136" t="n"/>
      <c r="AQ221" s="136" t="n"/>
      <c r="AR221" s="136" t="n"/>
    </row>
    <row r="222" ht="13.5" customHeight="1" s="196">
      <c r="A222" s="136" t="n"/>
      <c r="B222" s="136" t="n"/>
      <c r="C222" s="136" t="n"/>
      <c r="D222" s="141" t="n"/>
      <c r="E222" s="141" t="n"/>
      <c r="F222" s="141" t="n"/>
      <c r="G222" s="141" t="n"/>
      <c r="H222" s="141" t="n"/>
      <c r="I222" s="141" t="n"/>
      <c r="J222" s="141" t="n"/>
      <c r="K222" s="141" t="n"/>
      <c r="L222" s="141" t="n"/>
      <c r="M222" s="141" t="n"/>
      <c r="N222" s="141" t="n"/>
      <c r="O222" s="141" t="n"/>
      <c r="P222" s="141" t="n"/>
      <c r="Q222" s="141" t="n"/>
      <c r="R222" s="141" t="n"/>
      <c r="S222" s="141" t="n"/>
      <c r="T222" s="141" t="n"/>
      <c r="U222" s="141" t="n"/>
      <c r="V222" s="141" t="n"/>
      <c r="W222" s="141" t="n"/>
      <c r="X222" s="141" t="n"/>
      <c r="Y222" s="136" t="n"/>
      <c r="Z222" s="136" t="n"/>
      <c r="AA222" s="136" t="n"/>
      <c r="AB222" s="136" t="n"/>
      <c r="AC222" s="136" t="n"/>
      <c r="AD222" s="136" t="n"/>
      <c r="AE222" s="136" t="n"/>
      <c r="AF222" s="136" t="n"/>
      <c r="AG222" s="136" t="n"/>
      <c r="AH222" s="136" t="n"/>
      <c r="AI222" s="136" t="n"/>
      <c r="AJ222" s="136" t="n"/>
      <c r="AK222" s="136" t="n"/>
      <c r="AL222" s="136" t="n"/>
      <c r="AM222" s="136" t="n"/>
      <c r="AN222" s="136" t="n"/>
      <c r="AO222" s="136" t="n"/>
      <c r="AP222" s="136" t="n"/>
      <c r="AQ222" s="136" t="n"/>
      <c r="AR222" s="136" t="n"/>
    </row>
    <row r="223" ht="13.5" customHeight="1" s="196">
      <c r="A223" s="136" t="n"/>
      <c r="B223" s="136" t="n"/>
      <c r="C223" s="136" t="n"/>
      <c r="D223" s="141" t="n"/>
      <c r="E223" s="141" t="n"/>
      <c r="F223" s="141" t="n"/>
      <c r="G223" s="141" t="n"/>
      <c r="H223" s="141" t="n"/>
      <c r="I223" s="141" t="n"/>
      <c r="J223" s="141" t="n"/>
      <c r="K223" s="141" t="n"/>
      <c r="L223" s="141" t="n"/>
      <c r="M223" s="141" t="n"/>
      <c r="N223" s="141" t="n"/>
      <c r="O223" s="141" t="n"/>
      <c r="P223" s="141" t="n"/>
      <c r="Q223" s="141" t="n"/>
      <c r="R223" s="141" t="n"/>
      <c r="S223" s="141" t="n"/>
      <c r="T223" s="141" t="n"/>
      <c r="U223" s="141" t="n"/>
      <c r="V223" s="141" t="n"/>
      <c r="W223" s="141" t="n"/>
      <c r="X223" s="141" t="n"/>
      <c r="Y223" s="136" t="n"/>
      <c r="Z223" s="136" t="n"/>
      <c r="AA223" s="136" t="n"/>
      <c r="AB223" s="136" t="n"/>
      <c r="AC223" s="136" t="n"/>
      <c r="AD223" s="136" t="n"/>
      <c r="AE223" s="136" t="n"/>
      <c r="AF223" s="136" t="n"/>
      <c r="AG223" s="136" t="n"/>
      <c r="AH223" s="136" t="n"/>
      <c r="AI223" s="136" t="n"/>
      <c r="AJ223" s="136" t="n"/>
      <c r="AK223" s="136" t="n"/>
      <c r="AL223" s="136" t="n"/>
      <c r="AM223" s="136" t="n"/>
      <c r="AN223" s="136" t="n"/>
      <c r="AO223" s="136" t="n"/>
      <c r="AP223" s="136" t="n"/>
      <c r="AQ223" s="136" t="n"/>
      <c r="AR223" s="136" t="n"/>
    </row>
    <row r="224" ht="13.5" customHeight="1" s="196">
      <c r="A224" s="136" t="n"/>
      <c r="B224" s="136" t="n"/>
      <c r="C224" s="136" t="n"/>
      <c r="D224" s="141" t="n"/>
      <c r="E224" s="141" t="n"/>
      <c r="F224" s="141" t="n"/>
      <c r="G224" s="141" t="n"/>
      <c r="H224" s="141" t="n"/>
      <c r="I224" s="141" t="n"/>
      <c r="J224" s="141" t="n"/>
      <c r="K224" s="141" t="n"/>
      <c r="L224" s="141" t="n"/>
      <c r="M224" s="141" t="n"/>
      <c r="N224" s="141" t="n"/>
      <c r="O224" s="141" t="n"/>
      <c r="P224" s="141" t="n"/>
      <c r="Q224" s="141" t="n"/>
      <c r="R224" s="141" t="n"/>
      <c r="S224" s="141" t="n"/>
      <c r="T224" s="141" t="n"/>
      <c r="U224" s="141" t="n"/>
      <c r="V224" s="141" t="n"/>
      <c r="W224" s="141" t="n"/>
      <c r="X224" s="141" t="n"/>
      <c r="Y224" s="136" t="n"/>
      <c r="Z224" s="136" t="n"/>
      <c r="AA224" s="136" t="n"/>
      <c r="AB224" s="136" t="n"/>
      <c r="AC224" s="136" t="n"/>
      <c r="AD224" s="136" t="n"/>
      <c r="AE224" s="136" t="n"/>
      <c r="AF224" s="136" t="n"/>
      <c r="AG224" s="136" t="n"/>
      <c r="AH224" s="136" t="n"/>
      <c r="AI224" s="136" t="n"/>
      <c r="AJ224" s="136" t="n"/>
      <c r="AK224" s="136" t="n"/>
      <c r="AL224" s="136" t="n"/>
      <c r="AM224" s="136" t="n"/>
      <c r="AN224" s="136" t="n"/>
      <c r="AO224" s="136" t="n"/>
      <c r="AP224" s="136" t="n"/>
      <c r="AQ224" s="136" t="n"/>
      <c r="AR224" s="136" t="n"/>
    </row>
    <row r="225" ht="13.5" customHeight="1" s="196">
      <c r="A225" s="136" t="n"/>
      <c r="B225" s="136" t="n"/>
      <c r="C225" s="136" t="n"/>
      <c r="D225" s="141" t="n"/>
      <c r="E225" s="141" t="n"/>
      <c r="F225" s="141" t="n"/>
      <c r="G225" s="141" t="n"/>
      <c r="H225" s="141" t="n"/>
      <c r="I225" s="141" t="n"/>
      <c r="J225" s="141" t="n"/>
      <c r="K225" s="141" t="n"/>
      <c r="L225" s="141" t="n"/>
      <c r="M225" s="141" t="n"/>
      <c r="N225" s="141" t="n"/>
      <c r="O225" s="141" t="n"/>
      <c r="P225" s="141" t="n"/>
      <c r="Q225" s="141" t="n"/>
      <c r="R225" s="141" t="n"/>
      <c r="S225" s="141" t="n"/>
      <c r="T225" s="141" t="n"/>
      <c r="U225" s="141" t="n"/>
      <c r="V225" s="141" t="n"/>
      <c r="W225" s="141" t="n"/>
      <c r="X225" s="141" t="n"/>
      <c r="Y225" s="136" t="n"/>
      <c r="Z225" s="136" t="n"/>
      <c r="AA225" s="136" t="n"/>
      <c r="AB225" s="136" t="n"/>
      <c r="AC225" s="136" t="n"/>
      <c r="AD225" s="136" t="n"/>
      <c r="AE225" s="136" t="n"/>
      <c r="AF225" s="136" t="n"/>
      <c r="AG225" s="136" t="n"/>
      <c r="AH225" s="136" t="n"/>
      <c r="AI225" s="136" t="n"/>
      <c r="AJ225" s="136" t="n"/>
      <c r="AK225" s="136" t="n"/>
      <c r="AL225" s="136" t="n"/>
      <c r="AM225" s="136" t="n"/>
      <c r="AN225" s="136" t="n"/>
      <c r="AO225" s="136" t="n"/>
      <c r="AP225" s="136" t="n"/>
      <c r="AQ225" s="136" t="n"/>
      <c r="AR225" s="136" t="n"/>
    </row>
    <row r="226" ht="13.5" customHeight="1" s="196">
      <c r="A226" s="136" t="n"/>
      <c r="B226" s="136" t="n"/>
      <c r="C226" s="136" t="n"/>
      <c r="D226" s="141" t="n"/>
      <c r="E226" s="141" t="n"/>
      <c r="F226" s="141" t="n"/>
      <c r="G226" s="141" t="n"/>
      <c r="H226" s="141" t="n"/>
      <c r="I226" s="141" t="n"/>
      <c r="J226" s="141" t="n"/>
      <c r="K226" s="141" t="n"/>
      <c r="L226" s="141" t="n"/>
      <c r="M226" s="141" t="n"/>
      <c r="N226" s="141" t="n"/>
      <c r="O226" s="141" t="n"/>
      <c r="P226" s="141" t="n"/>
      <c r="Q226" s="141" t="n"/>
      <c r="R226" s="141" t="n"/>
      <c r="S226" s="141" t="n"/>
      <c r="T226" s="141" t="n"/>
      <c r="U226" s="141" t="n"/>
      <c r="V226" s="141" t="n"/>
      <c r="W226" s="141" t="n"/>
      <c r="X226" s="141" t="n"/>
      <c r="Y226" s="136" t="n"/>
      <c r="Z226" s="136" t="n"/>
      <c r="AA226" s="136" t="n"/>
      <c r="AB226" s="136" t="n"/>
      <c r="AC226" s="136" t="n"/>
      <c r="AD226" s="136" t="n"/>
      <c r="AE226" s="136" t="n"/>
      <c r="AF226" s="136" t="n"/>
      <c r="AG226" s="136" t="n"/>
      <c r="AH226" s="136" t="n"/>
      <c r="AI226" s="136" t="n"/>
      <c r="AJ226" s="136" t="n"/>
      <c r="AK226" s="136" t="n"/>
      <c r="AL226" s="136" t="n"/>
      <c r="AM226" s="136" t="n"/>
      <c r="AN226" s="136" t="n"/>
      <c r="AO226" s="136" t="n"/>
      <c r="AP226" s="136" t="n"/>
      <c r="AQ226" s="136" t="n"/>
      <c r="AR226" s="136" t="n"/>
    </row>
    <row r="227" ht="13.5" customHeight="1" s="196">
      <c r="A227" s="136" t="n"/>
      <c r="B227" s="136" t="n"/>
      <c r="C227" s="136" t="n"/>
      <c r="D227" s="141" t="n"/>
      <c r="E227" s="141" t="n"/>
      <c r="F227" s="141" t="n"/>
      <c r="G227" s="141" t="n"/>
      <c r="H227" s="141" t="n"/>
      <c r="I227" s="141" t="n"/>
      <c r="J227" s="141" t="n"/>
      <c r="K227" s="141" t="n"/>
      <c r="L227" s="141" t="n"/>
      <c r="M227" s="141" t="n"/>
      <c r="N227" s="141" t="n"/>
      <c r="O227" s="141" t="n"/>
      <c r="P227" s="141" t="n"/>
      <c r="Q227" s="141" t="n"/>
      <c r="R227" s="141" t="n"/>
      <c r="S227" s="141" t="n"/>
      <c r="T227" s="141" t="n"/>
      <c r="U227" s="141" t="n"/>
      <c r="V227" s="141" t="n"/>
      <c r="W227" s="141" t="n"/>
      <c r="X227" s="141" t="n"/>
      <c r="Y227" s="136" t="n"/>
      <c r="Z227" s="136" t="n"/>
      <c r="AA227" s="136" t="n"/>
      <c r="AB227" s="136" t="n"/>
      <c r="AC227" s="136" t="n"/>
      <c r="AD227" s="136" t="n"/>
      <c r="AE227" s="136" t="n"/>
      <c r="AF227" s="136" t="n"/>
      <c r="AG227" s="136" t="n"/>
      <c r="AH227" s="136" t="n"/>
      <c r="AI227" s="136" t="n"/>
      <c r="AJ227" s="136" t="n"/>
      <c r="AK227" s="136" t="n"/>
      <c r="AL227" s="136" t="n"/>
      <c r="AM227" s="136" t="n"/>
      <c r="AN227" s="136" t="n"/>
      <c r="AO227" s="136" t="n"/>
      <c r="AP227" s="136" t="n"/>
      <c r="AQ227" s="136" t="n"/>
      <c r="AR227" s="136" t="n"/>
    </row>
    <row r="228" ht="13.5" customHeight="1" s="196">
      <c r="A228" s="136" t="n"/>
      <c r="B228" s="136" t="n"/>
      <c r="C228" s="136" t="n"/>
      <c r="D228" s="141" t="n"/>
      <c r="E228" s="141" t="n"/>
      <c r="F228" s="141" t="n"/>
      <c r="G228" s="141" t="n"/>
      <c r="H228" s="141" t="n"/>
      <c r="I228" s="141" t="n"/>
      <c r="J228" s="141" t="n"/>
      <c r="K228" s="141" t="n"/>
      <c r="L228" s="141" t="n"/>
      <c r="M228" s="141" t="n"/>
      <c r="N228" s="141" t="n"/>
      <c r="O228" s="141" t="n"/>
      <c r="P228" s="141" t="n"/>
      <c r="Q228" s="141" t="n"/>
      <c r="R228" s="141" t="n"/>
      <c r="S228" s="141" t="n"/>
      <c r="T228" s="141" t="n"/>
      <c r="U228" s="141" t="n"/>
      <c r="V228" s="141" t="n"/>
      <c r="W228" s="141" t="n"/>
      <c r="X228" s="141" t="n"/>
      <c r="Y228" s="136" t="n"/>
      <c r="Z228" s="136" t="n"/>
      <c r="AA228" s="136" t="n"/>
      <c r="AB228" s="136" t="n"/>
      <c r="AC228" s="136" t="n"/>
      <c r="AD228" s="136" t="n"/>
      <c r="AE228" s="136" t="n"/>
      <c r="AF228" s="136" t="n"/>
      <c r="AG228" s="136" t="n"/>
      <c r="AH228" s="136" t="n"/>
      <c r="AI228" s="136" t="n"/>
      <c r="AJ228" s="136" t="n"/>
      <c r="AK228" s="136" t="n"/>
      <c r="AL228" s="136" t="n"/>
      <c r="AM228" s="136" t="n"/>
      <c r="AN228" s="136" t="n"/>
      <c r="AO228" s="136" t="n"/>
      <c r="AP228" s="136" t="n"/>
      <c r="AQ228" s="136" t="n"/>
      <c r="AR228" s="136" t="n"/>
    </row>
    <row r="229" ht="13.5" customHeight="1" s="196">
      <c r="A229" s="136" t="n"/>
      <c r="B229" s="136" t="n"/>
      <c r="C229" s="136" t="n"/>
      <c r="D229" s="141" t="n"/>
      <c r="E229" s="141" t="n"/>
      <c r="F229" s="141" t="n"/>
      <c r="G229" s="141" t="n"/>
      <c r="H229" s="141" t="n"/>
      <c r="I229" s="141" t="n"/>
      <c r="J229" s="141" t="n"/>
      <c r="K229" s="141" t="n"/>
      <c r="L229" s="141" t="n"/>
      <c r="M229" s="141" t="n"/>
      <c r="N229" s="141" t="n"/>
      <c r="O229" s="141" t="n"/>
      <c r="P229" s="141" t="n"/>
      <c r="Q229" s="141" t="n"/>
      <c r="R229" s="141" t="n"/>
      <c r="S229" s="141" t="n"/>
      <c r="T229" s="141" t="n"/>
      <c r="U229" s="141" t="n"/>
      <c r="V229" s="141" t="n"/>
      <c r="W229" s="141" t="n"/>
      <c r="X229" s="141" t="n"/>
      <c r="Y229" s="136" t="n"/>
      <c r="Z229" s="136" t="n"/>
      <c r="AA229" s="136" t="n"/>
      <c r="AB229" s="136" t="n"/>
      <c r="AC229" s="136" t="n"/>
      <c r="AD229" s="136" t="n"/>
      <c r="AE229" s="136" t="n"/>
      <c r="AF229" s="136" t="n"/>
      <c r="AG229" s="136" t="n"/>
      <c r="AH229" s="136" t="n"/>
      <c r="AI229" s="136" t="n"/>
      <c r="AJ229" s="136" t="n"/>
      <c r="AK229" s="136" t="n"/>
      <c r="AL229" s="136" t="n"/>
      <c r="AM229" s="136" t="n"/>
      <c r="AN229" s="136" t="n"/>
      <c r="AO229" s="136" t="n"/>
      <c r="AP229" s="136" t="n"/>
      <c r="AQ229" s="136" t="n"/>
      <c r="AR229" s="136" t="n"/>
    </row>
    <row r="230" ht="13.5" customHeight="1" s="196">
      <c r="A230" s="136" t="n"/>
      <c r="B230" s="136" t="n"/>
      <c r="C230" s="136" t="n"/>
      <c r="D230" s="141" t="n"/>
      <c r="E230" s="141" t="n"/>
      <c r="F230" s="141" t="n"/>
      <c r="G230" s="141" t="n"/>
      <c r="H230" s="141" t="n"/>
      <c r="I230" s="141" t="n"/>
      <c r="J230" s="141" t="n"/>
      <c r="K230" s="141" t="n"/>
      <c r="L230" s="141" t="n"/>
      <c r="M230" s="141" t="n"/>
      <c r="N230" s="141" t="n"/>
      <c r="O230" s="141" t="n"/>
      <c r="P230" s="141" t="n"/>
      <c r="Q230" s="141" t="n"/>
      <c r="R230" s="141" t="n"/>
      <c r="S230" s="141" t="n"/>
      <c r="T230" s="141" t="n"/>
      <c r="U230" s="141" t="n"/>
      <c r="V230" s="141" t="n"/>
      <c r="W230" s="141" t="n"/>
      <c r="X230" s="141" t="n"/>
      <c r="Y230" s="136" t="n"/>
      <c r="Z230" s="136" t="n"/>
      <c r="AA230" s="136" t="n"/>
      <c r="AB230" s="136" t="n"/>
      <c r="AC230" s="136" t="n"/>
      <c r="AD230" s="136" t="n"/>
      <c r="AE230" s="136" t="n"/>
      <c r="AF230" s="136" t="n"/>
      <c r="AG230" s="136" t="n"/>
      <c r="AH230" s="136" t="n"/>
      <c r="AI230" s="136" t="n"/>
      <c r="AJ230" s="136" t="n"/>
      <c r="AK230" s="136" t="n"/>
      <c r="AL230" s="136" t="n"/>
      <c r="AM230" s="136" t="n"/>
      <c r="AN230" s="136" t="n"/>
      <c r="AO230" s="136" t="n"/>
      <c r="AP230" s="136" t="n"/>
      <c r="AQ230" s="136" t="n"/>
      <c r="AR230" s="136" t="n"/>
    </row>
    <row r="231" ht="13.5" customHeight="1" s="196">
      <c r="A231" s="136" t="n"/>
      <c r="B231" s="136" t="n"/>
      <c r="C231" s="136" t="n"/>
      <c r="D231" s="141" t="n"/>
      <c r="E231" s="141" t="n"/>
      <c r="F231" s="141" t="n"/>
      <c r="G231" s="141" t="n"/>
      <c r="H231" s="141" t="n"/>
      <c r="I231" s="141" t="n"/>
      <c r="J231" s="141" t="n"/>
      <c r="K231" s="141" t="n"/>
      <c r="L231" s="141" t="n"/>
      <c r="M231" s="141" t="n"/>
      <c r="N231" s="141" t="n"/>
      <c r="O231" s="141" t="n"/>
      <c r="P231" s="141" t="n"/>
      <c r="Q231" s="141" t="n"/>
      <c r="R231" s="141" t="n"/>
      <c r="S231" s="141" t="n"/>
      <c r="T231" s="141" t="n"/>
      <c r="U231" s="141" t="n"/>
      <c r="V231" s="141" t="n"/>
      <c r="W231" s="141" t="n"/>
      <c r="X231" s="141" t="n"/>
      <c r="Y231" s="136" t="n"/>
      <c r="Z231" s="136" t="n"/>
      <c r="AA231" s="136" t="n"/>
      <c r="AB231" s="136" t="n"/>
      <c r="AC231" s="136" t="n"/>
      <c r="AD231" s="136" t="n"/>
      <c r="AE231" s="136" t="n"/>
      <c r="AF231" s="136" t="n"/>
      <c r="AG231" s="136" t="n"/>
      <c r="AH231" s="136" t="n"/>
      <c r="AI231" s="136" t="n"/>
      <c r="AJ231" s="136" t="n"/>
      <c r="AK231" s="136" t="n"/>
      <c r="AL231" s="136" t="n"/>
      <c r="AM231" s="136" t="n"/>
      <c r="AN231" s="136" t="n"/>
      <c r="AO231" s="136" t="n"/>
      <c r="AP231" s="136" t="n"/>
      <c r="AQ231" s="136" t="n"/>
      <c r="AR231" s="136" t="n"/>
    </row>
    <row r="232" ht="13.5" customHeight="1" s="196">
      <c r="A232" s="136" t="n"/>
      <c r="B232" s="136" t="n"/>
      <c r="C232" s="136" t="n"/>
      <c r="D232" s="141" t="n"/>
      <c r="E232" s="141" t="n"/>
      <c r="F232" s="141" t="n"/>
      <c r="G232" s="141" t="n"/>
      <c r="H232" s="141" t="n"/>
      <c r="I232" s="141" t="n"/>
      <c r="J232" s="141" t="n"/>
      <c r="K232" s="141" t="n"/>
      <c r="L232" s="141" t="n"/>
      <c r="M232" s="141" t="n"/>
      <c r="N232" s="141" t="n"/>
      <c r="O232" s="141" t="n"/>
      <c r="P232" s="141" t="n"/>
      <c r="Q232" s="141" t="n"/>
      <c r="R232" s="141" t="n"/>
      <c r="S232" s="141" t="n"/>
      <c r="T232" s="141" t="n"/>
      <c r="U232" s="141" t="n"/>
      <c r="V232" s="141" t="n"/>
      <c r="W232" s="141" t="n"/>
      <c r="X232" s="141" t="n"/>
      <c r="Y232" s="136" t="n"/>
      <c r="Z232" s="136" t="n"/>
      <c r="AA232" s="136" t="n"/>
      <c r="AB232" s="136" t="n"/>
      <c r="AC232" s="136" t="n"/>
      <c r="AD232" s="136" t="n"/>
      <c r="AE232" s="136" t="n"/>
      <c r="AF232" s="136" t="n"/>
      <c r="AG232" s="136" t="n"/>
      <c r="AH232" s="136" t="n"/>
      <c r="AI232" s="136" t="n"/>
      <c r="AJ232" s="136" t="n"/>
      <c r="AK232" s="136" t="n"/>
      <c r="AL232" s="136" t="n"/>
      <c r="AM232" s="136" t="n"/>
      <c r="AN232" s="136" t="n"/>
      <c r="AO232" s="136" t="n"/>
      <c r="AP232" s="136" t="n"/>
      <c r="AQ232" s="136" t="n"/>
      <c r="AR232" s="136" t="n"/>
    </row>
    <row r="233" ht="13.5" customHeight="1" s="196">
      <c r="A233" s="136" t="n"/>
      <c r="B233" s="136" t="n"/>
      <c r="C233" s="136" t="n"/>
      <c r="D233" s="141" t="n"/>
      <c r="E233" s="141" t="n"/>
      <c r="F233" s="141" t="n"/>
      <c r="G233" s="141" t="n"/>
      <c r="H233" s="141" t="n"/>
      <c r="I233" s="141" t="n"/>
      <c r="J233" s="141" t="n"/>
      <c r="K233" s="141" t="n"/>
      <c r="L233" s="141" t="n"/>
      <c r="M233" s="141" t="n"/>
      <c r="N233" s="141" t="n"/>
      <c r="O233" s="141" t="n"/>
      <c r="P233" s="141" t="n"/>
      <c r="Q233" s="141" t="n"/>
      <c r="R233" s="141" t="n"/>
      <c r="S233" s="141" t="n"/>
      <c r="T233" s="141" t="n"/>
      <c r="U233" s="141" t="n"/>
      <c r="V233" s="141" t="n"/>
      <c r="W233" s="141" t="n"/>
      <c r="X233" s="141" t="n"/>
      <c r="Y233" s="136" t="n"/>
      <c r="Z233" s="136" t="n"/>
      <c r="AA233" s="136" t="n"/>
      <c r="AB233" s="136" t="n"/>
      <c r="AC233" s="136" t="n"/>
      <c r="AD233" s="136" t="n"/>
      <c r="AE233" s="136" t="n"/>
      <c r="AF233" s="136" t="n"/>
      <c r="AG233" s="136" t="n"/>
      <c r="AH233" s="136" t="n"/>
      <c r="AI233" s="136" t="n"/>
      <c r="AJ233" s="136" t="n"/>
      <c r="AK233" s="136" t="n"/>
      <c r="AL233" s="136" t="n"/>
      <c r="AM233" s="136" t="n"/>
      <c r="AN233" s="136" t="n"/>
      <c r="AO233" s="136" t="n"/>
      <c r="AP233" s="136" t="n"/>
      <c r="AQ233" s="136" t="n"/>
      <c r="AR233" s="136" t="n"/>
    </row>
    <row r="234" ht="13.5" customHeight="1" s="196">
      <c r="A234" s="136" t="n"/>
      <c r="B234" s="136" t="n"/>
      <c r="C234" s="136" t="n"/>
      <c r="D234" s="141" t="n"/>
      <c r="E234" s="141" t="n"/>
      <c r="F234" s="141" t="n"/>
      <c r="G234" s="141" t="n"/>
      <c r="H234" s="141" t="n"/>
      <c r="I234" s="141" t="n"/>
      <c r="J234" s="141" t="n"/>
      <c r="K234" s="141" t="n"/>
      <c r="L234" s="141" t="n"/>
      <c r="M234" s="141" t="n"/>
      <c r="N234" s="141" t="n"/>
      <c r="O234" s="141" t="n"/>
      <c r="P234" s="141" t="n"/>
      <c r="Q234" s="141" t="n"/>
      <c r="R234" s="141" t="n"/>
      <c r="S234" s="141" t="n"/>
      <c r="T234" s="141" t="n"/>
      <c r="U234" s="141" t="n"/>
      <c r="V234" s="141" t="n"/>
      <c r="W234" s="141" t="n"/>
      <c r="X234" s="141" t="n"/>
      <c r="Y234" s="136" t="n"/>
      <c r="Z234" s="136" t="n"/>
      <c r="AA234" s="136" t="n"/>
      <c r="AB234" s="136" t="n"/>
      <c r="AC234" s="136" t="n"/>
      <c r="AD234" s="136" t="n"/>
      <c r="AE234" s="136" t="n"/>
      <c r="AF234" s="136" t="n"/>
      <c r="AG234" s="136" t="n"/>
      <c r="AH234" s="136" t="n"/>
      <c r="AI234" s="136" t="n"/>
      <c r="AJ234" s="136" t="n"/>
      <c r="AK234" s="136" t="n"/>
      <c r="AL234" s="136" t="n"/>
      <c r="AM234" s="136" t="n"/>
      <c r="AN234" s="136" t="n"/>
      <c r="AO234" s="136" t="n"/>
      <c r="AP234" s="136" t="n"/>
      <c r="AQ234" s="136" t="n"/>
      <c r="AR234" s="136" t="n"/>
    </row>
    <row r="235" ht="13.5" customHeight="1" s="196">
      <c r="A235" s="136" t="n"/>
      <c r="B235" s="136" t="n"/>
      <c r="C235" s="136" t="n"/>
      <c r="D235" s="141" t="n"/>
      <c r="E235" s="141" t="n"/>
      <c r="F235" s="141" t="n"/>
      <c r="G235" s="141" t="n"/>
      <c r="H235" s="141" t="n"/>
      <c r="I235" s="141" t="n"/>
      <c r="J235" s="141" t="n"/>
      <c r="K235" s="141" t="n"/>
      <c r="L235" s="141" t="n"/>
      <c r="M235" s="141" t="n"/>
      <c r="N235" s="141" t="n"/>
      <c r="O235" s="141" t="n"/>
      <c r="P235" s="141" t="n"/>
      <c r="Q235" s="141" t="n"/>
      <c r="R235" s="141" t="n"/>
      <c r="S235" s="141" t="n"/>
      <c r="T235" s="141" t="n"/>
      <c r="U235" s="141" t="n"/>
      <c r="V235" s="141" t="n"/>
      <c r="W235" s="141" t="n"/>
      <c r="X235" s="141" t="n"/>
      <c r="Y235" s="136" t="n"/>
      <c r="Z235" s="136" t="n"/>
      <c r="AA235" s="136" t="n"/>
      <c r="AB235" s="136" t="n"/>
      <c r="AC235" s="136" t="n"/>
      <c r="AD235" s="136" t="n"/>
      <c r="AE235" s="136" t="n"/>
      <c r="AF235" s="136" t="n"/>
      <c r="AG235" s="136" t="n"/>
      <c r="AH235" s="136" t="n"/>
      <c r="AI235" s="136" t="n"/>
      <c r="AJ235" s="136" t="n"/>
      <c r="AK235" s="136" t="n"/>
      <c r="AL235" s="136" t="n"/>
      <c r="AM235" s="136" t="n"/>
      <c r="AN235" s="136" t="n"/>
      <c r="AO235" s="136" t="n"/>
      <c r="AP235" s="136" t="n"/>
      <c r="AQ235" s="136" t="n"/>
      <c r="AR235" s="136" t="n"/>
    </row>
    <row r="236" ht="13.5" customHeight="1" s="196">
      <c r="A236" s="136" t="n"/>
      <c r="B236" s="136" t="n"/>
      <c r="C236" s="136" t="n"/>
      <c r="D236" s="141" t="n"/>
      <c r="E236" s="141" t="n"/>
      <c r="F236" s="141" t="n"/>
      <c r="G236" s="141" t="n"/>
      <c r="H236" s="141" t="n"/>
      <c r="I236" s="141" t="n"/>
      <c r="J236" s="141" t="n"/>
      <c r="K236" s="141" t="n"/>
      <c r="L236" s="141" t="n"/>
      <c r="M236" s="141" t="n"/>
      <c r="N236" s="141" t="n"/>
      <c r="O236" s="141" t="n"/>
      <c r="P236" s="141" t="n"/>
      <c r="Q236" s="141" t="n"/>
      <c r="R236" s="141" t="n"/>
      <c r="S236" s="141" t="n"/>
      <c r="T236" s="141" t="n"/>
      <c r="U236" s="141" t="n"/>
      <c r="V236" s="141" t="n"/>
      <c r="W236" s="141" t="n"/>
      <c r="X236" s="141" t="n"/>
      <c r="Y236" s="136" t="n"/>
      <c r="Z236" s="136" t="n"/>
      <c r="AA236" s="136" t="n"/>
      <c r="AB236" s="136" t="n"/>
      <c r="AC236" s="136" t="n"/>
      <c r="AD236" s="136" t="n"/>
      <c r="AE236" s="136" t="n"/>
      <c r="AF236" s="136" t="n"/>
      <c r="AG236" s="136" t="n"/>
      <c r="AH236" s="136" t="n"/>
      <c r="AI236" s="136" t="n"/>
      <c r="AJ236" s="136" t="n"/>
      <c r="AK236" s="136" t="n"/>
      <c r="AL236" s="136" t="n"/>
      <c r="AM236" s="136" t="n"/>
      <c r="AN236" s="136" t="n"/>
      <c r="AO236" s="136" t="n"/>
      <c r="AP236" s="136" t="n"/>
      <c r="AQ236" s="136" t="n"/>
      <c r="AR236" s="136" t="n"/>
    </row>
    <row r="237" ht="13.5" customHeight="1" s="196">
      <c r="A237" s="136" t="n"/>
      <c r="B237" s="136" t="n"/>
      <c r="C237" s="136" t="n"/>
      <c r="D237" s="141" t="n"/>
      <c r="E237" s="141" t="n"/>
      <c r="F237" s="141" t="n"/>
      <c r="G237" s="141" t="n"/>
      <c r="H237" s="141" t="n"/>
      <c r="I237" s="141" t="n"/>
      <c r="J237" s="141" t="n"/>
      <c r="K237" s="141" t="n"/>
      <c r="L237" s="141" t="n"/>
      <c r="M237" s="141" t="n"/>
      <c r="N237" s="141" t="n"/>
      <c r="O237" s="141" t="n"/>
      <c r="P237" s="141" t="n"/>
      <c r="Q237" s="141" t="n"/>
      <c r="R237" s="141" t="n"/>
      <c r="S237" s="141" t="n"/>
      <c r="T237" s="141" t="n"/>
      <c r="U237" s="141" t="n"/>
      <c r="V237" s="141" t="n"/>
      <c r="W237" s="141" t="n"/>
      <c r="X237" s="141" t="n"/>
      <c r="Y237" s="136" t="n"/>
      <c r="Z237" s="136" t="n"/>
      <c r="AA237" s="136" t="n"/>
      <c r="AB237" s="136" t="n"/>
      <c r="AC237" s="136" t="n"/>
      <c r="AD237" s="136" t="n"/>
      <c r="AE237" s="136" t="n"/>
      <c r="AF237" s="136" t="n"/>
      <c r="AG237" s="136" t="n"/>
      <c r="AH237" s="136" t="n"/>
      <c r="AI237" s="136" t="n"/>
      <c r="AJ237" s="136" t="n"/>
      <c r="AK237" s="136" t="n"/>
      <c r="AL237" s="136" t="n"/>
      <c r="AM237" s="136" t="n"/>
      <c r="AN237" s="136" t="n"/>
      <c r="AO237" s="136" t="n"/>
      <c r="AP237" s="136" t="n"/>
      <c r="AQ237" s="136" t="n"/>
      <c r="AR237" s="136" t="n"/>
    </row>
    <row r="238" ht="13.5" customHeight="1" s="196">
      <c r="A238" s="136" t="n"/>
      <c r="B238" s="136" t="n"/>
      <c r="C238" s="136" t="n"/>
      <c r="D238" s="141" t="n"/>
      <c r="E238" s="141" t="n"/>
      <c r="F238" s="141" t="n"/>
      <c r="G238" s="141" t="n"/>
      <c r="H238" s="141" t="n"/>
      <c r="I238" s="141" t="n"/>
      <c r="J238" s="141" t="n"/>
      <c r="K238" s="141" t="n"/>
      <c r="L238" s="141" t="n"/>
      <c r="M238" s="141" t="n"/>
      <c r="N238" s="141" t="n"/>
      <c r="O238" s="141" t="n"/>
      <c r="P238" s="141" t="n"/>
      <c r="Q238" s="141" t="n"/>
      <c r="R238" s="141" t="n"/>
      <c r="S238" s="141" t="n"/>
      <c r="T238" s="141" t="n"/>
      <c r="U238" s="141" t="n"/>
      <c r="V238" s="141" t="n"/>
      <c r="W238" s="141" t="n"/>
      <c r="X238" s="141" t="n"/>
      <c r="Y238" s="136" t="n"/>
      <c r="Z238" s="136" t="n"/>
      <c r="AA238" s="136" t="n"/>
      <c r="AB238" s="136" t="n"/>
      <c r="AC238" s="136" t="n"/>
      <c r="AD238" s="136" t="n"/>
      <c r="AE238" s="136" t="n"/>
      <c r="AF238" s="136" t="n"/>
      <c r="AG238" s="136" t="n"/>
      <c r="AH238" s="136" t="n"/>
      <c r="AI238" s="136" t="n"/>
      <c r="AJ238" s="136" t="n"/>
      <c r="AK238" s="136" t="n"/>
      <c r="AL238" s="136" t="n"/>
      <c r="AM238" s="136" t="n"/>
      <c r="AN238" s="136" t="n"/>
      <c r="AO238" s="136" t="n"/>
      <c r="AP238" s="136" t="n"/>
      <c r="AQ238" s="136" t="n"/>
      <c r="AR238" s="136" t="n"/>
    </row>
    <row r="239" ht="13.5" customHeight="1" s="196">
      <c r="A239" s="136" t="n"/>
      <c r="B239" s="136" t="n"/>
      <c r="C239" s="136" t="n"/>
      <c r="D239" s="141" t="n"/>
      <c r="E239" s="141" t="n"/>
      <c r="F239" s="141" t="n"/>
      <c r="G239" s="141" t="n"/>
      <c r="H239" s="141" t="n"/>
      <c r="I239" s="141" t="n"/>
      <c r="J239" s="141" t="n"/>
      <c r="K239" s="141" t="n"/>
      <c r="L239" s="141" t="n"/>
      <c r="M239" s="141" t="n"/>
      <c r="N239" s="141" t="n"/>
      <c r="O239" s="141" t="n"/>
      <c r="P239" s="141" t="n"/>
      <c r="Q239" s="141" t="n"/>
      <c r="R239" s="141" t="n"/>
      <c r="S239" s="141" t="n"/>
      <c r="T239" s="141" t="n"/>
      <c r="U239" s="141" t="n"/>
      <c r="V239" s="141" t="n"/>
      <c r="W239" s="141" t="n"/>
      <c r="X239" s="141" t="n"/>
      <c r="Y239" s="136" t="n"/>
      <c r="Z239" s="136" t="n"/>
      <c r="AA239" s="136" t="n"/>
      <c r="AB239" s="136" t="n"/>
      <c r="AC239" s="136" t="n"/>
      <c r="AD239" s="136" t="n"/>
      <c r="AE239" s="136" t="n"/>
      <c r="AF239" s="136" t="n"/>
      <c r="AG239" s="136" t="n"/>
      <c r="AH239" s="136" t="n"/>
      <c r="AI239" s="136" t="n"/>
      <c r="AJ239" s="136" t="n"/>
      <c r="AK239" s="136" t="n"/>
      <c r="AL239" s="136" t="n"/>
      <c r="AM239" s="136" t="n"/>
      <c r="AN239" s="136" t="n"/>
      <c r="AO239" s="136" t="n"/>
      <c r="AP239" s="136" t="n"/>
      <c r="AQ239" s="136" t="n"/>
      <c r="AR239" s="136" t="n"/>
    </row>
    <row r="240" ht="13.5" customHeight="1" s="196">
      <c r="A240" s="136" t="n"/>
      <c r="B240" s="136" t="n"/>
      <c r="C240" s="136" t="n"/>
      <c r="D240" s="141" t="n"/>
      <c r="E240" s="141" t="n"/>
      <c r="F240" s="141" t="n"/>
      <c r="G240" s="141" t="n"/>
      <c r="H240" s="141" t="n"/>
      <c r="I240" s="141" t="n"/>
      <c r="J240" s="141" t="n"/>
      <c r="K240" s="141" t="n"/>
      <c r="L240" s="141" t="n"/>
      <c r="M240" s="141" t="n"/>
      <c r="N240" s="141" t="n"/>
      <c r="O240" s="141" t="n"/>
      <c r="P240" s="141" t="n"/>
      <c r="Q240" s="141" t="n"/>
      <c r="R240" s="141" t="n"/>
      <c r="S240" s="141" t="n"/>
      <c r="T240" s="141" t="n"/>
      <c r="U240" s="141" t="n"/>
      <c r="V240" s="141" t="n"/>
      <c r="W240" s="141" t="n"/>
      <c r="X240" s="141" t="n"/>
      <c r="Y240" s="136" t="n"/>
      <c r="Z240" s="136" t="n"/>
      <c r="AA240" s="136" t="n"/>
      <c r="AB240" s="136" t="n"/>
      <c r="AC240" s="136" t="n"/>
      <c r="AD240" s="136" t="n"/>
      <c r="AE240" s="136" t="n"/>
      <c r="AF240" s="136" t="n"/>
      <c r="AG240" s="136" t="n"/>
      <c r="AH240" s="136" t="n"/>
      <c r="AI240" s="136" t="n"/>
      <c r="AJ240" s="136" t="n"/>
      <c r="AK240" s="136" t="n"/>
      <c r="AL240" s="136" t="n"/>
      <c r="AM240" s="136" t="n"/>
      <c r="AN240" s="136" t="n"/>
      <c r="AO240" s="136" t="n"/>
      <c r="AP240" s="136" t="n"/>
      <c r="AQ240" s="136" t="n"/>
      <c r="AR240" s="136" t="n"/>
    </row>
    <row r="241" ht="13.5" customHeight="1" s="196">
      <c r="A241" s="136" t="n"/>
      <c r="B241" s="136" t="n"/>
      <c r="C241" s="136" t="n"/>
      <c r="D241" s="141" t="n"/>
      <c r="E241" s="141" t="n"/>
      <c r="F241" s="141" t="n"/>
      <c r="G241" s="141" t="n"/>
      <c r="H241" s="141" t="n"/>
      <c r="I241" s="141" t="n"/>
      <c r="J241" s="141" t="n"/>
      <c r="K241" s="141" t="n"/>
      <c r="L241" s="141" t="n"/>
      <c r="M241" s="141" t="n"/>
      <c r="N241" s="141" t="n"/>
      <c r="O241" s="141" t="n"/>
      <c r="P241" s="141" t="n"/>
      <c r="Q241" s="141" t="n"/>
      <c r="R241" s="141" t="n"/>
      <c r="S241" s="141" t="n"/>
      <c r="T241" s="141" t="n"/>
      <c r="U241" s="141" t="n"/>
      <c r="V241" s="141" t="n"/>
      <c r="W241" s="141" t="n"/>
      <c r="X241" s="141" t="n"/>
      <c r="Y241" s="136" t="n"/>
      <c r="Z241" s="136" t="n"/>
      <c r="AA241" s="136" t="n"/>
      <c r="AB241" s="136" t="n"/>
      <c r="AC241" s="136" t="n"/>
      <c r="AD241" s="136" t="n"/>
      <c r="AE241" s="136" t="n"/>
      <c r="AF241" s="136" t="n"/>
      <c r="AG241" s="136" t="n"/>
      <c r="AH241" s="136" t="n"/>
      <c r="AI241" s="136" t="n"/>
      <c r="AJ241" s="136" t="n"/>
      <c r="AK241" s="136" t="n"/>
      <c r="AL241" s="136" t="n"/>
      <c r="AM241" s="136" t="n"/>
      <c r="AN241" s="136" t="n"/>
      <c r="AO241" s="136" t="n"/>
      <c r="AP241" s="136" t="n"/>
      <c r="AQ241" s="136" t="n"/>
      <c r="AR241" s="136" t="n"/>
    </row>
    <row r="242" ht="13.5" customHeight="1" s="196">
      <c r="A242" s="136" t="n"/>
      <c r="B242" s="136" t="n"/>
      <c r="C242" s="136" t="n"/>
      <c r="D242" s="141" t="n"/>
      <c r="E242" s="141" t="n"/>
      <c r="F242" s="141" t="n"/>
      <c r="G242" s="141" t="n"/>
      <c r="H242" s="141" t="n"/>
      <c r="I242" s="141" t="n"/>
      <c r="J242" s="141" t="n"/>
      <c r="K242" s="141" t="n"/>
      <c r="L242" s="141" t="n"/>
      <c r="M242" s="141" t="n"/>
      <c r="N242" s="141" t="n"/>
      <c r="O242" s="141" t="n"/>
      <c r="P242" s="141" t="n"/>
      <c r="Q242" s="141" t="n"/>
      <c r="R242" s="141" t="n"/>
      <c r="S242" s="141" t="n"/>
      <c r="T242" s="141" t="n"/>
      <c r="U242" s="141" t="n"/>
      <c r="V242" s="141" t="n"/>
      <c r="W242" s="141" t="n"/>
      <c r="X242" s="141" t="n"/>
      <c r="Y242" s="136" t="n"/>
      <c r="Z242" s="136" t="n"/>
      <c r="AA242" s="136" t="n"/>
      <c r="AB242" s="136" t="n"/>
      <c r="AC242" s="136" t="n"/>
      <c r="AD242" s="136" t="n"/>
      <c r="AE242" s="136" t="n"/>
      <c r="AF242" s="136" t="n"/>
      <c r="AG242" s="136" t="n"/>
      <c r="AH242" s="136" t="n"/>
      <c r="AI242" s="136" t="n"/>
      <c r="AJ242" s="136" t="n"/>
      <c r="AK242" s="136" t="n"/>
      <c r="AL242" s="136" t="n"/>
      <c r="AM242" s="136" t="n"/>
      <c r="AN242" s="136" t="n"/>
      <c r="AO242" s="136" t="n"/>
      <c r="AP242" s="136" t="n"/>
      <c r="AQ242" s="136" t="n"/>
      <c r="AR242" s="136" t="n"/>
    </row>
    <row r="243" ht="13.5" customHeight="1" s="196">
      <c r="A243" s="136" t="n"/>
      <c r="B243" s="136" t="n"/>
      <c r="C243" s="136" t="n"/>
      <c r="D243" s="141" t="n"/>
      <c r="E243" s="141" t="n"/>
      <c r="F243" s="141" t="n"/>
      <c r="G243" s="141" t="n"/>
      <c r="H243" s="141" t="n"/>
      <c r="I243" s="141" t="n"/>
      <c r="J243" s="141" t="n"/>
      <c r="K243" s="141" t="n"/>
      <c r="L243" s="141" t="n"/>
      <c r="M243" s="141" t="n"/>
      <c r="N243" s="141" t="n"/>
      <c r="O243" s="141" t="n"/>
      <c r="P243" s="141" t="n"/>
      <c r="Q243" s="141" t="n"/>
      <c r="R243" s="141" t="n"/>
      <c r="S243" s="141" t="n"/>
      <c r="T243" s="141" t="n"/>
      <c r="U243" s="141" t="n"/>
      <c r="V243" s="141" t="n"/>
      <c r="W243" s="141" t="n"/>
      <c r="X243" s="141" t="n"/>
      <c r="Y243" s="136" t="n"/>
      <c r="Z243" s="136" t="n"/>
      <c r="AA243" s="136" t="n"/>
      <c r="AB243" s="136" t="n"/>
      <c r="AC243" s="136" t="n"/>
      <c r="AD243" s="136" t="n"/>
      <c r="AE243" s="136" t="n"/>
      <c r="AF243" s="136" t="n"/>
      <c r="AG243" s="136" t="n"/>
      <c r="AH243" s="136" t="n"/>
      <c r="AI243" s="136" t="n"/>
      <c r="AJ243" s="136" t="n"/>
      <c r="AK243" s="136" t="n"/>
      <c r="AL243" s="136" t="n"/>
      <c r="AM243" s="136" t="n"/>
      <c r="AN243" s="136" t="n"/>
      <c r="AO243" s="136" t="n"/>
      <c r="AP243" s="136" t="n"/>
      <c r="AQ243" s="136" t="n"/>
      <c r="AR243" s="136" t="n"/>
    </row>
    <row r="244" ht="13.5" customHeight="1" s="196">
      <c r="A244" s="136" t="n"/>
      <c r="B244" s="136" t="n"/>
      <c r="C244" s="136" t="n"/>
      <c r="D244" s="141" t="n"/>
      <c r="E244" s="141" t="n"/>
      <c r="F244" s="141" t="n"/>
      <c r="G244" s="141" t="n"/>
      <c r="H244" s="141" t="n"/>
      <c r="I244" s="141" t="n"/>
      <c r="J244" s="141" t="n"/>
      <c r="K244" s="141" t="n"/>
      <c r="L244" s="141" t="n"/>
      <c r="M244" s="141" t="n"/>
      <c r="N244" s="141" t="n"/>
      <c r="O244" s="141" t="n"/>
      <c r="P244" s="141" t="n"/>
      <c r="Q244" s="141" t="n"/>
      <c r="R244" s="141" t="n"/>
      <c r="S244" s="141" t="n"/>
      <c r="T244" s="141" t="n"/>
      <c r="U244" s="141" t="n"/>
      <c r="V244" s="141" t="n"/>
      <c r="W244" s="141" t="n"/>
      <c r="X244" s="141" t="n"/>
      <c r="Y244" s="136" t="n"/>
      <c r="Z244" s="136" t="n"/>
      <c r="AA244" s="136" t="n"/>
      <c r="AB244" s="136" t="n"/>
      <c r="AC244" s="136" t="n"/>
      <c r="AD244" s="136" t="n"/>
      <c r="AE244" s="136" t="n"/>
      <c r="AF244" s="136" t="n"/>
      <c r="AG244" s="136" t="n"/>
      <c r="AH244" s="136" t="n"/>
      <c r="AI244" s="136" t="n"/>
      <c r="AJ244" s="136" t="n"/>
      <c r="AK244" s="136" t="n"/>
      <c r="AL244" s="136" t="n"/>
      <c r="AM244" s="136" t="n"/>
      <c r="AN244" s="136" t="n"/>
      <c r="AO244" s="136" t="n"/>
      <c r="AP244" s="136" t="n"/>
      <c r="AQ244" s="136" t="n"/>
      <c r="AR244" s="136" t="n"/>
    </row>
    <row r="245" ht="13.5" customHeight="1" s="196">
      <c r="A245" s="136" t="n"/>
      <c r="B245" s="136" t="n"/>
      <c r="C245" s="136" t="n"/>
      <c r="D245" s="141" t="n"/>
      <c r="E245" s="141" t="n"/>
      <c r="F245" s="141" t="n"/>
      <c r="G245" s="141" t="n"/>
      <c r="H245" s="141" t="n"/>
      <c r="I245" s="141" t="n"/>
      <c r="J245" s="141" t="n"/>
      <c r="K245" s="141" t="n"/>
      <c r="L245" s="141" t="n"/>
      <c r="M245" s="141" t="n"/>
      <c r="N245" s="141" t="n"/>
      <c r="O245" s="141" t="n"/>
      <c r="P245" s="141" t="n"/>
      <c r="Q245" s="141" t="n"/>
      <c r="R245" s="141" t="n"/>
      <c r="S245" s="141" t="n"/>
      <c r="T245" s="141" t="n"/>
      <c r="U245" s="141" t="n"/>
      <c r="V245" s="141" t="n"/>
      <c r="W245" s="141" t="n"/>
      <c r="X245" s="141" t="n"/>
      <c r="Y245" s="136" t="n"/>
      <c r="Z245" s="136" t="n"/>
      <c r="AA245" s="136" t="n"/>
      <c r="AB245" s="136" t="n"/>
      <c r="AC245" s="136" t="n"/>
      <c r="AD245" s="136" t="n"/>
      <c r="AE245" s="136" t="n"/>
      <c r="AF245" s="136" t="n"/>
      <c r="AG245" s="136" t="n"/>
      <c r="AH245" s="136" t="n"/>
      <c r="AI245" s="136" t="n"/>
      <c r="AJ245" s="136" t="n"/>
      <c r="AK245" s="136" t="n"/>
      <c r="AL245" s="136" t="n"/>
      <c r="AM245" s="136" t="n"/>
      <c r="AN245" s="136" t="n"/>
      <c r="AO245" s="136" t="n"/>
      <c r="AP245" s="136" t="n"/>
      <c r="AQ245" s="136" t="n"/>
      <c r="AR245" s="136" t="n"/>
    </row>
    <row r="246" ht="13.5" customHeight="1" s="196">
      <c r="A246" s="136" t="n"/>
      <c r="B246" s="136" t="n"/>
      <c r="C246" s="136" t="n"/>
      <c r="D246" s="141" t="n"/>
      <c r="E246" s="141" t="n"/>
      <c r="F246" s="141" t="n"/>
      <c r="G246" s="141" t="n"/>
      <c r="H246" s="141" t="n"/>
      <c r="I246" s="141" t="n"/>
      <c r="J246" s="141" t="n"/>
      <c r="K246" s="141" t="n"/>
      <c r="L246" s="141" t="n"/>
      <c r="M246" s="141" t="n"/>
      <c r="N246" s="141" t="n"/>
      <c r="O246" s="141" t="n"/>
      <c r="P246" s="141" t="n"/>
      <c r="Q246" s="141" t="n"/>
      <c r="R246" s="141" t="n"/>
      <c r="S246" s="141" t="n"/>
      <c r="T246" s="141" t="n"/>
      <c r="U246" s="141" t="n"/>
      <c r="V246" s="141" t="n"/>
      <c r="W246" s="141" t="n"/>
      <c r="X246" s="141" t="n"/>
      <c r="Y246" s="136" t="n"/>
      <c r="Z246" s="136" t="n"/>
      <c r="AA246" s="136" t="n"/>
      <c r="AB246" s="136" t="n"/>
      <c r="AC246" s="136" t="n"/>
      <c r="AD246" s="136" t="n"/>
      <c r="AE246" s="136" t="n"/>
      <c r="AF246" s="136" t="n"/>
      <c r="AG246" s="136" t="n"/>
      <c r="AH246" s="136" t="n"/>
      <c r="AI246" s="136" t="n"/>
      <c r="AJ246" s="136" t="n"/>
      <c r="AK246" s="136" t="n"/>
      <c r="AL246" s="136" t="n"/>
      <c r="AM246" s="136" t="n"/>
      <c r="AN246" s="136" t="n"/>
      <c r="AO246" s="136" t="n"/>
      <c r="AP246" s="136" t="n"/>
      <c r="AQ246" s="136" t="n"/>
      <c r="AR246" s="136" t="n"/>
    </row>
    <row r="247" ht="13.5" customHeight="1" s="196">
      <c r="A247" s="136" t="n"/>
      <c r="B247" s="136" t="n"/>
      <c r="C247" s="136" t="n"/>
      <c r="D247" s="141" t="n"/>
      <c r="E247" s="141" t="n"/>
      <c r="F247" s="141" t="n"/>
      <c r="G247" s="141" t="n"/>
      <c r="H247" s="141" t="n"/>
      <c r="I247" s="141" t="n"/>
      <c r="J247" s="141" t="n"/>
      <c r="K247" s="141" t="n"/>
      <c r="L247" s="141" t="n"/>
      <c r="M247" s="141" t="n"/>
      <c r="N247" s="141" t="n"/>
      <c r="O247" s="141" t="n"/>
      <c r="P247" s="141" t="n"/>
      <c r="Q247" s="141" t="n"/>
      <c r="R247" s="141" t="n"/>
      <c r="S247" s="141" t="n"/>
      <c r="T247" s="141" t="n"/>
      <c r="U247" s="141" t="n"/>
      <c r="V247" s="141" t="n"/>
      <c r="W247" s="141" t="n"/>
      <c r="X247" s="141" t="n"/>
      <c r="Y247" s="136" t="n"/>
      <c r="Z247" s="136" t="n"/>
      <c r="AA247" s="136" t="n"/>
      <c r="AB247" s="136" t="n"/>
      <c r="AC247" s="136" t="n"/>
      <c r="AD247" s="136" t="n"/>
      <c r="AE247" s="136" t="n"/>
      <c r="AF247" s="136" t="n"/>
      <c r="AG247" s="136" t="n"/>
      <c r="AH247" s="136" t="n"/>
      <c r="AI247" s="136" t="n"/>
      <c r="AJ247" s="136" t="n"/>
      <c r="AK247" s="136" t="n"/>
      <c r="AL247" s="136" t="n"/>
      <c r="AM247" s="136" t="n"/>
      <c r="AN247" s="136" t="n"/>
      <c r="AO247" s="136" t="n"/>
      <c r="AP247" s="136" t="n"/>
      <c r="AQ247" s="136" t="n"/>
      <c r="AR247" s="136" t="n"/>
    </row>
    <row r="248" ht="13.5" customHeight="1" s="196">
      <c r="A248" s="136" t="n"/>
      <c r="B248" s="136" t="n"/>
      <c r="C248" s="136" t="n"/>
      <c r="D248" s="141" t="n"/>
      <c r="E248" s="141" t="n"/>
      <c r="F248" s="141" t="n"/>
      <c r="G248" s="141" t="n"/>
      <c r="H248" s="141" t="n"/>
      <c r="I248" s="141" t="n"/>
      <c r="J248" s="141" t="n"/>
      <c r="K248" s="141" t="n"/>
      <c r="L248" s="141" t="n"/>
      <c r="M248" s="141" t="n"/>
      <c r="N248" s="141" t="n"/>
      <c r="O248" s="141" t="n"/>
      <c r="P248" s="141" t="n"/>
      <c r="Q248" s="141" t="n"/>
      <c r="R248" s="141" t="n"/>
      <c r="S248" s="141" t="n"/>
      <c r="T248" s="141" t="n"/>
      <c r="U248" s="141" t="n"/>
      <c r="V248" s="141" t="n"/>
      <c r="W248" s="141" t="n"/>
      <c r="X248" s="141" t="n"/>
      <c r="Y248" s="136" t="n"/>
      <c r="Z248" s="136" t="n"/>
      <c r="AA248" s="136" t="n"/>
      <c r="AB248" s="136" t="n"/>
      <c r="AC248" s="136" t="n"/>
      <c r="AD248" s="136" t="n"/>
      <c r="AE248" s="136" t="n"/>
      <c r="AF248" s="136" t="n"/>
      <c r="AG248" s="136" t="n"/>
      <c r="AH248" s="136" t="n"/>
      <c r="AI248" s="136" t="n"/>
      <c r="AJ248" s="136" t="n"/>
      <c r="AK248" s="136" t="n"/>
      <c r="AL248" s="136" t="n"/>
      <c r="AM248" s="136" t="n"/>
      <c r="AN248" s="136" t="n"/>
      <c r="AO248" s="136" t="n"/>
      <c r="AP248" s="136" t="n"/>
      <c r="AQ248" s="136" t="n"/>
      <c r="AR248" s="136" t="n"/>
    </row>
    <row r="249" ht="13.5" customHeight="1" s="196">
      <c r="A249" s="136" t="n"/>
      <c r="B249" s="136" t="n"/>
      <c r="C249" s="136" t="n"/>
      <c r="D249" s="141" t="n"/>
      <c r="E249" s="141" t="n"/>
      <c r="F249" s="141" t="n"/>
      <c r="G249" s="141" t="n"/>
      <c r="H249" s="141" t="n"/>
      <c r="I249" s="141" t="n"/>
      <c r="J249" s="141" t="n"/>
      <c r="K249" s="141" t="n"/>
      <c r="L249" s="141" t="n"/>
      <c r="M249" s="141" t="n"/>
      <c r="N249" s="141" t="n"/>
      <c r="O249" s="141" t="n"/>
      <c r="P249" s="141" t="n"/>
      <c r="Q249" s="141" t="n"/>
      <c r="R249" s="141" t="n"/>
      <c r="S249" s="141" t="n"/>
      <c r="T249" s="141" t="n"/>
      <c r="U249" s="141" t="n"/>
      <c r="V249" s="141" t="n"/>
      <c r="W249" s="141" t="n"/>
      <c r="X249" s="141" t="n"/>
      <c r="Y249" s="136" t="n"/>
      <c r="Z249" s="136" t="n"/>
      <c r="AA249" s="136" t="n"/>
      <c r="AB249" s="136" t="n"/>
      <c r="AC249" s="136" t="n"/>
      <c r="AD249" s="136" t="n"/>
      <c r="AE249" s="136" t="n"/>
      <c r="AF249" s="136" t="n"/>
      <c r="AG249" s="136" t="n"/>
      <c r="AH249" s="136" t="n"/>
      <c r="AI249" s="136" t="n"/>
      <c r="AJ249" s="136" t="n"/>
      <c r="AK249" s="136" t="n"/>
      <c r="AL249" s="136" t="n"/>
      <c r="AM249" s="136" t="n"/>
      <c r="AN249" s="136" t="n"/>
      <c r="AO249" s="136" t="n"/>
      <c r="AP249" s="136" t="n"/>
      <c r="AQ249" s="136" t="n"/>
      <c r="AR249" s="136" t="n"/>
    </row>
    <row r="250" ht="13.5" customHeight="1" s="196">
      <c r="A250" s="136" t="n"/>
      <c r="B250" s="136" t="n"/>
      <c r="C250" s="136" t="n"/>
      <c r="D250" s="141" t="n"/>
      <c r="E250" s="141" t="n"/>
      <c r="F250" s="141" t="n"/>
      <c r="G250" s="141" t="n"/>
      <c r="H250" s="141" t="n"/>
      <c r="I250" s="141" t="n"/>
      <c r="J250" s="141" t="n"/>
      <c r="K250" s="141" t="n"/>
      <c r="L250" s="141" t="n"/>
      <c r="M250" s="141" t="n"/>
      <c r="N250" s="141" t="n"/>
      <c r="O250" s="141" t="n"/>
      <c r="P250" s="141" t="n"/>
      <c r="Q250" s="141" t="n"/>
      <c r="R250" s="141" t="n"/>
      <c r="S250" s="141" t="n"/>
      <c r="T250" s="141" t="n"/>
      <c r="U250" s="141" t="n"/>
      <c r="V250" s="141" t="n"/>
      <c r="W250" s="141" t="n"/>
      <c r="X250" s="141" t="n"/>
      <c r="Y250" s="136" t="n"/>
      <c r="Z250" s="136" t="n"/>
      <c r="AA250" s="136" t="n"/>
      <c r="AB250" s="136" t="n"/>
      <c r="AC250" s="136" t="n"/>
      <c r="AD250" s="136" t="n"/>
      <c r="AE250" s="136" t="n"/>
      <c r="AF250" s="136" t="n"/>
      <c r="AG250" s="136" t="n"/>
      <c r="AH250" s="136" t="n"/>
      <c r="AI250" s="136" t="n"/>
      <c r="AJ250" s="136" t="n"/>
      <c r="AK250" s="136" t="n"/>
      <c r="AL250" s="136" t="n"/>
      <c r="AM250" s="136" t="n"/>
      <c r="AN250" s="136" t="n"/>
      <c r="AO250" s="136" t="n"/>
      <c r="AP250" s="136" t="n"/>
      <c r="AQ250" s="136" t="n"/>
      <c r="AR250" s="136" t="n"/>
    </row>
    <row r="251" ht="13.5" customHeight="1" s="196">
      <c r="A251" s="136" t="n"/>
      <c r="B251" s="136" t="n"/>
      <c r="C251" s="136" t="n"/>
      <c r="D251" s="141" t="n"/>
      <c r="E251" s="141" t="n"/>
      <c r="F251" s="141" t="n"/>
      <c r="G251" s="141" t="n"/>
      <c r="H251" s="141" t="n"/>
      <c r="I251" s="141" t="n"/>
      <c r="J251" s="141" t="n"/>
      <c r="K251" s="141" t="n"/>
      <c r="L251" s="141" t="n"/>
      <c r="M251" s="141" t="n"/>
      <c r="N251" s="141" t="n"/>
      <c r="O251" s="141" t="n"/>
      <c r="P251" s="141" t="n"/>
      <c r="Q251" s="141" t="n"/>
      <c r="R251" s="141" t="n"/>
      <c r="S251" s="141" t="n"/>
      <c r="T251" s="141" t="n"/>
      <c r="U251" s="141" t="n"/>
      <c r="V251" s="141" t="n"/>
      <c r="W251" s="141" t="n"/>
      <c r="X251" s="141" t="n"/>
      <c r="Y251" s="136" t="n"/>
      <c r="Z251" s="136" t="n"/>
      <c r="AA251" s="136" t="n"/>
      <c r="AB251" s="136" t="n"/>
      <c r="AC251" s="136" t="n"/>
      <c r="AD251" s="136" t="n"/>
      <c r="AE251" s="136" t="n"/>
      <c r="AF251" s="136" t="n"/>
      <c r="AG251" s="136" t="n"/>
      <c r="AH251" s="136" t="n"/>
      <c r="AI251" s="136" t="n"/>
      <c r="AJ251" s="136" t="n"/>
      <c r="AK251" s="136" t="n"/>
      <c r="AL251" s="136" t="n"/>
      <c r="AM251" s="136" t="n"/>
      <c r="AN251" s="136" t="n"/>
      <c r="AO251" s="136" t="n"/>
      <c r="AP251" s="136" t="n"/>
      <c r="AQ251" s="136" t="n"/>
      <c r="AR251" s="136" t="n"/>
    </row>
    <row r="252" ht="13.5" customHeight="1" s="196">
      <c r="A252" s="136" t="n"/>
      <c r="B252" s="136" t="n"/>
      <c r="C252" s="136" t="n"/>
      <c r="D252" s="141" t="n"/>
      <c r="E252" s="141" t="n"/>
      <c r="F252" s="141" t="n"/>
      <c r="G252" s="141" t="n"/>
      <c r="H252" s="141" t="n"/>
      <c r="I252" s="141" t="n"/>
      <c r="J252" s="141" t="n"/>
      <c r="K252" s="141" t="n"/>
      <c r="L252" s="141" t="n"/>
      <c r="M252" s="141" t="n"/>
      <c r="N252" s="141" t="n"/>
      <c r="O252" s="141" t="n"/>
      <c r="P252" s="141" t="n"/>
      <c r="Q252" s="141" t="n"/>
      <c r="R252" s="141" t="n"/>
      <c r="S252" s="141" t="n"/>
      <c r="T252" s="141" t="n"/>
      <c r="U252" s="141" t="n"/>
      <c r="V252" s="141" t="n"/>
      <c r="W252" s="141" t="n"/>
      <c r="X252" s="141" t="n"/>
      <c r="Y252" s="136" t="n"/>
      <c r="Z252" s="136" t="n"/>
      <c r="AA252" s="136" t="n"/>
      <c r="AB252" s="136" t="n"/>
      <c r="AC252" s="136" t="n"/>
      <c r="AD252" s="136" t="n"/>
      <c r="AE252" s="136" t="n"/>
      <c r="AF252" s="136" t="n"/>
      <c r="AG252" s="136" t="n"/>
      <c r="AH252" s="136" t="n"/>
      <c r="AI252" s="136" t="n"/>
      <c r="AJ252" s="136" t="n"/>
      <c r="AK252" s="136" t="n"/>
      <c r="AL252" s="136" t="n"/>
      <c r="AM252" s="136" t="n"/>
      <c r="AN252" s="136" t="n"/>
      <c r="AO252" s="136" t="n"/>
      <c r="AP252" s="136" t="n"/>
      <c r="AQ252" s="136" t="n"/>
      <c r="AR252" s="136" t="n"/>
    </row>
    <row r="253" ht="13.5" customHeight="1" s="196">
      <c r="A253" s="136" t="n"/>
      <c r="B253" s="136" t="n"/>
      <c r="C253" s="136" t="n"/>
      <c r="D253" s="141" t="n"/>
      <c r="E253" s="141" t="n"/>
      <c r="F253" s="141" t="n"/>
      <c r="G253" s="141" t="n"/>
      <c r="H253" s="141" t="n"/>
      <c r="I253" s="141" t="n"/>
      <c r="J253" s="141" t="n"/>
      <c r="K253" s="141" t="n"/>
      <c r="L253" s="141" t="n"/>
      <c r="M253" s="141" t="n"/>
      <c r="N253" s="141" t="n"/>
      <c r="O253" s="141" t="n"/>
      <c r="P253" s="141" t="n"/>
      <c r="Q253" s="141" t="n"/>
      <c r="R253" s="141" t="n"/>
      <c r="S253" s="141" t="n"/>
      <c r="T253" s="141" t="n"/>
      <c r="U253" s="141" t="n"/>
      <c r="V253" s="141" t="n"/>
      <c r="W253" s="141" t="n"/>
      <c r="X253" s="141" t="n"/>
      <c r="Y253" s="136" t="n"/>
      <c r="Z253" s="136" t="n"/>
      <c r="AA253" s="136" t="n"/>
      <c r="AB253" s="136" t="n"/>
      <c r="AC253" s="136" t="n"/>
      <c r="AD253" s="136" t="n"/>
      <c r="AE253" s="136" t="n"/>
      <c r="AF253" s="136" t="n"/>
      <c r="AG253" s="136" t="n"/>
      <c r="AH253" s="136" t="n"/>
      <c r="AI253" s="136" t="n"/>
      <c r="AJ253" s="136" t="n"/>
      <c r="AK253" s="136" t="n"/>
      <c r="AL253" s="136" t="n"/>
      <c r="AM253" s="136" t="n"/>
      <c r="AN253" s="136" t="n"/>
      <c r="AO253" s="136" t="n"/>
      <c r="AP253" s="136" t="n"/>
      <c r="AQ253" s="136" t="n"/>
      <c r="AR253" s="136" t="n"/>
    </row>
    <row r="254" ht="13.5" customHeight="1" s="196">
      <c r="A254" s="136" t="n"/>
      <c r="B254" s="136" t="n"/>
      <c r="C254" s="136" t="n"/>
      <c r="D254" s="141" t="n"/>
      <c r="E254" s="141" t="n"/>
      <c r="F254" s="141" t="n"/>
      <c r="G254" s="141" t="n"/>
      <c r="H254" s="141" t="n"/>
      <c r="I254" s="141" t="n"/>
      <c r="J254" s="141" t="n"/>
      <c r="K254" s="141" t="n"/>
      <c r="L254" s="141" t="n"/>
      <c r="M254" s="141" t="n"/>
      <c r="N254" s="141" t="n"/>
      <c r="O254" s="141" t="n"/>
      <c r="P254" s="141" t="n"/>
      <c r="Q254" s="141" t="n"/>
      <c r="R254" s="141" t="n"/>
      <c r="S254" s="141" t="n"/>
      <c r="T254" s="141" t="n"/>
      <c r="U254" s="141" t="n"/>
      <c r="V254" s="141" t="n"/>
      <c r="W254" s="141" t="n"/>
      <c r="X254" s="141" t="n"/>
      <c r="Y254" s="136" t="n"/>
      <c r="Z254" s="136" t="n"/>
      <c r="AA254" s="136" t="n"/>
      <c r="AB254" s="136" t="n"/>
      <c r="AC254" s="136" t="n"/>
      <c r="AD254" s="136" t="n"/>
      <c r="AE254" s="136" t="n"/>
      <c r="AF254" s="136" t="n"/>
      <c r="AG254" s="136" t="n"/>
      <c r="AH254" s="136" t="n"/>
      <c r="AI254" s="136" t="n"/>
      <c r="AJ254" s="136" t="n"/>
      <c r="AK254" s="136" t="n"/>
      <c r="AL254" s="136" t="n"/>
      <c r="AM254" s="136" t="n"/>
      <c r="AN254" s="136" t="n"/>
      <c r="AO254" s="136" t="n"/>
      <c r="AP254" s="136" t="n"/>
      <c r="AQ254" s="136" t="n"/>
      <c r="AR254" s="136" t="n"/>
    </row>
    <row r="255" ht="13.5" customHeight="1" s="196">
      <c r="A255" s="136" t="n"/>
      <c r="B255" s="136" t="n"/>
      <c r="C255" s="136" t="n"/>
      <c r="D255" s="141" t="n"/>
      <c r="E255" s="141" t="n"/>
      <c r="F255" s="141" t="n"/>
      <c r="G255" s="141" t="n"/>
      <c r="H255" s="141" t="n"/>
      <c r="I255" s="141" t="n"/>
      <c r="J255" s="141" t="n"/>
      <c r="K255" s="141" t="n"/>
      <c r="L255" s="141" t="n"/>
      <c r="M255" s="141" t="n"/>
      <c r="N255" s="141" t="n"/>
      <c r="O255" s="141" t="n"/>
      <c r="P255" s="141" t="n"/>
      <c r="Q255" s="141" t="n"/>
      <c r="R255" s="141" t="n"/>
      <c r="S255" s="141" t="n"/>
      <c r="T255" s="141" t="n"/>
      <c r="U255" s="141" t="n"/>
      <c r="V255" s="141" t="n"/>
      <c r="W255" s="141" t="n"/>
      <c r="X255" s="141" t="n"/>
      <c r="Y255" s="136" t="n"/>
      <c r="Z255" s="136" t="n"/>
      <c r="AA255" s="136" t="n"/>
      <c r="AB255" s="136" t="n"/>
      <c r="AC255" s="136" t="n"/>
      <c r="AD255" s="136" t="n"/>
      <c r="AE255" s="136" t="n"/>
      <c r="AF255" s="136" t="n"/>
      <c r="AG255" s="136" t="n"/>
      <c r="AH255" s="136" t="n"/>
      <c r="AI255" s="136" t="n"/>
      <c r="AJ255" s="136" t="n"/>
      <c r="AK255" s="136" t="n"/>
      <c r="AL255" s="136" t="n"/>
      <c r="AM255" s="136" t="n"/>
      <c r="AN255" s="136" t="n"/>
      <c r="AO255" s="136" t="n"/>
      <c r="AP255" s="136" t="n"/>
      <c r="AQ255" s="136" t="n"/>
      <c r="AR255" s="136" t="n"/>
    </row>
    <row r="256" ht="13.5" customHeight="1" s="196">
      <c r="A256" s="136" t="n"/>
      <c r="B256" s="136" t="n"/>
      <c r="C256" s="136" t="n"/>
      <c r="D256" s="141" t="n"/>
      <c r="E256" s="141" t="n"/>
      <c r="F256" s="141" t="n"/>
      <c r="G256" s="141" t="n"/>
      <c r="H256" s="141" t="n"/>
      <c r="I256" s="141" t="n"/>
      <c r="J256" s="141" t="n"/>
      <c r="K256" s="141" t="n"/>
      <c r="L256" s="141" t="n"/>
      <c r="M256" s="141" t="n"/>
      <c r="N256" s="141" t="n"/>
      <c r="O256" s="141" t="n"/>
      <c r="P256" s="141" t="n"/>
      <c r="Q256" s="141" t="n"/>
      <c r="R256" s="141" t="n"/>
      <c r="S256" s="141" t="n"/>
      <c r="T256" s="141" t="n"/>
      <c r="U256" s="141" t="n"/>
      <c r="V256" s="141" t="n"/>
      <c r="W256" s="141" t="n"/>
      <c r="X256" s="141" t="n"/>
      <c r="Y256" s="136" t="n"/>
      <c r="Z256" s="136" t="n"/>
      <c r="AA256" s="136" t="n"/>
      <c r="AB256" s="136" t="n"/>
      <c r="AC256" s="136" t="n"/>
      <c r="AD256" s="136" t="n"/>
      <c r="AE256" s="136" t="n"/>
      <c r="AF256" s="136" t="n"/>
      <c r="AG256" s="136" t="n"/>
      <c r="AH256" s="136" t="n"/>
      <c r="AI256" s="136" t="n"/>
      <c r="AJ256" s="136" t="n"/>
      <c r="AK256" s="136" t="n"/>
      <c r="AL256" s="136" t="n"/>
      <c r="AM256" s="136" t="n"/>
      <c r="AN256" s="136" t="n"/>
      <c r="AO256" s="136" t="n"/>
      <c r="AP256" s="136" t="n"/>
      <c r="AQ256" s="136" t="n"/>
      <c r="AR256" s="136" t="n"/>
    </row>
    <row r="257" ht="13.5" customHeight="1" s="196">
      <c r="A257" s="136" t="n"/>
      <c r="B257" s="136" t="n"/>
      <c r="C257" s="136" t="n"/>
      <c r="D257" s="141" t="n"/>
      <c r="E257" s="141" t="n"/>
      <c r="F257" s="141" t="n"/>
      <c r="G257" s="141" t="n"/>
      <c r="H257" s="141" t="n"/>
      <c r="I257" s="141" t="n"/>
      <c r="J257" s="141" t="n"/>
      <c r="K257" s="141" t="n"/>
      <c r="L257" s="141" t="n"/>
      <c r="M257" s="141" t="n"/>
      <c r="N257" s="141" t="n"/>
      <c r="O257" s="141" t="n"/>
      <c r="P257" s="141" t="n"/>
      <c r="Q257" s="141" t="n"/>
      <c r="R257" s="141" t="n"/>
      <c r="S257" s="141" t="n"/>
      <c r="T257" s="141" t="n"/>
      <c r="U257" s="141" t="n"/>
      <c r="V257" s="141" t="n"/>
      <c r="W257" s="141" t="n"/>
      <c r="X257" s="141" t="n"/>
      <c r="Y257" s="136" t="n"/>
      <c r="Z257" s="136" t="n"/>
      <c r="AA257" s="136" t="n"/>
      <c r="AB257" s="136" t="n"/>
      <c r="AC257" s="136" t="n"/>
      <c r="AD257" s="136" t="n"/>
      <c r="AE257" s="136" t="n"/>
      <c r="AF257" s="136" t="n"/>
      <c r="AG257" s="136" t="n"/>
      <c r="AH257" s="136" t="n"/>
      <c r="AI257" s="136" t="n"/>
      <c r="AJ257" s="136" t="n"/>
      <c r="AK257" s="136" t="n"/>
      <c r="AL257" s="136" t="n"/>
      <c r="AM257" s="136" t="n"/>
      <c r="AN257" s="136" t="n"/>
      <c r="AO257" s="136" t="n"/>
      <c r="AP257" s="136" t="n"/>
      <c r="AQ257" s="136" t="n"/>
      <c r="AR257" s="136" t="n"/>
    </row>
    <row r="258" ht="13.5" customHeight="1" s="196">
      <c r="A258" s="136" t="n"/>
      <c r="B258" s="136" t="n"/>
      <c r="C258" s="136" t="n"/>
      <c r="D258" s="141" t="n"/>
      <c r="E258" s="141" t="n"/>
      <c r="F258" s="141" t="n"/>
      <c r="G258" s="141" t="n"/>
      <c r="H258" s="141" t="n"/>
      <c r="I258" s="141" t="n"/>
      <c r="J258" s="141" t="n"/>
      <c r="K258" s="141" t="n"/>
      <c r="L258" s="141" t="n"/>
      <c r="M258" s="141" t="n"/>
      <c r="N258" s="141" t="n"/>
      <c r="O258" s="141" t="n"/>
      <c r="P258" s="141" t="n"/>
      <c r="Q258" s="141" t="n"/>
      <c r="R258" s="141" t="n"/>
      <c r="S258" s="141" t="n"/>
      <c r="T258" s="141" t="n"/>
      <c r="U258" s="141" t="n"/>
      <c r="V258" s="141" t="n"/>
      <c r="W258" s="141" t="n"/>
      <c r="X258" s="141" t="n"/>
      <c r="Y258" s="136" t="n"/>
      <c r="Z258" s="136" t="n"/>
      <c r="AA258" s="136" t="n"/>
      <c r="AB258" s="136" t="n"/>
      <c r="AC258" s="136" t="n"/>
      <c r="AD258" s="136" t="n"/>
      <c r="AE258" s="136" t="n"/>
      <c r="AF258" s="136" t="n"/>
      <c r="AG258" s="136" t="n"/>
      <c r="AH258" s="136" t="n"/>
      <c r="AI258" s="136" t="n"/>
      <c r="AJ258" s="136" t="n"/>
      <c r="AK258" s="136" t="n"/>
      <c r="AL258" s="136" t="n"/>
      <c r="AM258" s="136" t="n"/>
      <c r="AN258" s="136" t="n"/>
      <c r="AO258" s="136" t="n"/>
      <c r="AP258" s="136" t="n"/>
      <c r="AQ258" s="136" t="n"/>
      <c r="AR258" s="136" t="n"/>
    </row>
    <row r="259" ht="13.5" customHeight="1" s="196">
      <c r="A259" s="136" t="n"/>
      <c r="B259" s="136" t="n"/>
      <c r="C259" s="136" t="n"/>
      <c r="D259" s="141" t="n"/>
      <c r="E259" s="141" t="n"/>
      <c r="F259" s="141" t="n"/>
      <c r="G259" s="141" t="n"/>
      <c r="H259" s="141" t="n"/>
      <c r="I259" s="141" t="n"/>
      <c r="J259" s="141" t="n"/>
      <c r="K259" s="141" t="n"/>
      <c r="L259" s="141" t="n"/>
      <c r="M259" s="141" t="n"/>
      <c r="N259" s="141" t="n"/>
      <c r="O259" s="141" t="n"/>
      <c r="P259" s="141" t="n"/>
      <c r="Q259" s="141" t="n"/>
      <c r="R259" s="141" t="n"/>
      <c r="S259" s="141" t="n"/>
      <c r="T259" s="141" t="n"/>
      <c r="U259" s="141" t="n"/>
      <c r="V259" s="141" t="n"/>
      <c r="W259" s="141" t="n"/>
      <c r="X259" s="141" t="n"/>
      <c r="Y259" s="136" t="n"/>
      <c r="Z259" s="136" t="n"/>
      <c r="AA259" s="136" t="n"/>
      <c r="AB259" s="136" t="n"/>
      <c r="AC259" s="136" t="n"/>
      <c r="AD259" s="136" t="n"/>
      <c r="AE259" s="136" t="n"/>
      <c r="AF259" s="136" t="n"/>
      <c r="AG259" s="136" t="n"/>
      <c r="AH259" s="136" t="n"/>
      <c r="AI259" s="136" t="n"/>
      <c r="AJ259" s="136" t="n"/>
      <c r="AK259" s="136" t="n"/>
      <c r="AL259" s="136" t="n"/>
      <c r="AM259" s="136" t="n"/>
      <c r="AN259" s="136" t="n"/>
      <c r="AO259" s="136" t="n"/>
      <c r="AP259" s="136" t="n"/>
      <c r="AQ259" s="136" t="n"/>
      <c r="AR259" s="136" t="n"/>
    </row>
    <row r="260" ht="13.5" customHeight="1" s="196">
      <c r="A260" s="136" t="n"/>
      <c r="B260" s="136" t="n"/>
      <c r="C260" s="136" t="n"/>
      <c r="D260" s="141" t="n"/>
      <c r="E260" s="141" t="n"/>
      <c r="F260" s="141" t="n"/>
      <c r="G260" s="141" t="n"/>
      <c r="H260" s="141" t="n"/>
      <c r="I260" s="141" t="n"/>
      <c r="J260" s="141" t="n"/>
      <c r="K260" s="141" t="n"/>
      <c r="L260" s="141" t="n"/>
      <c r="M260" s="141" t="n"/>
      <c r="N260" s="141" t="n"/>
      <c r="O260" s="141" t="n"/>
      <c r="P260" s="141" t="n"/>
      <c r="Q260" s="141" t="n"/>
      <c r="R260" s="141" t="n"/>
      <c r="S260" s="141" t="n"/>
      <c r="T260" s="141" t="n"/>
      <c r="U260" s="141" t="n"/>
      <c r="V260" s="141" t="n"/>
      <c r="W260" s="141" t="n"/>
      <c r="X260" s="141" t="n"/>
      <c r="Y260" s="136" t="n"/>
      <c r="Z260" s="136" t="n"/>
      <c r="AA260" s="136" t="n"/>
      <c r="AB260" s="136" t="n"/>
      <c r="AC260" s="136" t="n"/>
      <c r="AD260" s="136" t="n"/>
      <c r="AE260" s="136" t="n"/>
      <c r="AF260" s="136" t="n"/>
      <c r="AG260" s="136" t="n"/>
      <c r="AH260" s="136" t="n"/>
      <c r="AI260" s="136" t="n"/>
      <c r="AJ260" s="136" t="n"/>
      <c r="AK260" s="136" t="n"/>
      <c r="AL260" s="136" t="n"/>
      <c r="AM260" s="136" t="n"/>
      <c r="AN260" s="136" t="n"/>
      <c r="AO260" s="136" t="n"/>
      <c r="AP260" s="136" t="n"/>
      <c r="AQ260" s="136" t="n"/>
      <c r="AR260" s="136" t="n"/>
    </row>
    <row r="261" ht="13.5" customHeight="1" s="196">
      <c r="A261" s="136" t="n"/>
      <c r="B261" s="136" t="n"/>
      <c r="C261" s="136" t="n"/>
      <c r="D261" s="141" t="n"/>
      <c r="E261" s="141" t="n"/>
      <c r="F261" s="141" t="n"/>
      <c r="G261" s="141" t="n"/>
      <c r="H261" s="141" t="n"/>
      <c r="I261" s="141" t="n"/>
      <c r="J261" s="141" t="n"/>
      <c r="K261" s="141" t="n"/>
      <c r="L261" s="141" t="n"/>
      <c r="M261" s="141" t="n"/>
      <c r="N261" s="141" t="n"/>
      <c r="O261" s="141" t="n"/>
      <c r="P261" s="141" t="n"/>
      <c r="Q261" s="141" t="n"/>
      <c r="R261" s="141" t="n"/>
      <c r="S261" s="141" t="n"/>
      <c r="T261" s="141" t="n"/>
      <c r="U261" s="141" t="n"/>
      <c r="V261" s="141" t="n"/>
      <c r="W261" s="141" t="n"/>
      <c r="X261" s="141" t="n"/>
      <c r="Y261" s="136" t="n"/>
      <c r="Z261" s="136" t="n"/>
      <c r="AA261" s="136" t="n"/>
      <c r="AB261" s="136" t="n"/>
      <c r="AC261" s="136" t="n"/>
      <c r="AD261" s="136" t="n"/>
      <c r="AE261" s="136" t="n"/>
      <c r="AF261" s="136" t="n"/>
      <c r="AG261" s="136" t="n"/>
      <c r="AH261" s="136" t="n"/>
      <c r="AI261" s="136" t="n"/>
      <c r="AJ261" s="136" t="n"/>
      <c r="AK261" s="136" t="n"/>
      <c r="AL261" s="136" t="n"/>
      <c r="AM261" s="136" t="n"/>
      <c r="AN261" s="136" t="n"/>
      <c r="AO261" s="136" t="n"/>
      <c r="AP261" s="136" t="n"/>
      <c r="AQ261" s="136" t="n"/>
      <c r="AR261" s="136" t="n"/>
    </row>
    <row r="262" ht="13.5" customHeight="1" s="196">
      <c r="A262" s="136" t="n"/>
      <c r="B262" s="136" t="n"/>
      <c r="C262" s="136" t="n"/>
      <c r="D262" s="141" t="n"/>
      <c r="E262" s="141" t="n"/>
      <c r="F262" s="141" t="n"/>
      <c r="G262" s="141" t="n"/>
      <c r="H262" s="141" t="n"/>
      <c r="I262" s="141" t="n"/>
      <c r="J262" s="141" t="n"/>
      <c r="K262" s="141" t="n"/>
      <c r="L262" s="141" t="n"/>
      <c r="M262" s="141" t="n"/>
      <c r="N262" s="141" t="n"/>
      <c r="O262" s="141" t="n"/>
      <c r="P262" s="141" t="n"/>
      <c r="Q262" s="141" t="n"/>
      <c r="R262" s="141" t="n"/>
      <c r="S262" s="141" t="n"/>
      <c r="T262" s="141" t="n"/>
      <c r="U262" s="141" t="n"/>
      <c r="V262" s="141" t="n"/>
      <c r="W262" s="141" t="n"/>
      <c r="X262" s="141" t="n"/>
      <c r="Y262" s="136" t="n"/>
      <c r="Z262" s="136" t="n"/>
      <c r="AA262" s="136" t="n"/>
      <c r="AB262" s="136" t="n"/>
      <c r="AC262" s="136" t="n"/>
      <c r="AD262" s="136" t="n"/>
      <c r="AE262" s="136" t="n"/>
      <c r="AF262" s="136" t="n"/>
      <c r="AG262" s="136" t="n"/>
      <c r="AH262" s="136" t="n"/>
      <c r="AI262" s="136" t="n"/>
      <c r="AJ262" s="136" t="n"/>
      <c r="AK262" s="136" t="n"/>
      <c r="AL262" s="136" t="n"/>
      <c r="AM262" s="136" t="n"/>
      <c r="AN262" s="136" t="n"/>
      <c r="AO262" s="136" t="n"/>
      <c r="AP262" s="136" t="n"/>
      <c r="AQ262" s="136" t="n"/>
      <c r="AR262" s="136" t="n"/>
    </row>
    <row r="263" ht="13.5" customHeight="1" s="196">
      <c r="A263" s="136" t="n"/>
      <c r="B263" s="136" t="n"/>
      <c r="C263" s="136" t="n"/>
      <c r="D263" s="141" t="n"/>
      <c r="E263" s="141" t="n"/>
      <c r="F263" s="141" t="n"/>
      <c r="G263" s="141" t="n"/>
      <c r="H263" s="141" t="n"/>
      <c r="I263" s="141" t="n"/>
      <c r="J263" s="141" t="n"/>
      <c r="K263" s="141" t="n"/>
      <c r="L263" s="141" t="n"/>
      <c r="M263" s="141" t="n"/>
      <c r="N263" s="141" t="n"/>
      <c r="O263" s="141" t="n"/>
      <c r="P263" s="141" t="n"/>
      <c r="Q263" s="141" t="n"/>
      <c r="R263" s="141" t="n"/>
      <c r="S263" s="141" t="n"/>
      <c r="T263" s="141" t="n"/>
      <c r="U263" s="141" t="n"/>
      <c r="V263" s="141" t="n"/>
      <c r="W263" s="141" t="n"/>
      <c r="X263" s="141" t="n"/>
      <c r="Y263" s="136" t="n"/>
      <c r="Z263" s="136" t="n"/>
      <c r="AA263" s="136" t="n"/>
      <c r="AB263" s="136" t="n"/>
      <c r="AC263" s="136" t="n"/>
      <c r="AD263" s="136" t="n"/>
      <c r="AE263" s="136" t="n"/>
      <c r="AF263" s="136" t="n"/>
      <c r="AG263" s="136" t="n"/>
      <c r="AH263" s="136" t="n"/>
      <c r="AI263" s="136" t="n"/>
      <c r="AJ263" s="136" t="n"/>
      <c r="AK263" s="136" t="n"/>
      <c r="AL263" s="136" t="n"/>
      <c r="AM263" s="136" t="n"/>
      <c r="AN263" s="136" t="n"/>
      <c r="AO263" s="136" t="n"/>
      <c r="AP263" s="136" t="n"/>
      <c r="AQ263" s="136" t="n"/>
      <c r="AR263" s="136" t="n"/>
    </row>
    <row r="264" ht="13.5" customHeight="1" s="196">
      <c r="A264" s="136" t="n"/>
      <c r="B264" s="136" t="n"/>
      <c r="C264" s="136" t="n"/>
      <c r="D264" s="141" t="n"/>
      <c r="E264" s="141" t="n"/>
      <c r="F264" s="141" t="n"/>
      <c r="G264" s="141" t="n"/>
      <c r="H264" s="141" t="n"/>
      <c r="I264" s="141" t="n"/>
      <c r="J264" s="141" t="n"/>
      <c r="K264" s="141" t="n"/>
      <c r="L264" s="141" t="n"/>
      <c r="M264" s="141" t="n"/>
      <c r="N264" s="141" t="n"/>
      <c r="O264" s="141" t="n"/>
      <c r="P264" s="141" t="n"/>
      <c r="Q264" s="141" t="n"/>
      <c r="R264" s="141" t="n"/>
      <c r="S264" s="141" t="n"/>
      <c r="T264" s="141" t="n"/>
      <c r="U264" s="141" t="n"/>
      <c r="V264" s="141" t="n"/>
      <c r="W264" s="141" t="n"/>
      <c r="X264" s="141" t="n"/>
      <c r="Y264" s="136" t="n"/>
      <c r="Z264" s="136" t="n"/>
      <c r="AA264" s="136" t="n"/>
      <c r="AB264" s="136" t="n"/>
      <c r="AC264" s="136" t="n"/>
      <c r="AD264" s="136" t="n"/>
      <c r="AE264" s="136" t="n"/>
      <c r="AF264" s="136" t="n"/>
      <c r="AG264" s="136" t="n"/>
      <c r="AH264" s="136" t="n"/>
      <c r="AI264" s="136" t="n"/>
      <c r="AJ264" s="136" t="n"/>
      <c r="AK264" s="136" t="n"/>
      <c r="AL264" s="136" t="n"/>
      <c r="AM264" s="136" t="n"/>
      <c r="AN264" s="136" t="n"/>
      <c r="AO264" s="136" t="n"/>
      <c r="AP264" s="136" t="n"/>
      <c r="AQ264" s="136" t="n"/>
      <c r="AR264" s="136" t="n"/>
    </row>
    <row r="265" ht="13.5" customHeight="1" s="196">
      <c r="A265" s="136" t="n"/>
      <c r="B265" s="136" t="n"/>
      <c r="C265" s="136" t="n"/>
      <c r="D265" s="141" t="n"/>
      <c r="E265" s="141" t="n"/>
      <c r="F265" s="141" t="n"/>
      <c r="G265" s="141" t="n"/>
      <c r="H265" s="141" t="n"/>
      <c r="I265" s="141" t="n"/>
      <c r="J265" s="141" t="n"/>
      <c r="K265" s="141" t="n"/>
      <c r="L265" s="141" t="n"/>
      <c r="M265" s="141" t="n"/>
      <c r="N265" s="141" t="n"/>
      <c r="O265" s="141" t="n"/>
      <c r="P265" s="141" t="n"/>
      <c r="Q265" s="141" t="n"/>
      <c r="R265" s="141" t="n"/>
      <c r="S265" s="141" t="n"/>
      <c r="T265" s="141" t="n"/>
      <c r="U265" s="141" t="n"/>
      <c r="V265" s="141" t="n"/>
      <c r="W265" s="141" t="n"/>
      <c r="X265" s="141" t="n"/>
      <c r="Y265" s="136" t="n"/>
      <c r="Z265" s="136" t="n"/>
      <c r="AA265" s="136" t="n"/>
      <c r="AB265" s="136" t="n"/>
      <c r="AC265" s="136" t="n"/>
      <c r="AD265" s="136" t="n"/>
      <c r="AE265" s="136" t="n"/>
      <c r="AF265" s="136" t="n"/>
      <c r="AG265" s="136" t="n"/>
      <c r="AH265" s="136" t="n"/>
      <c r="AI265" s="136" t="n"/>
      <c r="AJ265" s="136" t="n"/>
      <c r="AK265" s="136" t="n"/>
      <c r="AL265" s="136" t="n"/>
      <c r="AM265" s="136" t="n"/>
      <c r="AN265" s="136" t="n"/>
      <c r="AO265" s="136" t="n"/>
      <c r="AP265" s="136" t="n"/>
      <c r="AQ265" s="136" t="n"/>
      <c r="AR265" s="136" t="n"/>
    </row>
    <row r="266" ht="13.5" customHeight="1" s="196">
      <c r="A266" s="136" t="n"/>
      <c r="B266" s="136" t="n"/>
      <c r="C266" s="136" t="n"/>
      <c r="D266" s="141" t="n"/>
      <c r="E266" s="141" t="n"/>
      <c r="F266" s="141" t="n"/>
      <c r="G266" s="141" t="n"/>
      <c r="H266" s="141" t="n"/>
      <c r="I266" s="141" t="n"/>
      <c r="J266" s="141" t="n"/>
      <c r="K266" s="141" t="n"/>
      <c r="L266" s="141" t="n"/>
      <c r="M266" s="141" t="n"/>
      <c r="N266" s="141" t="n"/>
      <c r="O266" s="141" t="n"/>
      <c r="P266" s="141" t="n"/>
      <c r="Q266" s="141" t="n"/>
      <c r="R266" s="141" t="n"/>
      <c r="S266" s="141" t="n"/>
      <c r="T266" s="141" t="n"/>
      <c r="U266" s="141" t="n"/>
      <c r="V266" s="141" t="n"/>
      <c r="W266" s="141" t="n"/>
      <c r="X266" s="141" t="n"/>
      <c r="Y266" s="136" t="n"/>
      <c r="Z266" s="136" t="n"/>
      <c r="AA266" s="136" t="n"/>
      <c r="AB266" s="136" t="n"/>
      <c r="AC266" s="136" t="n"/>
      <c r="AD266" s="136" t="n"/>
      <c r="AE266" s="136" t="n"/>
      <c r="AF266" s="136" t="n"/>
      <c r="AG266" s="136" t="n"/>
      <c r="AH266" s="136" t="n"/>
      <c r="AI266" s="136" t="n"/>
      <c r="AJ266" s="136" t="n"/>
      <c r="AK266" s="136" t="n"/>
      <c r="AL266" s="136" t="n"/>
      <c r="AM266" s="136" t="n"/>
      <c r="AN266" s="136" t="n"/>
      <c r="AO266" s="136" t="n"/>
      <c r="AP266" s="136" t="n"/>
      <c r="AQ266" s="136" t="n"/>
      <c r="AR266" s="136" t="n"/>
    </row>
    <row r="267" ht="13.5" customHeight="1" s="196">
      <c r="A267" s="136" t="n"/>
      <c r="B267" s="136" t="n"/>
      <c r="C267" s="136" t="n"/>
      <c r="D267" s="141" t="n"/>
      <c r="E267" s="141" t="n"/>
      <c r="F267" s="141" t="n"/>
      <c r="G267" s="141" t="n"/>
      <c r="H267" s="141" t="n"/>
      <c r="I267" s="141" t="n"/>
      <c r="J267" s="141" t="n"/>
      <c r="K267" s="141" t="n"/>
      <c r="L267" s="141" t="n"/>
      <c r="M267" s="141" t="n"/>
      <c r="N267" s="141" t="n"/>
      <c r="O267" s="141" t="n"/>
      <c r="P267" s="141" t="n"/>
      <c r="Q267" s="141" t="n"/>
      <c r="R267" s="141" t="n"/>
      <c r="S267" s="141" t="n"/>
      <c r="T267" s="141" t="n"/>
      <c r="U267" s="141" t="n"/>
      <c r="V267" s="141" t="n"/>
      <c r="W267" s="141" t="n"/>
      <c r="X267" s="141" t="n"/>
      <c r="Y267" s="136" t="n"/>
      <c r="Z267" s="136" t="n"/>
      <c r="AA267" s="136" t="n"/>
      <c r="AB267" s="136" t="n"/>
      <c r="AC267" s="136" t="n"/>
      <c r="AD267" s="136" t="n"/>
      <c r="AE267" s="136" t="n"/>
      <c r="AF267" s="136" t="n"/>
      <c r="AG267" s="136" t="n"/>
      <c r="AH267" s="136" t="n"/>
      <c r="AI267" s="136" t="n"/>
      <c r="AJ267" s="136" t="n"/>
      <c r="AK267" s="136" t="n"/>
      <c r="AL267" s="136" t="n"/>
      <c r="AM267" s="136" t="n"/>
      <c r="AN267" s="136" t="n"/>
      <c r="AO267" s="136" t="n"/>
      <c r="AP267" s="136" t="n"/>
      <c r="AQ267" s="136" t="n"/>
      <c r="AR267" s="136" t="n"/>
    </row>
    <row r="268" ht="13.5" customHeight="1" s="196">
      <c r="A268" s="136" t="n"/>
      <c r="B268" s="136" t="n"/>
      <c r="C268" s="136" t="n"/>
      <c r="D268" s="141" t="n"/>
      <c r="E268" s="141" t="n"/>
      <c r="F268" s="141" t="n"/>
      <c r="G268" s="141" t="n"/>
      <c r="H268" s="141" t="n"/>
      <c r="I268" s="141" t="n"/>
      <c r="J268" s="141" t="n"/>
      <c r="K268" s="141" t="n"/>
      <c r="L268" s="141" t="n"/>
      <c r="M268" s="141" t="n"/>
      <c r="N268" s="141" t="n"/>
      <c r="O268" s="141" t="n"/>
      <c r="P268" s="141" t="n"/>
      <c r="Q268" s="141" t="n"/>
      <c r="R268" s="141" t="n"/>
      <c r="S268" s="141" t="n"/>
      <c r="T268" s="141" t="n"/>
      <c r="U268" s="141" t="n"/>
      <c r="V268" s="141" t="n"/>
      <c r="W268" s="141" t="n"/>
      <c r="X268" s="141" t="n"/>
      <c r="Y268" s="136" t="n"/>
      <c r="Z268" s="136" t="n"/>
      <c r="AA268" s="136" t="n"/>
      <c r="AB268" s="136" t="n"/>
      <c r="AC268" s="136" t="n"/>
      <c r="AD268" s="136" t="n"/>
      <c r="AE268" s="136" t="n"/>
      <c r="AF268" s="136" t="n"/>
      <c r="AG268" s="136" t="n"/>
      <c r="AH268" s="136" t="n"/>
      <c r="AI268" s="136" t="n"/>
      <c r="AJ268" s="136" t="n"/>
      <c r="AK268" s="136" t="n"/>
      <c r="AL268" s="136" t="n"/>
      <c r="AM268" s="136" t="n"/>
      <c r="AN268" s="136" t="n"/>
      <c r="AO268" s="136" t="n"/>
      <c r="AP268" s="136" t="n"/>
      <c r="AQ268" s="136" t="n"/>
      <c r="AR268" s="136" t="n"/>
    </row>
    <row r="269" ht="13.5" customHeight="1" s="196">
      <c r="A269" s="136" t="n"/>
      <c r="B269" s="136" t="n"/>
      <c r="C269" s="136" t="n"/>
      <c r="D269" s="141" t="n"/>
      <c r="E269" s="141" t="n"/>
      <c r="F269" s="141" t="n"/>
      <c r="G269" s="141" t="n"/>
      <c r="H269" s="141" t="n"/>
      <c r="I269" s="141" t="n"/>
      <c r="J269" s="141" t="n"/>
      <c r="K269" s="141" t="n"/>
      <c r="L269" s="141" t="n"/>
      <c r="M269" s="141" t="n"/>
      <c r="N269" s="141" t="n"/>
      <c r="O269" s="141" t="n"/>
      <c r="P269" s="141" t="n"/>
      <c r="Q269" s="141" t="n"/>
      <c r="R269" s="141" t="n"/>
      <c r="S269" s="141" t="n"/>
      <c r="T269" s="141" t="n"/>
      <c r="U269" s="141" t="n"/>
      <c r="V269" s="141" t="n"/>
      <c r="W269" s="141" t="n"/>
      <c r="X269" s="141" t="n"/>
      <c r="Y269" s="136" t="n"/>
      <c r="Z269" s="136" t="n"/>
      <c r="AA269" s="136" t="n"/>
      <c r="AB269" s="136" t="n"/>
      <c r="AC269" s="136" t="n"/>
      <c r="AD269" s="136" t="n"/>
      <c r="AE269" s="136" t="n"/>
      <c r="AF269" s="136" t="n"/>
      <c r="AG269" s="136" t="n"/>
      <c r="AH269" s="136" t="n"/>
      <c r="AI269" s="136" t="n"/>
      <c r="AJ269" s="136" t="n"/>
      <c r="AK269" s="136" t="n"/>
      <c r="AL269" s="136" t="n"/>
      <c r="AM269" s="136" t="n"/>
      <c r="AN269" s="136" t="n"/>
      <c r="AO269" s="136" t="n"/>
      <c r="AP269" s="136" t="n"/>
      <c r="AQ269" s="136" t="n"/>
      <c r="AR269" s="136" t="n"/>
    </row>
    <row r="270" ht="13.5" customHeight="1" s="196">
      <c r="A270" s="136" t="n"/>
      <c r="B270" s="136" t="n"/>
      <c r="C270" s="136" t="n"/>
      <c r="D270" s="141" t="n"/>
      <c r="E270" s="141" t="n"/>
      <c r="F270" s="141" t="n"/>
      <c r="G270" s="141" t="n"/>
      <c r="H270" s="141" t="n"/>
      <c r="I270" s="141" t="n"/>
      <c r="J270" s="141" t="n"/>
      <c r="K270" s="141" t="n"/>
      <c r="L270" s="141" t="n"/>
      <c r="M270" s="141" t="n"/>
      <c r="N270" s="141" t="n"/>
      <c r="O270" s="141" t="n"/>
      <c r="P270" s="141" t="n"/>
      <c r="Q270" s="141" t="n"/>
      <c r="R270" s="141" t="n"/>
      <c r="S270" s="141" t="n"/>
      <c r="T270" s="141" t="n"/>
      <c r="U270" s="141" t="n"/>
      <c r="V270" s="141" t="n"/>
      <c r="W270" s="141" t="n"/>
      <c r="X270" s="141" t="n"/>
      <c r="Y270" s="136" t="n"/>
      <c r="Z270" s="136" t="n"/>
      <c r="AA270" s="136" t="n"/>
      <c r="AB270" s="136" t="n"/>
      <c r="AC270" s="136" t="n"/>
      <c r="AD270" s="136" t="n"/>
      <c r="AE270" s="136" t="n"/>
      <c r="AF270" s="136" t="n"/>
      <c r="AG270" s="136" t="n"/>
      <c r="AH270" s="136" t="n"/>
      <c r="AI270" s="136" t="n"/>
      <c r="AJ270" s="136" t="n"/>
      <c r="AK270" s="136" t="n"/>
      <c r="AL270" s="136" t="n"/>
      <c r="AM270" s="136" t="n"/>
      <c r="AN270" s="136" t="n"/>
      <c r="AO270" s="136" t="n"/>
      <c r="AP270" s="136" t="n"/>
      <c r="AQ270" s="136" t="n"/>
      <c r="AR270" s="136" t="n"/>
    </row>
    <row r="271" ht="13.5" customHeight="1" s="196">
      <c r="A271" s="136" t="n"/>
      <c r="B271" s="136" t="n"/>
      <c r="C271" s="136" t="n"/>
      <c r="D271" s="141" t="n"/>
      <c r="E271" s="141" t="n"/>
      <c r="F271" s="141" t="n"/>
      <c r="G271" s="141" t="n"/>
      <c r="H271" s="141" t="n"/>
      <c r="I271" s="141" t="n"/>
      <c r="J271" s="141" t="n"/>
      <c r="K271" s="141" t="n"/>
      <c r="L271" s="141" t="n"/>
      <c r="M271" s="141" t="n"/>
      <c r="N271" s="141" t="n"/>
      <c r="O271" s="141" t="n"/>
      <c r="P271" s="141" t="n"/>
      <c r="Q271" s="141" t="n"/>
      <c r="R271" s="141" t="n"/>
      <c r="S271" s="141" t="n"/>
      <c r="T271" s="141" t="n"/>
      <c r="U271" s="141" t="n"/>
      <c r="V271" s="141" t="n"/>
      <c r="W271" s="141" t="n"/>
      <c r="X271" s="141" t="n"/>
      <c r="Y271" s="136" t="n"/>
      <c r="Z271" s="136" t="n"/>
      <c r="AA271" s="136" t="n"/>
      <c r="AB271" s="136" t="n"/>
      <c r="AC271" s="136" t="n"/>
      <c r="AD271" s="136" t="n"/>
      <c r="AE271" s="136" t="n"/>
      <c r="AF271" s="136" t="n"/>
      <c r="AG271" s="136" t="n"/>
      <c r="AH271" s="136" t="n"/>
      <c r="AI271" s="136" t="n"/>
      <c r="AJ271" s="136" t="n"/>
      <c r="AK271" s="136" t="n"/>
      <c r="AL271" s="136" t="n"/>
      <c r="AM271" s="136" t="n"/>
      <c r="AN271" s="136" t="n"/>
      <c r="AO271" s="136" t="n"/>
      <c r="AP271" s="136" t="n"/>
      <c r="AQ271" s="136" t="n"/>
      <c r="AR271" s="136" t="n"/>
    </row>
    <row r="272" ht="13.5" customHeight="1" s="196">
      <c r="A272" s="136" t="n"/>
      <c r="B272" s="136" t="n"/>
      <c r="C272" s="136" t="n"/>
      <c r="D272" s="141" t="n"/>
      <c r="E272" s="141" t="n"/>
      <c r="F272" s="141" t="n"/>
      <c r="G272" s="141" t="n"/>
      <c r="H272" s="141" t="n"/>
      <c r="I272" s="141" t="n"/>
      <c r="J272" s="141" t="n"/>
      <c r="K272" s="141" t="n"/>
      <c r="L272" s="141" t="n"/>
      <c r="M272" s="141" t="n"/>
      <c r="N272" s="141" t="n"/>
      <c r="O272" s="141" t="n"/>
      <c r="P272" s="141" t="n"/>
      <c r="Q272" s="141" t="n"/>
      <c r="R272" s="141" t="n"/>
      <c r="S272" s="141" t="n"/>
      <c r="T272" s="141" t="n"/>
      <c r="U272" s="141" t="n"/>
      <c r="V272" s="141" t="n"/>
      <c r="W272" s="141" t="n"/>
      <c r="X272" s="141" t="n"/>
      <c r="Y272" s="136" t="n"/>
      <c r="Z272" s="136" t="n"/>
      <c r="AA272" s="136" t="n"/>
      <c r="AB272" s="136" t="n"/>
      <c r="AC272" s="136" t="n"/>
      <c r="AD272" s="136" t="n"/>
      <c r="AE272" s="136" t="n"/>
      <c r="AF272" s="136" t="n"/>
      <c r="AG272" s="136" t="n"/>
      <c r="AH272" s="136" t="n"/>
      <c r="AI272" s="136" t="n"/>
      <c r="AJ272" s="136" t="n"/>
      <c r="AK272" s="136" t="n"/>
      <c r="AL272" s="136" t="n"/>
      <c r="AM272" s="136" t="n"/>
      <c r="AN272" s="136" t="n"/>
      <c r="AO272" s="136" t="n"/>
      <c r="AP272" s="136" t="n"/>
      <c r="AQ272" s="136" t="n"/>
      <c r="AR272" s="136" t="n"/>
    </row>
    <row r="273" ht="13.5" customHeight="1" s="196">
      <c r="A273" s="136" t="n"/>
      <c r="B273" s="136" t="n"/>
      <c r="C273" s="136" t="n"/>
      <c r="D273" s="141" t="n"/>
      <c r="E273" s="141" t="n"/>
      <c r="F273" s="141" t="n"/>
      <c r="G273" s="141" t="n"/>
      <c r="H273" s="141" t="n"/>
      <c r="I273" s="141" t="n"/>
      <c r="J273" s="141" t="n"/>
      <c r="K273" s="141" t="n"/>
      <c r="L273" s="141" t="n"/>
      <c r="M273" s="141" t="n"/>
      <c r="N273" s="141" t="n"/>
      <c r="O273" s="141" t="n"/>
      <c r="P273" s="141" t="n"/>
      <c r="Q273" s="141" t="n"/>
      <c r="R273" s="141" t="n"/>
      <c r="S273" s="141" t="n"/>
      <c r="T273" s="141" t="n"/>
      <c r="U273" s="141" t="n"/>
      <c r="V273" s="141" t="n"/>
      <c r="W273" s="141" t="n"/>
      <c r="X273" s="141" t="n"/>
      <c r="Y273" s="136" t="n"/>
      <c r="Z273" s="136" t="n"/>
      <c r="AA273" s="136" t="n"/>
      <c r="AB273" s="136" t="n"/>
      <c r="AC273" s="136" t="n"/>
      <c r="AD273" s="136" t="n"/>
      <c r="AE273" s="136" t="n"/>
      <c r="AF273" s="136" t="n"/>
      <c r="AG273" s="136" t="n"/>
      <c r="AH273" s="136" t="n"/>
      <c r="AI273" s="136" t="n"/>
      <c r="AJ273" s="136" t="n"/>
      <c r="AK273" s="136" t="n"/>
      <c r="AL273" s="136" t="n"/>
      <c r="AM273" s="136" t="n"/>
      <c r="AN273" s="136" t="n"/>
      <c r="AO273" s="136" t="n"/>
      <c r="AP273" s="136" t="n"/>
      <c r="AQ273" s="136" t="n"/>
      <c r="AR273" s="136" t="n"/>
    </row>
    <row r="274" ht="13.5" customHeight="1" s="196">
      <c r="A274" s="136" t="n"/>
      <c r="B274" s="136" t="n"/>
      <c r="C274" s="136" t="n"/>
      <c r="D274" s="141" t="n"/>
      <c r="E274" s="141" t="n"/>
      <c r="F274" s="141" t="n"/>
      <c r="G274" s="141" t="n"/>
      <c r="H274" s="141" t="n"/>
      <c r="I274" s="141" t="n"/>
      <c r="J274" s="141" t="n"/>
      <c r="K274" s="141" t="n"/>
      <c r="L274" s="141" t="n"/>
      <c r="M274" s="141" t="n"/>
      <c r="N274" s="141" t="n"/>
      <c r="O274" s="141" t="n"/>
      <c r="P274" s="141" t="n"/>
      <c r="Q274" s="141" t="n"/>
      <c r="R274" s="141" t="n"/>
      <c r="S274" s="141" t="n"/>
      <c r="T274" s="141" t="n"/>
      <c r="U274" s="141" t="n"/>
      <c r="V274" s="141" t="n"/>
      <c r="W274" s="141" t="n"/>
      <c r="X274" s="141" t="n"/>
      <c r="Y274" s="136" t="n"/>
      <c r="Z274" s="136" t="n"/>
      <c r="AA274" s="136" t="n"/>
      <c r="AB274" s="136" t="n"/>
      <c r="AC274" s="136" t="n"/>
      <c r="AD274" s="136" t="n"/>
      <c r="AE274" s="136" t="n"/>
      <c r="AF274" s="136" t="n"/>
      <c r="AG274" s="136" t="n"/>
      <c r="AH274" s="136" t="n"/>
      <c r="AI274" s="136" t="n"/>
      <c r="AJ274" s="136" t="n"/>
      <c r="AK274" s="136" t="n"/>
      <c r="AL274" s="136" t="n"/>
      <c r="AM274" s="136" t="n"/>
      <c r="AN274" s="136" t="n"/>
      <c r="AO274" s="136" t="n"/>
      <c r="AP274" s="136" t="n"/>
      <c r="AQ274" s="136" t="n"/>
      <c r="AR274" s="136" t="n"/>
    </row>
    <row r="275" ht="13.5" customHeight="1" s="196">
      <c r="A275" s="136" t="n"/>
      <c r="B275" s="136" t="n"/>
      <c r="C275" s="136" t="n"/>
      <c r="D275" s="141" t="n"/>
      <c r="E275" s="141" t="n"/>
      <c r="F275" s="141" t="n"/>
      <c r="G275" s="141" t="n"/>
      <c r="H275" s="141" t="n"/>
      <c r="I275" s="141" t="n"/>
      <c r="J275" s="141" t="n"/>
      <c r="K275" s="141" t="n"/>
      <c r="L275" s="141" t="n"/>
      <c r="M275" s="141" t="n"/>
      <c r="N275" s="141" t="n"/>
      <c r="O275" s="141" t="n"/>
      <c r="P275" s="141" t="n"/>
      <c r="Q275" s="141" t="n"/>
      <c r="R275" s="141" t="n"/>
      <c r="S275" s="141" t="n"/>
      <c r="T275" s="141" t="n"/>
      <c r="U275" s="141" t="n"/>
      <c r="V275" s="141" t="n"/>
      <c r="W275" s="141" t="n"/>
      <c r="X275" s="141" t="n"/>
      <c r="Y275" s="136" t="n"/>
      <c r="Z275" s="136" t="n"/>
      <c r="AA275" s="136" t="n"/>
      <c r="AB275" s="136" t="n"/>
      <c r="AC275" s="136" t="n"/>
      <c r="AD275" s="136" t="n"/>
      <c r="AE275" s="136" t="n"/>
      <c r="AF275" s="136" t="n"/>
      <c r="AG275" s="136" t="n"/>
      <c r="AH275" s="136" t="n"/>
      <c r="AI275" s="136" t="n"/>
      <c r="AJ275" s="136" t="n"/>
      <c r="AK275" s="136" t="n"/>
      <c r="AL275" s="136" t="n"/>
      <c r="AM275" s="136" t="n"/>
      <c r="AN275" s="136" t="n"/>
      <c r="AO275" s="136" t="n"/>
      <c r="AP275" s="136" t="n"/>
      <c r="AQ275" s="136" t="n"/>
      <c r="AR275" s="136" t="n"/>
    </row>
    <row r="276" ht="13.5" customHeight="1" s="196">
      <c r="A276" s="136" t="n"/>
      <c r="B276" s="136" t="n"/>
      <c r="C276" s="136" t="n"/>
      <c r="D276" s="141" t="n"/>
      <c r="E276" s="141" t="n"/>
      <c r="F276" s="141" t="n"/>
      <c r="G276" s="141" t="n"/>
      <c r="H276" s="141" t="n"/>
      <c r="I276" s="141" t="n"/>
      <c r="J276" s="141" t="n"/>
      <c r="K276" s="141" t="n"/>
      <c r="L276" s="141" t="n"/>
      <c r="M276" s="141" t="n"/>
      <c r="N276" s="141" t="n"/>
      <c r="O276" s="141" t="n"/>
      <c r="P276" s="141" t="n"/>
      <c r="Q276" s="141" t="n"/>
      <c r="R276" s="141" t="n"/>
      <c r="S276" s="141" t="n"/>
      <c r="T276" s="141" t="n"/>
      <c r="U276" s="141" t="n"/>
      <c r="V276" s="141" t="n"/>
      <c r="W276" s="141" t="n"/>
      <c r="X276" s="141" t="n"/>
      <c r="Y276" s="136" t="n"/>
      <c r="Z276" s="136" t="n"/>
      <c r="AA276" s="136" t="n"/>
      <c r="AB276" s="136" t="n"/>
      <c r="AC276" s="136" t="n"/>
      <c r="AD276" s="136" t="n"/>
      <c r="AE276" s="136" t="n"/>
      <c r="AF276" s="136" t="n"/>
      <c r="AG276" s="136" t="n"/>
      <c r="AH276" s="136" t="n"/>
      <c r="AI276" s="136" t="n"/>
      <c r="AJ276" s="136" t="n"/>
      <c r="AK276" s="136" t="n"/>
      <c r="AL276" s="136" t="n"/>
      <c r="AM276" s="136" t="n"/>
      <c r="AN276" s="136" t="n"/>
      <c r="AO276" s="136" t="n"/>
      <c r="AP276" s="136" t="n"/>
      <c r="AQ276" s="136" t="n"/>
      <c r="AR276" s="136" t="n"/>
    </row>
    <row r="277" ht="13.5" customHeight="1" s="196">
      <c r="A277" s="136" t="n"/>
      <c r="B277" s="136" t="n"/>
      <c r="C277" s="136" t="n"/>
      <c r="D277" s="141" t="n"/>
      <c r="E277" s="141" t="n"/>
      <c r="F277" s="141" t="n"/>
      <c r="G277" s="141" t="n"/>
      <c r="H277" s="141" t="n"/>
      <c r="I277" s="141" t="n"/>
      <c r="J277" s="141" t="n"/>
      <c r="K277" s="141" t="n"/>
      <c r="L277" s="141" t="n"/>
      <c r="M277" s="141" t="n"/>
      <c r="N277" s="141" t="n"/>
      <c r="O277" s="141" t="n"/>
      <c r="P277" s="141" t="n"/>
      <c r="Q277" s="141" t="n"/>
      <c r="R277" s="141" t="n"/>
      <c r="S277" s="141" t="n"/>
      <c r="T277" s="141" t="n"/>
      <c r="U277" s="141" t="n"/>
      <c r="V277" s="141" t="n"/>
      <c r="W277" s="141" t="n"/>
      <c r="X277" s="141" t="n"/>
      <c r="Y277" s="136" t="n"/>
      <c r="Z277" s="136" t="n"/>
      <c r="AA277" s="136" t="n"/>
      <c r="AB277" s="136" t="n"/>
      <c r="AC277" s="136" t="n"/>
      <c r="AD277" s="136" t="n"/>
      <c r="AE277" s="136" t="n"/>
      <c r="AF277" s="136" t="n"/>
      <c r="AG277" s="136" t="n"/>
      <c r="AH277" s="136" t="n"/>
      <c r="AI277" s="136" t="n"/>
      <c r="AJ277" s="136" t="n"/>
      <c r="AK277" s="136" t="n"/>
      <c r="AL277" s="136" t="n"/>
      <c r="AM277" s="136" t="n"/>
      <c r="AN277" s="136" t="n"/>
      <c r="AO277" s="136" t="n"/>
      <c r="AP277" s="136" t="n"/>
      <c r="AQ277" s="136" t="n"/>
      <c r="AR277" s="136" t="n"/>
    </row>
    <row r="278" ht="13.5" customHeight="1" s="196">
      <c r="A278" s="136" t="n"/>
      <c r="B278" s="136" t="n"/>
      <c r="C278" s="136" t="n"/>
      <c r="D278" s="141" t="n"/>
      <c r="E278" s="141" t="n"/>
      <c r="F278" s="141" t="n"/>
      <c r="G278" s="141" t="n"/>
      <c r="H278" s="141" t="n"/>
      <c r="I278" s="141" t="n"/>
      <c r="J278" s="141" t="n"/>
      <c r="K278" s="141" t="n"/>
      <c r="L278" s="141" t="n"/>
      <c r="M278" s="141" t="n"/>
      <c r="N278" s="141" t="n"/>
      <c r="O278" s="141" t="n"/>
      <c r="P278" s="141" t="n"/>
      <c r="Q278" s="141" t="n"/>
      <c r="R278" s="141" t="n"/>
      <c r="S278" s="141" t="n"/>
      <c r="T278" s="141" t="n"/>
      <c r="U278" s="141" t="n"/>
      <c r="V278" s="141" t="n"/>
      <c r="W278" s="141" t="n"/>
      <c r="X278" s="141" t="n"/>
      <c r="Y278" s="136" t="n"/>
      <c r="Z278" s="136" t="n"/>
      <c r="AA278" s="136" t="n"/>
      <c r="AB278" s="136" t="n"/>
      <c r="AC278" s="136" t="n"/>
      <c r="AD278" s="136" t="n"/>
      <c r="AE278" s="136" t="n"/>
      <c r="AF278" s="136" t="n"/>
      <c r="AG278" s="136" t="n"/>
      <c r="AH278" s="136" t="n"/>
      <c r="AI278" s="136" t="n"/>
      <c r="AJ278" s="136" t="n"/>
      <c r="AK278" s="136" t="n"/>
      <c r="AL278" s="136" t="n"/>
      <c r="AM278" s="136" t="n"/>
      <c r="AN278" s="136" t="n"/>
      <c r="AO278" s="136" t="n"/>
      <c r="AP278" s="136" t="n"/>
      <c r="AQ278" s="136" t="n"/>
      <c r="AR278" s="136" t="n"/>
    </row>
    <row r="279" ht="13.5" customHeight="1" s="196">
      <c r="A279" s="136" t="n"/>
      <c r="B279" s="136" t="n"/>
      <c r="C279" s="136" t="n"/>
      <c r="D279" s="141" t="n"/>
      <c r="E279" s="141" t="n"/>
      <c r="F279" s="141" t="n"/>
      <c r="G279" s="141" t="n"/>
      <c r="H279" s="141" t="n"/>
      <c r="I279" s="141" t="n"/>
      <c r="J279" s="141" t="n"/>
      <c r="K279" s="141" t="n"/>
      <c r="L279" s="141" t="n"/>
      <c r="M279" s="141" t="n"/>
      <c r="N279" s="141" t="n"/>
      <c r="O279" s="141" t="n"/>
      <c r="P279" s="141" t="n"/>
      <c r="Q279" s="141" t="n"/>
      <c r="R279" s="141" t="n"/>
      <c r="S279" s="141" t="n"/>
      <c r="T279" s="141" t="n"/>
      <c r="U279" s="141" t="n"/>
      <c r="V279" s="141" t="n"/>
      <c r="W279" s="141" t="n"/>
      <c r="X279" s="141" t="n"/>
      <c r="Y279" s="136" t="n"/>
      <c r="Z279" s="136" t="n"/>
      <c r="AA279" s="136" t="n"/>
      <c r="AB279" s="136" t="n"/>
      <c r="AC279" s="136" t="n"/>
      <c r="AD279" s="136" t="n"/>
      <c r="AE279" s="136" t="n"/>
      <c r="AF279" s="136" t="n"/>
      <c r="AG279" s="136" t="n"/>
      <c r="AH279" s="136" t="n"/>
      <c r="AI279" s="136" t="n"/>
      <c r="AJ279" s="136" t="n"/>
      <c r="AK279" s="136" t="n"/>
      <c r="AL279" s="136" t="n"/>
      <c r="AM279" s="136" t="n"/>
      <c r="AN279" s="136" t="n"/>
      <c r="AO279" s="136" t="n"/>
      <c r="AP279" s="136" t="n"/>
      <c r="AQ279" s="136" t="n"/>
      <c r="AR279" s="136" t="n"/>
    </row>
    <row r="280" ht="13.5" customHeight="1" s="196">
      <c r="A280" s="136" t="n"/>
      <c r="B280" s="136" t="n"/>
      <c r="C280" s="136" t="n"/>
      <c r="D280" s="141" t="n"/>
      <c r="E280" s="141" t="n"/>
      <c r="F280" s="141" t="n"/>
      <c r="G280" s="141" t="n"/>
      <c r="H280" s="141" t="n"/>
      <c r="I280" s="141" t="n"/>
      <c r="J280" s="141" t="n"/>
      <c r="K280" s="141" t="n"/>
      <c r="L280" s="141" t="n"/>
      <c r="M280" s="141" t="n"/>
      <c r="N280" s="141" t="n"/>
      <c r="O280" s="141" t="n"/>
      <c r="P280" s="141" t="n"/>
      <c r="Q280" s="141" t="n"/>
      <c r="R280" s="141" t="n"/>
      <c r="S280" s="141" t="n"/>
      <c r="T280" s="141" t="n"/>
      <c r="U280" s="141" t="n"/>
      <c r="V280" s="141" t="n"/>
      <c r="W280" s="141" t="n"/>
      <c r="X280" s="141" t="n"/>
      <c r="Y280" s="136" t="n"/>
      <c r="Z280" s="136" t="n"/>
      <c r="AA280" s="136" t="n"/>
      <c r="AB280" s="136" t="n"/>
      <c r="AC280" s="136" t="n"/>
      <c r="AD280" s="136" t="n"/>
      <c r="AE280" s="136" t="n"/>
      <c r="AF280" s="136" t="n"/>
      <c r="AG280" s="136" t="n"/>
      <c r="AH280" s="136" t="n"/>
      <c r="AI280" s="136" t="n"/>
      <c r="AJ280" s="136" t="n"/>
      <c r="AK280" s="136" t="n"/>
      <c r="AL280" s="136" t="n"/>
      <c r="AM280" s="136" t="n"/>
      <c r="AN280" s="136" t="n"/>
      <c r="AO280" s="136" t="n"/>
      <c r="AP280" s="136" t="n"/>
      <c r="AQ280" s="136" t="n"/>
      <c r="AR280" s="136" t="n"/>
    </row>
    <row r="281" ht="13.5" customHeight="1" s="196">
      <c r="A281" s="136" t="n"/>
      <c r="B281" s="136" t="n"/>
      <c r="C281" s="136" t="n"/>
      <c r="D281" s="141" t="n"/>
      <c r="E281" s="141" t="n"/>
      <c r="F281" s="141" t="n"/>
      <c r="G281" s="141" t="n"/>
      <c r="H281" s="141" t="n"/>
      <c r="I281" s="141" t="n"/>
      <c r="J281" s="141" t="n"/>
      <c r="K281" s="141" t="n"/>
      <c r="L281" s="141" t="n"/>
      <c r="M281" s="141" t="n"/>
      <c r="N281" s="141" t="n"/>
      <c r="O281" s="141" t="n"/>
      <c r="P281" s="141" t="n"/>
      <c r="Q281" s="141" t="n"/>
      <c r="R281" s="141" t="n"/>
      <c r="S281" s="141" t="n"/>
      <c r="T281" s="141" t="n"/>
      <c r="U281" s="141" t="n"/>
      <c r="V281" s="141" t="n"/>
      <c r="W281" s="141" t="n"/>
      <c r="X281" s="141" t="n"/>
      <c r="Y281" s="136" t="n"/>
      <c r="Z281" s="136" t="n"/>
      <c r="AA281" s="136" t="n"/>
      <c r="AB281" s="136" t="n"/>
      <c r="AC281" s="136" t="n"/>
      <c r="AD281" s="136" t="n"/>
      <c r="AE281" s="136" t="n"/>
      <c r="AF281" s="136" t="n"/>
      <c r="AG281" s="136" t="n"/>
      <c r="AH281" s="136" t="n"/>
      <c r="AI281" s="136" t="n"/>
      <c r="AJ281" s="136" t="n"/>
      <c r="AK281" s="136" t="n"/>
      <c r="AL281" s="136" t="n"/>
      <c r="AM281" s="136" t="n"/>
      <c r="AN281" s="136" t="n"/>
      <c r="AO281" s="136" t="n"/>
      <c r="AP281" s="136" t="n"/>
      <c r="AQ281" s="136" t="n"/>
      <c r="AR281" s="136" t="n"/>
    </row>
    <row r="282" ht="13.5" customHeight="1" s="196">
      <c r="A282" s="136" t="n"/>
      <c r="B282" s="136" t="n"/>
      <c r="C282" s="136" t="n"/>
      <c r="D282" s="141" t="n"/>
      <c r="E282" s="141" t="n"/>
      <c r="F282" s="141" t="n"/>
      <c r="G282" s="141" t="n"/>
      <c r="H282" s="141" t="n"/>
      <c r="I282" s="141" t="n"/>
      <c r="J282" s="141" t="n"/>
      <c r="K282" s="141" t="n"/>
      <c r="L282" s="141" t="n"/>
      <c r="M282" s="141" t="n"/>
      <c r="N282" s="141" t="n"/>
      <c r="O282" s="141" t="n"/>
      <c r="P282" s="141" t="n"/>
      <c r="Q282" s="141" t="n"/>
      <c r="R282" s="141" t="n"/>
      <c r="S282" s="141" t="n"/>
      <c r="T282" s="141" t="n"/>
      <c r="U282" s="141" t="n"/>
      <c r="V282" s="141" t="n"/>
      <c r="W282" s="141" t="n"/>
      <c r="X282" s="141" t="n"/>
      <c r="Y282" s="136" t="n"/>
      <c r="Z282" s="136" t="n"/>
      <c r="AA282" s="136" t="n"/>
      <c r="AB282" s="136" t="n"/>
      <c r="AC282" s="136" t="n"/>
      <c r="AD282" s="136" t="n"/>
      <c r="AE282" s="136" t="n"/>
      <c r="AF282" s="136" t="n"/>
      <c r="AG282" s="136" t="n"/>
      <c r="AH282" s="136" t="n"/>
      <c r="AI282" s="136" t="n"/>
      <c r="AJ282" s="136" t="n"/>
      <c r="AK282" s="136" t="n"/>
      <c r="AL282" s="136" t="n"/>
      <c r="AM282" s="136" t="n"/>
      <c r="AN282" s="136" t="n"/>
      <c r="AO282" s="136" t="n"/>
      <c r="AP282" s="136" t="n"/>
      <c r="AQ282" s="136" t="n"/>
      <c r="AR282" s="136" t="n"/>
    </row>
    <row r="283" ht="13.5" customHeight="1" s="196">
      <c r="A283" s="136" t="n"/>
      <c r="B283" s="136" t="n"/>
      <c r="C283" s="136" t="n"/>
      <c r="D283" s="141" t="n"/>
      <c r="E283" s="141" t="n"/>
      <c r="F283" s="141" t="n"/>
      <c r="G283" s="141" t="n"/>
      <c r="H283" s="141" t="n"/>
      <c r="I283" s="141" t="n"/>
      <c r="J283" s="141" t="n"/>
      <c r="K283" s="141" t="n"/>
      <c r="L283" s="141" t="n"/>
      <c r="M283" s="141" t="n"/>
      <c r="N283" s="141" t="n"/>
      <c r="O283" s="141" t="n"/>
      <c r="P283" s="141" t="n"/>
      <c r="Q283" s="141" t="n"/>
      <c r="R283" s="141" t="n"/>
      <c r="S283" s="141" t="n"/>
      <c r="T283" s="141" t="n"/>
      <c r="U283" s="141" t="n"/>
      <c r="V283" s="141" t="n"/>
      <c r="W283" s="141" t="n"/>
      <c r="X283" s="141" t="n"/>
      <c r="Y283" s="136" t="n"/>
      <c r="Z283" s="136" t="n"/>
      <c r="AA283" s="136" t="n"/>
      <c r="AB283" s="136" t="n"/>
      <c r="AC283" s="136" t="n"/>
      <c r="AD283" s="136" t="n"/>
      <c r="AE283" s="136" t="n"/>
      <c r="AF283" s="136" t="n"/>
      <c r="AG283" s="136" t="n"/>
      <c r="AH283" s="136" t="n"/>
      <c r="AI283" s="136" t="n"/>
      <c r="AJ283" s="136" t="n"/>
      <c r="AK283" s="136" t="n"/>
      <c r="AL283" s="136" t="n"/>
      <c r="AM283" s="136" t="n"/>
      <c r="AN283" s="136" t="n"/>
      <c r="AO283" s="136" t="n"/>
      <c r="AP283" s="136" t="n"/>
      <c r="AQ283" s="136" t="n"/>
      <c r="AR283" s="136" t="n"/>
    </row>
    <row r="284" ht="13.5" customHeight="1" s="196">
      <c r="A284" s="136" t="n"/>
      <c r="B284" s="136" t="n"/>
      <c r="C284" s="136" t="n"/>
      <c r="D284" s="141" t="n"/>
      <c r="E284" s="141" t="n"/>
      <c r="F284" s="141" t="n"/>
      <c r="G284" s="141" t="n"/>
      <c r="H284" s="141" t="n"/>
      <c r="I284" s="141" t="n"/>
      <c r="J284" s="141" t="n"/>
      <c r="K284" s="141" t="n"/>
      <c r="L284" s="141" t="n"/>
      <c r="M284" s="141" t="n"/>
      <c r="N284" s="141" t="n"/>
      <c r="O284" s="141" t="n"/>
      <c r="P284" s="141" t="n"/>
      <c r="Q284" s="141" t="n"/>
      <c r="R284" s="141" t="n"/>
      <c r="S284" s="141" t="n"/>
      <c r="T284" s="141" t="n"/>
      <c r="U284" s="141" t="n"/>
      <c r="V284" s="141" t="n"/>
      <c r="W284" s="141" t="n"/>
      <c r="X284" s="141" t="n"/>
      <c r="Y284" s="136" t="n"/>
      <c r="Z284" s="136" t="n"/>
      <c r="AA284" s="136" t="n"/>
      <c r="AB284" s="136" t="n"/>
      <c r="AC284" s="136" t="n"/>
      <c r="AD284" s="136" t="n"/>
      <c r="AE284" s="136" t="n"/>
      <c r="AF284" s="136" t="n"/>
      <c r="AG284" s="136" t="n"/>
      <c r="AH284" s="136" t="n"/>
      <c r="AI284" s="136" t="n"/>
      <c r="AJ284" s="136" t="n"/>
      <c r="AK284" s="136" t="n"/>
      <c r="AL284" s="136" t="n"/>
      <c r="AM284" s="136" t="n"/>
      <c r="AN284" s="136" t="n"/>
      <c r="AO284" s="136" t="n"/>
      <c r="AP284" s="136" t="n"/>
      <c r="AQ284" s="136" t="n"/>
      <c r="AR284" s="136" t="n"/>
    </row>
    <row r="285" ht="13.5" customHeight="1" s="196">
      <c r="A285" s="136" t="n"/>
      <c r="B285" s="136" t="n"/>
      <c r="C285" s="136" t="n"/>
      <c r="D285" s="141" t="n"/>
      <c r="E285" s="141" t="n"/>
      <c r="F285" s="141" t="n"/>
      <c r="G285" s="141" t="n"/>
      <c r="H285" s="141" t="n"/>
      <c r="I285" s="141" t="n"/>
      <c r="J285" s="141" t="n"/>
      <c r="K285" s="141" t="n"/>
      <c r="L285" s="141" t="n"/>
      <c r="M285" s="141" t="n"/>
      <c r="N285" s="141" t="n"/>
      <c r="O285" s="141" t="n"/>
      <c r="P285" s="141" t="n"/>
      <c r="Q285" s="141" t="n"/>
      <c r="R285" s="141" t="n"/>
      <c r="S285" s="141" t="n"/>
      <c r="T285" s="141" t="n"/>
      <c r="U285" s="141" t="n"/>
      <c r="V285" s="141" t="n"/>
      <c r="W285" s="141" t="n"/>
      <c r="X285" s="141" t="n"/>
      <c r="Y285" s="136" t="n"/>
      <c r="Z285" s="136" t="n"/>
      <c r="AA285" s="136" t="n"/>
      <c r="AB285" s="136" t="n"/>
      <c r="AC285" s="136" t="n"/>
      <c r="AD285" s="136" t="n"/>
      <c r="AE285" s="136" t="n"/>
      <c r="AF285" s="136" t="n"/>
      <c r="AG285" s="136" t="n"/>
      <c r="AH285" s="136" t="n"/>
      <c r="AI285" s="136" t="n"/>
      <c r="AJ285" s="136" t="n"/>
      <c r="AK285" s="136" t="n"/>
      <c r="AL285" s="136" t="n"/>
      <c r="AM285" s="136" t="n"/>
      <c r="AN285" s="136" t="n"/>
      <c r="AO285" s="136" t="n"/>
      <c r="AP285" s="136" t="n"/>
      <c r="AQ285" s="136" t="n"/>
      <c r="AR285" s="136" t="n"/>
    </row>
    <row r="286" ht="13.5" customHeight="1" s="196">
      <c r="A286" s="136" t="n"/>
      <c r="B286" s="136" t="n"/>
      <c r="C286" s="136" t="n"/>
      <c r="D286" s="141" t="n"/>
      <c r="E286" s="141" t="n"/>
      <c r="F286" s="141" t="n"/>
      <c r="G286" s="141" t="n"/>
      <c r="H286" s="141" t="n"/>
      <c r="I286" s="141" t="n"/>
      <c r="J286" s="141" t="n"/>
      <c r="K286" s="141" t="n"/>
      <c r="L286" s="141" t="n"/>
      <c r="M286" s="141" t="n"/>
      <c r="N286" s="141" t="n"/>
      <c r="O286" s="141" t="n"/>
      <c r="P286" s="141" t="n"/>
      <c r="Q286" s="141" t="n"/>
      <c r="R286" s="141" t="n"/>
      <c r="S286" s="141" t="n"/>
      <c r="T286" s="141" t="n"/>
      <c r="U286" s="141" t="n"/>
      <c r="V286" s="141" t="n"/>
      <c r="W286" s="141" t="n"/>
      <c r="X286" s="141" t="n"/>
      <c r="Y286" s="136" t="n"/>
      <c r="Z286" s="136" t="n"/>
      <c r="AA286" s="136" t="n"/>
      <c r="AB286" s="136" t="n"/>
      <c r="AC286" s="136" t="n"/>
      <c r="AD286" s="136" t="n"/>
      <c r="AE286" s="136" t="n"/>
      <c r="AF286" s="136" t="n"/>
      <c r="AG286" s="136" t="n"/>
      <c r="AH286" s="136" t="n"/>
      <c r="AI286" s="136" t="n"/>
      <c r="AJ286" s="136" t="n"/>
      <c r="AK286" s="136" t="n"/>
      <c r="AL286" s="136" t="n"/>
      <c r="AM286" s="136" t="n"/>
      <c r="AN286" s="136" t="n"/>
      <c r="AO286" s="136" t="n"/>
      <c r="AP286" s="136" t="n"/>
      <c r="AQ286" s="136" t="n"/>
      <c r="AR286" s="136" t="n"/>
    </row>
    <row r="287" ht="13.5" customHeight="1" s="196">
      <c r="A287" s="136" t="n"/>
      <c r="B287" s="136" t="n"/>
      <c r="C287" s="136" t="n"/>
      <c r="D287" s="141" t="n"/>
      <c r="E287" s="141" t="n"/>
      <c r="F287" s="141" t="n"/>
      <c r="G287" s="141" t="n"/>
      <c r="H287" s="141" t="n"/>
      <c r="I287" s="141" t="n"/>
      <c r="J287" s="141" t="n"/>
      <c r="K287" s="141" t="n"/>
      <c r="L287" s="141" t="n"/>
      <c r="M287" s="141" t="n"/>
      <c r="N287" s="141" t="n"/>
      <c r="O287" s="141" t="n"/>
      <c r="P287" s="141" t="n"/>
      <c r="Q287" s="141" t="n"/>
      <c r="R287" s="141" t="n"/>
      <c r="S287" s="141" t="n"/>
      <c r="T287" s="141" t="n"/>
      <c r="U287" s="141" t="n"/>
      <c r="V287" s="141" t="n"/>
      <c r="W287" s="141" t="n"/>
      <c r="X287" s="141" t="n"/>
      <c r="Y287" s="136" t="n"/>
      <c r="Z287" s="136" t="n"/>
      <c r="AA287" s="136" t="n"/>
      <c r="AB287" s="136" t="n"/>
      <c r="AC287" s="136" t="n"/>
      <c r="AD287" s="136" t="n"/>
      <c r="AE287" s="136" t="n"/>
      <c r="AF287" s="136" t="n"/>
      <c r="AG287" s="136" t="n"/>
      <c r="AH287" s="136" t="n"/>
      <c r="AI287" s="136" t="n"/>
      <c r="AJ287" s="136" t="n"/>
      <c r="AK287" s="136" t="n"/>
      <c r="AL287" s="136" t="n"/>
      <c r="AM287" s="136" t="n"/>
      <c r="AN287" s="136" t="n"/>
      <c r="AO287" s="136" t="n"/>
      <c r="AP287" s="136" t="n"/>
      <c r="AQ287" s="136" t="n"/>
      <c r="AR287" s="136" t="n"/>
    </row>
    <row r="288" ht="13.5" customHeight="1" s="196">
      <c r="A288" s="136" t="n"/>
      <c r="B288" s="136" t="n"/>
      <c r="C288" s="136" t="n"/>
      <c r="D288" s="141" t="n"/>
      <c r="E288" s="141" t="n"/>
      <c r="F288" s="141" t="n"/>
      <c r="G288" s="141" t="n"/>
      <c r="H288" s="141" t="n"/>
      <c r="I288" s="141" t="n"/>
      <c r="J288" s="141" t="n"/>
      <c r="K288" s="141" t="n"/>
      <c r="L288" s="141" t="n"/>
      <c r="M288" s="141" t="n"/>
      <c r="N288" s="141" t="n"/>
      <c r="O288" s="141" t="n"/>
      <c r="P288" s="141" t="n"/>
      <c r="Q288" s="141" t="n"/>
      <c r="R288" s="141" t="n"/>
      <c r="S288" s="141" t="n"/>
      <c r="T288" s="141" t="n"/>
      <c r="U288" s="141" t="n"/>
      <c r="V288" s="141" t="n"/>
      <c r="W288" s="141" t="n"/>
      <c r="X288" s="141" t="n"/>
      <c r="Y288" s="136" t="n"/>
      <c r="Z288" s="136" t="n"/>
      <c r="AA288" s="136" t="n"/>
      <c r="AB288" s="136" t="n"/>
      <c r="AC288" s="136" t="n"/>
      <c r="AD288" s="136" t="n"/>
      <c r="AE288" s="136" t="n"/>
      <c r="AF288" s="136" t="n"/>
      <c r="AG288" s="136" t="n"/>
      <c r="AH288" s="136" t="n"/>
      <c r="AI288" s="136" t="n"/>
      <c r="AJ288" s="136" t="n"/>
      <c r="AK288" s="136" t="n"/>
      <c r="AL288" s="136" t="n"/>
      <c r="AM288" s="136" t="n"/>
      <c r="AN288" s="136" t="n"/>
      <c r="AO288" s="136" t="n"/>
      <c r="AP288" s="136" t="n"/>
      <c r="AQ288" s="136" t="n"/>
      <c r="AR288" s="136" t="n"/>
    </row>
    <row r="289" ht="13.5" customHeight="1" s="196">
      <c r="A289" s="136" t="n"/>
      <c r="B289" s="136" t="n"/>
      <c r="C289" s="136" t="n"/>
      <c r="D289" s="141" t="n"/>
      <c r="E289" s="141" t="n"/>
      <c r="F289" s="141" t="n"/>
      <c r="G289" s="141" t="n"/>
      <c r="H289" s="141" t="n"/>
      <c r="I289" s="141" t="n"/>
      <c r="J289" s="141" t="n"/>
      <c r="K289" s="141" t="n"/>
      <c r="L289" s="141" t="n"/>
      <c r="M289" s="141" t="n"/>
      <c r="N289" s="141" t="n"/>
      <c r="O289" s="141" t="n"/>
      <c r="P289" s="141" t="n"/>
      <c r="Q289" s="141" t="n"/>
      <c r="R289" s="141" t="n"/>
      <c r="S289" s="141" t="n"/>
      <c r="T289" s="141" t="n"/>
      <c r="U289" s="141" t="n"/>
      <c r="V289" s="141" t="n"/>
      <c r="W289" s="141" t="n"/>
      <c r="X289" s="141" t="n"/>
      <c r="Y289" s="136" t="n"/>
      <c r="Z289" s="136" t="n"/>
      <c r="AA289" s="136" t="n"/>
      <c r="AB289" s="136" t="n"/>
      <c r="AC289" s="136" t="n"/>
      <c r="AD289" s="136" t="n"/>
      <c r="AE289" s="136" t="n"/>
      <c r="AF289" s="136" t="n"/>
      <c r="AG289" s="136" t="n"/>
      <c r="AH289" s="136" t="n"/>
      <c r="AI289" s="136" t="n"/>
      <c r="AJ289" s="136" t="n"/>
      <c r="AK289" s="136" t="n"/>
      <c r="AL289" s="136" t="n"/>
      <c r="AM289" s="136" t="n"/>
      <c r="AN289" s="136" t="n"/>
      <c r="AO289" s="136" t="n"/>
      <c r="AP289" s="136" t="n"/>
      <c r="AQ289" s="136" t="n"/>
      <c r="AR289" s="136" t="n"/>
    </row>
    <row r="290" ht="13.5" customHeight="1" s="196">
      <c r="A290" s="136" t="n"/>
      <c r="B290" s="136" t="n"/>
      <c r="C290" s="136" t="n"/>
      <c r="D290" s="141" t="n"/>
      <c r="E290" s="141" t="n"/>
      <c r="F290" s="141" t="n"/>
      <c r="G290" s="141" t="n"/>
      <c r="H290" s="141" t="n"/>
      <c r="I290" s="141" t="n"/>
      <c r="J290" s="141" t="n"/>
      <c r="K290" s="141" t="n"/>
      <c r="L290" s="141" t="n"/>
      <c r="M290" s="141" t="n"/>
      <c r="N290" s="141" t="n"/>
      <c r="O290" s="141" t="n"/>
      <c r="P290" s="141" t="n"/>
      <c r="Q290" s="141" t="n"/>
      <c r="R290" s="141" t="n"/>
      <c r="S290" s="141" t="n"/>
      <c r="T290" s="141" t="n"/>
      <c r="U290" s="141" t="n"/>
      <c r="V290" s="141" t="n"/>
      <c r="W290" s="141" t="n"/>
      <c r="X290" s="141" t="n"/>
      <c r="Y290" s="136" t="n"/>
      <c r="Z290" s="136" t="n"/>
      <c r="AA290" s="136" t="n"/>
      <c r="AB290" s="136" t="n"/>
      <c r="AC290" s="136" t="n"/>
      <c r="AD290" s="136" t="n"/>
      <c r="AE290" s="136" t="n"/>
      <c r="AF290" s="136" t="n"/>
      <c r="AG290" s="136" t="n"/>
      <c r="AH290" s="136" t="n"/>
      <c r="AI290" s="136" t="n"/>
      <c r="AJ290" s="136" t="n"/>
      <c r="AK290" s="136" t="n"/>
      <c r="AL290" s="136" t="n"/>
      <c r="AM290" s="136" t="n"/>
      <c r="AN290" s="136" t="n"/>
      <c r="AO290" s="136" t="n"/>
      <c r="AP290" s="136" t="n"/>
      <c r="AQ290" s="136" t="n"/>
      <c r="AR290" s="136" t="n"/>
    </row>
    <row r="291" ht="13.5" customHeight="1" s="196">
      <c r="A291" s="136" t="n"/>
      <c r="B291" s="136" t="n"/>
      <c r="C291" s="136" t="n"/>
      <c r="D291" s="141" t="n"/>
      <c r="E291" s="141" t="n"/>
      <c r="F291" s="141" t="n"/>
      <c r="G291" s="141" t="n"/>
      <c r="H291" s="141" t="n"/>
      <c r="I291" s="141" t="n"/>
      <c r="J291" s="141" t="n"/>
      <c r="K291" s="141" t="n"/>
      <c r="L291" s="141" t="n"/>
      <c r="M291" s="141" t="n"/>
      <c r="N291" s="141" t="n"/>
      <c r="O291" s="141" t="n"/>
      <c r="P291" s="141" t="n"/>
      <c r="Q291" s="141" t="n"/>
      <c r="R291" s="141" t="n"/>
      <c r="S291" s="141" t="n"/>
      <c r="T291" s="141" t="n"/>
      <c r="U291" s="141" t="n"/>
      <c r="V291" s="141" t="n"/>
      <c r="W291" s="141" t="n"/>
      <c r="X291" s="141" t="n"/>
      <c r="Y291" s="136" t="n"/>
      <c r="Z291" s="136" t="n"/>
      <c r="AA291" s="136" t="n"/>
      <c r="AB291" s="136" t="n"/>
      <c r="AC291" s="136" t="n"/>
      <c r="AD291" s="136" t="n"/>
      <c r="AE291" s="136" t="n"/>
      <c r="AF291" s="136" t="n"/>
      <c r="AG291" s="136" t="n"/>
      <c r="AH291" s="136" t="n"/>
      <c r="AI291" s="136" t="n"/>
      <c r="AJ291" s="136" t="n"/>
      <c r="AK291" s="136" t="n"/>
      <c r="AL291" s="136" t="n"/>
      <c r="AM291" s="136" t="n"/>
      <c r="AN291" s="136" t="n"/>
      <c r="AO291" s="136" t="n"/>
      <c r="AP291" s="136" t="n"/>
      <c r="AQ291" s="136" t="n"/>
      <c r="AR291" s="136" t="n"/>
    </row>
    <row r="292" ht="13.5" customHeight="1" s="196">
      <c r="A292" s="136" t="n"/>
      <c r="B292" s="136" t="n"/>
      <c r="C292" s="136" t="n"/>
      <c r="D292" s="141" t="n"/>
      <c r="E292" s="141" t="n"/>
      <c r="F292" s="141" t="n"/>
      <c r="G292" s="141" t="n"/>
      <c r="H292" s="141" t="n"/>
      <c r="I292" s="141" t="n"/>
      <c r="J292" s="141" t="n"/>
      <c r="K292" s="141" t="n"/>
      <c r="L292" s="141" t="n"/>
      <c r="M292" s="141" t="n"/>
      <c r="N292" s="141" t="n"/>
      <c r="O292" s="141" t="n"/>
      <c r="P292" s="141" t="n"/>
      <c r="Q292" s="141" t="n"/>
      <c r="R292" s="141" t="n"/>
      <c r="S292" s="141" t="n"/>
      <c r="T292" s="141" t="n"/>
      <c r="U292" s="141" t="n"/>
      <c r="V292" s="141" t="n"/>
      <c r="W292" s="141" t="n"/>
      <c r="X292" s="141" t="n"/>
      <c r="Y292" s="136" t="n"/>
      <c r="Z292" s="136" t="n"/>
      <c r="AA292" s="136" t="n"/>
      <c r="AB292" s="136" t="n"/>
      <c r="AC292" s="136" t="n"/>
      <c r="AD292" s="136" t="n"/>
      <c r="AE292" s="136" t="n"/>
      <c r="AF292" s="136" t="n"/>
      <c r="AG292" s="136" t="n"/>
      <c r="AH292" s="136" t="n"/>
      <c r="AI292" s="136" t="n"/>
      <c r="AJ292" s="136" t="n"/>
      <c r="AK292" s="136" t="n"/>
      <c r="AL292" s="136" t="n"/>
      <c r="AM292" s="136" t="n"/>
      <c r="AN292" s="136" t="n"/>
      <c r="AO292" s="136" t="n"/>
      <c r="AP292" s="136" t="n"/>
      <c r="AQ292" s="136" t="n"/>
      <c r="AR292" s="136" t="n"/>
    </row>
    <row r="293" ht="13.5" customHeight="1" s="196">
      <c r="A293" s="136" t="n"/>
      <c r="B293" s="136" t="n"/>
      <c r="C293" s="136" t="n"/>
      <c r="D293" s="141" t="n"/>
      <c r="E293" s="141" t="n"/>
      <c r="F293" s="141" t="n"/>
      <c r="G293" s="141" t="n"/>
      <c r="H293" s="141" t="n"/>
      <c r="I293" s="141" t="n"/>
      <c r="J293" s="141" t="n"/>
      <c r="K293" s="141" t="n"/>
      <c r="L293" s="141" t="n"/>
      <c r="M293" s="141" t="n"/>
      <c r="N293" s="141" t="n"/>
      <c r="O293" s="141" t="n"/>
      <c r="P293" s="141" t="n"/>
      <c r="Q293" s="141" t="n"/>
      <c r="R293" s="141" t="n"/>
      <c r="S293" s="141" t="n"/>
      <c r="T293" s="141" t="n"/>
      <c r="U293" s="141" t="n"/>
      <c r="V293" s="141" t="n"/>
      <c r="W293" s="141" t="n"/>
      <c r="X293" s="141" t="n"/>
      <c r="Y293" s="136" t="n"/>
      <c r="Z293" s="136" t="n"/>
      <c r="AA293" s="136" t="n"/>
      <c r="AB293" s="136" t="n"/>
      <c r="AC293" s="136" t="n"/>
      <c r="AD293" s="136" t="n"/>
      <c r="AE293" s="136" t="n"/>
      <c r="AF293" s="136" t="n"/>
      <c r="AG293" s="136" t="n"/>
      <c r="AH293" s="136" t="n"/>
      <c r="AI293" s="136" t="n"/>
      <c r="AJ293" s="136" t="n"/>
      <c r="AK293" s="136" t="n"/>
      <c r="AL293" s="136" t="n"/>
      <c r="AM293" s="136" t="n"/>
      <c r="AN293" s="136" t="n"/>
      <c r="AO293" s="136" t="n"/>
      <c r="AP293" s="136" t="n"/>
      <c r="AQ293" s="136" t="n"/>
      <c r="AR293" s="136" t="n"/>
    </row>
    <row r="294" ht="13.5" customHeight="1" s="196">
      <c r="A294" s="136" t="n"/>
      <c r="B294" s="136" t="n"/>
      <c r="C294" s="136" t="n"/>
      <c r="D294" s="141" t="n"/>
      <c r="E294" s="141" t="n"/>
      <c r="F294" s="141" t="n"/>
      <c r="G294" s="141" t="n"/>
      <c r="H294" s="141" t="n"/>
      <c r="I294" s="141" t="n"/>
      <c r="J294" s="141" t="n"/>
      <c r="K294" s="141" t="n"/>
      <c r="L294" s="141" t="n"/>
      <c r="M294" s="141" t="n"/>
      <c r="N294" s="141" t="n"/>
      <c r="O294" s="141" t="n"/>
      <c r="P294" s="141" t="n"/>
      <c r="Q294" s="141" t="n"/>
      <c r="R294" s="141" t="n"/>
      <c r="S294" s="141" t="n"/>
      <c r="T294" s="141" t="n"/>
      <c r="U294" s="141" t="n"/>
      <c r="V294" s="141" t="n"/>
      <c r="W294" s="141" t="n"/>
      <c r="X294" s="141" t="n"/>
      <c r="Y294" s="136" t="n"/>
      <c r="Z294" s="136" t="n"/>
      <c r="AA294" s="136" t="n"/>
      <c r="AB294" s="136" t="n"/>
      <c r="AC294" s="136" t="n"/>
      <c r="AD294" s="136" t="n"/>
      <c r="AE294" s="136" t="n"/>
      <c r="AF294" s="136" t="n"/>
      <c r="AG294" s="136" t="n"/>
      <c r="AH294" s="136" t="n"/>
      <c r="AI294" s="136" t="n"/>
      <c r="AJ294" s="136" t="n"/>
      <c r="AK294" s="136" t="n"/>
      <c r="AL294" s="136" t="n"/>
      <c r="AM294" s="136" t="n"/>
      <c r="AN294" s="136" t="n"/>
      <c r="AO294" s="136" t="n"/>
      <c r="AP294" s="136" t="n"/>
      <c r="AQ294" s="136" t="n"/>
      <c r="AR294" s="136" t="n"/>
    </row>
    <row r="295" ht="13.5" customHeight="1" s="196">
      <c r="A295" s="136" t="n"/>
      <c r="B295" s="136" t="n"/>
      <c r="C295" s="136" t="n"/>
      <c r="D295" s="141" t="n"/>
      <c r="E295" s="141" t="n"/>
      <c r="F295" s="141" t="n"/>
      <c r="G295" s="141" t="n"/>
      <c r="H295" s="141" t="n"/>
      <c r="I295" s="141" t="n"/>
      <c r="J295" s="141" t="n"/>
      <c r="K295" s="141" t="n"/>
      <c r="L295" s="141" t="n"/>
      <c r="M295" s="141" t="n"/>
      <c r="N295" s="141" t="n"/>
      <c r="O295" s="141" t="n"/>
      <c r="P295" s="141" t="n"/>
      <c r="Q295" s="141" t="n"/>
      <c r="R295" s="141" t="n"/>
      <c r="S295" s="141" t="n"/>
      <c r="T295" s="141" t="n"/>
      <c r="U295" s="141" t="n"/>
      <c r="V295" s="141" t="n"/>
      <c r="W295" s="141" t="n"/>
      <c r="X295" s="141" t="n"/>
      <c r="Y295" s="136" t="n"/>
      <c r="Z295" s="136" t="n"/>
      <c r="AA295" s="136" t="n"/>
      <c r="AB295" s="136" t="n"/>
      <c r="AC295" s="136" t="n"/>
      <c r="AD295" s="136" t="n"/>
      <c r="AE295" s="136" t="n"/>
      <c r="AF295" s="136" t="n"/>
      <c r="AG295" s="136" t="n"/>
      <c r="AH295" s="136" t="n"/>
      <c r="AI295" s="136" t="n"/>
      <c r="AJ295" s="136" t="n"/>
      <c r="AK295" s="136" t="n"/>
      <c r="AL295" s="136" t="n"/>
      <c r="AM295" s="136" t="n"/>
      <c r="AN295" s="136" t="n"/>
      <c r="AO295" s="136" t="n"/>
      <c r="AP295" s="136" t="n"/>
      <c r="AQ295" s="136" t="n"/>
      <c r="AR295" s="136" t="n"/>
    </row>
    <row r="296" ht="13.5" customHeight="1" s="196">
      <c r="A296" s="136" t="n"/>
      <c r="B296" s="136" t="n"/>
      <c r="C296" s="136" t="n"/>
      <c r="D296" s="141" t="n"/>
      <c r="E296" s="141" t="n"/>
      <c r="F296" s="141" t="n"/>
      <c r="G296" s="141" t="n"/>
      <c r="H296" s="141" t="n"/>
      <c r="I296" s="141" t="n"/>
      <c r="J296" s="141" t="n"/>
      <c r="K296" s="141" t="n"/>
      <c r="L296" s="141" t="n"/>
      <c r="M296" s="141" t="n"/>
      <c r="N296" s="141" t="n"/>
      <c r="O296" s="141" t="n"/>
      <c r="P296" s="141" t="n"/>
      <c r="Q296" s="141" t="n"/>
      <c r="R296" s="141" t="n"/>
      <c r="S296" s="141" t="n"/>
      <c r="T296" s="141" t="n"/>
      <c r="U296" s="141" t="n"/>
      <c r="V296" s="141" t="n"/>
      <c r="W296" s="141" t="n"/>
      <c r="X296" s="141" t="n"/>
      <c r="Y296" s="136" t="n"/>
      <c r="Z296" s="136" t="n"/>
      <c r="AA296" s="136" t="n"/>
      <c r="AB296" s="136" t="n"/>
      <c r="AC296" s="136" t="n"/>
      <c r="AD296" s="136" t="n"/>
      <c r="AE296" s="136" t="n"/>
      <c r="AF296" s="136" t="n"/>
      <c r="AG296" s="136" t="n"/>
      <c r="AH296" s="136" t="n"/>
      <c r="AI296" s="136" t="n"/>
      <c r="AJ296" s="136" t="n"/>
      <c r="AK296" s="136" t="n"/>
      <c r="AL296" s="136" t="n"/>
      <c r="AM296" s="136" t="n"/>
      <c r="AN296" s="136" t="n"/>
      <c r="AO296" s="136" t="n"/>
      <c r="AP296" s="136" t="n"/>
      <c r="AQ296" s="136" t="n"/>
      <c r="AR296" s="136" t="n"/>
    </row>
    <row r="297" ht="13.5" customHeight="1" s="196">
      <c r="A297" s="136" t="n"/>
      <c r="B297" s="136" t="n"/>
      <c r="C297" s="136" t="n"/>
      <c r="D297" s="141" t="n"/>
      <c r="E297" s="141" t="n"/>
      <c r="F297" s="141" t="n"/>
      <c r="G297" s="141" t="n"/>
      <c r="H297" s="141" t="n"/>
      <c r="I297" s="141" t="n"/>
      <c r="J297" s="141" t="n"/>
      <c r="K297" s="141" t="n"/>
      <c r="L297" s="141" t="n"/>
      <c r="M297" s="141" t="n"/>
      <c r="N297" s="141" t="n"/>
      <c r="O297" s="141" t="n"/>
      <c r="P297" s="141" t="n"/>
      <c r="Q297" s="141" t="n"/>
      <c r="R297" s="141" t="n"/>
      <c r="S297" s="141" t="n"/>
      <c r="T297" s="141" t="n"/>
      <c r="U297" s="141" t="n"/>
      <c r="V297" s="141" t="n"/>
      <c r="W297" s="141" t="n"/>
      <c r="X297" s="141" t="n"/>
      <c r="Y297" s="136" t="n"/>
      <c r="Z297" s="136" t="n"/>
      <c r="AA297" s="136" t="n"/>
      <c r="AB297" s="136" t="n"/>
      <c r="AC297" s="136" t="n"/>
      <c r="AD297" s="136" t="n"/>
      <c r="AE297" s="136" t="n"/>
      <c r="AF297" s="136" t="n"/>
      <c r="AG297" s="136" t="n"/>
      <c r="AH297" s="136" t="n"/>
      <c r="AI297" s="136" t="n"/>
      <c r="AJ297" s="136" t="n"/>
      <c r="AK297" s="136" t="n"/>
      <c r="AL297" s="136" t="n"/>
      <c r="AM297" s="136" t="n"/>
      <c r="AN297" s="136" t="n"/>
      <c r="AO297" s="136" t="n"/>
      <c r="AP297" s="136" t="n"/>
      <c r="AQ297" s="136" t="n"/>
      <c r="AR297" s="136" t="n"/>
    </row>
    <row r="298" ht="13.5" customHeight="1" s="196">
      <c r="A298" s="136" t="n"/>
      <c r="B298" s="136" t="n"/>
      <c r="C298" s="136" t="n"/>
      <c r="D298" s="141" t="n"/>
      <c r="E298" s="141" t="n"/>
      <c r="F298" s="141" t="n"/>
      <c r="G298" s="141" t="n"/>
      <c r="H298" s="141" t="n"/>
      <c r="I298" s="141" t="n"/>
      <c r="J298" s="141" t="n"/>
      <c r="K298" s="141" t="n"/>
      <c r="L298" s="141" t="n"/>
      <c r="M298" s="141" t="n"/>
      <c r="N298" s="141" t="n"/>
      <c r="O298" s="141" t="n"/>
      <c r="P298" s="141" t="n"/>
      <c r="Q298" s="141" t="n"/>
      <c r="R298" s="141" t="n"/>
      <c r="S298" s="141" t="n"/>
      <c r="T298" s="141" t="n"/>
      <c r="U298" s="141" t="n"/>
      <c r="V298" s="141" t="n"/>
      <c r="W298" s="141" t="n"/>
      <c r="X298" s="141" t="n"/>
      <c r="Y298" s="136" t="n"/>
      <c r="Z298" s="136" t="n"/>
      <c r="AA298" s="136" t="n"/>
      <c r="AB298" s="136" t="n"/>
      <c r="AC298" s="136" t="n"/>
      <c r="AD298" s="136" t="n"/>
      <c r="AE298" s="136" t="n"/>
      <c r="AF298" s="136" t="n"/>
      <c r="AG298" s="136" t="n"/>
      <c r="AH298" s="136" t="n"/>
      <c r="AI298" s="136" t="n"/>
      <c r="AJ298" s="136" t="n"/>
      <c r="AK298" s="136" t="n"/>
      <c r="AL298" s="136" t="n"/>
      <c r="AM298" s="136" t="n"/>
      <c r="AN298" s="136" t="n"/>
      <c r="AO298" s="136" t="n"/>
      <c r="AP298" s="136" t="n"/>
      <c r="AQ298" s="136" t="n"/>
      <c r="AR298" s="136" t="n"/>
    </row>
    <row r="299" ht="13.5" customHeight="1" s="196">
      <c r="A299" s="136" t="n"/>
      <c r="B299" s="136" t="n"/>
      <c r="C299" s="136" t="n"/>
      <c r="D299" s="141" t="n"/>
      <c r="E299" s="141" t="n"/>
      <c r="F299" s="141" t="n"/>
      <c r="G299" s="141" t="n"/>
      <c r="H299" s="141" t="n"/>
      <c r="I299" s="141" t="n"/>
      <c r="J299" s="141" t="n"/>
      <c r="K299" s="141" t="n"/>
      <c r="L299" s="141" t="n"/>
      <c r="M299" s="141" t="n"/>
      <c r="N299" s="141" t="n"/>
      <c r="O299" s="141" t="n"/>
      <c r="P299" s="141" t="n"/>
      <c r="Q299" s="141" t="n"/>
      <c r="R299" s="141" t="n"/>
      <c r="S299" s="141" t="n"/>
      <c r="T299" s="141" t="n"/>
      <c r="U299" s="141" t="n"/>
      <c r="V299" s="141" t="n"/>
      <c r="W299" s="141" t="n"/>
      <c r="X299" s="141" t="n"/>
      <c r="Y299" s="136" t="n"/>
      <c r="Z299" s="136" t="n"/>
      <c r="AA299" s="136" t="n"/>
      <c r="AB299" s="136" t="n"/>
      <c r="AC299" s="136" t="n"/>
      <c r="AD299" s="136" t="n"/>
      <c r="AE299" s="136" t="n"/>
      <c r="AF299" s="136" t="n"/>
      <c r="AG299" s="136" t="n"/>
      <c r="AH299" s="136" t="n"/>
      <c r="AI299" s="136" t="n"/>
      <c r="AJ299" s="136" t="n"/>
      <c r="AK299" s="136" t="n"/>
      <c r="AL299" s="136" t="n"/>
      <c r="AM299" s="136" t="n"/>
      <c r="AN299" s="136" t="n"/>
      <c r="AO299" s="136" t="n"/>
      <c r="AP299" s="136" t="n"/>
      <c r="AQ299" s="136" t="n"/>
      <c r="AR299" s="136" t="n"/>
    </row>
    <row r="300" ht="13.5" customHeight="1" s="196">
      <c r="A300" s="136" t="n"/>
      <c r="B300" s="136" t="n"/>
      <c r="C300" s="136" t="n"/>
      <c r="D300" s="141" t="n"/>
      <c r="E300" s="141" t="n"/>
      <c r="F300" s="141" t="n"/>
      <c r="G300" s="141" t="n"/>
      <c r="H300" s="141" t="n"/>
      <c r="I300" s="141" t="n"/>
      <c r="J300" s="141" t="n"/>
      <c r="K300" s="141" t="n"/>
      <c r="L300" s="141" t="n"/>
      <c r="M300" s="141" t="n"/>
      <c r="N300" s="141" t="n"/>
      <c r="O300" s="141" t="n"/>
      <c r="P300" s="141" t="n"/>
      <c r="Q300" s="141" t="n"/>
      <c r="R300" s="141" t="n"/>
      <c r="S300" s="141" t="n"/>
      <c r="T300" s="141" t="n"/>
      <c r="U300" s="141" t="n"/>
      <c r="V300" s="141" t="n"/>
      <c r="W300" s="141" t="n"/>
      <c r="X300" s="141" t="n"/>
      <c r="Y300" s="136" t="n"/>
      <c r="Z300" s="136" t="n"/>
      <c r="AA300" s="136" t="n"/>
      <c r="AB300" s="136" t="n"/>
      <c r="AC300" s="136" t="n"/>
      <c r="AD300" s="136" t="n"/>
      <c r="AE300" s="136" t="n"/>
      <c r="AF300" s="136" t="n"/>
      <c r="AG300" s="136" t="n"/>
      <c r="AH300" s="136" t="n"/>
      <c r="AI300" s="136" t="n"/>
      <c r="AJ300" s="136" t="n"/>
      <c r="AK300" s="136" t="n"/>
      <c r="AL300" s="136" t="n"/>
      <c r="AM300" s="136" t="n"/>
      <c r="AN300" s="136" t="n"/>
      <c r="AO300" s="136" t="n"/>
      <c r="AP300" s="136" t="n"/>
      <c r="AQ300" s="136" t="n"/>
      <c r="AR300" s="136" t="n"/>
    </row>
    <row r="301" ht="13.5" customHeight="1" s="196">
      <c r="A301" s="136" t="n"/>
      <c r="B301" s="136" t="n"/>
      <c r="C301" s="136" t="n"/>
      <c r="D301" s="141" t="n"/>
      <c r="E301" s="141" t="n"/>
      <c r="F301" s="141" t="n"/>
      <c r="G301" s="141" t="n"/>
      <c r="H301" s="141" t="n"/>
      <c r="I301" s="141" t="n"/>
      <c r="J301" s="141" t="n"/>
      <c r="K301" s="141" t="n"/>
      <c r="L301" s="141" t="n"/>
      <c r="M301" s="141" t="n"/>
      <c r="N301" s="141" t="n"/>
      <c r="O301" s="141" t="n"/>
      <c r="P301" s="141" t="n"/>
      <c r="Q301" s="141" t="n"/>
      <c r="R301" s="141" t="n"/>
      <c r="S301" s="141" t="n"/>
      <c r="T301" s="141" t="n"/>
      <c r="U301" s="141" t="n"/>
      <c r="V301" s="141" t="n"/>
      <c r="W301" s="141" t="n"/>
      <c r="X301" s="141" t="n"/>
      <c r="Y301" s="136" t="n"/>
      <c r="Z301" s="136" t="n"/>
      <c r="AA301" s="136" t="n"/>
      <c r="AB301" s="136" t="n"/>
      <c r="AC301" s="136" t="n"/>
      <c r="AD301" s="136" t="n"/>
      <c r="AE301" s="136" t="n"/>
      <c r="AF301" s="136" t="n"/>
      <c r="AG301" s="136" t="n"/>
      <c r="AH301" s="136" t="n"/>
      <c r="AI301" s="136" t="n"/>
      <c r="AJ301" s="136" t="n"/>
      <c r="AK301" s="136" t="n"/>
      <c r="AL301" s="136" t="n"/>
      <c r="AM301" s="136" t="n"/>
      <c r="AN301" s="136" t="n"/>
      <c r="AO301" s="136" t="n"/>
      <c r="AP301" s="136" t="n"/>
      <c r="AQ301" s="136" t="n"/>
      <c r="AR301" s="136" t="n"/>
    </row>
    <row r="302" ht="13.5" customHeight="1" s="196">
      <c r="A302" s="136" t="n"/>
      <c r="B302" s="136" t="n"/>
      <c r="C302" s="136" t="n"/>
      <c r="D302" s="141" t="n"/>
      <c r="E302" s="141" t="n"/>
      <c r="F302" s="141" t="n"/>
      <c r="G302" s="141" t="n"/>
      <c r="H302" s="141" t="n"/>
      <c r="I302" s="141" t="n"/>
      <c r="J302" s="141" t="n"/>
      <c r="K302" s="141" t="n"/>
      <c r="L302" s="141" t="n"/>
      <c r="M302" s="141" t="n"/>
      <c r="N302" s="141" t="n"/>
      <c r="O302" s="141" t="n"/>
      <c r="P302" s="141" t="n"/>
      <c r="Q302" s="141" t="n"/>
      <c r="R302" s="141" t="n"/>
      <c r="S302" s="141" t="n"/>
      <c r="T302" s="141" t="n"/>
      <c r="U302" s="141" t="n"/>
      <c r="V302" s="141" t="n"/>
      <c r="W302" s="141" t="n"/>
      <c r="X302" s="141" t="n"/>
      <c r="Y302" s="136" t="n"/>
      <c r="Z302" s="136" t="n"/>
      <c r="AA302" s="136" t="n"/>
      <c r="AB302" s="136" t="n"/>
      <c r="AC302" s="136" t="n"/>
      <c r="AD302" s="136" t="n"/>
      <c r="AE302" s="136" t="n"/>
      <c r="AF302" s="136" t="n"/>
      <c r="AG302" s="136" t="n"/>
      <c r="AH302" s="136" t="n"/>
      <c r="AI302" s="136" t="n"/>
      <c r="AJ302" s="136" t="n"/>
      <c r="AK302" s="136" t="n"/>
      <c r="AL302" s="136" t="n"/>
      <c r="AM302" s="136" t="n"/>
      <c r="AN302" s="136" t="n"/>
      <c r="AO302" s="136" t="n"/>
      <c r="AP302" s="136" t="n"/>
      <c r="AQ302" s="136" t="n"/>
      <c r="AR302" s="136" t="n"/>
    </row>
    <row r="303" ht="13.5" customHeight="1" s="196">
      <c r="A303" s="136" t="n"/>
      <c r="B303" s="136" t="n"/>
      <c r="C303" s="136" t="n"/>
      <c r="D303" s="141" t="n"/>
      <c r="E303" s="141" t="n"/>
      <c r="F303" s="141" t="n"/>
      <c r="G303" s="141" t="n"/>
      <c r="H303" s="141" t="n"/>
      <c r="I303" s="141" t="n"/>
      <c r="J303" s="141" t="n"/>
      <c r="K303" s="141" t="n"/>
      <c r="L303" s="141" t="n"/>
      <c r="M303" s="141" t="n"/>
      <c r="N303" s="141" t="n"/>
      <c r="O303" s="141" t="n"/>
      <c r="P303" s="141" t="n"/>
      <c r="Q303" s="141" t="n"/>
      <c r="R303" s="141" t="n"/>
      <c r="S303" s="141" t="n"/>
      <c r="T303" s="141" t="n"/>
      <c r="U303" s="141" t="n"/>
      <c r="V303" s="141" t="n"/>
      <c r="W303" s="141" t="n"/>
      <c r="X303" s="141" t="n"/>
      <c r="Y303" s="136" t="n"/>
      <c r="Z303" s="136" t="n"/>
      <c r="AA303" s="136" t="n"/>
      <c r="AB303" s="136" t="n"/>
      <c r="AC303" s="136" t="n"/>
      <c r="AD303" s="136" t="n"/>
      <c r="AE303" s="136" t="n"/>
      <c r="AF303" s="136" t="n"/>
      <c r="AG303" s="136" t="n"/>
      <c r="AH303" s="136" t="n"/>
      <c r="AI303" s="136" t="n"/>
      <c r="AJ303" s="136" t="n"/>
      <c r="AK303" s="136" t="n"/>
      <c r="AL303" s="136" t="n"/>
      <c r="AM303" s="136" t="n"/>
      <c r="AN303" s="136" t="n"/>
      <c r="AO303" s="136" t="n"/>
      <c r="AP303" s="136" t="n"/>
      <c r="AQ303" s="136" t="n"/>
      <c r="AR303" s="136" t="n"/>
    </row>
    <row r="304" ht="13.5" customHeight="1" s="196">
      <c r="A304" s="136" t="n"/>
      <c r="B304" s="136" t="n"/>
      <c r="C304" s="136" t="n"/>
      <c r="D304" s="141" t="n"/>
      <c r="E304" s="141" t="n"/>
      <c r="F304" s="141" t="n"/>
      <c r="G304" s="141" t="n"/>
      <c r="H304" s="141" t="n"/>
      <c r="I304" s="141" t="n"/>
      <c r="J304" s="141" t="n"/>
      <c r="K304" s="141" t="n"/>
      <c r="L304" s="141" t="n"/>
      <c r="M304" s="141" t="n"/>
      <c r="N304" s="141" t="n"/>
      <c r="O304" s="141" t="n"/>
      <c r="P304" s="141" t="n"/>
      <c r="Q304" s="141" t="n"/>
      <c r="R304" s="141" t="n"/>
      <c r="S304" s="141" t="n"/>
      <c r="T304" s="141" t="n"/>
      <c r="U304" s="141" t="n"/>
      <c r="V304" s="141" t="n"/>
      <c r="W304" s="141" t="n"/>
      <c r="X304" s="141" t="n"/>
      <c r="Y304" s="136" t="n"/>
      <c r="Z304" s="136" t="n"/>
      <c r="AA304" s="136" t="n"/>
      <c r="AB304" s="136" t="n"/>
      <c r="AC304" s="136" t="n"/>
      <c r="AD304" s="136" t="n"/>
      <c r="AE304" s="136" t="n"/>
      <c r="AF304" s="136" t="n"/>
      <c r="AG304" s="136" t="n"/>
      <c r="AH304" s="136" t="n"/>
      <c r="AI304" s="136" t="n"/>
      <c r="AJ304" s="136" t="n"/>
      <c r="AK304" s="136" t="n"/>
      <c r="AL304" s="136" t="n"/>
      <c r="AM304" s="136" t="n"/>
      <c r="AN304" s="136" t="n"/>
      <c r="AO304" s="136" t="n"/>
      <c r="AP304" s="136" t="n"/>
      <c r="AQ304" s="136" t="n"/>
      <c r="AR304" s="136" t="n"/>
    </row>
    <row r="305" ht="13.5" customHeight="1" s="196">
      <c r="A305" s="136" t="n"/>
      <c r="B305" s="136" t="n"/>
      <c r="C305" s="136" t="n"/>
      <c r="D305" s="141" t="n"/>
      <c r="E305" s="141" t="n"/>
      <c r="F305" s="141" t="n"/>
      <c r="G305" s="141" t="n"/>
      <c r="H305" s="141" t="n"/>
      <c r="I305" s="141" t="n"/>
      <c r="J305" s="141" t="n"/>
      <c r="K305" s="141" t="n"/>
      <c r="L305" s="141" t="n"/>
      <c r="M305" s="141" t="n"/>
      <c r="N305" s="141" t="n"/>
      <c r="O305" s="141" t="n"/>
      <c r="P305" s="141" t="n"/>
      <c r="Q305" s="141" t="n"/>
      <c r="R305" s="141" t="n"/>
      <c r="S305" s="141" t="n"/>
      <c r="T305" s="141" t="n"/>
      <c r="U305" s="141" t="n"/>
      <c r="V305" s="141" t="n"/>
      <c r="W305" s="141" t="n"/>
      <c r="X305" s="141" t="n"/>
      <c r="Y305" s="136" t="n"/>
      <c r="Z305" s="136" t="n"/>
      <c r="AA305" s="136" t="n"/>
      <c r="AB305" s="136" t="n"/>
      <c r="AC305" s="136" t="n"/>
      <c r="AD305" s="136" t="n"/>
      <c r="AE305" s="136" t="n"/>
      <c r="AF305" s="136" t="n"/>
      <c r="AG305" s="136" t="n"/>
      <c r="AH305" s="136" t="n"/>
      <c r="AI305" s="136" t="n"/>
      <c r="AJ305" s="136" t="n"/>
      <c r="AK305" s="136" t="n"/>
      <c r="AL305" s="136" t="n"/>
      <c r="AM305" s="136" t="n"/>
      <c r="AN305" s="136" t="n"/>
      <c r="AO305" s="136" t="n"/>
      <c r="AP305" s="136" t="n"/>
      <c r="AQ305" s="136" t="n"/>
      <c r="AR305" s="136" t="n"/>
    </row>
    <row r="306" ht="13.5" customHeight="1" s="196">
      <c r="A306" s="136" t="n"/>
      <c r="B306" s="136" t="n"/>
      <c r="C306" s="136" t="n"/>
      <c r="D306" s="141" t="n"/>
      <c r="E306" s="141" t="n"/>
      <c r="F306" s="141" t="n"/>
      <c r="G306" s="141" t="n"/>
      <c r="H306" s="141" t="n"/>
      <c r="I306" s="141" t="n"/>
      <c r="J306" s="141" t="n"/>
      <c r="K306" s="141" t="n"/>
      <c r="L306" s="141" t="n"/>
      <c r="M306" s="141" t="n"/>
      <c r="N306" s="141" t="n"/>
      <c r="O306" s="141" t="n"/>
      <c r="P306" s="141" t="n"/>
      <c r="Q306" s="141" t="n"/>
      <c r="R306" s="141" t="n"/>
      <c r="S306" s="141" t="n"/>
      <c r="T306" s="141" t="n"/>
      <c r="U306" s="141" t="n"/>
      <c r="V306" s="141" t="n"/>
      <c r="W306" s="141" t="n"/>
      <c r="X306" s="141" t="n"/>
      <c r="Y306" s="136" t="n"/>
      <c r="Z306" s="136" t="n"/>
      <c r="AA306" s="136" t="n"/>
      <c r="AB306" s="136" t="n"/>
      <c r="AC306" s="136" t="n"/>
      <c r="AD306" s="136" t="n"/>
      <c r="AE306" s="136" t="n"/>
      <c r="AF306" s="136" t="n"/>
      <c r="AG306" s="136" t="n"/>
      <c r="AH306" s="136" t="n"/>
      <c r="AI306" s="136" t="n"/>
      <c r="AJ306" s="136" t="n"/>
      <c r="AK306" s="136" t="n"/>
      <c r="AL306" s="136" t="n"/>
      <c r="AM306" s="136" t="n"/>
      <c r="AN306" s="136" t="n"/>
      <c r="AO306" s="136" t="n"/>
      <c r="AP306" s="136" t="n"/>
      <c r="AQ306" s="136" t="n"/>
      <c r="AR306" s="136" t="n"/>
    </row>
    <row r="307" ht="13.5" customHeight="1" s="196">
      <c r="A307" s="136" t="n"/>
      <c r="B307" s="136" t="n"/>
      <c r="C307" s="136" t="n"/>
      <c r="D307" s="141" t="n"/>
      <c r="E307" s="141" t="n"/>
      <c r="F307" s="141" t="n"/>
      <c r="G307" s="141" t="n"/>
      <c r="H307" s="141" t="n"/>
      <c r="I307" s="141" t="n"/>
      <c r="J307" s="141" t="n"/>
      <c r="K307" s="141" t="n"/>
      <c r="L307" s="141" t="n"/>
      <c r="M307" s="141" t="n"/>
      <c r="N307" s="141" t="n"/>
      <c r="O307" s="141" t="n"/>
      <c r="P307" s="141" t="n"/>
      <c r="Q307" s="141" t="n"/>
      <c r="R307" s="141" t="n"/>
      <c r="S307" s="141" t="n"/>
      <c r="T307" s="141" t="n"/>
      <c r="U307" s="141" t="n"/>
      <c r="V307" s="141" t="n"/>
      <c r="W307" s="141" t="n"/>
      <c r="X307" s="141" t="n"/>
      <c r="Y307" s="136" t="n"/>
      <c r="Z307" s="136" t="n"/>
      <c r="AA307" s="136" t="n"/>
      <c r="AB307" s="136" t="n"/>
      <c r="AC307" s="136" t="n"/>
      <c r="AD307" s="136" t="n"/>
      <c r="AE307" s="136" t="n"/>
      <c r="AF307" s="136" t="n"/>
      <c r="AG307" s="136" t="n"/>
      <c r="AH307" s="136" t="n"/>
      <c r="AI307" s="136" t="n"/>
      <c r="AJ307" s="136" t="n"/>
      <c r="AK307" s="136" t="n"/>
      <c r="AL307" s="136" t="n"/>
      <c r="AM307" s="136" t="n"/>
      <c r="AN307" s="136" t="n"/>
      <c r="AO307" s="136" t="n"/>
      <c r="AP307" s="136" t="n"/>
      <c r="AQ307" s="136" t="n"/>
      <c r="AR307" s="136" t="n"/>
    </row>
    <row r="308" ht="13.5" customHeight="1" s="196">
      <c r="A308" s="136" t="n"/>
      <c r="B308" s="136" t="n"/>
      <c r="C308" s="136" t="n"/>
      <c r="D308" s="141" t="n"/>
      <c r="E308" s="141" t="n"/>
      <c r="F308" s="141" t="n"/>
      <c r="G308" s="141" t="n"/>
      <c r="H308" s="141" t="n"/>
      <c r="I308" s="141" t="n"/>
      <c r="J308" s="141" t="n"/>
      <c r="K308" s="141" t="n"/>
      <c r="L308" s="141" t="n"/>
      <c r="M308" s="141" t="n"/>
      <c r="N308" s="141" t="n"/>
      <c r="O308" s="141" t="n"/>
      <c r="P308" s="141" t="n"/>
      <c r="Q308" s="141" t="n"/>
      <c r="R308" s="141" t="n"/>
      <c r="S308" s="141" t="n"/>
      <c r="T308" s="141" t="n"/>
      <c r="U308" s="141" t="n"/>
      <c r="V308" s="141" t="n"/>
      <c r="W308" s="141" t="n"/>
      <c r="X308" s="141" t="n"/>
      <c r="Y308" s="136" t="n"/>
      <c r="Z308" s="136" t="n"/>
      <c r="AA308" s="136" t="n"/>
      <c r="AB308" s="136" t="n"/>
      <c r="AC308" s="136" t="n"/>
      <c r="AD308" s="136" t="n"/>
      <c r="AE308" s="136" t="n"/>
      <c r="AF308" s="136" t="n"/>
      <c r="AG308" s="136" t="n"/>
      <c r="AH308" s="136" t="n"/>
      <c r="AI308" s="136" t="n"/>
      <c r="AJ308" s="136" t="n"/>
      <c r="AK308" s="136" t="n"/>
      <c r="AL308" s="136" t="n"/>
      <c r="AM308" s="136" t="n"/>
      <c r="AN308" s="136" t="n"/>
      <c r="AO308" s="136" t="n"/>
      <c r="AP308" s="136" t="n"/>
      <c r="AQ308" s="136" t="n"/>
      <c r="AR308" s="136" t="n"/>
    </row>
    <row r="309" ht="13.5" customHeight="1" s="196">
      <c r="A309" s="136" t="n"/>
      <c r="B309" s="136" t="n"/>
      <c r="C309" s="136" t="n"/>
      <c r="D309" s="141" t="n"/>
      <c r="E309" s="141" t="n"/>
      <c r="F309" s="141" t="n"/>
      <c r="G309" s="141" t="n"/>
      <c r="H309" s="141" t="n"/>
      <c r="I309" s="141" t="n"/>
      <c r="J309" s="141" t="n"/>
      <c r="K309" s="141" t="n"/>
      <c r="L309" s="141" t="n"/>
      <c r="M309" s="141" t="n"/>
      <c r="N309" s="141" t="n"/>
      <c r="O309" s="141" t="n"/>
      <c r="P309" s="141" t="n"/>
      <c r="Q309" s="141" t="n"/>
      <c r="R309" s="141" t="n"/>
      <c r="S309" s="141" t="n"/>
      <c r="T309" s="141" t="n"/>
      <c r="U309" s="141" t="n"/>
      <c r="V309" s="141" t="n"/>
      <c r="W309" s="141" t="n"/>
      <c r="X309" s="141" t="n"/>
      <c r="Y309" s="136" t="n"/>
      <c r="Z309" s="136" t="n"/>
      <c r="AA309" s="136" t="n"/>
      <c r="AB309" s="136" t="n"/>
      <c r="AC309" s="136" t="n"/>
      <c r="AD309" s="136" t="n"/>
      <c r="AE309" s="136" t="n"/>
      <c r="AF309" s="136" t="n"/>
      <c r="AG309" s="136" t="n"/>
      <c r="AH309" s="136" t="n"/>
      <c r="AI309" s="136" t="n"/>
      <c r="AJ309" s="136" t="n"/>
      <c r="AK309" s="136" t="n"/>
      <c r="AL309" s="136" t="n"/>
      <c r="AM309" s="136" t="n"/>
      <c r="AN309" s="136" t="n"/>
      <c r="AO309" s="136" t="n"/>
      <c r="AP309" s="136" t="n"/>
      <c r="AQ309" s="136" t="n"/>
      <c r="AR309" s="136" t="n"/>
    </row>
    <row r="310" ht="13.5" customHeight="1" s="196">
      <c r="A310" s="136" t="n"/>
      <c r="B310" s="136" t="n"/>
      <c r="C310" s="136" t="n"/>
      <c r="D310" s="141" t="n"/>
      <c r="E310" s="141" t="n"/>
      <c r="F310" s="141" t="n"/>
      <c r="G310" s="141" t="n"/>
      <c r="H310" s="141" t="n"/>
      <c r="I310" s="141" t="n"/>
      <c r="J310" s="141" t="n"/>
      <c r="K310" s="141" t="n"/>
      <c r="L310" s="141" t="n"/>
      <c r="M310" s="141" t="n"/>
      <c r="N310" s="141" t="n"/>
      <c r="O310" s="141" t="n"/>
      <c r="P310" s="141" t="n"/>
      <c r="Q310" s="141" t="n"/>
      <c r="R310" s="141" t="n"/>
      <c r="S310" s="141" t="n"/>
      <c r="T310" s="141" t="n"/>
      <c r="U310" s="141" t="n"/>
      <c r="V310" s="141" t="n"/>
      <c r="W310" s="141" t="n"/>
      <c r="X310" s="141" t="n"/>
      <c r="Y310" s="136" t="n"/>
      <c r="Z310" s="136" t="n"/>
      <c r="AA310" s="136" t="n"/>
      <c r="AB310" s="136" t="n"/>
      <c r="AC310" s="136" t="n"/>
      <c r="AD310" s="136" t="n"/>
      <c r="AE310" s="136" t="n"/>
      <c r="AF310" s="136" t="n"/>
      <c r="AG310" s="136" t="n"/>
      <c r="AH310" s="136" t="n"/>
      <c r="AI310" s="136" t="n"/>
      <c r="AJ310" s="136" t="n"/>
      <c r="AK310" s="136" t="n"/>
      <c r="AL310" s="136" t="n"/>
      <c r="AM310" s="136" t="n"/>
      <c r="AN310" s="136" t="n"/>
      <c r="AO310" s="136" t="n"/>
      <c r="AP310" s="136" t="n"/>
      <c r="AQ310" s="136" t="n"/>
      <c r="AR310" s="136" t="n"/>
    </row>
    <row r="311" ht="13.5" customHeight="1" s="196">
      <c r="A311" s="136" t="n"/>
      <c r="B311" s="136" t="n"/>
      <c r="C311" s="136" t="n"/>
      <c r="D311" s="141" t="n"/>
      <c r="E311" s="141" t="n"/>
      <c r="F311" s="141" t="n"/>
      <c r="G311" s="141" t="n"/>
      <c r="H311" s="141" t="n"/>
      <c r="I311" s="141" t="n"/>
      <c r="J311" s="141" t="n"/>
      <c r="K311" s="141" t="n"/>
      <c r="L311" s="141" t="n"/>
      <c r="M311" s="141" t="n"/>
      <c r="N311" s="141" t="n"/>
      <c r="O311" s="141" t="n"/>
      <c r="P311" s="141" t="n"/>
      <c r="Q311" s="141" t="n"/>
      <c r="R311" s="141" t="n"/>
      <c r="S311" s="141" t="n"/>
      <c r="T311" s="141" t="n"/>
      <c r="U311" s="141" t="n"/>
      <c r="V311" s="141" t="n"/>
      <c r="W311" s="141" t="n"/>
      <c r="X311" s="141" t="n"/>
      <c r="Y311" s="136" t="n"/>
      <c r="Z311" s="136" t="n"/>
      <c r="AA311" s="136" t="n"/>
      <c r="AB311" s="136" t="n"/>
      <c r="AC311" s="136" t="n"/>
      <c r="AD311" s="136" t="n"/>
      <c r="AE311" s="136" t="n"/>
      <c r="AF311" s="136" t="n"/>
      <c r="AG311" s="136" t="n"/>
      <c r="AH311" s="136" t="n"/>
      <c r="AI311" s="136" t="n"/>
      <c r="AJ311" s="136" t="n"/>
      <c r="AK311" s="136" t="n"/>
      <c r="AL311" s="136" t="n"/>
      <c r="AM311" s="136" t="n"/>
      <c r="AN311" s="136" t="n"/>
      <c r="AO311" s="136" t="n"/>
      <c r="AP311" s="136" t="n"/>
      <c r="AQ311" s="136" t="n"/>
      <c r="AR311" s="136" t="n"/>
    </row>
    <row r="312" ht="13.5" customHeight="1" s="196">
      <c r="A312" s="136" t="n"/>
      <c r="B312" s="136" t="n"/>
      <c r="C312" s="136" t="n"/>
      <c r="D312" s="141" t="n"/>
      <c r="E312" s="141" t="n"/>
      <c r="F312" s="141" t="n"/>
      <c r="G312" s="141" t="n"/>
      <c r="H312" s="141" t="n"/>
      <c r="I312" s="141" t="n"/>
      <c r="J312" s="141" t="n"/>
      <c r="K312" s="141" t="n"/>
      <c r="L312" s="141" t="n"/>
      <c r="M312" s="141" t="n"/>
      <c r="N312" s="141" t="n"/>
      <c r="O312" s="141" t="n"/>
      <c r="P312" s="141" t="n"/>
      <c r="Q312" s="141" t="n"/>
      <c r="R312" s="141" t="n"/>
      <c r="S312" s="141" t="n"/>
      <c r="T312" s="141" t="n"/>
      <c r="U312" s="141" t="n"/>
      <c r="V312" s="141" t="n"/>
      <c r="W312" s="141" t="n"/>
      <c r="X312" s="141" t="n"/>
      <c r="Y312" s="136" t="n"/>
      <c r="Z312" s="136" t="n"/>
      <c r="AA312" s="136" t="n"/>
      <c r="AB312" s="136" t="n"/>
      <c r="AC312" s="136" t="n"/>
      <c r="AD312" s="136" t="n"/>
      <c r="AE312" s="136" t="n"/>
      <c r="AF312" s="136" t="n"/>
      <c r="AG312" s="136" t="n"/>
      <c r="AH312" s="136" t="n"/>
      <c r="AI312" s="136" t="n"/>
      <c r="AJ312" s="136" t="n"/>
      <c r="AK312" s="136" t="n"/>
      <c r="AL312" s="136" t="n"/>
      <c r="AM312" s="136" t="n"/>
      <c r="AN312" s="136" t="n"/>
      <c r="AO312" s="136" t="n"/>
      <c r="AP312" s="136" t="n"/>
      <c r="AQ312" s="136" t="n"/>
      <c r="AR312" s="136" t="n"/>
    </row>
    <row r="313" ht="13.5" customHeight="1" s="196">
      <c r="A313" s="136" t="n"/>
      <c r="B313" s="136" t="n"/>
      <c r="C313" s="136" t="n"/>
      <c r="D313" s="141" t="n"/>
      <c r="E313" s="141" t="n"/>
      <c r="F313" s="141" t="n"/>
      <c r="G313" s="141" t="n"/>
      <c r="H313" s="141" t="n"/>
      <c r="I313" s="141" t="n"/>
      <c r="J313" s="141" t="n"/>
      <c r="K313" s="141" t="n"/>
      <c r="L313" s="141" t="n"/>
      <c r="M313" s="141" t="n"/>
      <c r="N313" s="141" t="n"/>
      <c r="O313" s="141" t="n"/>
      <c r="P313" s="141" t="n"/>
      <c r="Q313" s="141" t="n"/>
      <c r="R313" s="141" t="n"/>
      <c r="S313" s="141" t="n"/>
      <c r="T313" s="141" t="n"/>
      <c r="U313" s="141" t="n"/>
      <c r="V313" s="141" t="n"/>
      <c r="W313" s="141" t="n"/>
      <c r="X313" s="141" t="n"/>
      <c r="Y313" s="136" t="n"/>
      <c r="Z313" s="136" t="n"/>
      <c r="AA313" s="136" t="n"/>
      <c r="AB313" s="136" t="n"/>
      <c r="AC313" s="136" t="n"/>
      <c r="AD313" s="136" t="n"/>
      <c r="AE313" s="136" t="n"/>
      <c r="AF313" s="136" t="n"/>
      <c r="AG313" s="136" t="n"/>
      <c r="AH313" s="136" t="n"/>
      <c r="AI313" s="136" t="n"/>
      <c r="AJ313" s="136" t="n"/>
      <c r="AK313" s="136" t="n"/>
      <c r="AL313" s="136" t="n"/>
      <c r="AM313" s="136" t="n"/>
      <c r="AN313" s="136" t="n"/>
      <c r="AO313" s="136" t="n"/>
      <c r="AP313" s="136" t="n"/>
      <c r="AQ313" s="136" t="n"/>
      <c r="AR313" s="136" t="n"/>
    </row>
    <row r="314" ht="13.5" customHeight="1" s="196">
      <c r="A314" s="136" t="n"/>
      <c r="B314" s="136" t="n"/>
      <c r="C314" s="136" t="n"/>
      <c r="D314" s="141" t="n"/>
      <c r="E314" s="141" t="n"/>
      <c r="F314" s="141" t="n"/>
      <c r="G314" s="141" t="n"/>
      <c r="H314" s="141" t="n"/>
      <c r="I314" s="141" t="n"/>
      <c r="J314" s="141" t="n"/>
      <c r="K314" s="141" t="n"/>
      <c r="L314" s="141" t="n"/>
      <c r="M314" s="141" t="n"/>
      <c r="N314" s="141" t="n"/>
      <c r="O314" s="141" t="n"/>
      <c r="P314" s="141" t="n"/>
      <c r="Q314" s="141" t="n"/>
      <c r="R314" s="141" t="n"/>
      <c r="S314" s="141" t="n"/>
      <c r="T314" s="141" t="n"/>
      <c r="U314" s="141" t="n"/>
      <c r="V314" s="141" t="n"/>
      <c r="W314" s="141" t="n"/>
      <c r="X314" s="141" t="n"/>
      <c r="Y314" s="136" t="n"/>
      <c r="Z314" s="136" t="n"/>
      <c r="AA314" s="136" t="n"/>
      <c r="AB314" s="136" t="n"/>
      <c r="AC314" s="136" t="n"/>
      <c r="AD314" s="136" t="n"/>
      <c r="AE314" s="136" t="n"/>
      <c r="AF314" s="136" t="n"/>
      <c r="AG314" s="136" t="n"/>
      <c r="AH314" s="136" t="n"/>
      <c r="AI314" s="136" t="n"/>
      <c r="AJ314" s="136" t="n"/>
      <c r="AK314" s="136" t="n"/>
      <c r="AL314" s="136" t="n"/>
      <c r="AM314" s="136" t="n"/>
      <c r="AN314" s="136" t="n"/>
      <c r="AO314" s="136" t="n"/>
      <c r="AP314" s="136" t="n"/>
      <c r="AQ314" s="136" t="n"/>
      <c r="AR314" s="136" t="n"/>
    </row>
    <row r="315" ht="13.5" customHeight="1" s="196">
      <c r="A315" s="136" t="n"/>
      <c r="B315" s="136" t="n"/>
      <c r="C315" s="136" t="n"/>
      <c r="D315" s="141" t="n"/>
      <c r="E315" s="141" t="n"/>
      <c r="F315" s="141" t="n"/>
      <c r="G315" s="141" t="n"/>
      <c r="H315" s="141" t="n"/>
      <c r="I315" s="141" t="n"/>
      <c r="J315" s="141" t="n"/>
      <c r="K315" s="141" t="n"/>
      <c r="L315" s="141" t="n"/>
      <c r="M315" s="141" t="n"/>
      <c r="N315" s="141" t="n"/>
      <c r="O315" s="141" t="n"/>
      <c r="P315" s="141" t="n"/>
      <c r="Q315" s="141" t="n"/>
      <c r="R315" s="141" t="n"/>
      <c r="S315" s="141" t="n"/>
      <c r="T315" s="141" t="n"/>
      <c r="U315" s="141" t="n"/>
      <c r="V315" s="141" t="n"/>
      <c r="W315" s="141" t="n"/>
      <c r="X315" s="141" t="n"/>
      <c r="Y315" s="136" t="n"/>
      <c r="Z315" s="136" t="n"/>
      <c r="AA315" s="136" t="n"/>
      <c r="AB315" s="136" t="n"/>
      <c r="AC315" s="136" t="n"/>
      <c r="AD315" s="136" t="n"/>
      <c r="AE315" s="136" t="n"/>
      <c r="AF315" s="136" t="n"/>
      <c r="AG315" s="136" t="n"/>
      <c r="AH315" s="136" t="n"/>
      <c r="AI315" s="136" t="n"/>
      <c r="AJ315" s="136" t="n"/>
      <c r="AK315" s="136" t="n"/>
      <c r="AL315" s="136" t="n"/>
      <c r="AM315" s="136" t="n"/>
      <c r="AN315" s="136" t="n"/>
      <c r="AO315" s="136" t="n"/>
      <c r="AP315" s="136" t="n"/>
      <c r="AQ315" s="136" t="n"/>
      <c r="AR315" s="136" t="n"/>
    </row>
    <row r="316" ht="13.5" customHeight="1" s="196">
      <c r="A316" s="136" t="n"/>
      <c r="B316" s="136" t="n"/>
      <c r="C316" s="136" t="n"/>
      <c r="D316" s="141" t="n"/>
      <c r="E316" s="141" t="n"/>
      <c r="F316" s="141" t="n"/>
      <c r="G316" s="141" t="n"/>
      <c r="H316" s="141" t="n"/>
      <c r="I316" s="141" t="n"/>
      <c r="J316" s="141" t="n"/>
      <c r="K316" s="141" t="n"/>
      <c r="L316" s="141" t="n"/>
      <c r="M316" s="141" t="n"/>
      <c r="N316" s="141" t="n"/>
      <c r="O316" s="141" t="n"/>
      <c r="P316" s="141" t="n"/>
      <c r="Q316" s="141" t="n"/>
      <c r="R316" s="141" t="n"/>
      <c r="S316" s="141" t="n"/>
      <c r="T316" s="141" t="n"/>
      <c r="U316" s="141" t="n"/>
      <c r="V316" s="141" t="n"/>
      <c r="W316" s="141" t="n"/>
      <c r="X316" s="141" t="n"/>
      <c r="Y316" s="136" t="n"/>
      <c r="Z316" s="136" t="n"/>
      <c r="AA316" s="136" t="n"/>
      <c r="AB316" s="136" t="n"/>
      <c r="AC316" s="136" t="n"/>
      <c r="AD316" s="136" t="n"/>
      <c r="AE316" s="136" t="n"/>
      <c r="AF316" s="136" t="n"/>
      <c r="AG316" s="136" t="n"/>
      <c r="AH316" s="136" t="n"/>
      <c r="AI316" s="136" t="n"/>
      <c r="AJ316" s="136" t="n"/>
      <c r="AK316" s="136" t="n"/>
      <c r="AL316" s="136" t="n"/>
      <c r="AM316" s="136" t="n"/>
      <c r="AN316" s="136" t="n"/>
      <c r="AO316" s="136" t="n"/>
      <c r="AP316" s="136" t="n"/>
      <c r="AQ316" s="136" t="n"/>
      <c r="AR316" s="136" t="n"/>
    </row>
    <row r="317" ht="13.5" customHeight="1" s="196">
      <c r="A317" s="136" t="n"/>
      <c r="B317" s="136" t="n"/>
      <c r="C317" s="136" t="n"/>
      <c r="D317" s="141" t="n"/>
      <c r="E317" s="141" t="n"/>
      <c r="F317" s="141" t="n"/>
      <c r="G317" s="141" t="n"/>
      <c r="H317" s="141" t="n"/>
      <c r="I317" s="141" t="n"/>
      <c r="J317" s="141" t="n"/>
      <c r="K317" s="141" t="n"/>
      <c r="L317" s="141" t="n"/>
      <c r="M317" s="141" t="n"/>
      <c r="N317" s="141" t="n"/>
      <c r="O317" s="141" t="n"/>
      <c r="P317" s="141" t="n"/>
      <c r="Q317" s="141" t="n"/>
      <c r="R317" s="141" t="n"/>
      <c r="S317" s="141" t="n"/>
      <c r="T317" s="141" t="n"/>
      <c r="U317" s="141" t="n"/>
      <c r="V317" s="141" t="n"/>
      <c r="W317" s="141" t="n"/>
      <c r="X317" s="141" t="n"/>
      <c r="Y317" s="136" t="n"/>
      <c r="Z317" s="136" t="n"/>
      <c r="AA317" s="136" t="n"/>
      <c r="AB317" s="136" t="n"/>
      <c r="AC317" s="136" t="n"/>
      <c r="AD317" s="136" t="n"/>
      <c r="AE317" s="136" t="n"/>
      <c r="AF317" s="136" t="n"/>
      <c r="AG317" s="136" t="n"/>
      <c r="AH317" s="136" t="n"/>
      <c r="AI317" s="136" t="n"/>
      <c r="AJ317" s="136" t="n"/>
      <c r="AK317" s="136" t="n"/>
      <c r="AL317" s="136" t="n"/>
      <c r="AM317" s="136" t="n"/>
      <c r="AN317" s="136" t="n"/>
      <c r="AO317" s="136" t="n"/>
      <c r="AP317" s="136" t="n"/>
      <c r="AQ317" s="136" t="n"/>
      <c r="AR317" s="136" t="n"/>
    </row>
    <row r="318" ht="13.5" customHeight="1" s="196">
      <c r="A318" s="136" t="n"/>
      <c r="B318" s="136" t="n"/>
      <c r="C318" s="136" t="n"/>
      <c r="D318" s="141" t="n"/>
      <c r="E318" s="141" t="n"/>
      <c r="F318" s="141" t="n"/>
      <c r="G318" s="141" t="n"/>
      <c r="H318" s="141" t="n"/>
      <c r="I318" s="141" t="n"/>
      <c r="J318" s="141" t="n"/>
      <c r="K318" s="141" t="n"/>
      <c r="L318" s="141" t="n"/>
      <c r="M318" s="141" t="n"/>
      <c r="N318" s="141" t="n"/>
      <c r="O318" s="141" t="n"/>
      <c r="P318" s="141" t="n"/>
      <c r="Q318" s="141" t="n"/>
      <c r="R318" s="141" t="n"/>
      <c r="S318" s="141" t="n"/>
      <c r="T318" s="141" t="n"/>
      <c r="U318" s="141" t="n"/>
      <c r="V318" s="141" t="n"/>
      <c r="W318" s="141" t="n"/>
      <c r="X318" s="141" t="n"/>
      <c r="Y318" s="136" t="n"/>
      <c r="Z318" s="136" t="n"/>
      <c r="AA318" s="136" t="n"/>
      <c r="AB318" s="136" t="n"/>
      <c r="AC318" s="136" t="n"/>
      <c r="AD318" s="136" t="n"/>
      <c r="AE318" s="136" t="n"/>
      <c r="AF318" s="136" t="n"/>
      <c r="AG318" s="136" t="n"/>
      <c r="AH318" s="136" t="n"/>
      <c r="AI318" s="136" t="n"/>
      <c r="AJ318" s="136" t="n"/>
      <c r="AK318" s="136" t="n"/>
      <c r="AL318" s="136" t="n"/>
      <c r="AM318" s="136" t="n"/>
      <c r="AN318" s="136" t="n"/>
      <c r="AO318" s="136" t="n"/>
      <c r="AP318" s="136" t="n"/>
      <c r="AQ318" s="136" t="n"/>
      <c r="AR318" s="136" t="n"/>
    </row>
    <row r="319" ht="13.5" customHeight="1" s="196">
      <c r="A319" s="136" t="n"/>
      <c r="B319" s="136" t="n"/>
      <c r="C319" s="136" t="n"/>
      <c r="D319" s="141" t="n"/>
      <c r="E319" s="141" t="n"/>
      <c r="F319" s="141" t="n"/>
      <c r="G319" s="141" t="n"/>
      <c r="H319" s="141" t="n"/>
      <c r="I319" s="141" t="n"/>
      <c r="J319" s="141" t="n"/>
      <c r="K319" s="141" t="n"/>
      <c r="L319" s="141" t="n"/>
      <c r="M319" s="141" t="n"/>
      <c r="N319" s="141" t="n"/>
      <c r="O319" s="141" t="n"/>
      <c r="P319" s="141" t="n"/>
      <c r="Q319" s="141" t="n"/>
      <c r="R319" s="141" t="n"/>
      <c r="S319" s="141" t="n"/>
      <c r="T319" s="141" t="n"/>
      <c r="U319" s="141" t="n"/>
      <c r="V319" s="141" t="n"/>
      <c r="W319" s="141" t="n"/>
      <c r="X319" s="141" t="n"/>
      <c r="Y319" s="136" t="n"/>
      <c r="Z319" s="136" t="n"/>
      <c r="AA319" s="136" t="n"/>
      <c r="AB319" s="136" t="n"/>
      <c r="AC319" s="136" t="n"/>
      <c r="AD319" s="136" t="n"/>
      <c r="AE319" s="136" t="n"/>
      <c r="AF319" s="136" t="n"/>
      <c r="AG319" s="136" t="n"/>
      <c r="AH319" s="136" t="n"/>
      <c r="AI319" s="136" t="n"/>
      <c r="AJ319" s="136" t="n"/>
      <c r="AK319" s="136" t="n"/>
      <c r="AL319" s="136" t="n"/>
      <c r="AM319" s="136" t="n"/>
      <c r="AN319" s="136" t="n"/>
      <c r="AO319" s="136" t="n"/>
      <c r="AP319" s="136" t="n"/>
      <c r="AQ319" s="136" t="n"/>
      <c r="AR319" s="136" t="n"/>
    </row>
    <row r="320" ht="13.5" customHeight="1" s="196">
      <c r="A320" s="136" t="n"/>
      <c r="B320" s="136" t="n"/>
      <c r="C320" s="136" t="n"/>
      <c r="D320" s="141" t="n"/>
      <c r="E320" s="141" t="n"/>
      <c r="F320" s="141" t="n"/>
      <c r="G320" s="141" t="n"/>
      <c r="H320" s="141" t="n"/>
      <c r="I320" s="141" t="n"/>
      <c r="J320" s="141" t="n"/>
      <c r="K320" s="141" t="n"/>
      <c r="L320" s="141" t="n"/>
      <c r="M320" s="141" t="n"/>
      <c r="N320" s="141" t="n"/>
      <c r="O320" s="141" t="n"/>
      <c r="P320" s="141" t="n"/>
      <c r="Q320" s="141" t="n"/>
      <c r="R320" s="141" t="n"/>
      <c r="S320" s="141" t="n"/>
      <c r="T320" s="141" t="n"/>
      <c r="U320" s="141" t="n"/>
      <c r="V320" s="141" t="n"/>
      <c r="W320" s="141" t="n"/>
      <c r="X320" s="141" t="n"/>
      <c r="Y320" s="136" t="n"/>
      <c r="Z320" s="136" t="n"/>
      <c r="AA320" s="136" t="n"/>
      <c r="AB320" s="136" t="n"/>
      <c r="AC320" s="136" t="n"/>
      <c r="AD320" s="136" t="n"/>
      <c r="AE320" s="136" t="n"/>
      <c r="AF320" s="136" t="n"/>
      <c r="AG320" s="136" t="n"/>
      <c r="AH320" s="136" t="n"/>
      <c r="AI320" s="136" t="n"/>
      <c r="AJ320" s="136" t="n"/>
      <c r="AK320" s="136" t="n"/>
      <c r="AL320" s="136" t="n"/>
      <c r="AM320" s="136" t="n"/>
      <c r="AN320" s="136" t="n"/>
      <c r="AO320" s="136" t="n"/>
      <c r="AP320" s="136" t="n"/>
      <c r="AQ320" s="136" t="n"/>
      <c r="AR320" s="136" t="n"/>
    </row>
    <row r="321" ht="13.5" customHeight="1" s="196">
      <c r="A321" s="136" t="n"/>
      <c r="B321" s="136" t="n"/>
      <c r="C321" s="136" t="n"/>
      <c r="D321" s="141" t="n"/>
      <c r="E321" s="141" t="n"/>
      <c r="F321" s="141" t="n"/>
      <c r="G321" s="141" t="n"/>
      <c r="H321" s="141" t="n"/>
      <c r="I321" s="141" t="n"/>
      <c r="J321" s="141" t="n"/>
      <c r="K321" s="141" t="n"/>
      <c r="L321" s="141" t="n"/>
      <c r="M321" s="141" t="n"/>
      <c r="N321" s="141" t="n"/>
      <c r="O321" s="141" t="n"/>
      <c r="P321" s="141" t="n"/>
      <c r="Q321" s="141" t="n"/>
      <c r="R321" s="141" t="n"/>
      <c r="S321" s="141" t="n"/>
      <c r="T321" s="141" t="n"/>
      <c r="U321" s="141" t="n"/>
      <c r="V321" s="141" t="n"/>
      <c r="W321" s="141" t="n"/>
      <c r="X321" s="141" t="n"/>
      <c r="Y321" s="136" t="n"/>
      <c r="Z321" s="136" t="n"/>
      <c r="AA321" s="136" t="n"/>
      <c r="AB321" s="136" t="n"/>
      <c r="AC321" s="136" t="n"/>
      <c r="AD321" s="136" t="n"/>
      <c r="AE321" s="136" t="n"/>
      <c r="AF321" s="136" t="n"/>
      <c r="AG321" s="136" t="n"/>
      <c r="AH321" s="136" t="n"/>
      <c r="AI321" s="136" t="n"/>
      <c r="AJ321" s="136" t="n"/>
      <c r="AK321" s="136" t="n"/>
      <c r="AL321" s="136" t="n"/>
      <c r="AM321" s="136" t="n"/>
      <c r="AN321" s="136" t="n"/>
      <c r="AO321" s="136" t="n"/>
      <c r="AP321" s="136" t="n"/>
      <c r="AQ321" s="136" t="n"/>
      <c r="AR321" s="136" t="n"/>
    </row>
    <row r="322" ht="13.5" customHeight="1" s="196">
      <c r="A322" s="136" t="n"/>
      <c r="B322" s="136" t="n"/>
      <c r="C322" s="136" t="n"/>
      <c r="D322" s="141" t="n"/>
      <c r="E322" s="141" t="n"/>
      <c r="F322" s="141" t="n"/>
      <c r="G322" s="141" t="n"/>
      <c r="H322" s="141" t="n"/>
      <c r="I322" s="141" t="n"/>
      <c r="J322" s="141" t="n"/>
      <c r="K322" s="141" t="n"/>
      <c r="L322" s="141" t="n"/>
      <c r="M322" s="141" t="n"/>
      <c r="N322" s="141" t="n"/>
      <c r="O322" s="141" t="n"/>
      <c r="P322" s="141" t="n"/>
      <c r="Q322" s="141" t="n"/>
      <c r="R322" s="141" t="n"/>
      <c r="S322" s="141" t="n"/>
      <c r="T322" s="141" t="n"/>
      <c r="U322" s="141" t="n"/>
      <c r="V322" s="141" t="n"/>
      <c r="W322" s="141" t="n"/>
      <c r="X322" s="141" t="n"/>
      <c r="Y322" s="136" t="n"/>
      <c r="Z322" s="136" t="n"/>
      <c r="AA322" s="136" t="n"/>
      <c r="AB322" s="136" t="n"/>
      <c r="AC322" s="136" t="n"/>
      <c r="AD322" s="136" t="n"/>
      <c r="AE322" s="136" t="n"/>
      <c r="AF322" s="136" t="n"/>
      <c r="AG322" s="136" t="n"/>
      <c r="AH322" s="136" t="n"/>
      <c r="AI322" s="136" t="n"/>
      <c r="AJ322" s="136" t="n"/>
      <c r="AK322" s="136" t="n"/>
      <c r="AL322" s="136" t="n"/>
      <c r="AM322" s="136" t="n"/>
      <c r="AN322" s="136" t="n"/>
      <c r="AO322" s="136" t="n"/>
      <c r="AP322" s="136" t="n"/>
      <c r="AQ322" s="136" t="n"/>
      <c r="AR322" s="136" t="n"/>
    </row>
    <row r="323" ht="13.5" customHeight="1" s="196">
      <c r="A323" s="136" t="n"/>
      <c r="B323" s="136" t="n"/>
      <c r="C323" s="136" t="n"/>
      <c r="D323" s="141" t="n"/>
      <c r="E323" s="141" t="n"/>
      <c r="F323" s="141" t="n"/>
      <c r="G323" s="141" t="n"/>
      <c r="H323" s="141" t="n"/>
      <c r="I323" s="141" t="n"/>
      <c r="J323" s="141" t="n"/>
      <c r="K323" s="141" t="n"/>
      <c r="L323" s="141" t="n"/>
      <c r="M323" s="141" t="n"/>
      <c r="N323" s="141" t="n"/>
      <c r="O323" s="141" t="n"/>
      <c r="P323" s="141" t="n"/>
      <c r="Q323" s="141" t="n"/>
      <c r="R323" s="141" t="n"/>
      <c r="S323" s="141" t="n"/>
      <c r="T323" s="141" t="n"/>
      <c r="U323" s="141" t="n"/>
      <c r="V323" s="141" t="n"/>
      <c r="W323" s="141" t="n"/>
      <c r="X323" s="141" t="n"/>
      <c r="Y323" s="136" t="n"/>
      <c r="Z323" s="136" t="n"/>
      <c r="AA323" s="136" t="n"/>
      <c r="AB323" s="136" t="n"/>
      <c r="AC323" s="136" t="n"/>
      <c r="AD323" s="136" t="n"/>
      <c r="AE323" s="136" t="n"/>
      <c r="AF323" s="136" t="n"/>
      <c r="AG323" s="136" t="n"/>
      <c r="AH323" s="136" t="n"/>
      <c r="AI323" s="136" t="n"/>
      <c r="AJ323" s="136" t="n"/>
      <c r="AK323" s="136" t="n"/>
      <c r="AL323" s="136" t="n"/>
      <c r="AM323" s="136" t="n"/>
      <c r="AN323" s="136" t="n"/>
      <c r="AO323" s="136" t="n"/>
      <c r="AP323" s="136" t="n"/>
      <c r="AQ323" s="136" t="n"/>
      <c r="AR323" s="136" t="n"/>
    </row>
    <row r="324" ht="13.5" customHeight="1" s="196">
      <c r="A324" s="136" t="n"/>
      <c r="B324" s="136" t="n"/>
      <c r="C324" s="136" t="n"/>
      <c r="D324" s="141" t="n"/>
      <c r="E324" s="141" t="n"/>
      <c r="F324" s="141" t="n"/>
      <c r="G324" s="141" t="n"/>
      <c r="H324" s="141" t="n"/>
      <c r="I324" s="141" t="n"/>
      <c r="J324" s="141" t="n"/>
      <c r="K324" s="141" t="n"/>
      <c r="L324" s="141" t="n"/>
      <c r="M324" s="141" t="n"/>
      <c r="N324" s="141" t="n"/>
      <c r="O324" s="141" t="n"/>
      <c r="P324" s="141" t="n"/>
      <c r="Q324" s="141" t="n"/>
      <c r="R324" s="141" t="n"/>
      <c r="S324" s="141" t="n"/>
      <c r="T324" s="141" t="n"/>
      <c r="U324" s="141" t="n"/>
      <c r="V324" s="141" t="n"/>
      <c r="W324" s="141" t="n"/>
      <c r="X324" s="141" t="n"/>
      <c r="Y324" s="136" t="n"/>
      <c r="Z324" s="136" t="n"/>
      <c r="AA324" s="136" t="n"/>
      <c r="AB324" s="136" t="n"/>
      <c r="AC324" s="136" t="n"/>
      <c r="AD324" s="136" t="n"/>
      <c r="AE324" s="136" t="n"/>
      <c r="AF324" s="136" t="n"/>
      <c r="AG324" s="136" t="n"/>
      <c r="AH324" s="136" t="n"/>
      <c r="AI324" s="136" t="n"/>
      <c r="AJ324" s="136" t="n"/>
      <c r="AK324" s="136" t="n"/>
      <c r="AL324" s="136" t="n"/>
      <c r="AM324" s="136" t="n"/>
      <c r="AN324" s="136" t="n"/>
      <c r="AO324" s="136" t="n"/>
      <c r="AP324" s="136" t="n"/>
      <c r="AQ324" s="136" t="n"/>
      <c r="AR324" s="136" t="n"/>
    </row>
    <row r="325" ht="13.5" customHeight="1" s="196">
      <c r="A325" s="136" t="n"/>
      <c r="B325" s="136" t="n"/>
      <c r="C325" s="136" t="n"/>
      <c r="D325" s="141" t="n"/>
      <c r="E325" s="141" t="n"/>
      <c r="F325" s="141" t="n"/>
      <c r="G325" s="141" t="n"/>
      <c r="H325" s="141" t="n"/>
      <c r="I325" s="141" t="n"/>
      <c r="J325" s="141" t="n"/>
      <c r="K325" s="141" t="n"/>
      <c r="L325" s="141" t="n"/>
      <c r="M325" s="141" t="n"/>
      <c r="N325" s="141" t="n"/>
      <c r="O325" s="141" t="n"/>
      <c r="P325" s="141" t="n"/>
      <c r="Q325" s="141" t="n"/>
      <c r="R325" s="141" t="n"/>
      <c r="S325" s="141" t="n"/>
      <c r="T325" s="141" t="n"/>
      <c r="U325" s="141" t="n"/>
      <c r="V325" s="141" t="n"/>
      <c r="W325" s="141" t="n"/>
      <c r="X325" s="141" t="n"/>
      <c r="Y325" s="136" t="n"/>
      <c r="Z325" s="136" t="n"/>
      <c r="AA325" s="136" t="n"/>
      <c r="AB325" s="136" t="n"/>
      <c r="AC325" s="136" t="n"/>
      <c r="AD325" s="136" t="n"/>
      <c r="AE325" s="136" t="n"/>
      <c r="AF325" s="136" t="n"/>
      <c r="AG325" s="136" t="n"/>
      <c r="AH325" s="136" t="n"/>
      <c r="AI325" s="136" t="n"/>
      <c r="AJ325" s="136" t="n"/>
      <c r="AK325" s="136" t="n"/>
      <c r="AL325" s="136" t="n"/>
      <c r="AM325" s="136" t="n"/>
      <c r="AN325" s="136" t="n"/>
      <c r="AO325" s="136" t="n"/>
      <c r="AP325" s="136" t="n"/>
      <c r="AQ325" s="136" t="n"/>
      <c r="AR325" s="136" t="n"/>
    </row>
    <row r="326" ht="13.5" customHeight="1" s="196">
      <c r="A326" s="136" t="n"/>
      <c r="B326" s="136" t="n"/>
      <c r="C326" s="136" t="n"/>
      <c r="D326" s="141" t="n"/>
      <c r="E326" s="141" t="n"/>
      <c r="F326" s="141" t="n"/>
      <c r="G326" s="141" t="n"/>
      <c r="H326" s="141" t="n"/>
      <c r="I326" s="141" t="n"/>
      <c r="J326" s="141" t="n"/>
      <c r="K326" s="141" t="n"/>
      <c r="L326" s="141" t="n"/>
      <c r="M326" s="141" t="n"/>
      <c r="N326" s="141" t="n"/>
      <c r="O326" s="141" t="n"/>
      <c r="P326" s="141" t="n"/>
      <c r="Q326" s="141" t="n"/>
      <c r="R326" s="141" t="n"/>
      <c r="S326" s="141" t="n"/>
      <c r="T326" s="141" t="n"/>
      <c r="U326" s="141" t="n"/>
      <c r="V326" s="141" t="n"/>
      <c r="W326" s="141" t="n"/>
      <c r="X326" s="141" t="n"/>
      <c r="Y326" s="136" t="n"/>
      <c r="Z326" s="136" t="n"/>
      <c r="AA326" s="136" t="n"/>
      <c r="AB326" s="136" t="n"/>
      <c r="AC326" s="136" t="n"/>
      <c r="AD326" s="136" t="n"/>
      <c r="AE326" s="136" t="n"/>
      <c r="AF326" s="136" t="n"/>
      <c r="AG326" s="136" t="n"/>
      <c r="AH326" s="136" t="n"/>
      <c r="AI326" s="136" t="n"/>
      <c r="AJ326" s="136" t="n"/>
      <c r="AK326" s="136" t="n"/>
      <c r="AL326" s="136" t="n"/>
      <c r="AM326" s="136" t="n"/>
      <c r="AN326" s="136" t="n"/>
      <c r="AO326" s="136" t="n"/>
      <c r="AP326" s="136" t="n"/>
      <c r="AQ326" s="136" t="n"/>
      <c r="AR326" s="136" t="n"/>
    </row>
    <row r="327" ht="13.5" customHeight="1" s="196">
      <c r="A327" s="136" t="n"/>
      <c r="B327" s="136" t="n"/>
      <c r="C327" s="136" t="n"/>
      <c r="D327" s="141" t="n"/>
      <c r="E327" s="141" t="n"/>
      <c r="F327" s="141" t="n"/>
      <c r="G327" s="141" t="n"/>
      <c r="H327" s="141" t="n"/>
      <c r="I327" s="141" t="n"/>
      <c r="J327" s="141" t="n"/>
      <c r="K327" s="141" t="n"/>
      <c r="L327" s="141" t="n"/>
      <c r="M327" s="141" t="n"/>
      <c r="N327" s="141" t="n"/>
      <c r="O327" s="141" t="n"/>
      <c r="P327" s="141" t="n"/>
      <c r="Q327" s="141" t="n"/>
      <c r="R327" s="141" t="n"/>
      <c r="S327" s="141" t="n"/>
      <c r="T327" s="141" t="n"/>
      <c r="U327" s="141" t="n"/>
      <c r="V327" s="141" t="n"/>
      <c r="W327" s="141" t="n"/>
      <c r="X327" s="141" t="n"/>
      <c r="Y327" s="136" t="n"/>
      <c r="Z327" s="136" t="n"/>
      <c r="AA327" s="136" t="n"/>
      <c r="AB327" s="136" t="n"/>
      <c r="AC327" s="136" t="n"/>
      <c r="AD327" s="136" t="n"/>
      <c r="AE327" s="136" t="n"/>
      <c r="AF327" s="136" t="n"/>
      <c r="AG327" s="136" t="n"/>
      <c r="AH327" s="136" t="n"/>
      <c r="AI327" s="136" t="n"/>
      <c r="AJ327" s="136" t="n"/>
      <c r="AK327" s="136" t="n"/>
      <c r="AL327" s="136" t="n"/>
      <c r="AM327" s="136" t="n"/>
      <c r="AN327" s="136" t="n"/>
      <c r="AO327" s="136" t="n"/>
      <c r="AP327" s="136" t="n"/>
      <c r="AQ327" s="136" t="n"/>
      <c r="AR327" s="136" t="n"/>
    </row>
    <row r="328" ht="13.5" customHeight="1" s="196">
      <c r="A328" s="136" t="n"/>
      <c r="B328" s="136" t="n"/>
      <c r="C328" s="136" t="n"/>
      <c r="D328" s="141" t="n"/>
      <c r="E328" s="141" t="n"/>
      <c r="F328" s="141" t="n"/>
      <c r="G328" s="141" t="n"/>
      <c r="H328" s="141" t="n"/>
      <c r="I328" s="141" t="n"/>
      <c r="J328" s="141" t="n"/>
      <c r="K328" s="141" t="n"/>
      <c r="L328" s="141" t="n"/>
      <c r="M328" s="141" t="n"/>
      <c r="N328" s="141" t="n"/>
      <c r="O328" s="141" t="n"/>
      <c r="P328" s="141" t="n"/>
      <c r="Q328" s="141" t="n"/>
      <c r="R328" s="141" t="n"/>
      <c r="S328" s="141" t="n"/>
      <c r="T328" s="141" t="n"/>
      <c r="U328" s="141" t="n"/>
      <c r="V328" s="141" t="n"/>
      <c r="W328" s="141" t="n"/>
      <c r="X328" s="141" t="n"/>
      <c r="Y328" s="136" t="n"/>
      <c r="Z328" s="136" t="n"/>
      <c r="AA328" s="136" t="n"/>
      <c r="AB328" s="136" t="n"/>
      <c r="AC328" s="136" t="n"/>
      <c r="AD328" s="136" t="n"/>
      <c r="AE328" s="136" t="n"/>
      <c r="AF328" s="136" t="n"/>
      <c r="AG328" s="136" t="n"/>
      <c r="AH328" s="136" t="n"/>
      <c r="AI328" s="136" t="n"/>
      <c r="AJ328" s="136" t="n"/>
      <c r="AK328" s="136" t="n"/>
      <c r="AL328" s="136" t="n"/>
      <c r="AM328" s="136" t="n"/>
      <c r="AN328" s="136" t="n"/>
      <c r="AO328" s="136" t="n"/>
      <c r="AP328" s="136" t="n"/>
      <c r="AQ328" s="136" t="n"/>
      <c r="AR328" s="136" t="n"/>
    </row>
    <row r="329" ht="13.5" customHeight="1" s="196">
      <c r="A329" s="136" t="n"/>
      <c r="B329" s="136" t="n"/>
      <c r="C329" s="136" t="n"/>
      <c r="D329" s="141" t="n"/>
      <c r="E329" s="141" t="n"/>
      <c r="F329" s="141" t="n"/>
      <c r="G329" s="141" t="n"/>
      <c r="H329" s="141" t="n"/>
      <c r="I329" s="141" t="n"/>
      <c r="J329" s="141" t="n"/>
      <c r="K329" s="141" t="n"/>
      <c r="L329" s="141" t="n"/>
      <c r="M329" s="141" t="n"/>
      <c r="N329" s="141" t="n"/>
      <c r="O329" s="141" t="n"/>
      <c r="P329" s="141" t="n"/>
      <c r="Q329" s="141" t="n"/>
      <c r="R329" s="141" t="n"/>
      <c r="S329" s="141" t="n"/>
      <c r="T329" s="141" t="n"/>
      <c r="U329" s="141" t="n"/>
      <c r="V329" s="141" t="n"/>
      <c r="W329" s="141" t="n"/>
      <c r="X329" s="141" t="n"/>
      <c r="Y329" s="136" t="n"/>
      <c r="Z329" s="136" t="n"/>
      <c r="AA329" s="136" t="n"/>
      <c r="AB329" s="136" t="n"/>
      <c r="AC329" s="136" t="n"/>
      <c r="AD329" s="136" t="n"/>
      <c r="AE329" s="136" t="n"/>
      <c r="AF329" s="136" t="n"/>
      <c r="AG329" s="136" t="n"/>
      <c r="AH329" s="136" t="n"/>
      <c r="AI329" s="136" t="n"/>
      <c r="AJ329" s="136" t="n"/>
      <c r="AK329" s="136" t="n"/>
      <c r="AL329" s="136" t="n"/>
      <c r="AM329" s="136" t="n"/>
      <c r="AN329" s="136" t="n"/>
      <c r="AO329" s="136" t="n"/>
      <c r="AP329" s="136" t="n"/>
      <c r="AQ329" s="136" t="n"/>
      <c r="AR329" s="136" t="n"/>
    </row>
    <row r="330" ht="13.5" customHeight="1" s="196">
      <c r="A330" s="136" t="n"/>
      <c r="B330" s="136" t="n"/>
      <c r="C330" s="136" t="n"/>
      <c r="D330" s="141" t="n"/>
      <c r="E330" s="141" t="n"/>
      <c r="F330" s="141" t="n"/>
      <c r="G330" s="141" t="n"/>
      <c r="H330" s="141" t="n"/>
      <c r="I330" s="141" t="n"/>
      <c r="J330" s="141" t="n"/>
      <c r="K330" s="141" t="n"/>
      <c r="L330" s="141" t="n"/>
      <c r="M330" s="141" t="n"/>
      <c r="N330" s="141" t="n"/>
      <c r="O330" s="141" t="n"/>
      <c r="P330" s="141" t="n"/>
      <c r="Q330" s="141" t="n"/>
      <c r="R330" s="141" t="n"/>
      <c r="S330" s="141" t="n"/>
      <c r="T330" s="141" t="n"/>
      <c r="U330" s="141" t="n"/>
      <c r="V330" s="141" t="n"/>
      <c r="W330" s="141" t="n"/>
      <c r="X330" s="141" t="n"/>
      <c r="Y330" s="136" t="n"/>
      <c r="Z330" s="136" t="n"/>
      <c r="AA330" s="136" t="n"/>
      <c r="AB330" s="136" t="n"/>
      <c r="AC330" s="136" t="n"/>
      <c r="AD330" s="136" t="n"/>
      <c r="AE330" s="136" t="n"/>
      <c r="AF330" s="136" t="n"/>
      <c r="AG330" s="136" t="n"/>
      <c r="AH330" s="136" t="n"/>
      <c r="AI330" s="136" t="n"/>
      <c r="AJ330" s="136" t="n"/>
      <c r="AK330" s="136" t="n"/>
      <c r="AL330" s="136" t="n"/>
      <c r="AM330" s="136" t="n"/>
      <c r="AN330" s="136" t="n"/>
      <c r="AO330" s="136" t="n"/>
      <c r="AP330" s="136" t="n"/>
      <c r="AQ330" s="136" t="n"/>
      <c r="AR330" s="136" t="n"/>
    </row>
    <row r="331" ht="13.5" customHeight="1" s="196">
      <c r="A331" s="136" t="n"/>
      <c r="B331" s="136" t="n"/>
      <c r="C331" s="136" t="n"/>
      <c r="D331" s="141" t="n"/>
      <c r="E331" s="141" t="n"/>
      <c r="F331" s="141" t="n"/>
      <c r="G331" s="141" t="n"/>
      <c r="H331" s="141" t="n"/>
      <c r="I331" s="141" t="n"/>
      <c r="J331" s="141" t="n"/>
      <c r="K331" s="141" t="n"/>
      <c r="L331" s="141" t="n"/>
      <c r="M331" s="141" t="n"/>
      <c r="N331" s="141" t="n"/>
      <c r="O331" s="141" t="n"/>
      <c r="P331" s="141" t="n"/>
      <c r="Q331" s="141" t="n"/>
      <c r="R331" s="141" t="n"/>
      <c r="S331" s="141" t="n"/>
      <c r="T331" s="141" t="n"/>
      <c r="U331" s="141" t="n"/>
      <c r="V331" s="141" t="n"/>
      <c r="W331" s="141" t="n"/>
      <c r="X331" s="141" t="n"/>
      <c r="Y331" s="136" t="n"/>
      <c r="Z331" s="136" t="n"/>
      <c r="AA331" s="136" t="n"/>
      <c r="AB331" s="136" t="n"/>
      <c r="AC331" s="136" t="n"/>
      <c r="AD331" s="136" t="n"/>
      <c r="AE331" s="136" t="n"/>
      <c r="AF331" s="136" t="n"/>
      <c r="AG331" s="136" t="n"/>
      <c r="AH331" s="136" t="n"/>
      <c r="AI331" s="136" t="n"/>
      <c r="AJ331" s="136" t="n"/>
      <c r="AK331" s="136" t="n"/>
      <c r="AL331" s="136" t="n"/>
      <c r="AM331" s="136" t="n"/>
      <c r="AN331" s="136" t="n"/>
      <c r="AO331" s="136" t="n"/>
      <c r="AP331" s="136" t="n"/>
      <c r="AQ331" s="136" t="n"/>
      <c r="AR331" s="136" t="n"/>
    </row>
    <row r="332" ht="13.5" customHeight="1" s="196">
      <c r="A332" s="136" t="n"/>
      <c r="B332" s="136" t="n"/>
      <c r="C332" s="136" t="n"/>
      <c r="D332" s="141" t="n"/>
      <c r="E332" s="141" t="n"/>
      <c r="F332" s="141" t="n"/>
      <c r="G332" s="141" t="n"/>
      <c r="H332" s="141" t="n"/>
      <c r="I332" s="141" t="n"/>
      <c r="J332" s="141" t="n"/>
      <c r="K332" s="141" t="n"/>
      <c r="L332" s="141" t="n"/>
      <c r="M332" s="141" t="n"/>
      <c r="N332" s="141" t="n"/>
      <c r="O332" s="141" t="n"/>
      <c r="P332" s="141" t="n"/>
      <c r="Q332" s="141" t="n"/>
      <c r="R332" s="141" t="n"/>
      <c r="S332" s="141" t="n"/>
      <c r="T332" s="141" t="n"/>
      <c r="U332" s="141" t="n"/>
      <c r="V332" s="141" t="n"/>
      <c r="W332" s="141" t="n"/>
      <c r="X332" s="141" t="n"/>
      <c r="Y332" s="136" t="n"/>
      <c r="Z332" s="136" t="n"/>
      <c r="AA332" s="136" t="n"/>
      <c r="AB332" s="136" t="n"/>
      <c r="AC332" s="136" t="n"/>
      <c r="AD332" s="136" t="n"/>
      <c r="AE332" s="136" t="n"/>
      <c r="AF332" s="136" t="n"/>
      <c r="AG332" s="136" t="n"/>
      <c r="AH332" s="136" t="n"/>
      <c r="AI332" s="136" t="n"/>
      <c r="AJ332" s="136" t="n"/>
      <c r="AK332" s="136" t="n"/>
      <c r="AL332" s="136" t="n"/>
      <c r="AM332" s="136" t="n"/>
      <c r="AN332" s="136" t="n"/>
      <c r="AO332" s="136" t="n"/>
      <c r="AP332" s="136" t="n"/>
      <c r="AQ332" s="136" t="n"/>
      <c r="AR332" s="136" t="n"/>
    </row>
    <row r="333" ht="13.5" customHeight="1" s="196">
      <c r="A333" s="136" t="n"/>
      <c r="B333" s="136" t="n"/>
      <c r="C333" s="136" t="n"/>
      <c r="D333" s="141" t="n"/>
      <c r="E333" s="141" t="n"/>
      <c r="F333" s="141" t="n"/>
      <c r="G333" s="141" t="n"/>
      <c r="H333" s="141" t="n"/>
      <c r="I333" s="141" t="n"/>
      <c r="J333" s="141" t="n"/>
      <c r="K333" s="141" t="n"/>
      <c r="L333" s="141" t="n"/>
      <c r="M333" s="141" t="n"/>
      <c r="N333" s="141" t="n"/>
      <c r="O333" s="141" t="n"/>
      <c r="P333" s="141" t="n"/>
      <c r="Q333" s="141" t="n"/>
      <c r="R333" s="141" t="n"/>
      <c r="S333" s="141" t="n"/>
      <c r="T333" s="141" t="n"/>
      <c r="U333" s="141" t="n"/>
      <c r="V333" s="141" t="n"/>
      <c r="W333" s="141" t="n"/>
      <c r="X333" s="141" t="n"/>
      <c r="Y333" s="136" t="n"/>
      <c r="Z333" s="136" t="n"/>
      <c r="AA333" s="136" t="n"/>
      <c r="AB333" s="136" t="n"/>
      <c r="AC333" s="136" t="n"/>
      <c r="AD333" s="136" t="n"/>
      <c r="AE333" s="136" t="n"/>
      <c r="AF333" s="136" t="n"/>
      <c r="AG333" s="136" t="n"/>
      <c r="AH333" s="136" t="n"/>
      <c r="AI333" s="136" t="n"/>
      <c r="AJ333" s="136" t="n"/>
      <c r="AK333" s="136" t="n"/>
      <c r="AL333" s="136" t="n"/>
      <c r="AM333" s="136" t="n"/>
      <c r="AN333" s="136" t="n"/>
      <c r="AO333" s="136" t="n"/>
      <c r="AP333" s="136" t="n"/>
      <c r="AQ333" s="136" t="n"/>
      <c r="AR333" s="136" t="n"/>
    </row>
    <row r="334" ht="13.5" customHeight="1" s="196">
      <c r="A334" s="136" t="n"/>
      <c r="B334" s="136" t="n"/>
      <c r="C334" s="136" t="n"/>
      <c r="D334" s="141" t="n"/>
      <c r="E334" s="141" t="n"/>
      <c r="F334" s="141" t="n"/>
      <c r="G334" s="141" t="n"/>
      <c r="H334" s="141" t="n"/>
      <c r="I334" s="141" t="n"/>
      <c r="J334" s="141" t="n"/>
      <c r="K334" s="141" t="n"/>
      <c r="L334" s="141" t="n"/>
      <c r="M334" s="141" t="n"/>
      <c r="N334" s="141" t="n"/>
      <c r="O334" s="141" t="n"/>
      <c r="P334" s="141" t="n"/>
      <c r="Q334" s="141" t="n"/>
      <c r="R334" s="141" t="n"/>
      <c r="S334" s="141" t="n"/>
      <c r="T334" s="141" t="n"/>
      <c r="U334" s="141" t="n"/>
      <c r="V334" s="141" t="n"/>
      <c r="W334" s="141" t="n"/>
      <c r="X334" s="141" t="n"/>
      <c r="Y334" s="136" t="n"/>
      <c r="Z334" s="136" t="n"/>
      <c r="AA334" s="136" t="n"/>
      <c r="AB334" s="136" t="n"/>
      <c r="AC334" s="136" t="n"/>
      <c r="AD334" s="136" t="n"/>
      <c r="AE334" s="136" t="n"/>
      <c r="AF334" s="136" t="n"/>
      <c r="AG334" s="136" t="n"/>
      <c r="AH334" s="136" t="n"/>
      <c r="AI334" s="136" t="n"/>
      <c r="AJ334" s="136" t="n"/>
      <c r="AK334" s="136" t="n"/>
      <c r="AL334" s="136" t="n"/>
      <c r="AM334" s="136" t="n"/>
      <c r="AN334" s="136" t="n"/>
      <c r="AO334" s="136" t="n"/>
      <c r="AP334" s="136" t="n"/>
      <c r="AQ334" s="136" t="n"/>
      <c r="AR334" s="136" t="n"/>
    </row>
    <row r="335" ht="13.5" customHeight="1" s="196">
      <c r="A335" s="136" t="n"/>
      <c r="B335" s="136" t="n"/>
      <c r="C335" s="136" t="n"/>
      <c r="D335" s="141" t="n"/>
      <c r="E335" s="141" t="n"/>
      <c r="F335" s="141" t="n"/>
      <c r="G335" s="141" t="n"/>
      <c r="H335" s="141" t="n"/>
      <c r="I335" s="141" t="n"/>
      <c r="J335" s="141" t="n"/>
      <c r="K335" s="141" t="n"/>
      <c r="L335" s="141" t="n"/>
      <c r="M335" s="141" t="n"/>
      <c r="N335" s="141" t="n"/>
      <c r="O335" s="141" t="n"/>
      <c r="P335" s="141" t="n"/>
      <c r="Q335" s="141" t="n"/>
      <c r="R335" s="141" t="n"/>
      <c r="S335" s="141" t="n"/>
      <c r="T335" s="141" t="n"/>
      <c r="U335" s="141" t="n"/>
      <c r="V335" s="141" t="n"/>
      <c r="W335" s="141" t="n"/>
      <c r="X335" s="141" t="n"/>
      <c r="Y335" s="136" t="n"/>
      <c r="Z335" s="136" t="n"/>
      <c r="AA335" s="136" t="n"/>
      <c r="AB335" s="136" t="n"/>
      <c r="AC335" s="136" t="n"/>
      <c r="AD335" s="136" t="n"/>
      <c r="AE335" s="136" t="n"/>
      <c r="AF335" s="136" t="n"/>
      <c r="AG335" s="136" t="n"/>
      <c r="AH335" s="136" t="n"/>
      <c r="AI335" s="136" t="n"/>
      <c r="AJ335" s="136" t="n"/>
      <c r="AK335" s="136" t="n"/>
      <c r="AL335" s="136" t="n"/>
      <c r="AM335" s="136" t="n"/>
      <c r="AN335" s="136" t="n"/>
      <c r="AO335" s="136" t="n"/>
      <c r="AP335" s="136" t="n"/>
      <c r="AQ335" s="136" t="n"/>
      <c r="AR335" s="136" t="n"/>
    </row>
    <row r="336" ht="13.5" customHeight="1" s="196">
      <c r="A336" s="136" t="n"/>
      <c r="B336" s="136" t="n"/>
      <c r="C336" s="136" t="n"/>
      <c r="D336" s="141" t="n"/>
      <c r="E336" s="141" t="n"/>
      <c r="F336" s="141" t="n"/>
      <c r="G336" s="141" t="n"/>
      <c r="H336" s="141" t="n"/>
      <c r="I336" s="141" t="n"/>
      <c r="J336" s="141" t="n"/>
      <c r="K336" s="141" t="n"/>
      <c r="L336" s="141" t="n"/>
      <c r="M336" s="141" t="n"/>
      <c r="N336" s="141" t="n"/>
      <c r="O336" s="141" t="n"/>
      <c r="P336" s="141" t="n"/>
      <c r="Q336" s="141" t="n"/>
      <c r="R336" s="141" t="n"/>
      <c r="S336" s="141" t="n"/>
      <c r="T336" s="141" t="n"/>
      <c r="U336" s="141" t="n"/>
      <c r="V336" s="141" t="n"/>
      <c r="W336" s="141" t="n"/>
      <c r="X336" s="141" t="n"/>
      <c r="Y336" s="136" t="n"/>
      <c r="Z336" s="136" t="n"/>
      <c r="AA336" s="136" t="n"/>
      <c r="AB336" s="136" t="n"/>
      <c r="AC336" s="136" t="n"/>
      <c r="AD336" s="136" t="n"/>
      <c r="AE336" s="136" t="n"/>
      <c r="AF336" s="136" t="n"/>
      <c r="AG336" s="136" t="n"/>
      <c r="AH336" s="136" t="n"/>
      <c r="AI336" s="136" t="n"/>
      <c r="AJ336" s="136" t="n"/>
      <c r="AK336" s="136" t="n"/>
      <c r="AL336" s="136" t="n"/>
      <c r="AM336" s="136" t="n"/>
      <c r="AN336" s="136" t="n"/>
      <c r="AO336" s="136" t="n"/>
      <c r="AP336" s="136" t="n"/>
      <c r="AQ336" s="136" t="n"/>
      <c r="AR336" s="136" t="n"/>
    </row>
    <row r="337" ht="13.5" customHeight="1" s="196">
      <c r="A337" s="136" t="n"/>
      <c r="B337" s="136" t="n"/>
      <c r="C337" s="136" t="n"/>
      <c r="D337" s="141" t="n"/>
      <c r="E337" s="141" t="n"/>
      <c r="F337" s="141" t="n"/>
      <c r="G337" s="141" t="n"/>
      <c r="H337" s="141" t="n"/>
      <c r="I337" s="141" t="n"/>
      <c r="J337" s="141" t="n"/>
      <c r="K337" s="141" t="n"/>
      <c r="L337" s="141" t="n"/>
      <c r="M337" s="141" t="n"/>
      <c r="N337" s="141" t="n"/>
      <c r="O337" s="141" t="n"/>
      <c r="P337" s="141" t="n"/>
      <c r="Q337" s="141" t="n"/>
      <c r="R337" s="141" t="n"/>
      <c r="S337" s="141" t="n"/>
      <c r="T337" s="141" t="n"/>
      <c r="U337" s="141" t="n"/>
      <c r="V337" s="141" t="n"/>
      <c r="W337" s="141" t="n"/>
      <c r="X337" s="141" t="n"/>
      <c r="Y337" s="136" t="n"/>
      <c r="Z337" s="136" t="n"/>
      <c r="AA337" s="136" t="n"/>
      <c r="AB337" s="136" t="n"/>
      <c r="AC337" s="136" t="n"/>
      <c r="AD337" s="136" t="n"/>
      <c r="AE337" s="136" t="n"/>
      <c r="AF337" s="136" t="n"/>
      <c r="AG337" s="136" t="n"/>
      <c r="AH337" s="136" t="n"/>
      <c r="AI337" s="136" t="n"/>
      <c r="AJ337" s="136" t="n"/>
      <c r="AK337" s="136" t="n"/>
      <c r="AL337" s="136" t="n"/>
      <c r="AM337" s="136" t="n"/>
      <c r="AN337" s="136" t="n"/>
      <c r="AO337" s="136" t="n"/>
      <c r="AP337" s="136" t="n"/>
      <c r="AQ337" s="136" t="n"/>
      <c r="AR337" s="136" t="n"/>
    </row>
    <row r="338" ht="13.5" customHeight="1" s="196">
      <c r="A338" s="136" t="n"/>
      <c r="B338" s="136" t="n"/>
      <c r="C338" s="136" t="n"/>
      <c r="D338" s="141" t="n"/>
      <c r="E338" s="141" t="n"/>
      <c r="F338" s="141" t="n"/>
      <c r="G338" s="141" t="n"/>
      <c r="H338" s="141" t="n"/>
      <c r="I338" s="141" t="n"/>
      <c r="J338" s="141" t="n"/>
      <c r="K338" s="141" t="n"/>
      <c r="L338" s="141" t="n"/>
      <c r="M338" s="141" t="n"/>
      <c r="N338" s="141" t="n"/>
      <c r="O338" s="141" t="n"/>
      <c r="P338" s="141" t="n"/>
      <c r="Q338" s="141" t="n"/>
      <c r="R338" s="141" t="n"/>
      <c r="S338" s="141" t="n"/>
      <c r="T338" s="141" t="n"/>
      <c r="U338" s="141" t="n"/>
      <c r="V338" s="141" t="n"/>
      <c r="W338" s="141" t="n"/>
      <c r="X338" s="141" t="n"/>
      <c r="Y338" s="136" t="n"/>
      <c r="Z338" s="136" t="n"/>
      <c r="AA338" s="136" t="n"/>
      <c r="AB338" s="136" t="n"/>
      <c r="AC338" s="136" t="n"/>
      <c r="AD338" s="136" t="n"/>
      <c r="AE338" s="136" t="n"/>
      <c r="AF338" s="136" t="n"/>
      <c r="AG338" s="136" t="n"/>
      <c r="AH338" s="136" t="n"/>
      <c r="AI338" s="136" t="n"/>
      <c r="AJ338" s="136" t="n"/>
      <c r="AK338" s="136" t="n"/>
      <c r="AL338" s="136" t="n"/>
      <c r="AM338" s="136" t="n"/>
      <c r="AN338" s="136" t="n"/>
      <c r="AO338" s="136" t="n"/>
      <c r="AP338" s="136" t="n"/>
      <c r="AQ338" s="136" t="n"/>
      <c r="AR338" s="136" t="n"/>
    </row>
    <row r="339" ht="13.5" customHeight="1" s="196">
      <c r="A339" s="136" t="n"/>
      <c r="B339" s="136" t="n"/>
      <c r="C339" s="136" t="n"/>
      <c r="D339" s="141" t="n"/>
      <c r="E339" s="141" t="n"/>
      <c r="F339" s="141" t="n"/>
      <c r="G339" s="141" t="n"/>
      <c r="H339" s="141" t="n"/>
      <c r="I339" s="141" t="n"/>
      <c r="J339" s="141" t="n"/>
      <c r="K339" s="141" t="n"/>
      <c r="L339" s="141" t="n"/>
      <c r="M339" s="141" t="n"/>
      <c r="N339" s="141" t="n"/>
      <c r="O339" s="141" t="n"/>
      <c r="P339" s="141" t="n"/>
      <c r="Q339" s="141" t="n"/>
      <c r="R339" s="141" t="n"/>
      <c r="S339" s="141" t="n"/>
      <c r="T339" s="141" t="n"/>
      <c r="U339" s="141" t="n"/>
      <c r="V339" s="141" t="n"/>
      <c r="W339" s="141" t="n"/>
      <c r="X339" s="141" t="n"/>
      <c r="Y339" s="136" t="n"/>
      <c r="Z339" s="136" t="n"/>
      <c r="AA339" s="136" t="n"/>
      <c r="AB339" s="136" t="n"/>
      <c r="AC339" s="136" t="n"/>
      <c r="AD339" s="136" t="n"/>
      <c r="AE339" s="136" t="n"/>
      <c r="AF339" s="136" t="n"/>
      <c r="AG339" s="136" t="n"/>
      <c r="AH339" s="136" t="n"/>
      <c r="AI339" s="136" t="n"/>
      <c r="AJ339" s="136" t="n"/>
      <c r="AK339" s="136" t="n"/>
      <c r="AL339" s="136" t="n"/>
      <c r="AM339" s="136" t="n"/>
      <c r="AN339" s="136" t="n"/>
      <c r="AO339" s="136" t="n"/>
      <c r="AP339" s="136" t="n"/>
      <c r="AQ339" s="136" t="n"/>
      <c r="AR339" s="136" t="n"/>
    </row>
    <row r="340" ht="13.5" customHeight="1" s="196">
      <c r="A340" s="136" t="n"/>
      <c r="B340" s="136" t="n"/>
      <c r="C340" s="136" t="n"/>
      <c r="D340" s="141" t="n"/>
      <c r="E340" s="141" t="n"/>
      <c r="F340" s="141" t="n"/>
      <c r="G340" s="141" t="n"/>
      <c r="H340" s="141" t="n"/>
      <c r="I340" s="141" t="n"/>
      <c r="J340" s="141" t="n"/>
      <c r="K340" s="141" t="n"/>
      <c r="L340" s="141" t="n"/>
      <c r="M340" s="141" t="n"/>
      <c r="N340" s="141" t="n"/>
      <c r="O340" s="141" t="n"/>
      <c r="P340" s="141" t="n"/>
      <c r="Q340" s="141" t="n"/>
      <c r="R340" s="141" t="n"/>
      <c r="S340" s="141" t="n"/>
      <c r="T340" s="141" t="n"/>
      <c r="U340" s="141" t="n"/>
      <c r="V340" s="141" t="n"/>
      <c r="W340" s="141" t="n"/>
      <c r="X340" s="141" t="n"/>
      <c r="Y340" s="136" t="n"/>
      <c r="Z340" s="136" t="n"/>
      <c r="AA340" s="136" t="n"/>
      <c r="AB340" s="136" t="n"/>
      <c r="AC340" s="136" t="n"/>
      <c r="AD340" s="136" t="n"/>
      <c r="AE340" s="136" t="n"/>
      <c r="AF340" s="136" t="n"/>
      <c r="AG340" s="136" t="n"/>
      <c r="AH340" s="136" t="n"/>
      <c r="AI340" s="136" t="n"/>
      <c r="AJ340" s="136" t="n"/>
      <c r="AK340" s="136" t="n"/>
      <c r="AL340" s="136" t="n"/>
      <c r="AM340" s="136" t="n"/>
      <c r="AN340" s="136" t="n"/>
      <c r="AO340" s="136" t="n"/>
      <c r="AP340" s="136" t="n"/>
      <c r="AQ340" s="136" t="n"/>
      <c r="AR340" s="136" t="n"/>
    </row>
    <row r="341" ht="13.5" customHeight="1" s="196">
      <c r="A341" s="136" t="n"/>
      <c r="B341" s="136" t="n"/>
      <c r="C341" s="136" t="n"/>
      <c r="D341" s="141" t="n"/>
      <c r="E341" s="141" t="n"/>
      <c r="F341" s="141" t="n"/>
      <c r="G341" s="141" t="n"/>
      <c r="H341" s="141" t="n"/>
      <c r="I341" s="141" t="n"/>
      <c r="J341" s="141" t="n"/>
      <c r="K341" s="141" t="n"/>
      <c r="L341" s="141" t="n"/>
      <c r="M341" s="141" t="n"/>
      <c r="N341" s="141" t="n"/>
      <c r="O341" s="141" t="n"/>
      <c r="P341" s="141" t="n"/>
      <c r="Q341" s="141" t="n"/>
      <c r="R341" s="141" t="n"/>
      <c r="S341" s="141" t="n"/>
      <c r="T341" s="141" t="n"/>
      <c r="U341" s="141" t="n"/>
      <c r="V341" s="141" t="n"/>
      <c r="W341" s="141" t="n"/>
      <c r="X341" s="141" t="n"/>
      <c r="Y341" s="136" t="n"/>
      <c r="Z341" s="136" t="n"/>
      <c r="AA341" s="136" t="n"/>
      <c r="AB341" s="136" t="n"/>
      <c r="AC341" s="136" t="n"/>
      <c r="AD341" s="136" t="n"/>
      <c r="AE341" s="136" t="n"/>
      <c r="AF341" s="136" t="n"/>
      <c r="AG341" s="136" t="n"/>
      <c r="AH341" s="136" t="n"/>
      <c r="AI341" s="136" t="n"/>
      <c r="AJ341" s="136" t="n"/>
      <c r="AK341" s="136" t="n"/>
      <c r="AL341" s="136" t="n"/>
      <c r="AM341" s="136" t="n"/>
      <c r="AN341" s="136" t="n"/>
      <c r="AO341" s="136" t="n"/>
      <c r="AP341" s="136" t="n"/>
      <c r="AQ341" s="136" t="n"/>
      <c r="AR341" s="136" t="n"/>
    </row>
    <row r="342" ht="13.5" customHeight="1" s="196">
      <c r="A342" s="136" t="n"/>
      <c r="B342" s="136" t="n"/>
      <c r="C342" s="136" t="n"/>
      <c r="D342" s="141" t="n"/>
      <c r="E342" s="141" t="n"/>
      <c r="F342" s="141" t="n"/>
      <c r="G342" s="141" t="n"/>
      <c r="H342" s="141" t="n"/>
      <c r="I342" s="141" t="n"/>
      <c r="J342" s="141" t="n"/>
      <c r="K342" s="141" t="n"/>
      <c r="L342" s="141" t="n"/>
      <c r="M342" s="141" t="n"/>
      <c r="N342" s="141" t="n"/>
      <c r="O342" s="141" t="n"/>
      <c r="P342" s="141" t="n"/>
      <c r="Q342" s="141" t="n"/>
      <c r="R342" s="141" t="n"/>
      <c r="S342" s="141" t="n"/>
      <c r="T342" s="141" t="n"/>
      <c r="U342" s="141" t="n"/>
      <c r="V342" s="141" t="n"/>
      <c r="W342" s="141" t="n"/>
      <c r="X342" s="141" t="n"/>
      <c r="Y342" s="136" t="n"/>
      <c r="Z342" s="136" t="n"/>
      <c r="AA342" s="136" t="n"/>
      <c r="AB342" s="136" t="n"/>
      <c r="AC342" s="136" t="n"/>
      <c r="AD342" s="136" t="n"/>
      <c r="AE342" s="136" t="n"/>
      <c r="AF342" s="136" t="n"/>
      <c r="AG342" s="136" t="n"/>
      <c r="AH342" s="136" t="n"/>
      <c r="AI342" s="136" t="n"/>
      <c r="AJ342" s="136" t="n"/>
      <c r="AK342" s="136" t="n"/>
      <c r="AL342" s="136" t="n"/>
      <c r="AM342" s="136" t="n"/>
      <c r="AN342" s="136" t="n"/>
      <c r="AO342" s="136" t="n"/>
      <c r="AP342" s="136" t="n"/>
      <c r="AQ342" s="136" t="n"/>
      <c r="AR342" s="136" t="n"/>
    </row>
    <row r="343" ht="13.5" customHeight="1" s="196">
      <c r="A343" s="136" t="n"/>
      <c r="B343" s="136" t="n"/>
      <c r="C343" s="136" t="n"/>
      <c r="D343" s="141" t="n"/>
      <c r="E343" s="141" t="n"/>
      <c r="F343" s="141" t="n"/>
      <c r="G343" s="141" t="n"/>
      <c r="H343" s="141" t="n"/>
      <c r="I343" s="141" t="n"/>
      <c r="J343" s="141" t="n"/>
      <c r="K343" s="141" t="n"/>
      <c r="L343" s="141" t="n"/>
      <c r="M343" s="141" t="n"/>
      <c r="N343" s="141" t="n"/>
      <c r="O343" s="141" t="n"/>
      <c r="P343" s="141" t="n"/>
      <c r="Q343" s="141" t="n"/>
      <c r="R343" s="141" t="n"/>
      <c r="S343" s="141" t="n"/>
      <c r="T343" s="141" t="n"/>
      <c r="U343" s="141" t="n"/>
      <c r="V343" s="141" t="n"/>
      <c r="W343" s="141" t="n"/>
      <c r="X343" s="141" t="n"/>
      <c r="Y343" s="136" t="n"/>
      <c r="Z343" s="136" t="n"/>
      <c r="AA343" s="136" t="n"/>
      <c r="AB343" s="136" t="n"/>
      <c r="AC343" s="136" t="n"/>
      <c r="AD343" s="136" t="n"/>
      <c r="AE343" s="136" t="n"/>
      <c r="AF343" s="136" t="n"/>
      <c r="AG343" s="136" t="n"/>
      <c r="AH343" s="136" t="n"/>
      <c r="AI343" s="136" t="n"/>
      <c r="AJ343" s="136" t="n"/>
      <c r="AK343" s="136" t="n"/>
      <c r="AL343" s="136" t="n"/>
      <c r="AM343" s="136" t="n"/>
      <c r="AN343" s="136" t="n"/>
      <c r="AO343" s="136" t="n"/>
      <c r="AP343" s="136" t="n"/>
      <c r="AQ343" s="136" t="n"/>
      <c r="AR343" s="136" t="n"/>
    </row>
    <row r="344" ht="13.5" customHeight="1" s="196">
      <c r="A344" s="136" t="n"/>
      <c r="B344" s="136" t="n"/>
      <c r="C344" s="136" t="n"/>
      <c r="D344" s="141" t="n"/>
      <c r="E344" s="141" t="n"/>
      <c r="F344" s="141" t="n"/>
      <c r="G344" s="141" t="n"/>
      <c r="H344" s="141" t="n"/>
      <c r="I344" s="141" t="n"/>
      <c r="J344" s="141" t="n"/>
      <c r="K344" s="141" t="n"/>
      <c r="L344" s="141" t="n"/>
      <c r="M344" s="141" t="n"/>
      <c r="N344" s="141" t="n"/>
      <c r="O344" s="141" t="n"/>
      <c r="P344" s="141" t="n"/>
      <c r="Q344" s="141" t="n"/>
      <c r="R344" s="141" t="n"/>
      <c r="S344" s="141" t="n"/>
      <c r="T344" s="141" t="n"/>
      <c r="U344" s="141" t="n"/>
      <c r="V344" s="141" t="n"/>
      <c r="W344" s="141" t="n"/>
      <c r="X344" s="141" t="n"/>
      <c r="Y344" s="136" t="n"/>
      <c r="Z344" s="136" t="n"/>
      <c r="AA344" s="136" t="n"/>
      <c r="AB344" s="136" t="n"/>
      <c r="AC344" s="136" t="n"/>
      <c r="AD344" s="136" t="n"/>
      <c r="AE344" s="136" t="n"/>
      <c r="AF344" s="136" t="n"/>
      <c r="AG344" s="136" t="n"/>
      <c r="AH344" s="136" t="n"/>
      <c r="AI344" s="136" t="n"/>
      <c r="AJ344" s="136" t="n"/>
      <c r="AK344" s="136" t="n"/>
      <c r="AL344" s="136" t="n"/>
      <c r="AM344" s="136" t="n"/>
      <c r="AN344" s="136" t="n"/>
      <c r="AO344" s="136" t="n"/>
      <c r="AP344" s="136" t="n"/>
      <c r="AQ344" s="136" t="n"/>
      <c r="AR344" s="136" t="n"/>
    </row>
    <row r="345" ht="13.5" customHeight="1" s="196">
      <c r="A345" s="136" t="n"/>
      <c r="B345" s="136" t="n"/>
      <c r="C345" s="136" t="n"/>
      <c r="D345" s="141" t="n"/>
      <c r="E345" s="141" t="n"/>
      <c r="F345" s="141" t="n"/>
      <c r="G345" s="141" t="n"/>
      <c r="H345" s="141" t="n"/>
      <c r="I345" s="141" t="n"/>
      <c r="J345" s="141" t="n"/>
      <c r="K345" s="141" t="n"/>
      <c r="L345" s="141" t="n"/>
      <c r="M345" s="141" t="n"/>
      <c r="N345" s="141" t="n"/>
      <c r="O345" s="141" t="n"/>
      <c r="P345" s="141" t="n"/>
      <c r="Q345" s="141" t="n"/>
      <c r="R345" s="141" t="n"/>
      <c r="S345" s="141" t="n"/>
      <c r="T345" s="141" t="n"/>
      <c r="U345" s="141" t="n"/>
      <c r="V345" s="141" t="n"/>
      <c r="W345" s="141" t="n"/>
      <c r="X345" s="141" t="n"/>
      <c r="Y345" s="136" t="n"/>
      <c r="Z345" s="136" t="n"/>
      <c r="AA345" s="136" t="n"/>
      <c r="AB345" s="136" t="n"/>
      <c r="AC345" s="136" t="n"/>
      <c r="AD345" s="136" t="n"/>
      <c r="AE345" s="136" t="n"/>
      <c r="AF345" s="136" t="n"/>
      <c r="AG345" s="136" t="n"/>
      <c r="AH345" s="136" t="n"/>
      <c r="AI345" s="136" t="n"/>
      <c r="AJ345" s="136" t="n"/>
      <c r="AK345" s="136" t="n"/>
      <c r="AL345" s="136" t="n"/>
      <c r="AM345" s="136" t="n"/>
      <c r="AN345" s="136" t="n"/>
      <c r="AO345" s="136" t="n"/>
      <c r="AP345" s="136" t="n"/>
      <c r="AQ345" s="136" t="n"/>
      <c r="AR345" s="136" t="n"/>
    </row>
    <row r="346" ht="13.5" customHeight="1" s="196">
      <c r="A346" s="136" t="n"/>
      <c r="B346" s="136" t="n"/>
      <c r="C346" s="136" t="n"/>
      <c r="D346" s="141" t="n"/>
      <c r="E346" s="141" t="n"/>
      <c r="F346" s="141" t="n"/>
      <c r="G346" s="141" t="n"/>
      <c r="H346" s="141" t="n"/>
      <c r="I346" s="141" t="n"/>
      <c r="J346" s="141" t="n"/>
      <c r="K346" s="141" t="n"/>
      <c r="L346" s="141" t="n"/>
      <c r="M346" s="141" t="n"/>
      <c r="N346" s="141" t="n"/>
      <c r="O346" s="141" t="n"/>
      <c r="P346" s="141" t="n"/>
      <c r="Q346" s="141" t="n"/>
      <c r="R346" s="141" t="n"/>
      <c r="S346" s="141" t="n"/>
      <c r="T346" s="141" t="n"/>
      <c r="U346" s="141" t="n"/>
      <c r="V346" s="141" t="n"/>
      <c r="W346" s="141" t="n"/>
      <c r="X346" s="141" t="n"/>
      <c r="Y346" s="136" t="n"/>
      <c r="Z346" s="136" t="n"/>
      <c r="AA346" s="136" t="n"/>
      <c r="AB346" s="136" t="n"/>
      <c r="AC346" s="136" t="n"/>
      <c r="AD346" s="136" t="n"/>
      <c r="AE346" s="136" t="n"/>
      <c r="AF346" s="136" t="n"/>
      <c r="AG346" s="136" t="n"/>
      <c r="AH346" s="136" t="n"/>
      <c r="AI346" s="136" t="n"/>
      <c r="AJ346" s="136" t="n"/>
      <c r="AK346" s="136" t="n"/>
      <c r="AL346" s="136" t="n"/>
      <c r="AM346" s="136" t="n"/>
      <c r="AN346" s="136" t="n"/>
      <c r="AO346" s="136" t="n"/>
      <c r="AP346" s="136" t="n"/>
      <c r="AQ346" s="136" t="n"/>
      <c r="AR346" s="136" t="n"/>
    </row>
    <row r="347" ht="13.5" customHeight="1" s="196">
      <c r="A347" s="136" t="n"/>
      <c r="B347" s="136" t="n"/>
      <c r="C347" s="136" t="n"/>
      <c r="D347" s="141" t="n"/>
      <c r="E347" s="141" t="n"/>
      <c r="F347" s="141" t="n"/>
      <c r="G347" s="141" t="n"/>
      <c r="H347" s="141" t="n"/>
      <c r="I347" s="141" t="n"/>
      <c r="J347" s="141" t="n"/>
      <c r="K347" s="141" t="n"/>
      <c r="L347" s="141" t="n"/>
      <c r="M347" s="141" t="n"/>
      <c r="N347" s="141" t="n"/>
      <c r="O347" s="141" t="n"/>
      <c r="P347" s="141" t="n"/>
      <c r="Q347" s="141" t="n"/>
      <c r="R347" s="141" t="n"/>
      <c r="S347" s="141" t="n"/>
      <c r="T347" s="141" t="n"/>
      <c r="U347" s="141" t="n"/>
      <c r="V347" s="141" t="n"/>
      <c r="W347" s="141" t="n"/>
      <c r="X347" s="141" t="n"/>
      <c r="Y347" s="136" t="n"/>
      <c r="Z347" s="136" t="n"/>
      <c r="AA347" s="136" t="n"/>
      <c r="AB347" s="136" t="n"/>
      <c r="AC347" s="136" t="n"/>
      <c r="AD347" s="136" t="n"/>
      <c r="AE347" s="136" t="n"/>
      <c r="AF347" s="136" t="n"/>
      <c r="AG347" s="136" t="n"/>
      <c r="AH347" s="136" t="n"/>
      <c r="AI347" s="136" t="n"/>
      <c r="AJ347" s="136" t="n"/>
      <c r="AK347" s="136" t="n"/>
      <c r="AL347" s="136" t="n"/>
      <c r="AM347" s="136" t="n"/>
      <c r="AN347" s="136" t="n"/>
      <c r="AO347" s="136" t="n"/>
      <c r="AP347" s="136" t="n"/>
      <c r="AQ347" s="136" t="n"/>
      <c r="AR347" s="136" t="n"/>
    </row>
    <row r="348" ht="13.5" customHeight="1" s="196">
      <c r="A348" s="136" t="n"/>
      <c r="B348" s="136" t="n"/>
      <c r="C348" s="136" t="n"/>
      <c r="D348" s="141" t="n"/>
      <c r="E348" s="141" t="n"/>
      <c r="F348" s="141" t="n"/>
      <c r="G348" s="141" t="n"/>
      <c r="H348" s="141" t="n"/>
      <c r="I348" s="141" t="n"/>
      <c r="J348" s="141" t="n"/>
      <c r="K348" s="141" t="n"/>
      <c r="L348" s="141" t="n"/>
      <c r="M348" s="141" t="n"/>
      <c r="N348" s="141" t="n"/>
      <c r="O348" s="141" t="n"/>
      <c r="P348" s="141" t="n"/>
      <c r="Q348" s="141" t="n"/>
      <c r="R348" s="141" t="n"/>
      <c r="S348" s="141" t="n"/>
      <c r="T348" s="141" t="n"/>
      <c r="U348" s="141" t="n"/>
      <c r="V348" s="141" t="n"/>
      <c r="W348" s="141" t="n"/>
      <c r="X348" s="141" t="n"/>
      <c r="Y348" s="136" t="n"/>
      <c r="Z348" s="136" t="n"/>
      <c r="AA348" s="136" t="n"/>
      <c r="AB348" s="136" t="n"/>
      <c r="AC348" s="136" t="n"/>
      <c r="AD348" s="136" t="n"/>
      <c r="AE348" s="136" t="n"/>
      <c r="AF348" s="136" t="n"/>
      <c r="AG348" s="136" t="n"/>
      <c r="AH348" s="136" t="n"/>
      <c r="AI348" s="136" t="n"/>
      <c r="AJ348" s="136" t="n"/>
      <c r="AK348" s="136" t="n"/>
      <c r="AL348" s="136" t="n"/>
      <c r="AM348" s="136" t="n"/>
      <c r="AN348" s="136" t="n"/>
      <c r="AO348" s="136" t="n"/>
      <c r="AP348" s="136" t="n"/>
      <c r="AQ348" s="136" t="n"/>
      <c r="AR348" s="136" t="n"/>
    </row>
    <row r="349" ht="13.5" customHeight="1" s="196">
      <c r="A349" s="136" t="n"/>
      <c r="B349" s="136" t="n"/>
      <c r="C349" s="136" t="n"/>
      <c r="D349" s="141" t="n"/>
      <c r="E349" s="141" t="n"/>
      <c r="F349" s="141" t="n"/>
      <c r="G349" s="141" t="n"/>
      <c r="H349" s="141" t="n"/>
      <c r="I349" s="141" t="n"/>
      <c r="J349" s="141" t="n"/>
      <c r="K349" s="141" t="n"/>
      <c r="L349" s="141" t="n"/>
      <c r="M349" s="141" t="n"/>
      <c r="N349" s="141" t="n"/>
      <c r="O349" s="141" t="n"/>
      <c r="P349" s="141" t="n"/>
      <c r="Q349" s="141" t="n"/>
      <c r="R349" s="141" t="n"/>
      <c r="S349" s="141" t="n"/>
      <c r="T349" s="141" t="n"/>
      <c r="U349" s="141" t="n"/>
      <c r="V349" s="141" t="n"/>
      <c r="W349" s="141" t="n"/>
      <c r="X349" s="141" t="n"/>
      <c r="Y349" s="136" t="n"/>
      <c r="Z349" s="136" t="n"/>
      <c r="AA349" s="136" t="n"/>
      <c r="AB349" s="136" t="n"/>
      <c r="AC349" s="136" t="n"/>
      <c r="AD349" s="136" t="n"/>
      <c r="AE349" s="136" t="n"/>
      <c r="AF349" s="136" t="n"/>
      <c r="AG349" s="136" t="n"/>
      <c r="AH349" s="136" t="n"/>
      <c r="AI349" s="136" t="n"/>
      <c r="AJ349" s="136" t="n"/>
      <c r="AK349" s="136" t="n"/>
      <c r="AL349" s="136" t="n"/>
      <c r="AM349" s="136" t="n"/>
      <c r="AN349" s="136" t="n"/>
      <c r="AO349" s="136" t="n"/>
      <c r="AP349" s="136" t="n"/>
      <c r="AQ349" s="136" t="n"/>
      <c r="AR349" s="136" t="n"/>
    </row>
    <row r="350" ht="13.5" customHeight="1" s="196">
      <c r="A350" s="136" t="n"/>
      <c r="B350" s="136" t="n"/>
      <c r="C350" s="136" t="n"/>
      <c r="D350" s="141" t="n"/>
      <c r="E350" s="141" t="n"/>
      <c r="F350" s="141" t="n"/>
      <c r="G350" s="141" t="n"/>
      <c r="H350" s="141" t="n"/>
      <c r="I350" s="141" t="n"/>
      <c r="J350" s="141" t="n"/>
      <c r="K350" s="141" t="n"/>
      <c r="L350" s="141" t="n"/>
      <c r="M350" s="141" t="n"/>
      <c r="N350" s="141" t="n"/>
      <c r="O350" s="141" t="n"/>
      <c r="P350" s="141" t="n"/>
      <c r="Q350" s="141" t="n"/>
      <c r="R350" s="141" t="n"/>
      <c r="S350" s="141" t="n"/>
      <c r="T350" s="141" t="n"/>
      <c r="U350" s="141" t="n"/>
      <c r="V350" s="141" t="n"/>
      <c r="W350" s="141" t="n"/>
      <c r="X350" s="141" t="n"/>
      <c r="Y350" s="136" t="n"/>
      <c r="Z350" s="136" t="n"/>
      <c r="AA350" s="136" t="n"/>
      <c r="AB350" s="136" t="n"/>
      <c r="AC350" s="136" t="n"/>
      <c r="AD350" s="136" t="n"/>
      <c r="AE350" s="136" t="n"/>
      <c r="AF350" s="136" t="n"/>
      <c r="AG350" s="136" t="n"/>
      <c r="AH350" s="136" t="n"/>
      <c r="AI350" s="136" t="n"/>
      <c r="AJ350" s="136" t="n"/>
      <c r="AK350" s="136" t="n"/>
      <c r="AL350" s="136" t="n"/>
      <c r="AM350" s="136" t="n"/>
      <c r="AN350" s="136" t="n"/>
      <c r="AO350" s="136" t="n"/>
      <c r="AP350" s="136" t="n"/>
      <c r="AQ350" s="136" t="n"/>
      <c r="AR350" s="136" t="n"/>
    </row>
    <row r="351" ht="13.5" customHeight="1" s="196">
      <c r="A351" s="136" t="n"/>
      <c r="B351" s="136" t="n"/>
      <c r="C351" s="136" t="n"/>
      <c r="D351" s="141" t="n"/>
      <c r="E351" s="141" t="n"/>
      <c r="F351" s="141" t="n"/>
      <c r="G351" s="141" t="n"/>
      <c r="H351" s="141" t="n"/>
      <c r="I351" s="141" t="n"/>
      <c r="J351" s="141" t="n"/>
      <c r="K351" s="141" t="n"/>
      <c r="L351" s="141" t="n"/>
      <c r="M351" s="141" t="n"/>
      <c r="N351" s="141" t="n"/>
      <c r="O351" s="141" t="n"/>
      <c r="P351" s="141" t="n"/>
      <c r="Q351" s="141" t="n"/>
      <c r="R351" s="141" t="n"/>
      <c r="S351" s="141" t="n"/>
      <c r="T351" s="141" t="n"/>
      <c r="U351" s="141" t="n"/>
      <c r="V351" s="141" t="n"/>
      <c r="W351" s="141" t="n"/>
      <c r="X351" s="141" t="n"/>
      <c r="Y351" s="136" t="n"/>
      <c r="Z351" s="136" t="n"/>
      <c r="AA351" s="136" t="n"/>
      <c r="AB351" s="136" t="n"/>
      <c r="AC351" s="136" t="n"/>
      <c r="AD351" s="136" t="n"/>
      <c r="AE351" s="136" t="n"/>
      <c r="AF351" s="136" t="n"/>
      <c r="AG351" s="136" t="n"/>
      <c r="AH351" s="136" t="n"/>
      <c r="AI351" s="136" t="n"/>
      <c r="AJ351" s="136" t="n"/>
      <c r="AK351" s="136" t="n"/>
      <c r="AL351" s="136" t="n"/>
      <c r="AM351" s="136" t="n"/>
      <c r="AN351" s="136" t="n"/>
      <c r="AO351" s="136" t="n"/>
      <c r="AP351" s="136" t="n"/>
      <c r="AQ351" s="136" t="n"/>
      <c r="AR351" s="136" t="n"/>
    </row>
    <row r="352" ht="13.5" customHeight="1" s="196">
      <c r="A352" s="136" t="n"/>
      <c r="B352" s="136" t="n"/>
      <c r="C352" s="136" t="n"/>
      <c r="D352" s="141" t="n"/>
      <c r="E352" s="141" t="n"/>
      <c r="F352" s="141" t="n"/>
      <c r="G352" s="141" t="n"/>
      <c r="H352" s="141" t="n"/>
      <c r="I352" s="141" t="n"/>
      <c r="J352" s="141" t="n"/>
      <c r="K352" s="141" t="n"/>
      <c r="L352" s="141" t="n"/>
      <c r="M352" s="141" t="n"/>
      <c r="N352" s="141" t="n"/>
      <c r="O352" s="141" t="n"/>
      <c r="P352" s="141" t="n"/>
      <c r="Q352" s="141" t="n"/>
      <c r="R352" s="141" t="n"/>
      <c r="S352" s="141" t="n"/>
      <c r="T352" s="141" t="n"/>
      <c r="U352" s="141" t="n"/>
      <c r="V352" s="141" t="n"/>
      <c r="W352" s="141" t="n"/>
      <c r="X352" s="141" t="n"/>
      <c r="Y352" s="136" t="n"/>
      <c r="Z352" s="136" t="n"/>
      <c r="AA352" s="136" t="n"/>
      <c r="AB352" s="136" t="n"/>
      <c r="AC352" s="136" t="n"/>
      <c r="AD352" s="136" t="n"/>
      <c r="AE352" s="136" t="n"/>
      <c r="AF352" s="136" t="n"/>
      <c r="AG352" s="136" t="n"/>
      <c r="AH352" s="136" t="n"/>
      <c r="AI352" s="136" t="n"/>
      <c r="AJ352" s="136" t="n"/>
      <c r="AK352" s="136" t="n"/>
      <c r="AL352" s="136" t="n"/>
      <c r="AM352" s="136" t="n"/>
      <c r="AN352" s="136" t="n"/>
      <c r="AO352" s="136" t="n"/>
      <c r="AP352" s="136" t="n"/>
      <c r="AQ352" s="136" t="n"/>
      <c r="AR352" s="136" t="n"/>
    </row>
    <row r="353" ht="13.5" customHeight="1" s="196">
      <c r="A353" s="136" t="n"/>
      <c r="B353" s="136" t="n"/>
      <c r="C353" s="136" t="n"/>
      <c r="D353" s="141" t="n"/>
      <c r="E353" s="141" t="n"/>
      <c r="F353" s="141" t="n"/>
      <c r="G353" s="141" t="n"/>
      <c r="H353" s="141" t="n"/>
      <c r="I353" s="141" t="n"/>
      <c r="J353" s="141" t="n"/>
      <c r="K353" s="141" t="n"/>
      <c r="L353" s="141" t="n"/>
      <c r="M353" s="141" t="n"/>
      <c r="N353" s="141" t="n"/>
      <c r="O353" s="141" t="n"/>
      <c r="P353" s="141" t="n"/>
      <c r="Q353" s="141" t="n"/>
      <c r="R353" s="141" t="n"/>
      <c r="S353" s="141" t="n"/>
      <c r="T353" s="141" t="n"/>
      <c r="U353" s="141" t="n"/>
      <c r="V353" s="141" t="n"/>
      <c r="W353" s="141" t="n"/>
      <c r="X353" s="141" t="n"/>
      <c r="Y353" s="136" t="n"/>
      <c r="Z353" s="136" t="n"/>
      <c r="AA353" s="136" t="n"/>
      <c r="AB353" s="136" t="n"/>
      <c r="AC353" s="136" t="n"/>
      <c r="AD353" s="136" t="n"/>
      <c r="AE353" s="136" t="n"/>
      <c r="AF353" s="136" t="n"/>
      <c r="AG353" s="136" t="n"/>
      <c r="AH353" s="136" t="n"/>
      <c r="AI353" s="136" t="n"/>
      <c r="AJ353" s="136" t="n"/>
      <c r="AK353" s="136" t="n"/>
      <c r="AL353" s="136" t="n"/>
      <c r="AM353" s="136" t="n"/>
      <c r="AN353" s="136" t="n"/>
      <c r="AO353" s="136" t="n"/>
      <c r="AP353" s="136" t="n"/>
      <c r="AQ353" s="136" t="n"/>
      <c r="AR353" s="136" t="n"/>
    </row>
    <row r="354" ht="13.5" customHeight="1" s="196">
      <c r="A354" s="136" t="n"/>
      <c r="B354" s="136" t="n"/>
      <c r="C354" s="136" t="n"/>
      <c r="D354" s="141" t="n"/>
      <c r="E354" s="141" t="n"/>
      <c r="F354" s="141" t="n"/>
      <c r="G354" s="141" t="n"/>
      <c r="H354" s="141" t="n"/>
      <c r="I354" s="141" t="n"/>
      <c r="J354" s="141" t="n"/>
      <c r="K354" s="141" t="n"/>
      <c r="L354" s="141" t="n"/>
      <c r="M354" s="141" t="n"/>
      <c r="N354" s="141" t="n"/>
      <c r="O354" s="141" t="n"/>
      <c r="P354" s="141" t="n"/>
      <c r="Q354" s="141" t="n"/>
      <c r="R354" s="141" t="n"/>
      <c r="S354" s="141" t="n"/>
      <c r="T354" s="141" t="n"/>
      <c r="U354" s="141" t="n"/>
      <c r="V354" s="141" t="n"/>
      <c r="W354" s="141" t="n"/>
      <c r="X354" s="141" t="n"/>
      <c r="Y354" s="136" t="n"/>
      <c r="Z354" s="136" t="n"/>
      <c r="AA354" s="136" t="n"/>
      <c r="AB354" s="136" t="n"/>
      <c r="AC354" s="136" t="n"/>
      <c r="AD354" s="136" t="n"/>
      <c r="AE354" s="136" t="n"/>
      <c r="AF354" s="136" t="n"/>
      <c r="AG354" s="136" t="n"/>
      <c r="AH354" s="136" t="n"/>
      <c r="AI354" s="136" t="n"/>
      <c r="AJ354" s="136" t="n"/>
      <c r="AK354" s="136" t="n"/>
      <c r="AL354" s="136" t="n"/>
      <c r="AM354" s="136" t="n"/>
      <c r="AN354" s="136" t="n"/>
      <c r="AO354" s="136" t="n"/>
      <c r="AP354" s="136" t="n"/>
      <c r="AQ354" s="136" t="n"/>
      <c r="AR354" s="136" t="n"/>
    </row>
    <row r="355" ht="13.5" customHeight="1" s="196">
      <c r="A355" s="136" t="n"/>
      <c r="B355" s="136" t="n"/>
      <c r="C355" s="136" t="n"/>
      <c r="D355" s="141" t="n"/>
      <c r="E355" s="141" t="n"/>
      <c r="F355" s="141" t="n"/>
      <c r="G355" s="141" t="n"/>
      <c r="H355" s="141" t="n"/>
      <c r="I355" s="141" t="n"/>
      <c r="J355" s="141" t="n"/>
      <c r="K355" s="141" t="n"/>
      <c r="L355" s="141" t="n"/>
      <c r="M355" s="141" t="n"/>
      <c r="N355" s="141" t="n"/>
      <c r="O355" s="141" t="n"/>
      <c r="P355" s="141" t="n"/>
      <c r="Q355" s="141" t="n"/>
      <c r="R355" s="141" t="n"/>
      <c r="S355" s="141" t="n"/>
      <c r="T355" s="141" t="n"/>
      <c r="U355" s="141" t="n"/>
      <c r="V355" s="141" t="n"/>
      <c r="W355" s="141" t="n"/>
      <c r="X355" s="141" t="n"/>
      <c r="Y355" s="136" t="n"/>
      <c r="Z355" s="136" t="n"/>
      <c r="AA355" s="136" t="n"/>
      <c r="AB355" s="136" t="n"/>
      <c r="AC355" s="136" t="n"/>
      <c r="AD355" s="136" t="n"/>
      <c r="AE355" s="136" t="n"/>
      <c r="AF355" s="136" t="n"/>
      <c r="AG355" s="136" t="n"/>
      <c r="AH355" s="136" t="n"/>
      <c r="AI355" s="136" t="n"/>
      <c r="AJ355" s="136" t="n"/>
      <c r="AK355" s="136" t="n"/>
      <c r="AL355" s="136" t="n"/>
      <c r="AM355" s="136" t="n"/>
      <c r="AN355" s="136" t="n"/>
      <c r="AO355" s="136" t="n"/>
      <c r="AP355" s="136" t="n"/>
      <c r="AQ355" s="136" t="n"/>
      <c r="AR355" s="136" t="n"/>
    </row>
    <row r="356" ht="13.5" customHeight="1" s="196">
      <c r="A356" s="136" t="n"/>
      <c r="B356" s="136" t="n"/>
      <c r="C356" s="136" t="n"/>
      <c r="D356" s="141" t="n"/>
      <c r="E356" s="141" t="n"/>
      <c r="F356" s="141" t="n"/>
      <c r="G356" s="141" t="n"/>
      <c r="H356" s="141" t="n"/>
      <c r="I356" s="141" t="n"/>
      <c r="J356" s="141" t="n"/>
      <c r="K356" s="141" t="n"/>
      <c r="L356" s="141" t="n"/>
      <c r="M356" s="141" t="n"/>
      <c r="N356" s="141" t="n"/>
      <c r="O356" s="141" t="n"/>
      <c r="P356" s="141" t="n"/>
      <c r="Q356" s="141" t="n"/>
      <c r="R356" s="141" t="n"/>
      <c r="S356" s="141" t="n"/>
      <c r="T356" s="141" t="n"/>
      <c r="U356" s="141" t="n"/>
      <c r="V356" s="141" t="n"/>
      <c r="W356" s="141" t="n"/>
      <c r="X356" s="141" t="n"/>
      <c r="Y356" s="136" t="n"/>
      <c r="Z356" s="136" t="n"/>
      <c r="AA356" s="136" t="n"/>
      <c r="AB356" s="136" t="n"/>
      <c r="AC356" s="136" t="n"/>
      <c r="AD356" s="136" t="n"/>
      <c r="AE356" s="136" t="n"/>
      <c r="AF356" s="136" t="n"/>
      <c r="AG356" s="136" t="n"/>
      <c r="AH356" s="136" t="n"/>
      <c r="AI356" s="136" t="n"/>
      <c r="AJ356" s="136" t="n"/>
      <c r="AK356" s="136" t="n"/>
      <c r="AL356" s="136" t="n"/>
      <c r="AM356" s="136" t="n"/>
      <c r="AN356" s="136" t="n"/>
      <c r="AO356" s="136" t="n"/>
      <c r="AP356" s="136" t="n"/>
      <c r="AQ356" s="136" t="n"/>
      <c r="AR356" s="136" t="n"/>
    </row>
    <row r="357" ht="13.5" customHeight="1" s="196">
      <c r="A357" s="136" t="n"/>
      <c r="B357" s="136" t="n"/>
      <c r="C357" s="136" t="n"/>
      <c r="D357" s="141" t="n"/>
      <c r="E357" s="141" t="n"/>
      <c r="F357" s="141" t="n"/>
      <c r="G357" s="141" t="n"/>
      <c r="H357" s="141" t="n"/>
      <c r="I357" s="141" t="n"/>
      <c r="J357" s="141" t="n"/>
      <c r="K357" s="141" t="n"/>
      <c r="L357" s="141" t="n"/>
      <c r="M357" s="141" t="n"/>
      <c r="N357" s="141" t="n"/>
      <c r="O357" s="141" t="n"/>
      <c r="P357" s="141" t="n"/>
      <c r="Q357" s="141" t="n"/>
      <c r="R357" s="141" t="n"/>
      <c r="S357" s="141" t="n"/>
      <c r="T357" s="141" t="n"/>
      <c r="U357" s="141" t="n"/>
      <c r="V357" s="141" t="n"/>
      <c r="W357" s="141" t="n"/>
      <c r="X357" s="141" t="n"/>
      <c r="Y357" s="136" t="n"/>
      <c r="Z357" s="136" t="n"/>
      <c r="AA357" s="136" t="n"/>
      <c r="AB357" s="136" t="n"/>
      <c r="AC357" s="136" t="n"/>
      <c r="AD357" s="136" t="n"/>
      <c r="AE357" s="136" t="n"/>
      <c r="AF357" s="136" t="n"/>
      <c r="AG357" s="136" t="n"/>
      <c r="AH357" s="136" t="n"/>
      <c r="AI357" s="136" t="n"/>
      <c r="AJ357" s="136" t="n"/>
      <c r="AK357" s="136" t="n"/>
      <c r="AL357" s="136" t="n"/>
      <c r="AM357" s="136" t="n"/>
      <c r="AN357" s="136" t="n"/>
      <c r="AO357" s="136" t="n"/>
      <c r="AP357" s="136" t="n"/>
      <c r="AQ357" s="136" t="n"/>
      <c r="AR357" s="136" t="n"/>
    </row>
    <row r="358" ht="13.5" customHeight="1" s="196">
      <c r="A358" s="136" t="n"/>
      <c r="B358" s="136" t="n"/>
      <c r="C358" s="136" t="n"/>
      <c r="D358" s="141" t="n"/>
      <c r="E358" s="141" t="n"/>
      <c r="F358" s="141" t="n"/>
      <c r="G358" s="141" t="n"/>
      <c r="H358" s="141" t="n"/>
      <c r="I358" s="141" t="n"/>
      <c r="J358" s="141" t="n"/>
      <c r="K358" s="141" t="n"/>
      <c r="L358" s="141" t="n"/>
      <c r="M358" s="141" t="n"/>
      <c r="N358" s="141" t="n"/>
      <c r="O358" s="141" t="n"/>
      <c r="P358" s="141" t="n"/>
      <c r="Q358" s="141" t="n"/>
      <c r="R358" s="141" t="n"/>
      <c r="S358" s="141" t="n"/>
      <c r="T358" s="141" t="n"/>
      <c r="U358" s="141" t="n"/>
      <c r="V358" s="141" t="n"/>
      <c r="W358" s="141" t="n"/>
      <c r="X358" s="141" t="n"/>
      <c r="Y358" s="136" t="n"/>
      <c r="Z358" s="136" t="n"/>
      <c r="AA358" s="136" t="n"/>
      <c r="AB358" s="136" t="n"/>
      <c r="AC358" s="136" t="n"/>
      <c r="AD358" s="136" t="n"/>
      <c r="AE358" s="136" t="n"/>
      <c r="AF358" s="136" t="n"/>
      <c r="AG358" s="136" t="n"/>
      <c r="AH358" s="136" t="n"/>
      <c r="AI358" s="136" t="n"/>
      <c r="AJ358" s="136" t="n"/>
      <c r="AK358" s="136" t="n"/>
      <c r="AL358" s="136" t="n"/>
      <c r="AM358" s="136" t="n"/>
      <c r="AN358" s="136" t="n"/>
      <c r="AO358" s="136" t="n"/>
      <c r="AP358" s="136" t="n"/>
      <c r="AQ358" s="136" t="n"/>
      <c r="AR358" s="136" t="n"/>
    </row>
    <row r="359" ht="13.5" customHeight="1" s="196">
      <c r="A359" s="136" t="n"/>
      <c r="B359" s="136" t="n"/>
      <c r="C359" s="136" t="n"/>
      <c r="D359" s="141" t="n"/>
      <c r="E359" s="141" t="n"/>
      <c r="F359" s="141" t="n"/>
      <c r="G359" s="141" t="n"/>
      <c r="H359" s="141" t="n"/>
      <c r="I359" s="141" t="n"/>
      <c r="J359" s="141" t="n"/>
      <c r="K359" s="141" t="n"/>
      <c r="L359" s="141" t="n"/>
      <c r="M359" s="141" t="n"/>
      <c r="N359" s="141" t="n"/>
      <c r="O359" s="141" t="n"/>
      <c r="P359" s="141" t="n"/>
      <c r="Q359" s="141" t="n"/>
      <c r="R359" s="141" t="n"/>
      <c r="S359" s="141" t="n"/>
      <c r="T359" s="141" t="n"/>
      <c r="U359" s="141" t="n"/>
      <c r="V359" s="141" t="n"/>
      <c r="W359" s="141" t="n"/>
      <c r="X359" s="141" t="n"/>
      <c r="Y359" s="136" t="n"/>
      <c r="Z359" s="136" t="n"/>
      <c r="AA359" s="136" t="n"/>
      <c r="AB359" s="136" t="n"/>
      <c r="AC359" s="136" t="n"/>
      <c r="AD359" s="136" t="n"/>
      <c r="AE359" s="136" t="n"/>
      <c r="AF359" s="136" t="n"/>
      <c r="AG359" s="136" t="n"/>
      <c r="AH359" s="136" t="n"/>
      <c r="AI359" s="136" t="n"/>
      <c r="AJ359" s="136" t="n"/>
      <c r="AK359" s="136" t="n"/>
      <c r="AL359" s="136" t="n"/>
      <c r="AM359" s="136" t="n"/>
      <c r="AN359" s="136" t="n"/>
      <c r="AO359" s="136" t="n"/>
      <c r="AP359" s="136" t="n"/>
      <c r="AQ359" s="136" t="n"/>
      <c r="AR359" s="136" t="n"/>
    </row>
    <row r="360" ht="13.5" customHeight="1" s="196">
      <c r="A360" s="136" t="n"/>
      <c r="B360" s="136" t="n"/>
      <c r="C360" s="136" t="n"/>
      <c r="D360" s="141" t="n"/>
      <c r="E360" s="141" t="n"/>
      <c r="F360" s="141" t="n"/>
      <c r="G360" s="141" t="n"/>
      <c r="H360" s="141" t="n"/>
      <c r="I360" s="141" t="n"/>
      <c r="J360" s="141" t="n"/>
      <c r="K360" s="141" t="n"/>
      <c r="L360" s="141" t="n"/>
      <c r="M360" s="141" t="n"/>
      <c r="N360" s="141" t="n"/>
      <c r="O360" s="141" t="n"/>
      <c r="P360" s="141" t="n"/>
      <c r="Q360" s="141" t="n"/>
      <c r="R360" s="141" t="n"/>
      <c r="S360" s="141" t="n"/>
      <c r="T360" s="141" t="n"/>
      <c r="U360" s="141" t="n"/>
      <c r="V360" s="141" t="n"/>
      <c r="W360" s="141" t="n"/>
      <c r="X360" s="141" t="n"/>
      <c r="Y360" s="136" t="n"/>
      <c r="Z360" s="136" t="n"/>
      <c r="AA360" s="136" t="n"/>
      <c r="AB360" s="136" t="n"/>
      <c r="AC360" s="136" t="n"/>
      <c r="AD360" s="136" t="n"/>
      <c r="AE360" s="136" t="n"/>
      <c r="AF360" s="136" t="n"/>
      <c r="AG360" s="136" t="n"/>
      <c r="AH360" s="136" t="n"/>
      <c r="AI360" s="136" t="n"/>
      <c r="AJ360" s="136" t="n"/>
      <c r="AK360" s="136" t="n"/>
      <c r="AL360" s="136" t="n"/>
      <c r="AM360" s="136" t="n"/>
      <c r="AN360" s="136" t="n"/>
      <c r="AO360" s="136" t="n"/>
      <c r="AP360" s="136" t="n"/>
      <c r="AQ360" s="136" t="n"/>
      <c r="AR360" s="136" t="n"/>
    </row>
    <row r="361" ht="13.5" customHeight="1" s="196">
      <c r="A361" s="136" t="n"/>
      <c r="B361" s="136" t="n"/>
      <c r="C361" s="136" t="n"/>
      <c r="D361" s="141" t="n"/>
      <c r="E361" s="141" t="n"/>
      <c r="F361" s="141" t="n"/>
      <c r="G361" s="141" t="n"/>
      <c r="H361" s="141" t="n"/>
      <c r="I361" s="141" t="n"/>
      <c r="J361" s="141" t="n"/>
      <c r="K361" s="141" t="n"/>
      <c r="L361" s="141" t="n"/>
      <c r="M361" s="141" t="n"/>
      <c r="N361" s="141" t="n"/>
      <c r="O361" s="141" t="n"/>
      <c r="P361" s="141" t="n"/>
      <c r="Q361" s="141" t="n"/>
      <c r="R361" s="141" t="n"/>
      <c r="S361" s="141" t="n"/>
      <c r="T361" s="141" t="n"/>
      <c r="U361" s="141" t="n"/>
      <c r="V361" s="141" t="n"/>
      <c r="W361" s="141" t="n"/>
      <c r="X361" s="141" t="n"/>
      <c r="Y361" s="136" t="n"/>
      <c r="Z361" s="136" t="n"/>
      <c r="AA361" s="136" t="n"/>
      <c r="AB361" s="136" t="n"/>
      <c r="AC361" s="136" t="n"/>
      <c r="AD361" s="136" t="n"/>
      <c r="AE361" s="136" t="n"/>
      <c r="AF361" s="136" t="n"/>
      <c r="AG361" s="136" t="n"/>
      <c r="AH361" s="136" t="n"/>
      <c r="AI361" s="136" t="n"/>
      <c r="AJ361" s="136" t="n"/>
      <c r="AK361" s="136" t="n"/>
      <c r="AL361" s="136" t="n"/>
      <c r="AM361" s="136" t="n"/>
      <c r="AN361" s="136" t="n"/>
      <c r="AO361" s="136" t="n"/>
      <c r="AP361" s="136" t="n"/>
      <c r="AQ361" s="136" t="n"/>
      <c r="AR361" s="136" t="n"/>
    </row>
    <row r="362" ht="13.5" customHeight="1" s="196">
      <c r="A362" s="136" t="n"/>
      <c r="B362" s="136" t="n"/>
      <c r="C362" s="136" t="n"/>
      <c r="D362" s="141" t="n"/>
      <c r="E362" s="141" t="n"/>
      <c r="F362" s="141" t="n"/>
      <c r="G362" s="141" t="n"/>
      <c r="H362" s="141" t="n"/>
      <c r="I362" s="141" t="n"/>
      <c r="J362" s="141" t="n"/>
      <c r="K362" s="141" t="n"/>
      <c r="L362" s="141" t="n"/>
      <c r="M362" s="141" t="n"/>
      <c r="N362" s="141" t="n"/>
      <c r="O362" s="141" t="n"/>
      <c r="P362" s="141" t="n"/>
      <c r="Q362" s="141" t="n"/>
      <c r="R362" s="141" t="n"/>
      <c r="S362" s="141" t="n"/>
      <c r="T362" s="141" t="n"/>
      <c r="U362" s="141" t="n"/>
      <c r="V362" s="141" t="n"/>
      <c r="W362" s="141" t="n"/>
      <c r="X362" s="141" t="n"/>
      <c r="Y362" s="136" t="n"/>
      <c r="Z362" s="136" t="n"/>
      <c r="AA362" s="136" t="n"/>
      <c r="AB362" s="136" t="n"/>
      <c r="AC362" s="136" t="n"/>
      <c r="AD362" s="136" t="n"/>
      <c r="AE362" s="136" t="n"/>
      <c r="AF362" s="136" t="n"/>
      <c r="AG362" s="136" t="n"/>
      <c r="AH362" s="136" t="n"/>
      <c r="AI362" s="136" t="n"/>
      <c r="AJ362" s="136" t="n"/>
      <c r="AK362" s="136" t="n"/>
      <c r="AL362" s="136" t="n"/>
      <c r="AM362" s="136" t="n"/>
      <c r="AN362" s="136" t="n"/>
      <c r="AO362" s="136" t="n"/>
      <c r="AP362" s="136" t="n"/>
      <c r="AQ362" s="136" t="n"/>
      <c r="AR362" s="136" t="n"/>
    </row>
    <row r="363" ht="13.5" customHeight="1" s="196">
      <c r="A363" s="136" t="n"/>
      <c r="B363" s="136" t="n"/>
      <c r="C363" s="136" t="n"/>
      <c r="D363" s="141" t="n"/>
      <c r="E363" s="141" t="n"/>
      <c r="F363" s="141" t="n"/>
      <c r="G363" s="141" t="n"/>
      <c r="H363" s="141" t="n"/>
      <c r="I363" s="141" t="n"/>
      <c r="J363" s="141" t="n"/>
      <c r="K363" s="141" t="n"/>
      <c r="L363" s="141" t="n"/>
      <c r="M363" s="141" t="n"/>
      <c r="N363" s="141" t="n"/>
      <c r="O363" s="141" t="n"/>
      <c r="P363" s="141" t="n"/>
      <c r="Q363" s="141" t="n"/>
      <c r="R363" s="141" t="n"/>
      <c r="S363" s="141" t="n"/>
      <c r="T363" s="141" t="n"/>
      <c r="U363" s="141" t="n"/>
      <c r="V363" s="141" t="n"/>
      <c r="W363" s="141" t="n"/>
      <c r="X363" s="141" t="n"/>
      <c r="Y363" s="136" t="n"/>
      <c r="Z363" s="136" t="n"/>
      <c r="AA363" s="136" t="n"/>
      <c r="AB363" s="136" t="n"/>
      <c r="AC363" s="136" t="n"/>
      <c r="AD363" s="136" t="n"/>
      <c r="AE363" s="136" t="n"/>
      <c r="AF363" s="136" t="n"/>
      <c r="AG363" s="136" t="n"/>
      <c r="AH363" s="136" t="n"/>
      <c r="AI363" s="136" t="n"/>
      <c r="AJ363" s="136" t="n"/>
      <c r="AK363" s="136" t="n"/>
      <c r="AL363" s="136" t="n"/>
      <c r="AM363" s="136" t="n"/>
      <c r="AN363" s="136" t="n"/>
      <c r="AO363" s="136" t="n"/>
      <c r="AP363" s="136" t="n"/>
      <c r="AQ363" s="136" t="n"/>
      <c r="AR363" s="136" t="n"/>
    </row>
    <row r="364" ht="13.5" customHeight="1" s="196">
      <c r="A364" s="136" t="n"/>
      <c r="B364" s="136" t="n"/>
      <c r="C364" s="136" t="n"/>
      <c r="D364" s="141" t="n"/>
      <c r="E364" s="141" t="n"/>
      <c r="F364" s="141" t="n"/>
      <c r="G364" s="141" t="n"/>
      <c r="H364" s="141" t="n"/>
      <c r="I364" s="141" t="n"/>
      <c r="J364" s="141" t="n"/>
      <c r="K364" s="141" t="n"/>
      <c r="L364" s="141" t="n"/>
      <c r="M364" s="141" t="n"/>
      <c r="N364" s="141" t="n"/>
      <c r="O364" s="141" t="n"/>
      <c r="P364" s="141" t="n"/>
      <c r="Q364" s="141" t="n"/>
      <c r="R364" s="141" t="n"/>
      <c r="S364" s="141" t="n"/>
      <c r="T364" s="141" t="n"/>
      <c r="U364" s="141" t="n"/>
      <c r="V364" s="141" t="n"/>
      <c r="W364" s="141" t="n"/>
      <c r="X364" s="141" t="n"/>
      <c r="Y364" s="136" t="n"/>
      <c r="Z364" s="136" t="n"/>
      <c r="AA364" s="136" t="n"/>
      <c r="AB364" s="136" t="n"/>
      <c r="AC364" s="136" t="n"/>
      <c r="AD364" s="136" t="n"/>
      <c r="AE364" s="136" t="n"/>
      <c r="AF364" s="136" t="n"/>
      <c r="AG364" s="136" t="n"/>
      <c r="AH364" s="136" t="n"/>
      <c r="AI364" s="136" t="n"/>
      <c r="AJ364" s="136" t="n"/>
      <c r="AK364" s="136" t="n"/>
      <c r="AL364" s="136" t="n"/>
      <c r="AM364" s="136" t="n"/>
      <c r="AN364" s="136" t="n"/>
      <c r="AO364" s="136" t="n"/>
      <c r="AP364" s="136" t="n"/>
      <c r="AQ364" s="136" t="n"/>
      <c r="AR364" s="136" t="n"/>
    </row>
    <row r="365" ht="13.5" customHeight="1" s="196">
      <c r="A365" s="136" t="n"/>
      <c r="B365" s="136" t="n"/>
      <c r="C365" s="136" t="n"/>
      <c r="D365" s="141" t="n"/>
      <c r="E365" s="141" t="n"/>
      <c r="F365" s="141" t="n"/>
      <c r="G365" s="141" t="n"/>
      <c r="H365" s="141" t="n"/>
      <c r="I365" s="141" t="n"/>
      <c r="J365" s="141" t="n"/>
      <c r="K365" s="141" t="n"/>
      <c r="L365" s="141" t="n"/>
      <c r="M365" s="141" t="n"/>
      <c r="N365" s="141" t="n"/>
      <c r="O365" s="141" t="n"/>
      <c r="P365" s="141" t="n"/>
      <c r="Q365" s="141" t="n"/>
      <c r="R365" s="141" t="n"/>
      <c r="S365" s="141" t="n"/>
      <c r="T365" s="141" t="n"/>
      <c r="U365" s="141" t="n"/>
      <c r="V365" s="141" t="n"/>
      <c r="W365" s="141" t="n"/>
      <c r="X365" s="141" t="n"/>
      <c r="Y365" s="136" t="n"/>
      <c r="Z365" s="136" t="n"/>
      <c r="AA365" s="136" t="n"/>
      <c r="AB365" s="136" t="n"/>
      <c r="AC365" s="136" t="n"/>
      <c r="AD365" s="136" t="n"/>
      <c r="AE365" s="136" t="n"/>
      <c r="AF365" s="136" t="n"/>
      <c r="AG365" s="136" t="n"/>
      <c r="AH365" s="136" t="n"/>
      <c r="AI365" s="136" t="n"/>
      <c r="AJ365" s="136" t="n"/>
      <c r="AK365" s="136" t="n"/>
      <c r="AL365" s="136" t="n"/>
      <c r="AM365" s="136" t="n"/>
      <c r="AN365" s="136" t="n"/>
      <c r="AO365" s="136" t="n"/>
      <c r="AP365" s="136" t="n"/>
      <c r="AQ365" s="136" t="n"/>
      <c r="AR365" s="136" t="n"/>
    </row>
    <row r="366" ht="13.5" customHeight="1" s="196">
      <c r="A366" s="136" t="n"/>
      <c r="B366" s="136" t="n"/>
      <c r="C366" s="136" t="n"/>
      <c r="D366" s="141" t="n"/>
      <c r="E366" s="141" t="n"/>
      <c r="F366" s="141" t="n"/>
      <c r="G366" s="141" t="n"/>
      <c r="H366" s="141" t="n"/>
      <c r="I366" s="141" t="n"/>
      <c r="J366" s="141" t="n"/>
      <c r="K366" s="141" t="n"/>
      <c r="L366" s="141" t="n"/>
      <c r="M366" s="141" t="n"/>
      <c r="N366" s="141" t="n"/>
      <c r="O366" s="141" t="n"/>
      <c r="P366" s="141" t="n"/>
      <c r="Q366" s="141" t="n"/>
      <c r="R366" s="141" t="n"/>
      <c r="S366" s="141" t="n"/>
      <c r="T366" s="141" t="n"/>
      <c r="U366" s="141" t="n"/>
      <c r="V366" s="141" t="n"/>
      <c r="W366" s="141" t="n"/>
      <c r="X366" s="141" t="n"/>
      <c r="Y366" s="136" t="n"/>
      <c r="Z366" s="136" t="n"/>
      <c r="AA366" s="136" t="n"/>
      <c r="AB366" s="136" t="n"/>
      <c r="AC366" s="136" t="n"/>
      <c r="AD366" s="136" t="n"/>
      <c r="AE366" s="136" t="n"/>
      <c r="AF366" s="136" t="n"/>
      <c r="AG366" s="136" t="n"/>
      <c r="AH366" s="136" t="n"/>
      <c r="AI366" s="136" t="n"/>
      <c r="AJ366" s="136" t="n"/>
      <c r="AK366" s="136" t="n"/>
      <c r="AL366" s="136" t="n"/>
      <c r="AM366" s="136" t="n"/>
      <c r="AN366" s="136" t="n"/>
      <c r="AO366" s="136" t="n"/>
      <c r="AP366" s="136" t="n"/>
      <c r="AQ366" s="136" t="n"/>
      <c r="AR366" s="136" t="n"/>
    </row>
    <row r="367" ht="13.5" customHeight="1" s="196">
      <c r="A367" s="136" t="n"/>
      <c r="B367" s="136" t="n"/>
      <c r="C367" s="136" t="n"/>
      <c r="D367" s="141" t="n"/>
      <c r="E367" s="141" t="n"/>
      <c r="F367" s="141" t="n"/>
      <c r="G367" s="141" t="n"/>
      <c r="H367" s="141" t="n"/>
      <c r="I367" s="141" t="n"/>
      <c r="J367" s="141" t="n"/>
      <c r="K367" s="141" t="n"/>
      <c r="L367" s="141" t="n"/>
      <c r="M367" s="141" t="n"/>
      <c r="N367" s="141" t="n"/>
      <c r="O367" s="141" t="n"/>
      <c r="P367" s="141" t="n"/>
      <c r="Q367" s="141" t="n"/>
      <c r="R367" s="141" t="n"/>
      <c r="S367" s="141" t="n"/>
      <c r="T367" s="141" t="n"/>
      <c r="U367" s="141" t="n"/>
      <c r="V367" s="141" t="n"/>
      <c r="W367" s="141" t="n"/>
      <c r="X367" s="141" t="n"/>
      <c r="Y367" s="136" t="n"/>
      <c r="Z367" s="136" t="n"/>
      <c r="AA367" s="136" t="n"/>
      <c r="AB367" s="136" t="n"/>
      <c r="AC367" s="136" t="n"/>
      <c r="AD367" s="136" t="n"/>
      <c r="AE367" s="136" t="n"/>
      <c r="AF367" s="136" t="n"/>
      <c r="AG367" s="136" t="n"/>
      <c r="AH367" s="136" t="n"/>
      <c r="AI367" s="136" t="n"/>
      <c r="AJ367" s="136" t="n"/>
      <c r="AK367" s="136" t="n"/>
      <c r="AL367" s="136" t="n"/>
      <c r="AM367" s="136" t="n"/>
      <c r="AN367" s="136" t="n"/>
      <c r="AO367" s="136" t="n"/>
      <c r="AP367" s="136" t="n"/>
      <c r="AQ367" s="136" t="n"/>
      <c r="AR367" s="136" t="n"/>
    </row>
    <row r="368" ht="13.5" customHeight="1" s="196">
      <c r="A368" s="136" t="n"/>
      <c r="B368" s="136" t="n"/>
      <c r="C368" s="136" t="n"/>
      <c r="D368" s="141" t="n"/>
      <c r="E368" s="141" t="n"/>
      <c r="F368" s="141" t="n"/>
      <c r="G368" s="141" t="n"/>
      <c r="H368" s="141" t="n"/>
      <c r="I368" s="141" t="n"/>
      <c r="J368" s="141" t="n"/>
      <c r="K368" s="141" t="n"/>
      <c r="L368" s="141" t="n"/>
      <c r="M368" s="141" t="n"/>
      <c r="N368" s="141" t="n"/>
      <c r="O368" s="141" t="n"/>
      <c r="P368" s="141" t="n"/>
      <c r="Q368" s="141" t="n"/>
      <c r="R368" s="141" t="n"/>
      <c r="S368" s="141" t="n"/>
      <c r="T368" s="141" t="n"/>
      <c r="U368" s="141" t="n"/>
      <c r="V368" s="141" t="n"/>
      <c r="W368" s="141" t="n"/>
      <c r="X368" s="141" t="n"/>
      <c r="Y368" s="136" t="n"/>
      <c r="Z368" s="136" t="n"/>
      <c r="AA368" s="136" t="n"/>
      <c r="AB368" s="136" t="n"/>
      <c r="AC368" s="136" t="n"/>
      <c r="AD368" s="136" t="n"/>
      <c r="AE368" s="136" t="n"/>
      <c r="AF368" s="136" t="n"/>
      <c r="AG368" s="136" t="n"/>
      <c r="AH368" s="136" t="n"/>
      <c r="AI368" s="136" t="n"/>
      <c r="AJ368" s="136" t="n"/>
      <c r="AK368" s="136" t="n"/>
      <c r="AL368" s="136" t="n"/>
      <c r="AM368" s="136" t="n"/>
      <c r="AN368" s="136" t="n"/>
      <c r="AO368" s="136" t="n"/>
      <c r="AP368" s="136" t="n"/>
      <c r="AQ368" s="136" t="n"/>
      <c r="AR368" s="136" t="n"/>
    </row>
    <row r="369" ht="13.5" customHeight="1" s="196">
      <c r="A369" s="136" t="n"/>
      <c r="B369" s="136" t="n"/>
      <c r="C369" s="136" t="n"/>
      <c r="D369" s="141" t="n"/>
      <c r="E369" s="141" t="n"/>
      <c r="F369" s="141" t="n"/>
      <c r="G369" s="141" t="n"/>
      <c r="H369" s="141" t="n"/>
      <c r="I369" s="141" t="n"/>
      <c r="J369" s="141" t="n"/>
      <c r="K369" s="141" t="n"/>
      <c r="L369" s="141" t="n"/>
      <c r="M369" s="141" t="n"/>
      <c r="N369" s="141" t="n"/>
      <c r="O369" s="141" t="n"/>
      <c r="P369" s="141" t="n"/>
      <c r="Q369" s="141" t="n"/>
      <c r="R369" s="141" t="n"/>
      <c r="S369" s="141" t="n"/>
      <c r="T369" s="141" t="n"/>
      <c r="U369" s="141" t="n"/>
      <c r="V369" s="141" t="n"/>
      <c r="W369" s="141" t="n"/>
      <c r="X369" s="141" t="n"/>
      <c r="Y369" s="136" t="n"/>
      <c r="Z369" s="136" t="n"/>
      <c r="AA369" s="136" t="n"/>
      <c r="AB369" s="136" t="n"/>
      <c r="AC369" s="136" t="n"/>
      <c r="AD369" s="136" t="n"/>
      <c r="AE369" s="136" t="n"/>
      <c r="AF369" s="136" t="n"/>
      <c r="AG369" s="136" t="n"/>
      <c r="AH369" s="136" t="n"/>
      <c r="AI369" s="136" t="n"/>
      <c r="AJ369" s="136" t="n"/>
      <c r="AK369" s="136" t="n"/>
      <c r="AL369" s="136" t="n"/>
      <c r="AM369" s="136" t="n"/>
      <c r="AN369" s="136" t="n"/>
      <c r="AO369" s="136" t="n"/>
      <c r="AP369" s="136" t="n"/>
      <c r="AQ369" s="136" t="n"/>
      <c r="AR369" s="136" t="n"/>
    </row>
    <row r="370" ht="13.5" customHeight="1" s="196">
      <c r="A370" s="136" t="n"/>
      <c r="B370" s="136" t="n"/>
      <c r="C370" s="136" t="n"/>
      <c r="D370" s="141" t="n"/>
      <c r="E370" s="141" t="n"/>
      <c r="F370" s="141" t="n"/>
      <c r="G370" s="141" t="n"/>
      <c r="H370" s="141" t="n"/>
      <c r="I370" s="141" t="n"/>
      <c r="J370" s="141" t="n"/>
      <c r="K370" s="141" t="n"/>
      <c r="L370" s="141" t="n"/>
      <c r="M370" s="141" t="n"/>
      <c r="N370" s="141" t="n"/>
      <c r="O370" s="141" t="n"/>
      <c r="P370" s="141" t="n"/>
      <c r="Q370" s="141" t="n"/>
      <c r="R370" s="141" t="n"/>
      <c r="S370" s="141" t="n"/>
      <c r="T370" s="141" t="n"/>
      <c r="U370" s="141" t="n"/>
      <c r="V370" s="141" t="n"/>
      <c r="W370" s="141" t="n"/>
      <c r="X370" s="141" t="n"/>
      <c r="Y370" s="136" t="n"/>
      <c r="Z370" s="136" t="n"/>
      <c r="AA370" s="136" t="n"/>
      <c r="AB370" s="136" t="n"/>
      <c r="AC370" s="136" t="n"/>
      <c r="AD370" s="136" t="n"/>
      <c r="AE370" s="136" t="n"/>
      <c r="AF370" s="136" t="n"/>
      <c r="AG370" s="136" t="n"/>
      <c r="AH370" s="136" t="n"/>
      <c r="AI370" s="136" t="n"/>
      <c r="AJ370" s="136" t="n"/>
      <c r="AK370" s="136" t="n"/>
      <c r="AL370" s="136" t="n"/>
      <c r="AM370" s="136" t="n"/>
      <c r="AN370" s="136" t="n"/>
      <c r="AO370" s="136" t="n"/>
      <c r="AP370" s="136" t="n"/>
      <c r="AQ370" s="136" t="n"/>
      <c r="AR370" s="136" t="n"/>
    </row>
    <row r="371" ht="13.5" customHeight="1" s="196">
      <c r="A371" s="136" t="n"/>
      <c r="B371" s="136" t="n"/>
      <c r="C371" s="136" t="n"/>
      <c r="D371" s="141" t="n"/>
      <c r="E371" s="141" t="n"/>
      <c r="F371" s="141" t="n"/>
      <c r="G371" s="141" t="n"/>
      <c r="H371" s="141" t="n"/>
      <c r="I371" s="141" t="n"/>
      <c r="J371" s="141" t="n"/>
      <c r="K371" s="141" t="n"/>
      <c r="L371" s="141" t="n"/>
      <c r="M371" s="141" t="n"/>
      <c r="N371" s="141" t="n"/>
      <c r="O371" s="141" t="n"/>
      <c r="P371" s="141" t="n"/>
      <c r="Q371" s="141" t="n"/>
      <c r="R371" s="141" t="n"/>
      <c r="S371" s="141" t="n"/>
      <c r="T371" s="141" t="n"/>
      <c r="U371" s="141" t="n"/>
      <c r="V371" s="141" t="n"/>
      <c r="W371" s="141" t="n"/>
      <c r="X371" s="141" t="n"/>
      <c r="Y371" s="136" t="n"/>
      <c r="Z371" s="136" t="n"/>
      <c r="AA371" s="136" t="n"/>
      <c r="AB371" s="136" t="n"/>
      <c r="AC371" s="136" t="n"/>
      <c r="AD371" s="136" t="n"/>
      <c r="AE371" s="136" t="n"/>
      <c r="AF371" s="136" t="n"/>
      <c r="AG371" s="136" t="n"/>
      <c r="AH371" s="136" t="n"/>
      <c r="AI371" s="136" t="n"/>
      <c r="AJ371" s="136" t="n"/>
      <c r="AK371" s="136" t="n"/>
      <c r="AL371" s="136" t="n"/>
      <c r="AM371" s="136" t="n"/>
      <c r="AN371" s="136" t="n"/>
      <c r="AO371" s="136" t="n"/>
      <c r="AP371" s="136" t="n"/>
      <c r="AQ371" s="136" t="n"/>
      <c r="AR371" s="136" t="n"/>
    </row>
    <row r="372" ht="13.5" customHeight="1" s="196">
      <c r="A372" s="136" t="n"/>
      <c r="B372" s="136" t="n"/>
      <c r="C372" s="136" t="n"/>
      <c r="D372" s="141" t="n"/>
      <c r="E372" s="141" t="n"/>
      <c r="F372" s="141" t="n"/>
      <c r="G372" s="141" t="n"/>
      <c r="H372" s="141" t="n"/>
      <c r="I372" s="141" t="n"/>
      <c r="J372" s="141" t="n"/>
      <c r="K372" s="141" t="n"/>
      <c r="L372" s="141" t="n"/>
      <c r="M372" s="141" t="n"/>
      <c r="N372" s="141" t="n"/>
      <c r="O372" s="141" t="n"/>
      <c r="P372" s="141" t="n"/>
      <c r="Q372" s="141" t="n"/>
      <c r="R372" s="141" t="n"/>
      <c r="S372" s="141" t="n"/>
      <c r="T372" s="141" t="n"/>
      <c r="U372" s="141" t="n"/>
      <c r="V372" s="141" t="n"/>
      <c r="W372" s="141" t="n"/>
      <c r="X372" s="141" t="n"/>
      <c r="Y372" s="136" t="n"/>
      <c r="Z372" s="136" t="n"/>
      <c r="AA372" s="136" t="n"/>
      <c r="AB372" s="136" t="n"/>
      <c r="AC372" s="136" t="n"/>
      <c r="AD372" s="136" t="n"/>
      <c r="AE372" s="136" t="n"/>
      <c r="AF372" s="136" t="n"/>
      <c r="AG372" s="136" t="n"/>
      <c r="AH372" s="136" t="n"/>
      <c r="AI372" s="136" t="n"/>
      <c r="AJ372" s="136" t="n"/>
      <c r="AK372" s="136" t="n"/>
      <c r="AL372" s="136" t="n"/>
      <c r="AM372" s="136" t="n"/>
      <c r="AN372" s="136" t="n"/>
      <c r="AO372" s="136" t="n"/>
      <c r="AP372" s="136" t="n"/>
      <c r="AQ372" s="136" t="n"/>
      <c r="AR372" s="136" t="n"/>
    </row>
    <row r="373" ht="13.5" customHeight="1" s="196">
      <c r="A373" s="136" t="n"/>
      <c r="B373" s="136" t="n"/>
      <c r="C373" s="136" t="n"/>
      <c r="D373" s="141" t="n"/>
      <c r="E373" s="141" t="n"/>
      <c r="F373" s="141" t="n"/>
      <c r="G373" s="141" t="n"/>
      <c r="H373" s="141" t="n"/>
      <c r="I373" s="141" t="n"/>
      <c r="J373" s="141" t="n"/>
      <c r="K373" s="141" t="n"/>
      <c r="L373" s="141" t="n"/>
      <c r="M373" s="141" t="n"/>
      <c r="N373" s="141" t="n"/>
      <c r="O373" s="141" t="n"/>
      <c r="P373" s="141" t="n"/>
      <c r="Q373" s="141" t="n"/>
      <c r="R373" s="141" t="n"/>
      <c r="S373" s="141" t="n"/>
      <c r="T373" s="141" t="n"/>
      <c r="U373" s="141" t="n"/>
      <c r="V373" s="141" t="n"/>
      <c r="W373" s="141" t="n"/>
      <c r="X373" s="141" t="n"/>
      <c r="Y373" s="136" t="n"/>
      <c r="Z373" s="136" t="n"/>
      <c r="AA373" s="136" t="n"/>
      <c r="AB373" s="136" t="n"/>
      <c r="AC373" s="136" t="n"/>
      <c r="AD373" s="136" t="n"/>
      <c r="AE373" s="136" t="n"/>
      <c r="AF373" s="136" t="n"/>
      <c r="AG373" s="136" t="n"/>
      <c r="AH373" s="136" t="n"/>
      <c r="AI373" s="136" t="n"/>
      <c r="AJ373" s="136" t="n"/>
      <c r="AK373" s="136" t="n"/>
      <c r="AL373" s="136" t="n"/>
      <c r="AM373" s="136" t="n"/>
      <c r="AN373" s="136" t="n"/>
      <c r="AO373" s="136" t="n"/>
      <c r="AP373" s="136" t="n"/>
      <c r="AQ373" s="136" t="n"/>
      <c r="AR373" s="136" t="n"/>
    </row>
    <row r="374" ht="13.5" customHeight="1" s="196">
      <c r="A374" s="136" t="n"/>
      <c r="B374" s="136" t="n"/>
      <c r="C374" s="136" t="n"/>
      <c r="D374" s="141" t="n"/>
      <c r="E374" s="141" t="n"/>
      <c r="F374" s="141" t="n"/>
      <c r="G374" s="141" t="n"/>
      <c r="H374" s="141" t="n"/>
      <c r="I374" s="141" t="n"/>
      <c r="J374" s="141" t="n"/>
      <c r="K374" s="141" t="n"/>
      <c r="L374" s="141" t="n"/>
      <c r="M374" s="141" t="n"/>
      <c r="N374" s="141" t="n"/>
      <c r="O374" s="141" t="n"/>
      <c r="P374" s="141" t="n"/>
      <c r="Q374" s="141" t="n"/>
      <c r="R374" s="141" t="n"/>
      <c r="S374" s="141" t="n"/>
      <c r="T374" s="141" t="n"/>
      <c r="U374" s="141" t="n"/>
      <c r="V374" s="141" t="n"/>
      <c r="W374" s="141" t="n"/>
      <c r="X374" s="141" t="n"/>
      <c r="Y374" s="136" t="n"/>
      <c r="Z374" s="136" t="n"/>
      <c r="AA374" s="136" t="n"/>
      <c r="AB374" s="136" t="n"/>
      <c r="AC374" s="136" t="n"/>
      <c r="AD374" s="136" t="n"/>
      <c r="AE374" s="136" t="n"/>
      <c r="AF374" s="136" t="n"/>
      <c r="AG374" s="136" t="n"/>
      <c r="AH374" s="136" t="n"/>
      <c r="AI374" s="136" t="n"/>
      <c r="AJ374" s="136" t="n"/>
      <c r="AK374" s="136" t="n"/>
      <c r="AL374" s="136" t="n"/>
      <c r="AM374" s="136" t="n"/>
      <c r="AN374" s="136" t="n"/>
      <c r="AO374" s="136" t="n"/>
      <c r="AP374" s="136" t="n"/>
      <c r="AQ374" s="136" t="n"/>
      <c r="AR374" s="136" t="n"/>
    </row>
    <row r="375" ht="13.5" customHeight="1" s="196">
      <c r="A375" s="136" t="n"/>
      <c r="B375" s="136" t="n"/>
      <c r="C375" s="136" t="n"/>
      <c r="D375" s="141" t="n"/>
      <c r="E375" s="141" t="n"/>
      <c r="F375" s="141" t="n"/>
      <c r="G375" s="141" t="n"/>
      <c r="H375" s="141" t="n"/>
      <c r="I375" s="141" t="n"/>
      <c r="J375" s="141" t="n"/>
      <c r="K375" s="141" t="n"/>
      <c r="L375" s="141" t="n"/>
      <c r="M375" s="141" t="n"/>
      <c r="N375" s="141" t="n"/>
      <c r="O375" s="141" t="n"/>
      <c r="P375" s="141" t="n"/>
      <c r="Q375" s="141" t="n"/>
      <c r="R375" s="141" t="n"/>
      <c r="S375" s="141" t="n"/>
      <c r="T375" s="141" t="n"/>
      <c r="U375" s="141" t="n"/>
      <c r="V375" s="141" t="n"/>
      <c r="W375" s="141" t="n"/>
      <c r="X375" s="141" t="n"/>
      <c r="Y375" s="136" t="n"/>
      <c r="Z375" s="136" t="n"/>
      <c r="AA375" s="136" t="n"/>
      <c r="AB375" s="136" t="n"/>
      <c r="AC375" s="136" t="n"/>
      <c r="AD375" s="136" t="n"/>
      <c r="AE375" s="136" t="n"/>
      <c r="AF375" s="136" t="n"/>
      <c r="AG375" s="136" t="n"/>
      <c r="AH375" s="136" t="n"/>
      <c r="AI375" s="136" t="n"/>
      <c r="AJ375" s="136" t="n"/>
      <c r="AK375" s="136" t="n"/>
      <c r="AL375" s="136" t="n"/>
      <c r="AM375" s="136" t="n"/>
      <c r="AN375" s="136" t="n"/>
      <c r="AO375" s="136" t="n"/>
      <c r="AP375" s="136" t="n"/>
      <c r="AQ375" s="136" t="n"/>
      <c r="AR375" s="136" t="n"/>
    </row>
    <row r="376" ht="13.5" customHeight="1" s="196">
      <c r="A376" s="136" t="n"/>
      <c r="B376" s="136" t="n"/>
      <c r="C376" s="136" t="n"/>
      <c r="D376" s="141" t="n"/>
      <c r="E376" s="141" t="n"/>
      <c r="F376" s="141" t="n"/>
      <c r="G376" s="141" t="n"/>
      <c r="H376" s="141" t="n"/>
      <c r="I376" s="141" t="n"/>
      <c r="J376" s="141" t="n"/>
      <c r="K376" s="141" t="n"/>
      <c r="L376" s="141" t="n"/>
      <c r="M376" s="141" t="n"/>
      <c r="N376" s="141" t="n"/>
      <c r="O376" s="141" t="n"/>
      <c r="P376" s="141" t="n"/>
      <c r="Q376" s="141" t="n"/>
      <c r="R376" s="141" t="n"/>
      <c r="S376" s="141" t="n"/>
      <c r="T376" s="141" t="n"/>
      <c r="U376" s="141" t="n"/>
      <c r="V376" s="141" t="n"/>
      <c r="W376" s="141" t="n"/>
      <c r="X376" s="141" t="n"/>
      <c r="Y376" s="136" t="n"/>
      <c r="Z376" s="136" t="n"/>
      <c r="AA376" s="136" t="n"/>
      <c r="AB376" s="136" t="n"/>
      <c r="AC376" s="136" t="n"/>
      <c r="AD376" s="136" t="n"/>
      <c r="AE376" s="136" t="n"/>
      <c r="AF376" s="136" t="n"/>
      <c r="AG376" s="136" t="n"/>
      <c r="AH376" s="136" t="n"/>
      <c r="AI376" s="136" t="n"/>
      <c r="AJ376" s="136" t="n"/>
      <c r="AK376" s="136" t="n"/>
      <c r="AL376" s="136" t="n"/>
      <c r="AM376" s="136" t="n"/>
      <c r="AN376" s="136" t="n"/>
      <c r="AO376" s="136" t="n"/>
      <c r="AP376" s="136" t="n"/>
      <c r="AQ376" s="136" t="n"/>
      <c r="AR376" s="136" t="n"/>
    </row>
    <row r="377" ht="13.5" customHeight="1" s="196">
      <c r="A377" s="136" t="n"/>
      <c r="B377" s="136" t="n"/>
      <c r="C377" s="136" t="n"/>
      <c r="D377" s="141" t="n"/>
      <c r="E377" s="141" t="n"/>
      <c r="F377" s="141" t="n"/>
      <c r="G377" s="141" t="n"/>
      <c r="H377" s="141" t="n"/>
      <c r="I377" s="141" t="n"/>
      <c r="J377" s="141" t="n"/>
      <c r="K377" s="141" t="n"/>
      <c r="L377" s="141" t="n"/>
      <c r="M377" s="141" t="n"/>
      <c r="N377" s="141" t="n"/>
      <c r="O377" s="141" t="n"/>
      <c r="P377" s="141" t="n"/>
      <c r="Q377" s="141" t="n"/>
      <c r="R377" s="141" t="n"/>
      <c r="S377" s="141" t="n"/>
      <c r="T377" s="141" t="n"/>
      <c r="U377" s="141" t="n"/>
      <c r="V377" s="141" t="n"/>
      <c r="W377" s="141" t="n"/>
      <c r="X377" s="141" t="n"/>
      <c r="Y377" s="136" t="n"/>
      <c r="Z377" s="136" t="n"/>
      <c r="AA377" s="136" t="n"/>
      <c r="AB377" s="136" t="n"/>
      <c r="AC377" s="136" t="n"/>
      <c r="AD377" s="136" t="n"/>
      <c r="AE377" s="136" t="n"/>
      <c r="AF377" s="136" t="n"/>
      <c r="AG377" s="136" t="n"/>
      <c r="AH377" s="136" t="n"/>
      <c r="AI377" s="136" t="n"/>
      <c r="AJ377" s="136" t="n"/>
      <c r="AK377" s="136" t="n"/>
      <c r="AL377" s="136" t="n"/>
      <c r="AM377" s="136" t="n"/>
      <c r="AN377" s="136" t="n"/>
      <c r="AO377" s="136" t="n"/>
      <c r="AP377" s="136" t="n"/>
      <c r="AQ377" s="136" t="n"/>
      <c r="AR377" s="136" t="n"/>
    </row>
    <row r="378" ht="13.5" customHeight="1" s="196">
      <c r="A378" s="136" t="n"/>
      <c r="B378" s="136" t="n"/>
      <c r="C378" s="136" t="n"/>
      <c r="D378" s="141" t="n"/>
      <c r="E378" s="141" t="n"/>
      <c r="F378" s="141" t="n"/>
      <c r="G378" s="141" t="n"/>
      <c r="H378" s="141" t="n"/>
      <c r="I378" s="141" t="n"/>
      <c r="J378" s="141" t="n"/>
      <c r="K378" s="141" t="n"/>
      <c r="L378" s="141" t="n"/>
      <c r="M378" s="141" t="n"/>
      <c r="N378" s="141" t="n"/>
      <c r="O378" s="141" t="n"/>
      <c r="P378" s="141" t="n"/>
      <c r="Q378" s="141" t="n"/>
      <c r="R378" s="141" t="n"/>
      <c r="S378" s="141" t="n"/>
      <c r="T378" s="141" t="n"/>
      <c r="U378" s="141" t="n"/>
      <c r="V378" s="141" t="n"/>
      <c r="W378" s="141" t="n"/>
      <c r="X378" s="141" t="n"/>
      <c r="Y378" s="136" t="n"/>
      <c r="Z378" s="136" t="n"/>
      <c r="AA378" s="136" t="n"/>
      <c r="AB378" s="136" t="n"/>
      <c r="AC378" s="136" t="n"/>
      <c r="AD378" s="136" t="n"/>
      <c r="AE378" s="136" t="n"/>
      <c r="AF378" s="136" t="n"/>
      <c r="AG378" s="136" t="n"/>
      <c r="AH378" s="136" t="n"/>
      <c r="AI378" s="136" t="n"/>
      <c r="AJ378" s="136" t="n"/>
      <c r="AK378" s="136" t="n"/>
      <c r="AL378" s="136" t="n"/>
      <c r="AM378" s="136" t="n"/>
      <c r="AN378" s="136" t="n"/>
      <c r="AO378" s="136" t="n"/>
      <c r="AP378" s="136" t="n"/>
      <c r="AQ378" s="136" t="n"/>
      <c r="AR378" s="136" t="n"/>
    </row>
    <row r="379" ht="13.5" customHeight="1" s="196">
      <c r="A379" s="136" t="n"/>
      <c r="B379" s="136" t="n"/>
      <c r="C379" s="136" t="n"/>
      <c r="D379" s="141" t="n"/>
      <c r="E379" s="141" t="n"/>
      <c r="F379" s="141" t="n"/>
      <c r="G379" s="141" t="n"/>
      <c r="H379" s="141" t="n"/>
      <c r="I379" s="141" t="n"/>
      <c r="J379" s="141" t="n"/>
      <c r="K379" s="141" t="n"/>
      <c r="L379" s="141" t="n"/>
      <c r="M379" s="141" t="n"/>
      <c r="N379" s="141" t="n"/>
      <c r="O379" s="141" t="n"/>
      <c r="P379" s="141" t="n"/>
      <c r="Q379" s="141" t="n"/>
      <c r="R379" s="141" t="n"/>
      <c r="S379" s="141" t="n"/>
      <c r="T379" s="141" t="n"/>
      <c r="U379" s="141" t="n"/>
      <c r="V379" s="141" t="n"/>
      <c r="W379" s="141" t="n"/>
      <c r="X379" s="141" t="n"/>
      <c r="Y379" s="136" t="n"/>
      <c r="Z379" s="136" t="n"/>
      <c r="AA379" s="136" t="n"/>
      <c r="AB379" s="136" t="n"/>
      <c r="AC379" s="136" t="n"/>
      <c r="AD379" s="136" t="n"/>
      <c r="AE379" s="136" t="n"/>
      <c r="AF379" s="136" t="n"/>
      <c r="AG379" s="136" t="n"/>
      <c r="AH379" s="136" t="n"/>
      <c r="AI379" s="136" t="n"/>
      <c r="AJ379" s="136" t="n"/>
      <c r="AK379" s="136" t="n"/>
      <c r="AL379" s="136" t="n"/>
      <c r="AM379" s="136" t="n"/>
      <c r="AN379" s="136" t="n"/>
      <c r="AO379" s="136" t="n"/>
      <c r="AP379" s="136" t="n"/>
      <c r="AQ379" s="136" t="n"/>
      <c r="AR379" s="136" t="n"/>
    </row>
    <row r="380" ht="13.5" customHeight="1" s="196">
      <c r="A380" s="136" t="n"/>
      <c r="B380" s="136" t="n"/>
      <c r="C380" s="136" t="n"/>
      <c r="D380" s="141" t="n"/>
      <c r="E380" s="141" t="n"/>
      <c r="F380" s="141" t="n"/>
      <c r="G380" s="141" t="n"/>
      <c r="H380" s="141" t="n"/>
      <c r="I380" s="141" t="n"/>
      <c r="J380" s="141" t="n"/>
      <c r="K380" s="141" t="n"/>
      <c r="L380" s="141" t="n"/>
      <c r="M380" s="141" t="n"/>
      <c r="N380" s="141" t="n"/>
      <c r="O380" s="141" t="n"/>
      <c r="P380" s="141" t="n"/>
      <c r="Q380" s="141" t="n"/>
      <c r="R380" s="141" t="n"/>
      <c r="S380" s="141" t="n"/>
      <c r="T380" s="141" t="n"/>
      <c r="U380" s="141" t="n"/>
      <c r="V380" s="141" t="n"/>
      <c r="W380" s="141" t="n"/>
      <c r="X380" s="141" t="n"/>
      <c r="Y380" s="136" t="n"/>
      <c r="Z380" s="136" t="n"/>
      <c r="AA380" s="136" t="n"/>
      <c r="AB380" s="136" t="n"/>
      <c r="AC380" s="136" t="n"/>
      <c r="AD380" s="136" t="n"/>
      <c r="AE380" s="136" t="n"/>
      <c r="AF380" s="136" t="n"/>
      <c r="AG380" s="136" t="n"/>
      <c r="AH380" s="136" t="n"/>
      <c r="AI380" s="136" t="n"/>
      <c r="AJ380" s="136" t="n"/>
      <c r="AK380" s="136" t="n"/>
      <c r="AL380" s="136" t="n"/>
      <c r="AM380" s="136" t="n"/>
      <c r="AN380" s="136" t="n"/>
      <c r="AO380" s="136" t="n"/>
      <c r="AP380" s="136" t="n"/>
      <c r="AQ380" s="136" t="n"/>
      <c r="AR380" s="136" t="n"/>
    </row>
    <row r="381" ht="13.5" customHeight="1" s="196">
      <c r="A381" s="136" t="n"/>
      <c r="B381" s="136" t="n"/>
      <c r="C381" s="136" t="n"/>
      <c r="D381" s="141" t="n"/>
      <c r="E381" s="141" t="n"/>
      <c r="F381" s="141" t="n"/>
      <c r="G381" s="141" t="n"/>
      <c r="H381" s="141" t="n"/>
      <c r="I381" s="141" t="n"/>
      <c r="J381" s="141" t="n"/>
      <c r="K381" s="141" t="n"/>
      <c r="L381" s="141" t="n"/>
      <c r="M381" s="141" t="n"/>
      <c r="N381" s="141" t="n"/>
      <c r="O381" s="141" t="n"/>
      <c r="P381" s="141" t="n"/>
      <c r="Q381" s="141" t="n"/>
      <c r="R381" s="141" t="n"/>
      <c r="S381" s="141" t="n"/>
      <c r="T381" s="141" t="n"/>
      <c r="U381" s="141" t="n"/>
      <c r="V381" s="141" t="n"/>
      <c r="W381" s="141" t="n"/>
      <c r="X381" s="141" t="n"/>
      <c r="Y381" s="136" t="n"/>
      <c r="Z381" s="136" t="n"/>
      <c r="AA381" s="136" t="n"/>
      <c r="AB381" s="136" t="n"/>
      <c r="AC381" s="136" t="n"/>
      <c r="AD381" s="136" t="n"/>
      <c r="AE381" s="136" t="n"/>
      <c r="AF381" s="136" t="n"/>
      <c r="AG381" s="136" t="n"/>
      <c r="AH381" s="136" t="n"/>
      <c r="AI381" s="136" t="n"/>
      <c r="AJ381" s="136" t="n"/>
      <c r="AK381" s="136" t="n"/>
      <c r="AL381" s="136" t="n"/>
      <c r="AM381" s="136" t="n"/>
      <c r="AN381" s="136" t="n"/>
      <c r="AO381" s="136" t="n"/>
      <c r="AP381" s="136" t="n"/>
      <c r="AQ381" s="136" t="n"/>
      <c r="AR381" s="136" t="n"/>
    </row>
    <row r="382" ht="13.5" customHeight="1" s="196">
      <c r="A382" s="136" t="n"/>
      <c r="B382" s="136" t="n"/>
      <c r="C382" s="136" t="n"/>
      <c r="D382" s="141" t="n"/>
      <c r="E382" s="141" t="n"/>
      <c r="F382" s="141" t="n"/>
      <c r="G382" s="141" t="n"/>
      <c r="H382" s="141" t="n"/>
      <c r="I382" s="141" t="n"/>
      <c r="J382" s="141" t="n"/>
      <c r="K382" s="141" t="n"/>
      <c r="L382" s="141" t="n"/>
      <c r="M382" s="141" t="n"/>
      <c r="N382" s="141" t="n"/>
      <c r="O382" s="141" t="n"/>
      <c r="P382" s="141" t="n"/>
      <c r="Q382" s="141" t="n"/>
      <c r="R382" s="141" t="n"/>
      <c r="S382" s="141" t="n"/>
      <c r="T382" s="141" t="n"/>
      <c r="U382" s="141" t="n"/>
      <c r="V382" s="141" t="n"/>
      <c r="W382" s="141" t="n"/>
      <c r="X382" s="141" t="n"/>
      <c r="Y382" s="136" t="n"/>
      <c r="Z382" s="136" t="n"/>
      <c r="AA382" s="136" t="n"/>
      <c r="AB382" s="136" t="n"/>
      <c r="AC382" s="136" t="n"/>
      <c r="AD382" s="136" t="n"/>
      <c r="AE382" s="136" t="n"/>
      <c r="AF382" s="136" t="n"/>
      <c r="AG382" s="136" t="n"/>
      <c r="AH382" s="136" t="n"/>
      <c r="AI382" s="136" t="n"/>
      <c r="AJ382" s="136" t="n"/>
      <c r="AK382" s="136" t="n"/>
      <c r="AL382" s="136" t="n"/>
      <c r="AM382" s="136" t="n"/>
      <c r="AN382" s="136" t="n"/>
      <c r="AO382" s="136" t="n"/>
      <c r="AP382" s="136" t="n"/>
      <c r="AQ382" s="136" t="n"/>
      <c r="AR382" s="136" t="n"/>
    </row>
    <row r="383" ht="13.5" customHeight="1" s="196">
      <c r="A383" s="136" t="n"/>
      <c r="B383" s="136" t="n"/>
      <c r="C383" s="136" t="n"/>
      <c r="D383" s="141" t="n"/>
      <c r="E383" s="141" t="n"/>
      <c r="F383" s="141" t="n"/>
      <c r="G383" s="141" t="n"/>
      <c r="H383" s="141" t="n"/>
      <c r="I383" s="141" t="n"/>
      <c r="J383" s="141" t="n"/>
      <c r="K383" s="141" t="n"/>
      <c r="L383" s="141" t="n"/>
      <c r="M383" s="141" t="n"/>
      <c r="N383" s="141" t="n"/>
      <c r="O383" s="141" t="n"/>
      <c r="P383" s="141" t="n"/>
      <c r="Q383" s="141" t="n"/>
      <c r="R383" s="141" t="n"/>
      <c r="S383" s="141" t="n"/>
      <c r="T383" s="141" t="n"/>
      <c r="U383" s="141" t="n"/>
      <c r="V383" s="141" t="n"/>
      <c r="W383" s="141" t="n"/>
      <c r="X383" s="141" t="n"/>
      <c r="Y383" s="136" t="n"/>
      <c r="Z383" s="136" t="n"/>
      <c r="AA383" s="136" t="n"/>
      <c r="AB383" s="136" t="n"/>
      <c r="AC383" s="136" t="n"/>
      <c r="AD383" s="136" t="n"/>
      <c r="AE383" s="136" t="n"/>
      <c r="AF383" s="136" t="n"/>
      <c r="AG383" s="136" t="n"/>
      <c r="AH383" s="136" t="n"/>
      <c r="AI383" s="136" t="n"/>
      <c r="AJ383" s="136" t="n"/>
      <c r="AK383" s="136" t="n"/>
      <c r="AL383" s="136" t="n"/>
      <c r="AM383" s="136" t="n"/>
      <c r="AN383" s="136" t="n"/>
      <c r="AO383" s="136" t="n"/>
      <c r="AP383" s="136" t="n"/>
      <c r="AQ383" s="136" t="n"/>
      <c r="AR383" s="136" t="n"/>
    </row>
    <row r="384" ht="13.5" customHeight="1" s="196">
      <c r="A384" s="136" t="n"/>
      <c r="B384" s="136" t="n"/>
      <c r="C384" s="136" t="n"/>
      <c r="D384" s="141" t="n"/>
      <c r="E384" s="141" t="n"/>
      <c r="F384" s="141" t="n"/>
      <c r="G384" s="141" t="n"/>
      <c r="H384" s="141" t="n"/>
      <c r="I384" s="141" t="n"/>
      <c r="J384" s="141" t="n"/>
      <c r="K384" s="141" t="n"/>
      <c r="L384" s="141" t="n"/>
      <c r="M384" s="141" t="n"/>
      <c r="N384" s="141" t="n"/>
      <c r="O384" s="141" t="n"/>
      <c r="P384" s="141" t="n"/>
      <c r="Q384" s="141" t="n"/>
      <c r="R384" s="141" t="n"/>
      <c r="S384" s="141" t="n"/>
      <c r="T384" s="141" t="n"/>
      <c r="U384" s="141" t="n"/>
      <c r="V384" s="141" t="n"/>
      <c r="W384" s="141" t="n"/>
      <c r="X384" s="141" t="n"/>
      <c r="Y384" s="136" t="n"/>
      <c r="Z384" s="136" t="n"/>
      <c r="AA384" s="136" t="n"/>
      <c r="AB384" s="136" t="n"/>
      <c r="AC384" s="136" t="n"/>
      <c r="AD384" s="136" t="n"/>
      <c r="AE384" s="136" t="n"/>
      <c r="AF384" s="136" t="n"/>
      <c r="AG384" s="136" t="n"/>
      <c r="AH384" s="136" t="n"/>
      <c r="AI384" s="136" t="n"/>
      <c r="AJ384" s="136" t="n"/>
      <c r="AK384" s="136" t="n"/>
      <c r="AL384" s="136" t="n"/>
      <c r="AM384" s="136" t="n"/>
      <c r="AN384" s="136" t="n"/>
      <c r="AO384" s="136" t="n"/>
      <c r="AP384" s="136" t="n"/>
      <c r="AQ384" s="136" t="n"/>
      <c r="AR384" s="136" t="n"/>
    </row>
    <row r="385" ht="13.5" customHeight="1" s="196">
      <c r="A385" s="136" t="n"/>
      <c r="B385" s="136" t="n"/>
      <c r="C385" s="136" t="n"/>
      <c r="D385" s="141" t="n"/>
      <c r="E385" s="141" t="n"/>
      <c r="F385" s="141" t="n"/>
      <c r="G385" s="141" t="n"/>
      <c r="H385" s="141" t="n"/>
      <c r="I385" s="141" t="n"/>
      <c r="J385" s="141" t="n"/>
      <c r="K385" s="141" t="n"/>
      <c r="L385" s="141" t="n"/>
      <c r="M385" s="141" t="n"/>
      <c r="N385" s="141" t="n"/>
      <c r="O385" s="141" t="n"/>
      <c r="P385" s="141" t="n"/>
      <c r="Q385" s="141" t="n"/>
      <c r="R385" s="141" t="n"/>
      <c r="S385" s="141" t="n"/>
      <c r="T385" s="141" t="n"/>
      <c r="U385" s="141" t="n"/>
      <c r="V385" s="141" t="n"/>
      <c r="W385" s="141" t="n"/>
      <c r="X385" s="141" t="n"/>
      <c r="Y385" s="136" t="n"/>
      <c r="Z385" s="136" t="n"/>
      <c r="AA385" s="136" t="n"/>
      <c r="AB385" s="136" t="n"/>
      <c r="AC385" s="136" t="n"/>
      <c r="AD385" s="136" t="n"/>
      <c r="AE385" s="136" t="n"/>
      <c r="AF385" s="136" t="n"/>
      <c r="AG385" s="136" t="n"/>
      <c r="AH385" s="136" t="n"/>
      <c r="AI385" s="136" t="n"/>
      <c r="AJ385" s="136" t="n"/>
      <c r="AK385" s="136" t="n"/>
      <c r="AL385" s="136" t="n"/>
      <c r="AM385" s="136" t="n"/>
      <c r="AN385" s="136" t="n"/>
      <c r="AO385" s="136" t="n"/>
      <c r="AP385" s="136" t="n"/>
      <c r="AQ385" s="136" t="n"/>
      <c r="AR385" s="136" t="n"/>
    </row>
    <row r="386" ht="13.5" customHeight="1" s="196">
      <c r="A386" s="136" t="n"/>
      <c r="B386" s="136" t="n"/>
      <c r="C386" s="136" t="n"/>
      <c r="D386" s="141" t="n"/>
      <c r="E386" s="141" t="n"/>
      <c r="F386" s="141" t="n"/>
      <c r="G386" s="141" t="n"/>
      <c r="H386" s="141" t="n"/>
      <c r="I386" s="141" t="n"/>
      <c r="J386" s="141" t="n"/>
      <c r="K386" s="141" t="n"/>
      <c r="L386" s="141" t="n"/>
      <c r="M386" s="141" t="n"/>
      <c r="N386" s="141" t="n"/>
      <c r="O386" s="141" t="n"/>
      <c r="P386" s="141" t="n"/>
      <c r="Q386" s="141" t="n"/>
      <c r="R386" s="141" t="n"/>
      <c r="S386" s="141" t="n"/>
      <c r="T386" s="141" t="n"/>
      <c r="U386" s="141" t="n"/>
      <c r="V386" s="141" t="n"/>
      <c r="W386" s="141" t="n"/>
      <c r="X386" s="141" t="n"/>
      <c r="Y386" s="136" t="n"/>
      <c r="Z386" s="136" t="n"/>
      <c r="AA386" s="136" t="n"/>
      <c r="AB386" s="136" t="n"/>
      <c r="AC386" s="136" t="n"/>
      <c r="AD386" s="136" t="n"/>
      <c r="AE386" s="136" t="n"/>
      <c r="AF386" s="136" t="n"/>
      <c r="AG386" s="136" t="n"/>
      <c r="AH386" s="136" t="n"/>
      <c r="AI386" s="136" t="n"/>
      <c r="AJ386" s="136" t="n"/>
      <c r="AK386" s="136" t="n"/>
      <c r="AL386" s="136" t="n"/>
      <c r="AM386" s="136" t="n"/>
      <c r="AN386" s="136" t="n"/>
      <c r="AO386" s="136" t="n"/>
      <c r="AP386" s="136" t="n"/>
      <c r="AQ386" s="136" t="n"/>
      <c r="AR386" s="136" t="n"/>
    </row>
    <row r="387" ht="13.5" customHeight="1" s="196">
      <c r="A387" s="136" t="n"/>
      <c r="B387" s="136" t="n"/>
      <c r="C387" s="136" t="n"/>
      <c r="D387" s="141" t="n"/>
      <c r="E387" s="141" t="n"/>
      <c r="F387" s="141" t="n"/>
      <c r="G387" s="141" t="n"/>
      <c r="H387" s="141" t="n"/>
      <c r="I387" s="141" t="n"/>
      <c r="J387" s="141" t="n"/>
      <c r="K387" s="141" t="n"/>
      <c r="L387" s="141" t="n"/>
      <c r="M387" s="141" t="n"/>
      <c r="N387" s="141" t="n"/>
      <c r="O387" s="141" t="n"/>
      <c r="P387" s="141" t="n"/>
      <c r="Q387" s="141" t="n"/>
      <c r="R387" s="141" t="n"/>
      <c r="S387" s="141" t="n"/>
      <c r="T387" s="141" t="n"/>
      <c r="U387" s="141" t="n"/>
      <c r="V387" s="141" t="n"/>
      <c r="W387" s="141" t="n"/>
      <c r="X387" s="141" t="n"/>
      <c r="Y387" s="136" t="n"/>
      <c r="Z387" s="136" t="n"/>
      <c r="AA387" s="136" t="n"/>
      <c r="AB387" s="136" t="n"/>
      <c r="AC387" s="136" t="n"/>
      <c r="AD387" s="136" t="n"/>
      <c r="AE387" s="136" t="n"/>
      <c r="AF387" s="136" t="n"/>
      <c r="AG387" s="136" t="n"/>
      <c r="AH387" s="136" t="n"/>
      <c r="AI387" s="136" t="n"/>
      <c r="AJ387" s="136" t="n"/>
      <c r="AK387" s="136" t="n"/>
      <c r="AL387" s="136" t="n"/>
      <c r="AM387" s="136" t="n"/>
      <c r="AN387" s="136" t="n"/>
      <c r="AO387" s="136" t="n"/>
      <c r="AP387" s="136" t="n"/>
      <c r="AQ387" s="136" t="n"/>
      <c r="AR387" s="136" t="n"/>
    </row>
    <row r="388" ht="13.5" customHeight="1" s="196">
      <c r="A388" s="136" t="n"/>
      <c r="B388" s="136" t="n"/>
      <c r="C388" s="136" t="n"/>
      <c r="D388" s="141" t="n"/>
      <c r="E388" s="141" t="n"/>
      <c r="F388" s="141" t="n"/>
      <c r="G388" s="141" t="n"/>
      <c r="H388" s="141" t="n"/>
      <c r="I388" s="141" t="n"/>
      <c r="J388" s="141" t="n"/>
      <c r="K388" s="141" t="n"/>
      <c r="L388" s="141" t="n"/>
      <c r="M388" s="141" t="n"/>
      <c r="N388" s="141" t="n"/>
      <c r="O388" s="141" t="n"/>
      <c r="P388" s="141" t="n"/>
      <c r="Q388" s="141" t="n"/>
      <c r="R388" s="141" t="n"/>
      <c r="S388" s="141" t="n"/>
      <c r="T388" s="141" t="n"/>
      <c r="U388" s="141" t="n"/>
      <c r="V388" s="141" t="n"/>
      <c r="W388" s="141" t="n"/>
      <c r="X388" s="141" t="n"/>
      <c r="Y388" s="136" t="n"/>
      <c r="Z388" s="136" t="n"/>
      <c r="AA388" s="136" t="n"/>
      <c r="AB388" s="136" t="n"/>
      <c r="AC388" s="136" t="n"/>
      <c r="AD388" s="136" t="n"/>
      <c r="AE388" s="136" t="n"/>
      <c r="AF388" s="136" t="n"/>
      <c r="AG388" s="136" t="n"/>
      <c r="AH388" s="136" t="n"/>
      <c r="AI388" s="136" t="n"/>
      <c r="AJ388" s="136" t="n"/>
      <c r="AK388" s="136" t="n"/>
      <c r="AL388" s="136" t="n"/>
      <c r="AM388" s="136" t="n"/>
      <c r="AN388" s="136" t="n"/>
      <c r="AO388" s="136" t="n"/>
      <c r="AP388" s="136" t="n"/>
      <c r="AQ388" s="136" t="n"/>
      <c r="AR388" s="136" t="n"/>
    </row>
    <row r="389" ht="13.5" customHeight="1" s="196">
      <c r="A389" s="136" t="n"/>
      <c r="B389" s="136" t="n"/>
      <c r="C389" s="136" t="n"/>
      <c r="D389" s="141" t="n"/>
      <c r="E389" s="141" t="n"/>
      <c r="F389" s="141" t="n"/>
      <c r="G389" s="141" t="n"/>
      <c r="H389" s="141" t="n"/>
      <c r="I389" s="141" t="n"/>
      <c r="J389" s="141" t="n"/>
      <c r="K389" s="141" t="n"/>
      <c r="L389" s="141" t="n"/>
      <c r="M389" s="141" t="n"/>
      <c r="N389" s="141" t="n"/>
      <c r="O389" s="141" t="n"/>
      <c r="P389" s="141" t="n"/>
      <c r="Q389" s="141" t="n"/>
      <c r="R389" s="141" t="n"/>
      <c r="S389" s="141" t="n"/>
      <c r="T389" s="141" t="n"/>
      <c r="U389" s="141" t="n"/>
      <c r="V389" s="141" t="n"/>
      <c r="W389" s="141" t="n"/>
      <c r="X389" s="141" t="n"/>
      <c r="Y389" s="136" t="n"/>
      <c r="Z389" s="136" t="n"/>
      <c r="AA389" s="136" t="n"/>
      <c r="AB389" s="136" t="n"/>
      <c r="AC389" s="136" t="n"/>
      <c r="AD389" s="136" t="n"/>
      <c r="AE389" s="136" t="n"/>
      <c r="AF389" s="136" t="n"/>
      <c r="AG389" s="136" t="n"/>
      <c r="AH389" s="136" t="n"/>
      <c r="AI389" s="136" t="n"/>
      <c r="AJ389" s="136" t="n"/>
      <c r="AK389" s="136" t="n"/>
      <c r="AL389" s="136" t="n"/>
      <c r="AM389" s="136" t="n"/>
      <c r="AN389" s="136" t="n"/>
      <c r="AO389" s="136" t="n"/>
      <c r="AP389" s="136" t="n"/>
      <c r="AQ389" s="136" t="n"/>
      <c r="AR389" s="136" t="n"/>
    </row>
    <row r="390" ht="13.5" customHeight="1" s="196">
      <c r="A390" s="136" t="n"/>
      <c r="B390" s="136" t="n"/>
      <c r="C390" s="136" t="n"/>
      <c r="D390" s="141" t="n"/>
      <c r="E390" s="141" t="n"/>
      <c r="F390" s="141" t="n"/>
      <c r="G390" s="141" t="n"/>
      <c r="H390" s="141" t="n"/>
      <c r="I390" s="141" t="n"/>
      <c r="J390" s="141" t="n"/>
      <c r="K390" s="141" t="n"/>
      <c r="L390" s="141" t="n"/>
      <c r="M390" s="141" t="n"/>
      <c r="N390" s="141" t="n"/>
      <c r="O390" s="141" t="n"/>
      <c r="P390" s="141" t="n"/>
      <c r="Q390" s="141" t="n"/>
      <c r="R390" s="141" t="n"/>
      <c r="S390" s="141" t="n"/>
      <c r="T390" s="141" t="n"/>
      <c r="U390" s="141" t="n"/>
      <c r="V390" s="141" t="n"/>
      <c r="W390" s="141" t="n"/>
      <c r="X390" s="141" t="n"/>
      <c r="Y390" s="136" t="n"/>
      <c r="Z390" s="136" t="n"/>
      <c r="AA390" s="136" t="n"/>
      <c r="AB390" s="136" t="n"/>
      <c r="AC390" s="136" t="n"/>
      <c r="AD390" s="136" t="n"/>
      <c r="AE390" s="136" t="n"/>
      <c r="AF390" s="136" t="n"/>
      <c r="AG390" s="136" t="n"/>
      <c r="AH390" s="136" t="n"/>
      <c r="AI390" s="136" t="n"/>
      <c r="AJ390" s="136" t="n"/>
      <c r="AK390" s="136" t="n"/>
      <c r="AL390" s="136" t="n"/>
      <c r="AM390" s="136" t="n"/>
      <c r="AN390" s="136" t="n"/>
      <c r="AO390" s="136" t="n"/>
      <c r="AP390" s="136" t="n"/>
      <c r="AQ390" s="136" t="n"/>
      <c r="AR390" s="136" t="n"/>
    </row>
    <row r="391" ht="13.5" customHeight="1" s="196">
      <c r="A391" s="136" t="n"/>
      <c r="B391" s="136" t="n"/>
      <c r="C391" s="136" t="n"/>
      <c r="D391" s="141" t="n"/>
      <c r="E391" s="141" t="n"/>
      <c r="F391" s="141" t="n"/>
      <c r="G391" s="141" t="n"/>
      <c r="H391" s="141" t="n"/>
      <c r="I391" s="141" t="n"/>
      <c r="J391" s="141" t="n"/>
      <c r="K391" s="141" t="n"/>
      <c r="L391" s="141" t="n"/>
      <c r="M391" s="141" t="n"/>
      <c r="N391" s="141" t="n"/>
      <c r="O391" s="141" t="n"/>
      <c r="P391" s="141" t="n"/>
      <c r="Q391" s="141" t="n"/>
      <c r="R391" s="141" t="n"/>
      <c r="S391" s="141" t="n"/>
      <c r="T391" s="141" t="n"/>
      <c r="U391" s="141" t="n"/>
      <c r="V391" s="141" t="n"/>
      <c r="W391" s="141" t="n"/>
      <c r="X391" s="141" t="n"/>
      <c r="Y391" s="136" t="n"/>
      <c r="Z391" s="136" t="n"/>
      <c r="AA391" s="136" t="n"/>
      <c r="AB391" s="136" t="n"/>
      <c r="AC391" s="136" t="n"/>
      <c r="AD391" s="136" t="n"/>
      <c r="AE391" s="136" t="n"/>
      <c r="AF391" s="136" t="n"/>
      <c r="AG391" s="136" t="n"/>
      <c r="AH391" s="136" t="n"/>
      <c r="AI391" s="136" t="n"/>
      <c r="AJ391" s="136" t="n"/>
      <c r="AK391" s="136" t="n"/>
      <c r="AL391" s="136" t="n"/>
      <c r="AM391" s="136" t="n"/>
      <c r="AN391" s="136" t="n"/>
      <c r="AO391" s="136" t="n"/>
      <c r="AP391" s="136" t="n"/>
      <c r="AQ391" s="136" t="n"/>
      <c r="AR391" s="136" t="n"/>
    </row>
    <row r="392" ht="13.5" customHeight="1" s="196">
      <c r="A392" s="136" t="n"/>
      <c r="B392" s="136" t="n"/>
      <c r="C392" s="136" t="n"/>
      <c r="D392" s="141" t="n"/>
      <c r="E392" s="141" t="n"/>
      <c r="F392" s="141" t="n"/>
      <c r="G392" s="141" t="n"/>
      <c r="H392" s="141" t="n"/>
      <c r="I392" s="141" t="n"/>
      <c r="J392" s="141" t="n"/>
      <c r="K392" s="141" t="n"/>
      <c r="L392" s="141" t="n"/>
      <c r="M392" s="141" t="n"/>
      <c r="N392" s="141" t="n"/>
      <c r="O392" s="141" t="n"/>
      <c r="P392" s="141" t="n"/>
      <c r="Q392" s="141" t="n"/>
      <c r="R392" s="141" t="n"/>
      <c r="S392" s="141" t="n"/>
      <c r="T392" s="141" t="n"/>
      <c r="U392" s="141" t="n"/>
      <c r="V392" s="141" t="n"/>
      <c r="W392" s="141" t="n"/>
      <c r="X392" s="141" t="n"/>
      <c r="Y392" s="136" t="n"/>
      <c r="Z392" s="136" t="n"/>
      <c r="AA392" s="136" t="n"/>
      <c r="AB392" s="136" t="n"/>
      <c r="AC392" s="136" t="n"/>
      <c r="AD392" s="136" t="n"/>
      <c r="AE392" s="136" t="n"/>
      <c r="AF392" s="136" t="n"/>
      <c r="AG392" s="136" t="n"/>
      <c r="AH392" s="136" t="n"/>
      <c r="AI392" s="136" t="n"/>
      <c r="AJ392" s="136" t="n"/>
      <c r="AK392" s="136" t="n"/>
      <c r="AL392" s="136" t="n"/>
      <c r="AM392" s="136" t="n"/>
      <c r="AN392" s="136" t="n"/>
      <c r="AO392" s="136" t="n"/>
      <c r="AP392" s="136" t="n"/>
      <c r="AQ392" s="136" t="n"/>
      <c r="AR392" s="136" t="n"/>
    </row>
    <row r="393" ht="13.5" customHeight="1" s="196">
      <c r="A393" s="136" t="n"/>
      <c r="B393" s="136" t="n"/>
      <c r="C393" s="136" t="n"/>
      <c r="D393" s="141" t="n"/>
      <c r="E393" s="141" t="n"/>
      <c r="F393" s="141" t="n"/>
      <c r="G393" s="141" t="n"/>
      <c r="H393" s="141" t="n"/>
      <c r="I393" s="141" t="n"/>
      <c r="J393" s="141" t="n"/>
      <c r="K393" s="141" t="n"/>
      <c r="L393" s="141" t="n"/>
      <c r="M393" s="141" t="n"/>
      <c r="N393" s="141" t="n"/>
      <c r="O393" s="141" t="n"/>
      <c r="P393" s="141" t="n"/>
      <c r="Q393" s="141" t="n"/>
      <c r="R393" s="141" t="n"/>
      <c r="S393" s="141" t="n"/>
      <c r="T393" s="141" t="n"/>
      <c r="U393" s="141" t="n"/>
      <c r="V393" s="141" t="n"/>
      <c r="W393" s="141" t="n"/>
      <c r="X393" s="141" t="n"/>
      <c r="Y393" s="136" t="n"/>
      <c r="Z393" s="136" t="n"/>
      <c r="AA393" s="136" t="n"/>
      <c r="AB393" s="136" t="n"/>
      <c r="AC393" s="136" t="n"/>
      <c r="AD393" s="136" t="n"/>
      <c r="AE393" s="136" t="n"/>
      <c r="AF393" s="136" t="n"/>
      <c r="AG393" s="136" t="n"/>
      <c r="AH393" s="136" t="n"/>
      <c r="AI393" s="136" t="n"/>
      <c r="AJ393" s="136" t="n"/>
      <c r="AK393" s="136" t="n"/>
      <c r="AL393" s="136" t="n"/>
      <c r="AM393" s="136" t="n"/>
      <c r="AN393" s="136" t="n"/>
      <c r="AO393" s="136" t="n"/>
      <c r="AP393" s="136" t="n"/>
      <c r="AQ393" s="136" t="n"/>
      <c r="AR393" s="136" t="n"/>
    </row>
    <row r="394" ht="13.5" customHeight="1" s="196">
      <c r="A394" s="136" t="n"/>
      <c r="B394" s="136" t="n"/>
      <c r="C394" s="136" t="n"/>
      <c r="D394" s="141" t="n"/>
      <c r="E394" s="141" t="n"/>
      <c r="F394" s="141" t="n"/>
      <c r="G394" s="141" t="n"/>
      <c r="H394" s="141" t="n"/>
      <c r="I394" s="141" t="n"/>
      <c r="J394" s="141" t="n"/>
      <c r="K394" s="141" t="n"/>
      <c r="L394" s="141" t="n"/>
      <c r="M394" s="141" t="n"/>
      <c r="N394" s="141" t="n"/>
      <c r="O394" s="141" t="n"/>
      <c r="P394" s="141" t="n"/>
      <c r="Q394" s="141" t="n"/>
      <c r="R394" s="141" t="n"/>
      <c r="S394" s="141" t="n"/>
      <c r="T394" s="141" t="n"/>
      <c r="U394" s="141" t="n"/>
      <c r="V394" s="141" t="n"/>
      <c r="W394" s="141" t="n"/>
      <c r="X394" s="141" t="n"/>
      <c r="Y394" s="136" t="n"/>
      <c r="Z394" s="136" t="n"/>
      <c r="AA394" s="136" t="n"/>
      <c r="AB394" s="136" t="n"/>
      <c r="AC394" s="136" t="n"/>
      <c r="AD394" s="136" t="n"/>
      <c r="AE394" s="136" t="n"/>
      <c r="AF394" s="136" t="n"/>
      <c r="AG394" s="136" t="n"/>
      <c r="AH394" s="136" t="n"/>
      <c r="AI394" s="136" t="n"/>
      <c r="AJ394" s="136" t="n"/>
      <c r="AK394" s="136" t="n"/>
      <c r="AL394" s="136" t="n"/>
      <c r="AM394" s="136" t="n"/>
      <c r="AN394" s="136" t="n"/>
      <c r="AO394" s="136" t="n"/>
      <c r="AP394" s="136" t="n"/>
      <c r="AQ394" s="136" t="n"/>
      <c r="AR394" s="136" t="n"/>
    </row>
    <row r="395" ht="13.5" customHeight="1" s="196">
      <c r="A395" s="136" t="n"/>
      <c r="B395" s="136" t="n"/>
      <c r="C395" s="136" t="n"/>
      <c r="D395" s="141" t="n"/>
      <c r="E395" s="141" t="n"/>
      <c r="F395" s="141" t="n"/>
      <c r="G395" s="141" t="n"/>
      <c r="H395" s="141" t="n"/>
      <c r="I395" s="141" t="n"/>
      <c r="J395" s="141" t="n"/>
      <c r="K395" s="141" t="n"/>
      <c r="L395" s="141" t="n"/>
      <c r="M395" s="141" t="n"/>
      <c r="N395" s="141" t="n"/>
      <c r="O395" s="141" t="n"/>
      <c r="P395" s="141" t="n"/>
      <c r="Q395" s="141" t="n"/>
      <c r="R395" s="141" t="n"/>
      <c r="S395" s="141" t="n"/>
      <c r="T395" s="141" t="n"/>
      <c r="U395" s="141" t="n"/>
      <c r="V395" s="141" t="n"/>
      <c r="W395" s="141" t="n"/>
      <c r="X395" s="141" t="n"/>
      <c r="Y395" s="136" t="n"/>
      <c r="Z395" s="136" t="n"/>
      <c r="AA395" s="136" t="n"/>
      <c r="AB395" s="136" t="n"/>
      <c r="AC395" s="136" t="n"/>
      <c r="AD395" s="136" t="n"/>
      <c r="AE395" s="136" t="n"/>
      <c r="AF395" s="136" t="n"/>
      <c r="AG395" s="136" t="n"/>
      <c r="AH395" s="136" t="n"/>
      <c r="AI395" s="136" t="n"/>
      <c r="AJ395" s="136" t="n"/>
      <c r="AK395" s="136" t="n"/>
      <c r="AL395" s="136" t="n"/>
      <c r="AM395" s="136" t="n"/>
      <c r="AN395" s="136" t="n"/>
      <c r="AO395" s="136" t="n"/>
      <c r="AP395" s="136" t="n"/>
      <c r="AQ395" s="136" t="n"/>
      <c r="AR395" s="136" t="n"/>
    </row>
    <row r="396" ht="13.5" customHeight="1" s="196">
      <c r="A396" s="136" t="n"/>
      <c r="B396" s="136" t="n"/>
      <c r="C396" s="136" t="n"/>
      <c r="D396" s="141" t="n"/>
      <c r="E396" s="141" t="n"/>
      <c r="F396" s="141" t="n"/>
      <c r="G396" s="141" t="n"/>
      <c r="H396" s="141" t="n"/>
      <c r="I396" s="141" t="n"/>
      <c r="J396" s="141" t="n"/>
      <c r="K396" s="141" t="n"/>
      <c r="L396" s="141" t="n"/>
      <c r="M396" s="141" t="n"/>
      <c r="N396" s="141" t="n"/>
      <c r="O396" s="141" t="n"/>
      <c r="P396" s="141" t="n"/>
      <c r="Q396" s="141" t="n"/>
      <c r="R396" s="141" t="n"/>
      <c r="S396" s="141" t="n"/>
      <c r="T396" s="141" t="n"/>
      <c r="U396" s="141" t="n"/>
      <c r="V396" s="141" t="n"/>
      <c r="W396" s="141" t="n"/>
      <c r="X396" s="141" t="n"/>
      <c r="Y396" s="136" t="n"/>
      <c r="Z396" s="136" t="n"/>
      <c r="AA396" s="136" t="n"/>
      <c r="AB396" s="136" t="n"/>
      <c r="AC396" s="136" t="n"/>
      <c r="AD396" s="136" t="n"/>
      <c r="AE396" s="136" t="n"/>
      <c r="AF396" s="136" t="n"/>
      <c r="AG396" s="136" t="n"/>
      <c r="AH396" s="136" t="n"/>
      <c r="AI396" s="136" t="n"/>
      <c r="AJ396" s="136" t="n"/>
      <c r="AK396" s="136" t="n"/>
      <c r="AL396" s="136" t="n"/>
      <c r="AM396" s="136" t="n"/>
      <c r="AN396" s="136" t="n"/>
      <c r="AO396" s="136" t="n"/>
      <c r="AP396" s="136" t="n"/>
      <c r="AQ396" s="136" t="n"/>
      <c r="AR396" s="136" t="n"/>
    </row>
    <row r="397" ht="13.5" customHeight="1" s="196">
      <c r="A397" s="136" t="n"/>
      <c r="B397" s="136" t="n"/>
      <c r="C397" s="136" t="n"/>
      <c r="D397" s="141" t="n"/>
      <c r="E397" s="141" t="n"/>
      <c r="F397" s="141" t="n"/>
      <c r="G397" s="141" t="n"/>
      <c r="H397" s="141" t="n"/>
      <c r="I397" s="141" t="n"/>
      <c r="J397" s="141" t="n"/>
      <c r="K397" s="141" t="n"/>
      <c r="L397" s="141" t="n"/>
      <c r="M397" s="141" t="n"/>
      <c r="N397" s="141" t="n"/>
      <c r="O397" s="141" t="n"/>
      <c r="P397" s="141" t="n"/>
      <c r="Q397" s="141" t="n"/>
      <c r="R397" s="141" t="n"/>
      <c r="S397" s="141" t="n"/>
      <c r="T397" s="141" t="n"/>
      <c r="U397" s="141" t="n"/>
      <c r="V397" s="141" t="n"/>
      <c r="W397" s="141" t="n"/>
      <c r="X397" s="141" t="n"/>
      <c r="Y397" s="136" t="n"/>
      <c r="Z397" s="136" t="n"/>
      <c r="AA397" s="136" t="n"/>
      <c r="AB397" s="136" t="n"/>
      <c r="AC397" s="136" t="n"/>
      <c r="AD397" s="136" t="n"/>
      <c r="AE397" s="136" t="n"/>
      <c r="AF397" s="136" t="n"/>
      <c r="AG397" s="136" t="n"/>
      <c r="AH397" s="136" t="n"/>
      <c r="AI397" s="136" t="n"/>
      <c r="AJ397" s="136" t="n"/>
      <c r="AK397" s="136" t="n"/>
      <c r="AL397" s="136" t="n"/>
      <c r="AM397" s="136" t="n"/>
      <c r="AN397" s="136" t="n"/>
      <c r="AO397" s="136" t="n"/>
      <c r="AP397" s="136" t="n"/>
      <c r="AQ397" s="136" t="n"/>
      <c r="AR397" s="136" t="n"/>
    </row>
    <row r="398" ht="13.5" customHeight="1" s="196">
      <c r="A398" s="136" t="n"/>
      <c r="B398" s="136" t="n"/>
      <c r="C398" s="136" t="n"/>
      <c r="D398" s="141" t="n"/>
      <c r="E398" s="141" t="n"/>
      <c r="F398" s="141" t="n"/>
      <c r="G398" s="141" t="n"/>
      <c r="H398" s="141" t="n"/>
      <c r="I398" s="141" t="n"/>
      <c r="J398" s="141" t="n"/>
      <c r="K398" s="141" t="n"/>
      <c r="L398" s="141" t="n"/>
      <c r="M398" s="141" t="n"/>
      <c r="N398" s="141" t="n"/>
      <c r="O398" s="141" t="n"/>
      <c r="P398" s="141" t="n"/>
      <c r="Q398" s="141" t="n"/>
      <c r="R398" s="141" t="n"/>
      <c r="S398" s="141" t="n"/>
      <c r="T398" s="141" t="n"/>
      <c r="U398" s="141" t="n"/>
      <c r="V398" s="141" t="n"/>
      <c r="W398" s="141" t="n"/>
      <c r="X398" s="141" t="n"/>
      <c r="Y398" s="136" t="n"/>
      <c r="Z398" s="136" t="n"/>
      <c r="AA398" s="136" t="n"/>
      <c r="AB398" s="136" t="n"/>
      <c r="AC398" s="136" t="n"/>
      <c r="AD398" s="136" t="n"/>
      <c r="AE398" s="136" t="n"/>
      <c r="AF398" s="136" t="n"/>
      <c r="AG398" s="136" t="n"/>
      <c r="AH398" s="136" t="n"/>
      <c r="AI398" s="136" t="n"/>
      <c r="AJ398" s="136" t="n"/>
      <c r="AK398" s="136" t="n"/>
      <c r="AL398" s="136" t="n"/>
      <c r="AM398" s="136" t="n"/>
      <c r="AN398" s="136" t="n"/>
      <c r="AO398" s="136" t="n"/>
      <c r="AP398" s="136" t="n"/>
      <c r="AQ398" s="136" t="n"/>
      <c r="AR398" s="136" t="n"/>
    </row>
    <row r="399" ht="13.5" customHeight="1" s="196">
      <c r="A399" s="136" t="n"/>
      <c r="B399" s="136" t="n"/>
      <c r="C399" s="136" t="n"/>
      <c r="D399" s="141" t="n"/>
      <c r="E399" s="141" t="n"/>
      <c r="F399" s="141" t="n"/>
      <c r="G399" s="141" t="n"/>
      <c r="H399" s="141" t="n"/>
      <c r="I399" s="141" t="n"/>
      <c r="J399" s="141" t="n"/>
      <c r="K399" s="141" t="n"/>
      <c r="L399" s="141" t="n"/>
      <c r="M399" s="141" t="n"/>
      <c r="N399" s="141" t="n"/>
      <c r="O399" s="141" t="n"/>
      <c r="P399" s="141" t="n"/>
      <c r="Q399" s="141" t="n"/>
      <c r="R399" s="141" t="n"/>
      <c r="S399" s="141" t="n"/>
      <c r="T399" s="141" t="n"/>
      <c r="U399" s="141" t="n"/>
      <c r="V399" s="141" t="n"/>
      <c r="W399" s="141" t="n"/>
      <c r="X399" s="141" t="n"/>
      <c r="Y399" s="136" t="n"/>
      <c r="Z399" s="136" t="n"/>
      <c r="AA399" s="136" t="n"/>
      <c r="AB399" s="136" t="n"/>
      <c r="AC399" s="136" t="n"/>
      <c r="AD399" s="136" t="n"/>
      <c r="AE399" s="136" t="n"/>
      <c r="AF399" s="136" t="n"/>
      <c r="AG399" s="136" t="n"/>
      <c r="AH399" s="136" t="n"/>
      <c r="AI399" s="136" t="n"/>
      <c r="AJ399" s="136" t="n"/>
      <c r="AK399" s="136" t="n"/>
      <c r="AL399" s="136" t="n"/>
      <c r="AM399" s="136" t="n"/>
      <c r="AN399" s="136" t="n"/>
      <c r="AO399" s="136" t="n"/>
      <c r="AP399" s="136" t="n"/>
      <c r="AQ399" s="136" t="n"/>
      <c r="AR399" s="136" t="n"/>
    </row>
    <row r="400" ht="13.5" customHeight="1" s="196">
      <c r="A400" s="136" t="n"/>
      <c r="B400" s="136" t="n"/>
      <c r="C400" s="136" t="n"/>
      <c r="D400" s="141" t="n"/>
      <c r="E400" s="141" t="n"/>
      <c r="F400" s="141" t="n"/>
      <c r="G400" s="141" t="n"/>
      <c r="H400" s="141" t="n"/>
      <c r="I400" s="141" t="n"/>
      <c r="J400" s="141" t="n"/>
      <c r="K400" s="141" t="n"/>
      <c r="L400" s="141" t="n"/>
      <c r="M400" s="141" t="n"/>
      <c r="N400" s="141" t="n"/>
      <c r="O400" s="141" t="n"/>
      <c r="P400" s="141" t="n"/>
      <c r="Q400" s="141" t="n"/>
      <c r="R400" s="141" t="n"/>
      <c r="S400" s="141" t="n"/>
      <c r="T400" s="141" t="n"/>
      <c r="U400" s="141" t="n"/>
      <c r="V400" s="141" t="n"/>
      <c r="W400" s="141" t="n"/>
      <c r="X400" s="141" t="n"/>
      <c r="Y400" s="136" t="n"/>
      <c r="Z400" s="136" t="n"/>
      <c r="AA400" s="136" t="n"/>
      <c r="AB400" s="136" t="n"/>
      <c r="AC400" s="136" t="n"/>
      <c r="AD400" s="136" t="n"/>
      <c r="AE400" s="136" t="n"/>
      <c r="AF400" s="136" t="n"/>
      <c r="AG400" s="136" t="n"/>
      <c r="AH400" s="136" t="n"/>
      <c r="AI400" s="136" t="n"/>
      <c r="AJ400" s="136" t="n"/>
      <c r="AK400" s="136" t="n"/>
      <c r="AL400" s="136" t="n"/>
      <c r="AM400" s="136" t="n"/>
      <c r="AN400" s="136" t="n"/>
      <c r="AO400" s="136" t="n"/>
      <c r="AP400" s="136" t="n"/>
      <c r="AQ400" s="136" t="n"/>
      <c r="AR400" s="136" t="n"/>
    </row>
    <row r="401" ht="13.5" customHeight="1" s="196">
      <c r="A401" s="136" t="n"/>
      <c r="B401" s="136" t="n"/>
      <c r="C401" s="136" t="n"/>
      <c r="D401" s="141" t="n"/>
      <c r="E401" s="141" t="n"/>
      <c r="F401" s="141" t="n"/>
      <c r="G401" s="141" t="n"/>
      <c r="H401" s="141" t="n"/>
      <c r="I401" s="141" t="n"/>
      <c r="J401" s="141" t="n"/>
      <c r="K401" s="141" t="n"/>
      <c r="L401" s="141" t="n"/>
      <c r="M401" s="141" t="n"/>
      <c r="N401" s="141" t="n"/>
      <c r="O401" s="141" t="n"/>
      <c r="P401" s="141" t="n"/>
      <c r="Q401" s="141" t="n"/>
      <c r="R401" s="141" t="n"/>
      <c r="S401" s="141" t="n"/>
      <c r="T401" s="141" t="n"/>
      <c r="U401" s="141" t="n"/>
      <c r="V401" s="141" t="n"/>
      <c r="W401" s="141" t="n"/>
      <c r="X401" s="141" t="n"/>
      <c r="Y401" s="136" t="n"/>
      <c r="Z401" s="136" t="n"/>
      <c r="AA401" s="136" t="n"/>
      <c r="AB401" s="136" t="n"/>
      <c r="AC401" s="136" t="n"/>
      <c r="AD401" s="136" t="n"/>
      <c r="AE401" s="136" t="n"/>
      <c r="AF401" s="136" t="n"/>
      <c r="AG401" s="136" t="n"/>
      <c r="AH401" s="136" t="n"/>
      <c r="AI401" s="136" t="n"/>
      <c r="AJ401" s="136" t="n"/>
      <c r="AK401" s="136" t="n"/>
      <c r="AL401" s="136" t="n"/>
      <c r="AM401" s="136" t="n"/>
      <c r="AN401" s="136" t="n"/>
      <c r="AO401" s="136" t="n"/>
      <c r="AP401" s="136" t="n"/>
      <c r="AQ401" s="136" t="n"/>
      <c r="AR401" s="136" t="n"/>
    </row>
    <row r="402" ht="13.5" customHeight="1" s="196">
      <c r="A402" s="136" t="n"/>
      <c r="B402" s="136" t="n"/>
      <c r="C402" s="136" t="n"/>
      <c r="D402" s="141" t="n"/>
      <c r="E402" s="141" t="n"/>
      <c r="F402" s="141" t="n"/>
      <c r="G402" s="141" t="n"/>
      <c r="H402" s="141" t="n"/>
      <c r="I402" s="141" t="n"/>
      <c r="J402" s="141" t="n"/>
      <c r="K402" s="141" t="n"/>
      <c r="L402" s="141" t="n"/>
      <c r="M402" s="141" t="n"/>
      <c r="N402" s="141" t="n"/>
      <c r="O402" s="141" t="n"/>
      <c r="P402" s="141" t="n"/>
      <c r="Q402" s="141" t="n"/>
      <c r="R402" s="141" t="n"/>
      <c r="S402" s="141" t="n"/>
      <c r="T402" s="141" t="n"/>
      <c r="U402" s="141" t="n"/>
      <c r="V402" s="141" t="n"/>
      <c r="W402" s="141" t="n"/>
      <c r="X402" s="141" t="n"/>
      <c r="Y402" s="136" t="n"/>
      <c r="Z402" s="136" t="n"/>
      <c r="AA402" s="136" t="n"/>
      <c r="AB402" s="136" t="n"/>
      <c r="AC402" s="136" t="n"/>
      <c r="AD402" s="136" t="n"/>
      <c r="AE402" s="136" t="n"/>
      <c r="AF402" s="136" t="n"/>
      <c r="AG402" s="136" t="n"/>
      <c r="AH402" s="136" t="n"/>
      <c r="AI402" s="136" t="n"/>
      <c r="AJ402" s="136" t="n"/>
      <c r="AK402" s="136" t="n"/>
      <c r="AL402" s="136" t="n"/>
      <c r="AM402" s="136" t="n"/>
      <c r="AN402" s="136" t="n"/>
      <c r="AO402" s="136" t="n"/>
      <c r="AP402" s="136" t="n"/>
      <c r="AQ402" s="136" t="n"/>
      <c r="AR402" s="136" t="n"/>
    </row>
    <row r="403" ht="13.5" customHeight="1" s="196">
      <c r="A403" s="136" t="n"/>
      <c r="B403" s="136" t="n"/>
      <c r="C403" s="136" t="n"/>
      <c r="D403" s="141" t="n"/>
      <c r="E403" s="141" t="n"/>
      <c r="F403" s="141" t="n"/>
      <c r="G403" s="141" t="n"/>
      <c r="H403" s="141" t="n"/>
      <c r="I403" s="141" t="n"/>
      <c r="J403" s="141" t="n"/>
      <c r="K403" s="141" t="n"/>
      <c r="L403" s="141" t="n"/>
      <c r="M403" s="141" t="n"/>
      <c r="N403" s="141" t="n"/>
      <c r="O403" s="141" t="n"/>
      <c r="P403" s="141" t="n"/>
      <c r="Q403" s="141" t="n"/>
      <c r="R403" s="141" t="n"/>
      <c r="S403" s="141" t="n"/>
      <c r="T403" s="141" t="n"/>
      <c r="U403" s="141" t="n"/>
      <c r="V403" s="141" t="n"/>
      <c r="W403" s="141" t="n"/>
      <c r="X403" s="141" t="n"/>
      <c r="Y403" s="136" t="n"/>
      <c r="Z403" s="136" t="n"/>
      <c r="AA403" s="136" t="n"/>
      <c r="AB403" s="136" t="n"/>
      <c r="AC403" s="136" t="n"/>
      <c r="AD403" s="136" t="n"/>
      <c r="AE403" s="136" t="n"/>
      <c r="AF403" s="136" t="n"/>
      <c r="AG403" s="136" t="n"/>
      <c r="AH403" s="136" t="n"/>
      <c r="AI403" s="136" t="n"/>
      <c r="AJ403" s="136" t="n"/>
      <c r="AK403" s="136" t="n"/>
      <c r="AL403" s="136" t="n"/>
      <c r="AM403" s="136" t="n"/>
      <c r="AN403" s="136" t="n"/>
      <c r="AO403" s="136" t="n"/>
      <c r="AP403" s="136" t="n"/>
      <c r="AQ403" s="136" t="n"/>
      <c r="AR403" s="136" t="n"/>
    </row>
    <row r="404" ht="13.5" customHeight="1" s="196">
      <c r="A404" s="136" t="n"/>
      <c r="B404" s="136" t="n"/>
      <c r="C404" s="136" t="n"/>
      <c r="D404" s="141" t="n"/>
      <c r="E404" s="141" t="n"/>
      <c r="F404" s="141" t="n"/>
      <c r="G404" s="141" t="n"/>
      <c r="H404" s="141" t="n"/>
      <c r="I404" s="141" t="n"/>
      <c r="J404" s="141" t="n"/>
      <c r="K404" s="141" t="n"/>
      <c r="L404" s="141" t="n"/>
      <c r="M404" s="141" t="n"/>
      <c r="N404" s="141" t="n"/>
      <c r="O404" s="141" t="n"/>
      <c r="P404" s="141" t="n"/>
      <c r="Q404" s="141" t="n"/>
      <c r="R404" s="141" t="n"/>
      <c r="S404" s="141" t="n"/>
      <c r="T404" s="141" t="n"/>
      <c r="U404" s="141" t="n"/>
      <c r="V404" s="141" t="n"/>
      <c r="W404" s="141" t="n"/>
      <c r="X404" s="141" t="n"/>
      <c r="Y404" s="136" t="n"/>
      <c r="Z404" s="136" t="n"/>
      <c r="AA404" s="136" t="n"/>
      <c r="AB404" s="136" t="n"/>
      <c r="AC404" s="136" t="n"/>
      <c r="AD404" s="136" t="n"/>
      <c r="AE404" s="136" t="n"/>
      <c r="AF404" s="136" t="n"/>
      <c r="AG404" s="136" t="n"/>
      <c r="AH404" s="136" t="n"/>
      <c r="AI404" s="136" t="n"/>
      <c r="AJ404" s="136" t="n"/>
      <c r="AK404" s="136" t="n"/>
      <c r="AL404" s="136" t="n"/>
      <c r="AM404" s="136" t="n"/>
      <c r="AN404" s="136" t="n"/>
      <c r="AO404" s="136" t="n"/>
      <c r="AP404" s="136" t="n"/>
      <c r="AQ404" s="136" t="n"/>
      <c r="AR404" s="136" t="n"/>
    </row>
    <row r="405" ht="13.5" customHeight="1" s="196">
      <c r="A405" s="136" t="n"/>
      <c r="B405" s="136" t="n"/>
      <c r="C405" s="136" t="n"/>
      <c r="D405" s="141" t="n"/>
      <c r="E405" s="141" t="n"/>
      <c r="F405" s="141" t="n"/>
      <c r="G405" s="141" t="n"/>
      <c r="H405" s="141" t="n"/>
      <c r="I405" s="141" t="n"/>
      <c r="J405" s="141" t="n"/>
      <c r="K405" s="141" t="n"/>
      <c r="L405" s="141" t="n"/>
      <c r="M405" s="141" t="n"/>
      <c r="N405" s="141" t="n"/>
      <c r="O405" s="141" t="n"/>
      <c r="P405" s="141" t="n"/>
      <c r="Q405" s="141" t="n"/>
      <c r="R405" s="141" t="n"/>
      <c r="S405" s="141" t="n"/>
      <c r="T405" s="141" t="n"/>
      <c r="U405" s="141" t="n"/>
      <c r="V405" s="141" t="n"/>
      <c r="W405" s="141" t="n"/>
      <c r="X405" s="141" t="n"/>
      <c r="Y405" s="136" t="n"/>
      <c r="Z405" s="136" t="n"/>
      <c r="AA405" s="136" t="n"/>
      <c r="AB405" s="136" t="n"/>
      <c r="AC405" s="136" t="n"/>
      <c r="AD405" s="136" t="n"/>
      <c r="AE405" s="136" t="n"/>
      <c r="AF405" s="136" t="n"/>
      <c r="AG405" s="136" t="n"/>
      <c r="AH405" s="136" t="n"/>
      <c r="AI405" s="136" t="n"/>
      <c r="AJ405" s="136" t="n"/>
      <c r="AK405" s="136" t="n"/>
      <c r="AL405" s="136" t="n"/>
      <c r="AM405" s="136" t="n"/>
      <c r="AN405" s="136" t="n"/>
      <c r="AO405" s="136" t="n"/>
      <c r="AP405" s="136" t="n"/>
      <c r="AQ405" s="136" t="n"/>
      <c r="AR405" s="136" t="n"/>
    </row>
    <row r="406" ht="13.5" customHeight="1" s="196">
      <c r="A406" s="136" t="n"/>
      <c r="B406" s="136" t="n"/>
      <c r="C406" s="136" t="n"/>
      <c r="D406" s="141" t="n"/>
      <c r="E406" s="141" t="n"/>
      <c r="F406" s="141" t="n"/>
      <c r="G406" s="141" t="n"/>
      <c r="H406" s="141" t="n"/>
      <c r="I406" s="141" t="n"/>
      <c r="J406" s="141" t="n"/>
      <c r="K406" s="141" t="n"/>
      <c r="L406" s="141" t="n"/>
      <c r="M406" s="141" t="n"/>
      <c r="N406" s="141" t="n"/>
      <c r="O406" s="141" t="n"/>
      <c r="P406" s="141" t="n"/>
      <c r="Q406" s="141" t="n"/>
      <c r="R406" s="141" t="n"/>
      <c r="S406" s="141" t="n"/>
      <c r="T406" s="141" t="n"/>
      <c r="U406" s="141" t="n"/>
      <c r="V406" s="141" t="n"/>
      <c r="W406" s="141" t="n"/>
      <c r="X406" s="141" t="n"/>
      <c r="Y406" s="136" t="n"/>
      <c r="Z406" s="136" t="n"/>
      <c r="AA406" s="136" t="n"/>
      <c r="AB406" s="136" t="n"/>
      <c r="AC406" s="136" t="n"/>
      <c r="AD406" s="136" t="n"/>
      <c r="AE406" s="136" t="n"/>
      <c r="AF406" s="136" t="n"/>
      <c r="AG406" s="136" t="n"/>
      <c r="AH406" s="136" t="n"/>
      <c r="AI406" s="136" t="n"/>
      <c r="AJ406" s="136" t="n"/>
      <c r="AK406" s="136" t="n"/>
      <c r="AL406" s="136" t="n"/>
      <c r="AM406" s="136" t="n"/>
      <c r="AN406" s="136" t="n"/>
      <c r="AO406" s="136" t="n"/>
      <c r="AP406" s="136" t="n"/>
      <c r="AQ406" s="136" t="n"/>
      <c r="AR406" s="136" t="n"/>
    </row>
    <row r="407" ht="13.5" customHeight="1" s="196">
      <c r="A407" s="136" t="n"/>
      <c r="B407" s="136" t="n"/>
      <c r="C407" s="136" t="n"/>
      <c r="D407" s="141" t="n"/>
      <c r="E407" s="141" t="n"/>
      <c r="F407" s="141" t="n"/>
      <c r="G407" s="141" t="n"/>
      <c r="H407" s="141" t="n"/>
      <c r="I407" s="141" t="n"/>
      <c r="J407" s="141" t="n"/>
      <c r="K407" s="141" t="n"/>
      <c r="L407" s="141" t="n"/>
      <c r="M407" s="141" t="n"/>
      <c r="N407" s="141" t="n"/>
      <c r="O407" s="141" t="n"/>
      <c r="P407" s="141" t="n"/>
      <c r="Q407" s="141" t="n"/>
      <c r="R407" s="141" t="n"/>
      <c r="S407" s="141" t="n"/>
      <c r="T407" s="141" t="n"/>
      <c r="U407" s="141" t="n"/>
      <c r="V407" s="141" t="n"/>
      <c r="W407" s="141" t="n"/>
      <c r="X407" s="141" t="n"/>
      <c r="Y407" s="136" t="n"/>
      <c r="Z407" s="136" t="n"/>
      <c r="AA407" s="136" t="n"/>
      <c r="AB407" s="136" t="n"/>
      <c r="AC407" s="136" t="n"/>
      <c r="AD407" s="136" t="n"/>
      <c r="AE407" s="136" t="n"/>
      <c r="AF407" s="136" t="n"/>
      <c r="AG407" s="136" t="n"/>
      <c r="AH407" s="136" t="n"/>
      <c r="AI407" s="136" t="n"/>
      <c r="AJ407" s="136" t="n"/>
      <c r="AK407" s="136" t="n"/>
      <c r="AL407" s="136" t="n"/>
      <c r="AM407" s="136" t="n"/>
      <c r="AN407" s="136" t="n"/>
      <c r="AO407" s="136" t="n"/>
      <c r="AP407" s="136" t="n"/>
      <c r="AQ407" s="136" t="n"/>
      <c r="AR407" s="136" t="n"/>
    </row>
    <row r="408" ht="13.5" customHeight="1" s="196">
      <c r="A408" s="136" t="n"/>
      <c r="B408" s="136" t="n"/>
      <c r="C408" s="136" t="n"/>
      <c r="D408" s="141" t="n"/>
      <c r="E408" s="141" t="n"/>
      <c r="F408" s="141" t="n"/>
      <c r="G408" s="141" t="n"/>
      <c r="H408" s="141" t="n"/>
      <c r="I408" s="141" t="n"/>
      <c r="J408" s="141" t="n"/>
      <c r="K408" s="141" t="n"/>
      <c r="L408" s="141" t="n"/>
      <c r="M408" s="141" t="n"/>
      <c r="N408" s="141" t="n"/>
      <c r="O408" s="141" t="n"/>
      <c r="P408" s="141" t="n"/>
      <c r="Q408" s="141" t="n"/>
      <c r="R408" s="141" t="n"/>
      <c r="S408" s="141" t="n"/>
      <c r="T408" s="141" t="n"/>
      <c r="U408" s="141" t="n"/>
      <c r="V408" s="141" t="n"/>
      <c r="W408" s="141" t="n"/>
      <c r="X408" s="141" t="n"/>
      <c r="Y408" s="136" t="n"/>
      <c r="Z408" s="136" t="n"/>
      <c r="AA408" s="136" t="n"/>
      <c r="AB408" s="136" t="n"/>
      <c r="AC408" s="136" t="n"/>
      <c r="AD408" s="136" t="n"/>
      <c r="AE408" s="136" t="n"/>
      <c r="AF408" s="136" t="n"/>
      <c r="AG408" s="136" t="n"/>
      <c r="AH408" s="136" t="n"/>
      <c r="AI408" s="136" t="n"/>
      <c r="AJ408" s="136" t="n"/>
      <c r="AK408" s="136" t="n"/>
      <c r="AL408" s="136" t="n"/>
      <c r="AM408" s="136" t="n"/>
      <c r="AN408" s="136" t="n"/>
      <c r="AO408" s="136" t="n"/>
      <c r="AP408" s="136" t="n"/>
      <c r="AQ408" s="136" t="n"/>
      <c r="AR408" s="136" t="n"/>
    </row>
    <row r="409" ht="13.5" customHeight="1" s="196">
      <c r="A409" s="136" t="n"/>
      <c r="B409" s="136" t="n"/>
      <c r="C409" s="136" t="n"/>
      <c r="D409" s="141" t="n"/>
      <c r="E409" s="141" t="n"/>
      <c r="F409" s="141" t="n"/>
      <c r="G409" s="141" t="n"/>
      <c r="H409" s="141" t="n"/>
      <c r="I409" s="141" t="n"/>
      <c r="J409" s="141" t="n"/>
      <c r="K409" s="141" t="n"/>
      <c r="L409" s="141" t="n"/>
      <c r="M409" s="141" t="n"/>
      <c r="N409" s="141" t="n"/>
      <c r="O409" s="141" t="n"/>
      <c r="P409" s="141" t="n"/>
      <c r="Q409" s="141" t="n"/>
      <c r="R409" s="141" t="n"/>
      <c r="S409" s="141" t="n"/>
      <c r="T409" s="141" t="n"/>
      <c r="U409" s="141" t="n"/>
      <c r="V409" s="141" t="n"/>
      <c r="W409" s="141" t="n"/>
      <c r="X409" s="141" t="n"/>
      <c r="Y409" s="136" t="n"/>
      <c r="Z409" s="136" t="n"/>
      <c r="AA409" s="136" t="n"/>
      <c r="AB409" s="136" t="n"/>
      <c r="AC409" s="136" t="n"/>
      <c r="AD409" s="136" t="n"/>
      <c r="AE409" s="136" t="n"/>
      <c r="AF409" s="136" t="n"/>
      <c r="AG409" s="136" t="n"/>
      <c r="AH409" s="136" t="n"/>
      <c r="AI409" s="136" t="n"/>
      <c r="AJ409" s="136" t="n"/>
      <c r="AK409" s="136" t="n"/>
      <c r="AL409" s="136" t="n"/>
      <c r="AM409" s="136" t="n"/>
      <c r="AN409" s="136" t="n"/>
      <c r="AO409" s="136" t="n"/>
      <c r="AP409" s="136" t="n"/>
      <c r="AQ409" s="136" t="n"/>
      <c r="AR409" s="136" t="n"/>
    </row>
    <row r="410" ht="13.5" customHeight="1" s="196">
      <c r="A410" s="136" t="n"/>
      <c r="B410" s="136" t="n"/>
      <c r="C410" s="136" t="n"/>
      <c r="D410" s="141" t="n"/>
      <c r="E410" s="141" t="n"/>
      <c r="F410" s="141" t="n"/>
      <c r="G410" s="141" t="n"/>
      <c r="H410" s="141" t="n"/>
      <c r="I410" s="141" t="n"/>
      <c r="J410" s="141" t="n"/>
      <c r="K410" s="141" t="n"/>
      <c r="L410" s="141" t="n"/>
      <c r="M410" s="141" t="n"/>
      <c r="N410" s="141" t="n"/>
      <c r="O410" s="141" t="n"/>
      <c r="P410" s="141" t="n"/>
      <c r="Q410" s="141" t="n"/>
      <c r="R410" s="141" t="n"/>
      <c r="S410" s="141" t="n"/>
      <c r="T410" s="141" t="n"/>
      <c r="U410" s="141" t="n"/>
      <c r="V410" s="141" t="n"/>
      <c r="W410" s="141" t="n"/>
      <c r="X410" s="141" t="n"/>
      <c r="Y410" s="136" t="n"/>
      <c r="Z410" s="136" t="n"/>
      <c r="AA410" s="136" t="n"/>
      <c r="AB410" s="136" t="n"/>
      <c r="AC410" s="136" t="n"/>
      <c r="AD410" s="136" t="n"/>
      <c r="AE410" s="136" t="n"/>
      <c r="AF410" s="136" t="n"/>
      <c r="AG410" s="136" t="n"/>
      <c r="AH410" s="136" t="n"/>
      <c r="AI410" s="136" t="n"/>
      <c r="AJ410" s="136" t="n"/>
      <c r="AK410" s="136" t="n"/>
      <c r="AL410" s="136" t="n"/>
      <c r="AM410" s="136" t="n"/>
      <c r="AN410" s="136" t="n"/>
      <c r="AO410" s="136" t="n"/>
      <c r="AP410" s="136" t="n"/>
      <c r="AQ410" s="136" t="n"/>
      <c r="AR410" s="136" t="n"/>
    </row>
    <row r="411" ht="13.5" customHeight="1" s="196">
      <c r="A411" s="136" t="n"/>
      <c r="B411" s="136" t="n"/>
      <c r="C411" s="136" t="n"/>
      <c r="D411" s="141" t="n"/>
      <c r="E411" s="141" t="n"/>
      <c r="F411" s="141" t="n"/>
      <c r="G411" s="141" t="n"/>
      <c r="H411" s="141" t="n"/>
      <c r="I411" s="141" t="n"/>
      <c r="J411" s="141" t="n"/>
      <c r="K411" s="141" t="n"/>
      <c r="L411" s="141" t="n"/>
      <c r="M411" s="141" t="n"/>
      <c r="N411" s="141" t="n"/>
      <c r="O411" s="141" t="n"/>
      <c r="P411" s="141" t="n"/>
      <c r="Q411" s="141" t="n"/>
      <c r="R411" s="141" t="n"/>
      <c r="S411" s="141" t="n"/>
      <c r="T411" s="141" t="n"/>
      <c r="U411" s="141" t="n"/>
      <c r="V411" s="141" t="n"/>
      <c r="W411" s="141" t="n"/>
      <c r="X411" s="141" t="n"/>
      <c r="Y411" s="136" t="n"/>
      <c r="Z411" s="136" t="n"/>
      <c r="AA411" s="136" t="n"/>
      <c r="AB411" s="136" t="n"/>
      <c r="AC411" s="136" t="n"/>
      <c r="AD411" s="136" t="n"/>
      <c r="AE411" s="136" t="n"/>
      <c r="AF411" s="136" t="n"/>
      <c r="AG411" s="136" t="n"/>
      <c r="AH411" s="136" t="n"/>
      <c r="AI411" s="136" t="n"/>
      <c r="AJ411" s="136" t="n"/>
      <c r="AK411" s="136" t="n"/>
      <c r="AL411" s="136" t="n"/>
      <c r="AM411" s="136" t="n"/>
      <c r="AN411" s="136" t="n"/>
      <c r="AO411" s="136" t="n"/>
      <c r="AP411" s="136" t="n"/>
      <c r="AQ411" s="136" t="n"/>
      <c r="AR411" s="136" t="n"/>
    </row>
    <row r="412" ht="13.5" customHeight="1" s="196">
      <c r="A412" s="136" t="n"/>
      <c r="B412" s="136" t="n"/>
      <c r="C412" s="136" t="n"/>
      <c r="D412" s="141" t="n"/>
      <c r="E412" s="141" t="n"/>
      <c r="F412" s="141" t="n"/>
      <c r="G412" s="141" t="n"/>
      <c r="H412" s="141" t="n"/>
      <c r="I412" s="141" t="n"/>
      <c r="J412" s="141" t="n"/>
      <c r="K412" s="141" t="n"/>
      <c r="L412" s="141" t="n"/>
      <c r="M412" s="141" t="n"/>
      <c r="N412" s="141" t="n"/>
      <c r="O412" s="141" t="n"/>
      <c r="P412" s="141" t="n"/>
      <c r="Q412" s="141" t="n"/>
      <c r="R412" s="141" t="n"/>
      <c r="S412" s="141" t="n"/>
      <c r="T412" s="141" t="n"/>
      <c r="U412" s="141" t="n"/>
      <c r="V412" s="141" t="n"/>
      <c r="W412" s="141" t="n"/>
      <c r="X412" s="141" t="n"/>
      <c r="Y412" s="136" t="n"/>
      <c r="Z412" s="136" t="n"/>
      <c r="AA412" s="136" t="n"/>
      <c r="AB412" s="136" t="n"/>
      <c r="AC412" s="136" t="n"/>
      <c r="AD412" s="136" t="n"/>
      <c r="AE412" s="136" t="n"/>
      <c r="AF412" s="136" t="n"/>
      <c r="AG412" s="136" t="n"/>
      <c r="AH412" s="136" t="n"/>
      <c r="AI412" s="136" t="n"/>
      <c r="AJ412" s="136" t="n"/>
      <c r="AK412" s="136" t="n"/>
      <c r="AL412" s="136" t="n"/>
      <c r="AM412" s="136" t="n"/>
      <c r="AN412" s="136" t="n"/>
      <c r="AO412" s="136" t="n"/>
      <c r="AP412" s="136" t="n"/>
      <c r="AQ412" s="136" t="n"/>
      <c r="AR412" s="136" t="n"/>
    </row>
    <row r="413" ht="13.5" customHeight="1" s="196">
      <c r="A413" s="136" t="n"/>
      <c r="B413" s="136" t="n"/>
      <c r="C413" s="136" t="n"/>
      <c r="D413" s="141" t="n"/>
      <c r="E413" s="141" t="n"/>
      <c r="F413" s="141" t="n"/>
      <c r="G413" s="141" t="n"/>
      <c r="H413" s="141" t="n"/>
      <c r="I413" s="141" t="n"/>
      <c r="J413" s="141" t="n"/>
      <c r="K413" s="141" t="n"/>
      <c r="L413" s="141" t="n"/>
      <c r="M413" s="141" t="n"/>
      <c r="N413" s="141" t="n"/>
      <c r="O413" s="141" t="n"/>
      <c r="P413" s="141" t="n"/>
      <c r="Q413" s="141" t="n"/>
      <c r="R413" s="141" t="n"/>
      <c r="S413" s="141" t="n"/>
      <c r="T413" s="141" t="n"/>
      <c r="U413" s="141" t="n"/>
      <c r="V413" s="141" t="n"/>
      <c r="W413" s="141" t="n"/>
      <c r="X413" s="141" t="n"/>
      <c r="Y413" s="136" t="n"/>
      <c r="Z413" s="136" t="n"/>
      <c r="AA413" s="136" t="n"/>
      <c r="AB413" s="136" t="n"/>
      <c r="AC413" s="136" t="n"/>
      <c r="AD413" s="136" t="n"/>
      <c r="AE413" s="136" t="n"/>
      <c r="AF413" s="136" t="n"/>
      <c r="AG413" s="136" t="n"/>
      <c r="AH413" s="136" t="n"/>
      <c r="AI413" s="136" t="n"/>
      <c r="AJ413" s="136" t="n"/>
      <c r="AK413" s="136" t="n"/>
      <c r="AL413" s="136" t="n"/>
      <c r="AM413" s="136" t="n"/>
      <c r="AN413" s="136" t="n"/>
      <c r="AO413" s="136" t="n"/>
      <c r="AP413" s="136" t="n"/>
      <c r="AQ413" s="136" t="n"/>
      <c r="AR413" s="136" t="n"/>
    </row>
    <row r="414" ht="13.5" customHeight="1" s="196">
      <c r="A414" s="136" t="n"/>
      <c r="B414" s="136" t="n"/>
      <c r="C414" s="136" t="n"/>
      <c r="D414" s="141" t="n"/>
      <c r="E414" s="141" t="n"/>
      <c r="F414" s="141" t="n"/>
      <c r="G414" s="141" t="n"/>
      <c r="H414" s="141" t="n"/>
      <c r="I414" s="141" t="n"/>
      <c r="J414" s="141" t="n"/>
      <c r="K414" s="141" t="n"/>
      <c r="L414" s="141" t="n"/>
      <c r="M414" s="141" t="n"/>
      <c r="N414" s="141" t="n"/>
      <c r="O414" s="141" t="n"/>
      <c r="P414" s="141" t="n"/>
      <c r="Q414" s="141" t="n"/>
      <c r="R414" s="141" t="n"/>
      <c r="S414" s="141" t="n"/>
      <c r="T414" s="141" t="n"/>
      <c r="U414" s="141" t="n"/>
      <c r="V414" s="141" t="n"/>
      <c r="W414" s="141" t="n"/>
      <c r="X414" s="141" t="n"/>
      <c r="Y414" s="136" t="n"/>
      <c r="Z414" s="136" t="n"/>
      <c r="AA414" s="136" t="n"/>
      <c r="AB414" s="136" t="n"/>
      <c r="AC414" s="136" t="n"/>
      <c r="AD414" s="136" t="n"/>
      <c r="AE414" s="136" t="n"/>
      <c r="AF414" s="136" t="n"/>
      <c r="AG414" s="136" t="n"/>
      <c r="AH414" s="136" t="n"/>
      <c r="AI414" s="136" t="n"/>
      <c r="AJ414" s="136" t="n"/>
      <c r="AK414" s="136" t="n"/>
      <c r="AL414" s="136" t="n"/>
      <c r="AM414" s="136" t="n"/>
      <c r="AN414" s="136" t="n"/>
      <c r="AO414" s="136" t="n"/>
      <c r="AP414" s="136" t="n"/>
      <c r="AQ414" s="136" t="n"/>
      <c r="AR414" s="136" t="n"/>
    </row>
    <row r="415" ht="13.5" customHeight="1" s="196">
      <c r="A415" s="136" t="n"/>
      <c r="B415" s="136" t="n"/>
      <c r="C415" s="136" t="n"/>
      <c r="D415" s="141" t="n"/>
      <c r="E415" s="141" t="n"/>
      <c r="F415" s="141" t="n"/>
      <c r="G415" s="141" t="n"/>
      <c r="H415" s="141" t="n"/>
      <c r="I415" s="141" t="n"/>
      <c r="J415" s="141" t="n"/>
      <c r="K415" s="141" t="n"/>
      <c r="L415" s="141" t="n"/>
      <c r="M415" s="141" t="n"/>
      <c r="N415" s="141" t="n"/>
      <c r="O415" s="141" t="n"/>
      <c r="P415" s="141" t="n"/>
      <c r="Q415" s="141" t="n"/>
      <c r="R415" s="141" t="n"/>
      <c r="S415" s="141" t="n"/>
      <c r="T415" s="141" t="n"/>
      <c r="U415" s="141" t="n"/>
      <c r="V415" s="141" t="n"/>
      <c r="W415" s="141" t="n"/>
      <c r="X415" s="141" t="n"/>
      <c r="Y415" s="136" t="n"/>
      <c r="Z415" s="136" t="n"/>
      <c r="AA415" s="136" t="n"/>
      <c r="AB415" s="136" t="n"/>
      <c r="AC415" s="136" t="n"/>
      <c r="AD415" s="136" t="n"/>
      <c r="AE415" s="136" t="n"/>
      <c r="AF415" s="136" t="n"/>
      <c r="AG415" s="136" t="n"/>
      <c r="AH415" s="136" t="n"/>
      <c r="AI415" s="136" t="n"/>
      <c r="AJ415" s="136" t="n"/>
      <c r="AK415" s="136" t="n"/>
      <c r="AL415" s="136" t="n"/>
      <c r="AM415" s="136" t="n"/>
      <c r="AN415" s="136" t="n"/>
      <c r="AO415" s="136" t="n"/>
      <c r="AP415" s="136" t="n"/>
      <c r="AQ415" s="136" t="n"/>
      <c r="AR415" s="136" t="n"/>
    </row>
    <row r="416" ht="13.5" customHeight="1" s="196">
      <c r="A416" s="136" t="n"/>
      <c r="B416" s="136" t="n"/>
      <c r="C416" s="136" t="n"/>
      <c r="D416" s="141" t="n"/>
      <c r="E416" s="141" t="n"/>
      <c r="F416" s="141" t="n"/>
      <c r="G416" s="141" t="n"/>
      <c r="H416" s="141" t="n"/>
      <c r="I416" s="141" t="n"/>
      <c r="J416" s="141" t="n"/>
      <c r="K416" s="141" t="n"/>
      <c r="L416" s="141" t="n"/>
      <c r="M416" s="141" t="n"/>
      <c r="N416" s="141" t="n"/>
      <c r="O416" s="141" t="n"/>
      <c r="P416" s="141" t="n"/>
      <c r="Q416" s="141" t="n"/>
      <c r="R416" s="141" t="n"/>
      <c r="S416" s="141" t="n"/>
      <c r="T416" s="141" t="n"/>
      <c r="U416" s="141" t="n"/>
      <c r="V416" s="141" t="n"/>
      <c r="W416" s="141" t="n"/>
      <c r="X416" s="141" t="n"/>
      <c r="Y416" s="136" t="n"/>
      <c r="Z416" s="136" t="n"/>
      <c r="AA416" s="136" t="n"/>
      <c r="AB416" s="136" t="n"/>
      <c r="AC416" s="136" t="n"/>
      <c r="AD416" s="136" t="n"/>
      <c r="AE416" s="136" t="n"/>
      <c r="AF416" s="136" t="n"/>
      <c r="AG416" s="136" t="n"/>
      <c r="AH416" s="136" t="n"/>
      <c r="AI416" s="136" t="n"/>
      <c r="AJ416" s="136" t="n"/>
      <c r="AK416" s="136" t="n"/>
      <c r="AL416" s="136" t="n"/>
      <c r="AM416" s="136" t="n"/>
      <c r="AN416" s="136" t="n"/>
      <c r="AO416" s="136" t="n"/>
      <c r="AP416" s="136" t="n"/>
      <c r="AQ416" s="136" t="n"/>
      <c r="AR416" s="136" t="n"/>
    </row>
    <row r="417" ht="13.5" customHeight="1" s="196">
      <c r="A417" s="136" t="n"/>
      <c r="B417" s="136" t="n"/>
      <c r="C417" s="136" t="n"/>
      <c r="D417" s="141" t="n"/>
      <c r="E417" s="141" t="n"/>
      <c r="F417" s="141" t="n"/>
      <c r="G417" s="141" t="n"/>
      <c r="H417" s="141" t="n"/>
      <c r="I417" s="141" t="n"/>
      <c r="J417" s="141" t="n"/>
      <c r="K417" s="141" t="n"/>
      <c r="L417" s="141" t="n"/>
      <c r="M417" s="141" t="n"/>
      <c r="N417" s="141" t="n"/>
      <c r="O417" s="141" t="n"/>
      <c r="P417" s="141" t="n"/>
      <c r="Q417" s="141" t="n"/>
      <c r="R417" s="141" t="n"/>
      <c r="S417" s="141" t="n"/>
      <c r="T417" s="141" t="n"/>
      <c r="U417" s="141" t="n"/>
      <c r="V417" s="141" t="n"/>
      <c r="W417" s="141" t="n"/>
      <c r="X417" s="141" t="n"/>
      <c r="Y417" s="136" t="n"/>
      <c r="Z417" s="136" t="n"/>
      <c r="AA417" s="136" t="n"/>
      <c r="AB417" s="136" t="n"/>
      <c r="AC417" s="136" t="n"/>
      <c r="AD417" s="136" t="n"/>
      <c r="AE417" s="136" t="n"/>
      <c r="AF417" s="136" t="n"/>
      <c r="AG417" s="136" t="n"/>
      <c r="AH417" s="136" t="n"/>
      <c r="AI417" s="136" t="n"/>
      <c r="AJ417" s="136" t="n"/>
      <c r="AK417" s="136" t="n"/>
      <c r="AL417" s="136" t="n"/>
      <c r="AM417" s="136" t="n"/>
      <c r="AN417" s="136" t="n"/>
      <c r="AO417" s="136" t="n"/>
      <c r="AP417" s="136" t="n"/>
      <c r="AQ417" s="136" t="n"/>
      <c r="AR417" s="136" t="n"/>
    </row>
    <row r="418" ht="13.5" customHeight="1" s="196">
      <c r="A418" s="136" t="n"/>
      <c r="B418" s="136" t="n"/>
      <c r="C418" s="136" t="n"/>
      <c r="D418" s="141" t="n"/>
      <c r="E418" s="141" t="n"/>
      <c r="F418" s="141" t="n"/>
      <c r="G418" s="141" t="n"/>
      <c r="H418" s="141" t="n"/>
      <c r="I418" s="141" t="n"/>
      <c r="J418" s="141" t="n"/>
      <c r="K418" s="141" t="n"/>
      <c r="L418" s="141" t="n"/>
      <c r="M418" s="141" t="n"/>
      <c r="N418" s="141" t="n"/>
      <c r="O418" s="141" t="n"/>
      <c r="P418" s="141" t="n"/>
      <c r="Q418" s="141" t="n"/>
      <c r="R418" s="141" t="n"/>
      <c r="S418" s="141" t="n"/>
      <c r="T418" s="141" t="n"/>
      <c r="U418" s="141" t="n"/>
      <c r="V418" s="141" t="n"/>
      <c r="W418" s="141" t="n"/>
      <c r="X418" s="141" t="n"/>
      <c r="Y418" s="136" t="n"/>
      <c r="Z418" s="136" t="n"/>
      <c r="AA418" s="136" t="n"/>
      <c r="AB418" s="136" t="n"/>
      <c r="AC418" s="136" t="n"/>
      <c r="AD418" s="136" t="n"/>
      <c r="AE418" s="136" t="n"/>
      <c r="AF418" s="136" t="n"/>
      <c r="AG418" s="136" t="n"/>
      <c r="AH418" s="136" t="n"/>
      <c r="AI418" s="136" t="n"/>
      <c r="AJ418" s="136" t="n"/>
      <c r="AK418" s="136" t="n"/>
      <c r="AL418" s="136" t="n"/>
      <c r="AM418" s="136" t="n"/>
      <c r="AN418" s="136" t="n"/>
      <c r="AO418" s="136" t="n"/>
      <c r="AP418" s="136" t="n"/>
      <c r="AQ418" s="136" t="n"/>
      <c r="AR418" s="136" t="n"/>
    </row>
    <row r="419" ht="13.5" customHeight="1" s="196">
      <c r="A419" s="136" t="n"/>
      <c r="B419" s="136" t="n"/>
      <c r="C419" s="136" t="n"/>
      <c r="D419" s="141" t="n"/>
      <c r="E419" s="141" t="n"/>
      <c r="F419" s="141" t="n"/>
      <c r="G419" s="141" t="n"/>
      <c r="H419" s="141" t="n"/>
      <c r="I419" s="141" t="n"/>
      <c r="J419" s="141" t="n"/>
      <c r="K419" s="141" t="n"/>
      <c r="L419" s="141" t="n"/>
      <c r="M419" s="141" t="n"/>
      <c r="N419" s="141" t="n"/>
      <c r="O419" s="141" t="n"/>
      <c r="P419" s="141" t="n"/>
      <c r="Q419" s="141" t="n"/>
      <c r="R419" s="141" t="n"/>
      <c r="S419" s="141" t="n"/>
      <c r="T419" s="141" t="n"/>
      <c r="U419" s="141" t="n"/>
      <c r="V419" s="141" t="n"/>
      <c r="W419" s="141" t="n"/>
      <c r="X419" s="141" t="n"/>
      <c r="Y419" s="136" t="n"/>
      <c r="Z419" s="136" t="n"/>
      <c r="AA419" s="136" t="n"/>
      <c r="AB419" s="136" t="n"/>
      <c r="AC419" s="136" t="n"/>
      <c r="AD419" s="136" t="n"/>
      <c r="AE419" s="136" t="n"/>
      <c r="AF419" s="136" t="n"/>
      <c r="AG419" s="136" t="n"/>
      <c r="AH419" s="136" t="n"/>
      <c r="AI419" s="136" t="n"/>
      <c r="AJ419" s="136" t="n"/>
      <c r="AK419" s="136" t="n"/>
      <c r="AL419" s="136" t="n"/>
      <c r="AM419" s="136" t="n"/>
      <c r="AN419" s="136" t="n"/>
      <c r="AO419" s="136" t="n"/>
      <c r="AP419" s="136" t="n"/>
      <c r="AQ419" s="136" t="n"/>
      <c r="AR419" s="136" t="n"/>
    </row>
    <row r="420" ht="13.5" customHeight="1" s="196">
      <c r="A420" s="136" t="n"/>
      <c r="B420" s="136" t="n"/>
      <c r="C420" s="136" t="n"/>
      <c r="D420" s="141" t="n"/>
      <c r="E420" s="141" t="n"/>
      <c r="F420" s="141" t="n"/>
      <c r="G420" s="141" t="n"/>
      <c r="H420" s="141" t="n"/>
      <c r="I420" s="141" t="n"/>
      <c r="J420" s="141" t="n"/>
      <c r="K420" s="141" t="n"/>
      <c r="L420" s="141" t="n"/>
      <c r="M420" s="141" t="n"/>
      <c r="N420" s="141" t="n"/>
      <c r="O420" s="141" t="n"/>
      <c r="P420" s="141" t="n"/>
      <c r="Q420" s="141" t="n"/>
      <c r="R420" s="141" t="n"/>
      <c r="S420" s="141" t="n"/>
      <c r="T420" s="141" t="n"/>
      <c r="U420" s="141" t="n"/>
      <c r="V420" s="141" t="n"/>
      <c r="W420" s="141" t="n"/>
      <c r="X420" s="141" t="n"/>
      <c r="Y420" s="136" t="n"/>
      <c r="Z420" s="136" t="n"/>
      <c r="AA420" s="136" t="n"/>
      <c r="AB420" s="136" t="n"/>
      <c r="AC420" s="136" t="n"/>
      <c r="AD420" s="136" t="n"/>
      <c r="AE420" s="136" t="n"/>
      <c r="AF420" s="136" t="n"/>
      <c r="AG420" s="136" t="n"/>
      <c r="AH420" s="136" t="n"/>
      <c r="AI420" s="136" t="n"/>
      <c r="AJ420" s="136" t="n"/>
      <c r="AK420" s="136" t="n"/>
      <c r="AL420" s="136" t="n"/>
      <c r="AM420" s="136" t="n"/>
      <c r="AN420" s="136" t="n"/>
      <c r="AO420" s="136" t="n"/>
      <c r="AP420" s="136" t="n"/>
      <c r="AQ420" s="136" t="n"/>
      <c r="AR420" s="136" t="n"/>
    </row>
    <row r="421" ht="13.5" customHeight="1" s="196">
      <c r="A421" s="136" t="n"/>
      <c r="B421" s="136" t="n"/>
      <c r="C421" s="136" t="n"/>
      <c r="D421" s="141" t="n"/>
      <c r="E421" s="141" t="n"/>
      <c r="F421" s="141" t="n"/>
      <c r="G421" s="141" t="n"/>
      <c r="H421" s="141" t="n"/>
      <c r="I421" s="141" t="n"/>
      <c r="J421" s="141" t="n"/>
      <c r="K421" s="141" t="n"/>
      <c r="L421" s="141" t="n"/>
      <c r="M421" s="141" t="n"/>
      <c r="N421" s="141" t="n"/>
      <c r="O421" s="141" t="n"/>
      <c r="P421" s="141" t="n"/>
      <c r="Q421" s="141" t="n"/>
      <c r="R421" s="141" t="n"/>
      <c r="S421" s="141" t="n"/>
      <c r="T421" s="141" t="n"/>
      <c r="U421" s="141" t="n"/>
      <c r="V421" s="141" t="n"/>
      <c r="W421" s="141" t="n"/>
      <c r="X421" s="141" t="n"/>
      <c r="Y421" s="136" t="n"/>
      <c r="Z421" s="136" t="n"/>
      <c r="AA421" s="136" t="n"/>
      <c r="AB421" s="136" t="n"/>
      <c r="AC421" s="136" t="n"/>
      <c r="AD421" s="136" t="n"/>
      <c r="AE421" s="136" t="n"/>
      <c r="AF421" s="136" t="n"/>
      <c r="AG421" s="136" t="n"/>
      <c r="AH421" s="136" t="n"/>
      <c r="AI421" s="136" t="n"/>
      <c r="AJ421" s="136" t="n"/>
      <c r="AK421" s="136" t="n"/>
      <c r="AL421" s="136" t="n"/>
      <c r="AM421" s="136" t="n"/>
      <c r="AN421" s="136" t="n"/>
      <c r="AO421" s="136" t="n"/>
      <c r="AP421" s="136" t="n"/>
      <c r="AQ421" s="136" t="n"/>
      <c r="AR421" s="136" t="n"/>
    </row>
    <row r="422" ht="13.5" customHeight="1" s="196">
      <c r="A422" s="136" t="n"/>
      <c r="B422" s="136" t="n"/>
      <c r="C422" s="136" t="n"/>
      <c r="D422" s="141" t="n"/>
      <c r="E422" s="141" t="n"/>
      <c r="F422" s="141" t="n"/>
      <c r="G422" s="141" t="n"/>
      <c r="H422" s="141" t="n"/>
      <c r="I422" s="141" t="n"/>
      <c r="J422" s="141" t="n"/>
      <c r="K422" s="141" t="n"/>
      <c r="L422" s="141" t="n"/>
      <c r="M422" s="141" t="n"/>
      <c r="N422" s="141" t="n"/>
      <c r="O422" s="141" t="n"/>
      <c r="P422" s="141" t="n"/>
      <c r="Q422" s="141" t="n"/>
      <c r="R422" s="141" t="n"/>
      <c r="S422" s="141" t="n"/>
      <c r="T422" s="141" t="n"/>
      <c r="U422" s="141" t="n"/>
      <c r="V422" s="141" t="n"/>
      <c r="W422" s="141" t="n"/>
      <c r="X422" s="141" t="n"/>
      <c r="Y422" s="136" t="n"/>
      <c r="Z422" s="136" t="n"/>
      <c r="AA422" s="136" t="n"/>
      <c r="AB422" s="136" t="n"/>
      <c r="AC422" s="136" t="n"/>
      <c r="AD422" s="136" t="n"/>
      <c r="AE422" s="136" t="n"/>
      <c r="AF422" s="136" t="n"/>
      <c r="AG422" s="136" t="n"/>
      <c r="AH422" s="136" t="n"/>
      <c r="AI422" s="136" t="n"/>
      <c r="AJ422" s="136" t="n"/>
      <c r="AK422" s="136" t="n"/>
      <c r="AL422" s="136" t="n"/>
      <c r="AM422" s="136" t="n"/>
      <c r="AN422" s="136" t="n"/>
      <c r="AO422" s="136" t="n"/>
      <c r="AP422" s="136" t="n"/>
      <c r="AQ422" s="136" t="n"/>
      <c r="AR422" s="136" t="n"/>
    </row>
    <row r="423" ht="13.5" customHeight="1" s="196">
      <c r="A423" s="136" t="n"/>
      <c r="B423" s="136" t="n"/>
      <c r="C423" s="136" t="n"/>
      <c r="D423" s="141" t="n"/>
      <c r="E423" s="141" t="n"/>
      <c r="F423" s="141" t="n"/>
      <c r="G423" s="141" t="n"/>
      <c r="H423" s="141" t="n"/>
      <c r="I423" s="141" t="n"/>
      <c r="J423" s="141" t="n"/>
      <c r="K423" s="141" t="n"/>
      <c r="L423" s="141" t="n"/>
      <c r="M423" s="141" t="n"/>
      <c r="N423" s="141" t="n"/>
      <c r="O423" s="141" t="n"/>
      <c r="P423" s="141" t="n"/>
      <c r="Q423" s="141" t="n"/>
      <c r="R423" s="141" t="n"/>
      <c r="S423" s="141" t="n"/>
      <c r="T423" s="141" t="n"/>
      <c r="U423" s="141" t="n"/>
      <c r="V423" s="141" t="n"/>
      <c r="W423" s="141" t="n"/>
      <c r="X423" s="141" t="n"/>
      <c r="Y423" s="136" t="n"/>
      <c r="Z423" s="136" t="n"/>
      <c r="AA423" s="136" t="n"/>
      <c r="AB423" s="136" t="n"/>
      <c r="AC423" s="136" t="n"/>
      <c r="AD423" s="136" t="n"/>
      <c r="AE423" s="136" t="n"/>
      <c r="AF423" s="136" t="n"/>
      <c r="AG423" s="136" t="n"/>
      <c r="AH423" s="136" t="n"/>
      <c r="AI423" s="136" t="n"/>
      <c r="AJ423" s="136" t="n"/>
      <c r="AK423" s="136" t="n"/>
      <c r="AL423" s="136" t="n"/>
      <c r="AM423" s="136" t="n"/>
      <c r="AN423" s="136" t="n"/>
      <c r="AO423" s="136" t="n"/>
      <c r="AP423" s="136" t="n"/>
      <c r="AQ423" s="136" t="n"/>
      <c r="AR423" s="136" t="n"/>
    </row>
    <row r="424" ht="13.5" customHeight="1" s="196">
      <c r="A424" s="136" t="n"/>
      <c r="B424" s="136" t="n"/>
      <c r="C424" s="136" t="n"/>
      <c r="D424" s="141" t="n"/>
      <c r="E424" s="141" t="n"/>
      <c r="F424" s="141" t="n"/>
      <c r="G424" s="141" t="n"/>
      <c r="H424" s="141" t="n"/>
      <c r="I424" s="141" t="n"/>
      <c r="J424" s="141" t="n"/>
      <c r="K424" s="141" t="n"/>
      <c r="L424" s="141" t="n"/>
      <c r="M424" s="141" t="n"/>
      <c r="N424" s="141" t="n"/>
      <c r="O424" s="141" t="n"/>
      <c r="P424" s="141" t="n"/>
      <c r="Q424" s="141" t="n"/>
      <c r="R424" s="141" t="n"/>
      <c r="S424" s="141" t="n"/>
      <c r="T424" s="141" t="n"/>
      <c r="U424" s="141" t="n"/>
      <c r="V424" s="141" t="n"/>
      <c r="W424" s="141" t="n"/>
      <c r="X424" s="141" t="n"/>
      <c r="Y424" s="136" t="n"/>
      <c r="Z424" s="136" t="n"/>
      <c r="AA424" s="136" t="n"/>
      <c r="AB424" s="136" t="n"/>
      <c r="AC424" s="136" t="n"/>
      <c r="AD424" s="136" t="n"/>
      <c r="AE424" s="136" t="n"/>
      <c r="AF424" s="136" t="n"/>
      <c r="AG424" s="136" t="n"/>
      <c r="AH424" s="136" t="n"/>
      <c r="AI424" s="136" t="n"/>
      <c r="AJ424" s="136" t="n"/>
      <c r="AK424" s="136" t="n"/>
      <c r="AL424" s="136" t="n"/>
      <c r="AM424" s="136" t="n"/>
      <c r="AN424" s="136" t="n"/>
      <c r="AO424" s="136" t="n"/>
      <c r="AP424" s="136" t="n"/>
      <c r="AQ424" s="136" t="n"/>
      <c r="AR424" s="136" t="n"/>
    </row>
    <row r="425" ht="13.5" customHeight="1" s="196">
      <c r="A425" s="136" t="n"/>
      <c r="B425" s="136" t="n"/>
      <c r="C425" s="136" t="n"/>
      <c r="D425" s="141" t="n"/>
      <c r="E425" s="141" t="n"/>
      <c r="F425" s="141" t="n"/>
      <c r="G425" s="141" t="n"/>
      <c r="H425" s="141" t="n"/>
      <c r="I425" s="141" t="n"/>
      <c r="J425" s="141" t="n"/>
      <c r="K425" s="141" t="n"/>
      <c r="L425" s="141" t="n"/>
      <c r="M425" s="141" t="n"/>
      <c r="N425" s="141" t="n"/>
      <c r="O425" s="141" t="n"/>
      <c r="P425" s="141" t="n"/>
      <c r="Q425" s="141" t="n"/>
      <c r="R425" s="141" t="n"/>
      <c r="S425" s="141" t="n"/>
      <c r="T425" s="141" t="n"/>
      <c r="U425" s="141" t="n"/>
      <c r="V425" s="141" t="n"/>
      <c r="W425" s="141" t="n"/>
      <c r="X425" s="141" t="n"/>
      <c r="Y425" s="136" t="n"/>
      <c r="Z425" s="136" t="n"/>
      <c r="AA425" s="136" t="n"/>
      <c r="AB425" s="136" t="n"/>
      <c r="AC425" s="136" t="n"/>
      <c r="AD425" s="136" t="n"/>
      <c r="AE425" s="136" t="n"/>
      <c r="AF425" s="136" t="n"/>
      <c r="AG425" s="136" t="n"/>
      <c r="AH425" s="136" t="n"/>
      <c r="AI425" s="136" t="n"/>
      <c r="AJ425" s="136" t="n"/>
      <c r="AK425" s="136" t="n"/>
      <c r="AL425" s="136" t="n"/>
      <c r="AM425" s="136" t="n"/>
      <c r="AN425" s="136" t="n"/>
      <c r="AO425" s="136" t="n"/>
      <c r="AP425" s="136" t="n"/>
      <c r="AQ425" s="136" t="n"/>
      <c r="AR425" s="136" t="n"/>
    </row>
    <row r="426" ht="13.5" customHeight="1" s="196">
      <c r="A426" s="136" t="n"/>
      <c r="B426" s="136" t="n"/>
      <c r="C426" s="136" t="n"/>
      <c r="D426" s="141" t="n"/>
      <c r="E426" s="141" t="n"/>
      <c r="F426" s="141" t="n"/>
      <c r="G426" s="141" t="n"/>
      <c r="H426" s="141" t="n"/>
      <c r="I426" s="141" t="n"/>
      <c r="J426" s="141" t="n"/>
      <c r="K426" s="141" t="n"/>
      <c r="L426" s="141" t="n"/>
      <c r="M426" s="141" t="n"/>
      <c r="N426" s="141" t="n"/>
      <c r="O426" s="141" t="n"/>
      <c r="P426" s="141" t="n"/>
      <c r="Q426" s="141" t="n"/>
      <c r="R426" s="141" t="n"/>
      <c r="S426" s="141" t="n"/>
      <c r="T426" s="141" t="n"/>
      <c r="U426" s="141" t="n"/>
      <c r="V426" s="141" t="n"/>
      <c r="W426" s="141" t="n"/>
      <c r="X426" s="141" t="n"/>
      <c r="Y426" s="136" t="n"/>
      <c r="Z426" s="136" t="n"/>
      <c r="AA426" s="136" t="n"/>
      <c r="AB426" s="136" t="n"/>
      <c r="AC426" s="136" t="n"/>
      <c r="AD426" s="136" t="n"/>
      <c r="AE426" s="136" t="n"/>
      <c r="AF426" s="136" t="n"/>
      <c r="AG426" s="136" t="n"/>
      <c r="AH426" s="136" t="n"/>
      <c r="AI426" s="136" t="n"/>
      <c r="AJ426" s="136" t="n"/>
      <c r="AK426" s="136" t="n"/>
      <c r="AL426" s="136" t="n"/>
      <c r="AM426" s="136" t="n"/>
      <c r="AN426" s="136" t="n"/>
      <c r="AO426" s="136" t="n"/>
      <c r="AP426" s="136" t="n"/>
      <c r="AQ426" s="136" t="n"/>
      <c r="AR426" s="136" t="n"/>
    </row>
    <row r="427" ht="13.5" customHeight="1" s="196">
      <c r="A427" s="136" t="n"/>
      <c r="B427" s="136" t="n"/>
      <c r="C427" s="136" t="n"/>
      <c r="D427" s="141" t="n"/>
      <c r="E427" s="141" t="n"/>
      <c r="F427" s="141" t="n"/>
      <c r="G427" s="141" t="n"/>
      <c r="H427" s="141" t="n"/>
      <c r="I427" s="141" t="n"/>
      <c r="J427" s="141" t="n"/>
      <c r="K427" s="141" t="n"/>
      <c r="L427" s="141" t="n"/>
      <c r="M427" s="141" t="n"/>
      <c r="N427" s="141" t="n"/>
      <c r="O427" s="141" t="n"/>
      <c r="P427" s="141" t="n"/>
      <c r="Q427" s="141" t="n"/>
      <c r="R427" s="141" t="n"/>
      <c r="S427" s="141" t="n"/>
      <c r="T427" s="141" t="n"/>
      <c r="U427" s="141" t="n"/>
      <c r="V427" s="141" t="n"/>
      <c r="W427" s="141" t="n"/>
      <c r="X427" s="141" t="n"/>
      <c r="Y427" s="136" t="n"/>
      <c r="Z427" s="136" t="n"/>
      <c r="AA427" s="136" t="n"/>
      <c r="AB427" s="136" t="n"/>
      <c r="AC427" s="136" t="n"/>
      <c r="AD427" s="136" t="n"/>
      <c r="AE427" s="136" t="n"/>
      <c r="AF427" s="136" t="n"/>
      <c r="AG427" s="136" t="n"/>
      <c r="AH427" s="136" t="n"/>
      <c r="AI427" s="136" t="n"/>
      <c r="AJ427" s="136" t="n"/>
      <c r="AK427" s="136" t="n"/>
      <c r="AL427" s="136" t="n"/>
      <c r="AM427" s="136" t="n"/>
      <c r="AN427" s="136" t="n"/>
      <c r="AO427" s="136" t="n"/>
      <c r="AP427" s="136" t="n"/>
      <c r="AQ427" s="136" t="n"/>
      <c r="AR427" s="136" t="n"/>
    </row>
    <row r="428" ht="13.5" customHeight="1" s="196">
      <c r="A428" s="136" t="n"/>
      <c r="B428" s="136" t="n"/>
      <c r="C428" s="136" t="n"/>
      <c r="D428" s="141" t="n"/>
      <c r="E428" s="141" t="n"/>
      <c r="F428" s="141" t="n"/>
      <c r="G428" s="141" t="n"/>
      <c r="H428" s="141" t="n"/>
      <c r="I428" s="141" t="n"/>
      <c r="J428" s="141" t="n"/>
      <c r="K428" s="141" t="n"/>
      <c r="L428" s="141" t="n"/>
      <c r="M428" s="141" t="n"/>
      <c r="N428" s="141" t="n"/>
      <c r="O428" s="141" t="n"/>
      <c r="P428" s="141" t="n"/>
      <c r="Q428" s="141" t="n"/>
      <c r="R428" s="141" t="n"/>
      <c r="S428" s="141" t="n"/>
      <c r="T428" s="141" t="n"/>
      <c r="U428" s="141" t="n"/>
      <c r="V428" s="141" t="n"/>
      <c r="W428" s="141" t="n"/>
      <c r="X428" s="141" t="n"/>
      <c r="Y428" s="136" t="n"/>
      <c r="Z428" s="136" t="n"/>
      <c r="AA428" s="136" t="n"/>
      <c r="AB428" s="136" t="n"/>
      <c r="AC428" s="136" t="n"/>
      <c r="AD428" s="136" t="n"/>
      <c r="AE428" s="136" t="n"/>
      <c r="AF428" s="136" t="n"/>
      <c r="AG428" s="136" t="n"/>
      <c r="AH428" s="136" t="n"/>
      <c r="AI428" s="136" t="n"/>
      <c r="AJ428" s="136" t="n"/>
      <c r="AK428" s="136" t="n"/>
      <c r="AL428" s="136" t="n"/>
      <c r="AM428" s="136" t="n"/>
      <c r="AN428" s="136" t="n"/>
      <c r="AO428" s="136" t="n"/>
      <c r="AP428" s="136" t="n"/>
      <c r="AQ428" s="136" t="n"/>
      <c r="AR428" s="136" t="n"/>
    </row>
    <row r="429" ht="13.5" customHeight="1" s="196">
      <c r="A429" s="136" t="n"/>
      <c r="B429" s="136" t="n"/>
      <c r="C429" s="136" t="n"/>
      <c r="D429" s="141" t="n"/>
      <c r="E429" s="141" t="n"/>
      <c r="F429" s="141" t="n"/>
      <c r="G429" s="141" t="n"/>
      <c r="H429" s="141" t="n"/>
      <c r="I429" s="141" t="n"/>
      <c r="J429" s="141" t="n"/>
      <c r="K429" s="141" t="n"/>
      <c r="L429" s="141" t="n"/>
      <c r="M429" s="141" t="n"/>
      <c r="N429" s="141" t="n"/>
      <c r="O429" s="141" t="n"/>
      <c r="P429" s="141" t="n"/>
      <c r="Q429" s="141" t="n"/>
      <c r="R429" s="141" t="n"/>
      <c r="S429" s="141" t="n"/>
      <c r="T429" s="141" t="n"/>
      <c r="U429" s="141" t="n"/>
      <c r="V429" s="141" t="n"/>
      <c r="W429" s="141" t="n"/>
      <c r="X429" s="141" t="n"/>
      <c r="Y429" s="136" t="n"/>
      <c r="Z429" s="136" t="n"/>
      <c r="AA429" s="136" t="n"/>
      <c r="AB429" s="136" t="n"/>
      <c r="AC429" s="136" t="n"/>
      <c r="AD429" s="136" t="n"/>
      <c r="AE429" s="136" t="n"/>
      <c r="AF429" s="136" t="n"/>
      <c r="AG429" s="136" t="n"/>
      <c r="AH429" s="136" t="n"/>
      <c r="AI429" s="136" t="n"/>
      <c r="AJ429" s="136" t="n"/>
      <c r="AK429" s="136" t="n"/>
      <c r="AL429" s="136" t="n"/>
      <c r="AM429" s="136" t="n"/>
      <c r="AN429" s="136" t="n"/>
      <c r="AO429" s="136" t="n"/>
      <c r="AP429" s="136" t="n"/>
      <c r="AQ429" s="136" t="n"/>
      <c r="AR429" s="136" t="n"/>
    </row>
    <row r="430" ht="13.5" customHeight="1" s="196">
      <c r="A430" s="136" t="n"/>
      <c r="B430" s="136" t="n"/>
      <c r="C430" s="136" t="n"/>
      <c r="D430" s="141" t="n"/>
      <c r="E430" s="141" t="n"/>
      <c r="F430" s="141" t="n"/>
      <c r="G430" s="141" t="n"/>
      <c r="H430" s="141" t="n"/>
      <c r="I430" s="141" t="n"/>
      <c r="J430" s="141" t="n"/>
      <c r="K430" s="141" t="n"/>
      <c r="L430" s="141" t="n"/>
      <c r="M430" s="141" t="n"/>
      <c r="N430" s="141" t="n"/>
      <c r="O430" s="141" t="n"/>
      <c r="P430" s="141" t="n"/>
      <c r="Q430" s="141" t="n"/>
      <c r="R430" s="141" t="n"/>
      <c r="S430" s="141" t="n"/>
      <c r="T430" s="141" t="n"/>
      <c r="U430" s="141" t="n"/>
      <c r="V430" s="141" t="n"/>
      <c r="W430" s="141" t="n"/>
      <c r="X430" s="141" t="n"/>
      <c r="Y430" s="136" t="n"/>
      <c r="Z430" s="136" t="n"/>
      <c r="AA430" s="136" t="n"/>
      <c r="AB430" s="136" t="n"/>
      <c r="AC430" s="136" t="n"/>
      <c r="AD430" s="136" t="n"/>
      <c r="AE430" s="136" t="n"/>
      <c r="AF430" s="136" t="n"/>
      <c r="AG430" s="136" t="n"/>
      <c r="AH430" s="136" t="n"/>
      <c r="AI430" s="136" t="n"/>
      <c r="AJ430" s="136" t="n"/>
      <c r="AK430" s="136" t="n"/>
      <c r="AL430" s="136" t="n"/>
      <c r="AM430" s="136" t="n"/>
      <c r="AN430" s="136" t="n"/>
      <c r="AO430" s="136" t="n"/>
      <c r="AP430" s="136" t="n"/>
      <c r="AQ430" s="136" t="n"/>
      <c r="AR430" s="136" t="n"/>
    </row>
    <row r="431" ht="13.5" customHeight="1" s="196">
      <c r="A431" s="136" t="n"/>
      <c r="B431" s="136" t="n"/>
      <c r="C431" s="136" t="n"/>
      <c r="D431" s="141" t="n"/>
      <c r="E431" s="141" t="n"/>
      <c r="F431" s="141" t="n"/>
      <c r="G431" s="141" t="n"/>
      <c r="H431" s="141" t="n"/>
      <c r="I431" s="141" t="n"/>
      <c r="J431" s="141" t="n"/>
      <c r="K431" s="141" t="n"/>
      <c r="L431" s="141" t="n"/>
      <c r="M431" s="141" t="n"/>
      <c r="N431" s="141" t="n"/>
      <c r="O431" s="141" t="n"/>
      <c r="P431" s="141" t="n"/>
      <c r="Q431" s="141" t="n"/>
      <c r="R431" s="141" t="n"/>
      <c r="S431" s="141" t="n"/>
      <c r="T431" s="141" t="n"/>
      <c r="U431" s="141" t="n"/>
      <c r="V431" s="141" t="n"/>
      <c r="W431" s="141" t="n"/>
      <c r="X431" s="141" t="n"/>
      <c r="Y431" s="136" t="n"/>
      <c r="Z431" s="136" t="n"/>
      <c r="AA431" s="136" t="n"/>
      <c r="AB431" s="136" t="n"/>
      <c r="AC431" s="136" t="n"/>
      <c r="AD431" s="136" t="n"/>
      <c r="AE431" s="136" t="n"/>
      <c r="AF431" s="136" t="n"/>
      <c r="AG431" s="136" t="n"/>
      <c r="AH431" s="136" t="n"/>
      <c r="AI431" s="136" t="n"/>
      <c r="AJ431" s="136" t="n"/>
      <c r="AK431" s="136" t="n"/>
      <c r="AL431" s="136" t="n"/>
      <c r="AM431" s="136" t="n"/>
      <c r="AN431" s="136" t="n"/>
      <c r="AO431" s="136" t="n"/>
      <c r="AP431" s="136" t="n"/>
      <c r="AQ431" s="136" t="n"/>
      <c r="AR431" s="136" t="n"/>
    </row>
    <row r="432" ht="13.5" customHeight="1" s="196">
      <c r="A432" s="136" t="n"/>
      <c r="B432" s="136" t="n"/>
      <c r="C432" s="136" t="n"/>
      <c r="D432" s="141" t="n"/>
      <c r="E432" s="141" t="n"/>
      <c r="F432" s="141" t="n"/>
      <c r="G432" s="141" t="n"/>
      <c r="H432" s="141" t="n"/>
      <c r="I432" s="141" t="n"/>
      <c r="J432" s="141" t="n"/>
      <c r="K432" s="141" t="n"/>
      <c r="L432" s="141" t="n"/>
      <c r="M432" s="141" t="n"/>
      <c r="N432" s="141" t="n"/>
      <c r="O432" s="141" t="n"/>
      <c r="P432" s="141" t="n"/>
      <c r="Q432" s="141" t="n"/>
      <c r="R432" s="141" t="n"/>
      <c r="S432" s="141" t="n"/>
      <c r="T432" s="141" t="n"/>
      <c r="U432" s="141" t="n"/>
      <c r="V432" s="141" t="n"/>
      <c r="W432" s="141" t="n"/>
      <c r="X432" s="141" t="n"/>
      <c r="Y432" s="136" t="n"/>
      <c r="Z432" s="136" t="n"/>
      <c r="AA432" s="136" t="n"/>
      <c r="AB432" s="136" t="n"/>
      <c r="AC432" s="136" t="n"/>
      <c r="AD432" s="136" t="n"/>
      <c r="AE432" s="136" t="n"/>
      <c r="AF432" s="136" t="n"/>
      <c r="AG432" s="136" t="n"/>
      <c r="AH432" s="136" t="n"/>
      <c r="AI432" s="136" t="n"/>
      <c r="AJ432" s="136" t="n"/>
      <c r="AK432" s="136" t="n"/>
      <c r="AL432" s="136" t="n"/>
      <c r="AM432" s="136" t="n"/>
      <c r="AN432" s="136" t="n"/>
      <c r="AO432" s="136" t="n"/>
      <c r="AP432" s="136" t="n"/>
      <c r="AQ432" s="136" t="n"/>
      <c r="AR432" s="136" t="n"/>
    </row>
    <row r="433" ht="13.5" customHeight="1" s="196">
      <c r="A433" s="136" t="n"/>
      <c r="B433" s="136" t="n"/>
      <c r="C433" s="136" t="n"/>
      <c r="D433" s="141" t="n"/>
      <c r="E433" s="141" t="n"/>
      <c r="F433" s="141" t="n"/>
      <c r="G433" s="141" t="n"/>
      <c r="H433" s="141" t="n"/>
      <c r="I433" s="141" t="n"/>
      <c r="J433" s="141" t="n"/>
      <c r="K433" s="141" t="n"/>
      <c r="L433" s="141" t="n"/>
      <c r="M433" s="141" t="n"/>
      <c r="N433" s="141" t="n"/>
      <c r="O433" s="141" t="n"/>
      <c r="P433" s="141" t="n"/>
      <c r="Q433" s="141" t="n"/>
      <c r="R433" s="141" t="n"/>
      <c r="S433" s="141" t="n"/>
      <c r="T433" s="141" t="n"/>
      <c r="U433" s="141" t="n"/>
      <c r="V433" s="141" t="n"/>
      <c r="W433" s="141" t="n"/>
      <c r="X433" s="141" t="n"/>
      <c r="Y433" s="136" t="n"/>
      <c r="Z433" s="136" t="n"/>
      <c r="AA433" s="136" t="n"/>
      <c r="AB433" s="136" t="n"/>
      <c r="AC433" s="136" t="n"/>
      <c r="AD433" s="136" t="n"/>
      <c r="AE433" s="136" t="n"/>
      <c r="AF433" s="136" t="n"/>
      <c r="AG433" s="136" t="n"/>
      <c r="AH433" s="136" t="n"/>
      <c r="AI433" s="136" t="n"/>
      <c r="AJ433" s="136" t="n"/>
      <c r="AK433" s="136" t="n"/>
      <c r="AL433" s="136" t="n"/>
      <c r="AM433" s="136" t="n"/>
      <c r="AN433" s="136" t="n"/>
      <c r="AO433" s="136" t="n"/>
      <c r="AP433" s="136" t="n"/>
      <c r="AQ433" s="136" t="n"/>
      <c r="AR433" s="136" t="n"/>
    </row>
    <row r="434" ht="13.5" customHeight="1" s="196">
      <c r="A434" s="136" t="n"/>
      <c r="B434" s="136" t="n"/>
      <c r="C434" s="136" t="n"/>
      <c r="D434" s="141" t="n"/>
      <c r="E434" s="141" t="n"/>
      <c r="F434" s="141" t="n"/>
      <c r="G434" s="141" t="n"/>
      <c r="H434" s="141" t="n"/>
      <c r="I434" s="141" t="n"/>
      <c r="J434" s="141" t="n"/>
      <c r="K434" s="141" t="n"/>
      <c r="L434" s="141" t="n"/>
      <c r="M434" s="141" t="n"/>
      <c r="N434" s="141" t="n"/>
      <c r="O434" s="141" t="n"/>
      <c r="P434" s="141" t="n"/>
      <c r="Q434" s="141" t="n"/>
      <c r="R434" s="141" t="n"/>
      <c r="S434" s="141" t="n"/>
      <c r="T434" s="141" t="n"/>
      <c r="U434" s="141" t="n"/>
      <c r="V434" s="141" t="n"/>
      <c r="W434" s="141" t="n"/>
      <c r="X434" s="141" t="n"/>
      <c r="Y434" s="136" t="n"/>
      <c r="Z434" s="136" t="n"/>
      <c r="AA434" s="136" t="n"/>
      <c r="AB434" s="136" t="n"/>
      <c r="AC434" s="136" t="n"/>
      <c r="AD434" s="136" t="n"/>
      <c r="AE434" s="136" t="n"/>
      <c r="AF434" s="136" t="n"/>
      <c r="AG434" s="136" t="n"/>
      <c r="AH434" s="136" t="n"/>
      <c r="AI434" s="136" t="n"/>
      <c r="AJ434" s="136" t="n"/>
      <c r="AK434" s="136" t="n"/>
      <c r="AL434" s="136" t="n"/>
      <c r="AM434" s="136" t="n"/>
      <c r="AN434" s="136" t="n"/>
      <c r="AO434" s="136" t="n"/>
      <c r="AP434" s="136" t="n"/>
      <c r="AQ434" s="136" t="n"/>
      <c r="AR434" s="136" t="n"/>
    </row>
    <row r="435" ht="13.5" customHeight="1" s="196">
      <c r="A435" s="136" t="n"/>
      <c r="B435" s="136" t="n"/>
      <c r="C435" s="136" t="n"/>
      <c r="D435" s="141" t="n"/>
      <c r="E435" s="141" t="n"/>
      <c r="F435" s="141" t="n"/>
      <c r="G435" s="141" t="n"/>
      <c r="H435" s="141" t="n"/>
      <c r="I435" s="141" t="n"/>
      <c r="J435" s="141" t="n"/>
      <c r="K435" s="141" t="n"/>
      <c r="L435" s="141" t="n"/>
      <c r="M435" s="141" t="n"/>
      <c r="N435" s="141" t="n"/>
      <c r="O435" s="141" t="n"/>
      <c r="P435" s="141" t="n"/>
      <c r="Q435" s="141" t="n"/>
      <c r="R435" s="141" t="n"/>
      <c r="S435" s="141" t="n"/>
      <c r="T435" s="141" t="n"/>
      <c r="U435" s="141" t="n"/>
      <c r="V435" s="141" t="n"/>
      <c r="W435" s="141" t="n"/>
      <c r="X435" s="141" t="n"/>
      <c r="Y435" s="136" t="n"/>
      <c r="Z435" s="136" t="n"/>
      <c r="AA435" s="136" t="n"/>
      <c r="AB435" s="136" t="n"/>
      <c r="AC435" s="136" t="n"/>
      <c r="AD435" s="136" t="n"/>
      <c r="AE435" s="136" t="n"/>
      <c r="AF435" s="136" t="n"/>
      <c r="AG435" s="136" t="n"/>
      <c r="AH435" s="136" t="n"/>
      <c r="AI435" s="136" t="n"/>
      <c r="AJ435" s="136" t="n"/>
      <c r="AK435" s="136" t="n"/>
      <c r="AL435" s="136" t="n"/>
      <c r="AM435" s="136" t="n"/>
      <c r="AN435" s="136" t="n"/>
      <c r="AO435" s="136" t="n"/>
      <c r="AP435" s="136" t="n"/>
      <c r="AQ435" s="136" t="n"/>
      <c r="AR435" s="136" t="n"/>
    </row>
    <row r="436" ht="13.5" customHeight="1" s="196">
      <c r="A436" s="136" t="n"/>
      <c r="B436" s="136" t="n"/>
      <c r="C436" s="136" t="n"/>
      <c r="D436" s="141" t="n"/>
      <c r="E436" s="141" t="n"/>
      <c r="F436" s="141" t="n"/>
      <c r="G436" s="141" t="n"/>
      <c r="H436" s="141" t="n"/>
      <c r="I436" s="141" t="n"/>
      <c r="J436" s="141" t="n"/>
      <c r="K436" s="141" t="n"/>
      <c r="L436" s="141" t="n"/>
      <c r="M436" s="141" t="n"/>
      <c r="N436" s="141" t="n"/>
      <c r="O436" s="141" t="n"/>
      <c r="P436" s="141" t="n"/>
      <c r="Q436" s="141" t="n"/>
      <c r="R436" s="141" t="n"/>
      <c r="S436" s="141" t="n"/>
      <c r="T436" s="141" t="n"/>
      <c r="U436" s="141" t="n"/>
      <c r="V436" s="141" t="n"/>
      <c r="W436" s="141" t="n"/>
      <c r="X436" s="141" t="n"/>
      <c r="Y436" s="136" t="n"/>
      <c r="Z436" s="136" t="n"/>
      <c r="AA436" s="136" t="n"/>
      <c r="AB436" s="136" t="n"/>
      <c r="AC436" s="136" t="n"/>
      <c r="AD436" s="136" t="n"/>
      <c r="AE436" s="136" t="n"/>
      <c r="AF436" s="136" t="n"/>
      <c r="AG436" s="136" t="n"/>
      <c r="AH436" s="136" t="n"/>
      <c r="AI436" s="136" t="n"/>
      <c r="AJ436" s="136" t="n"/>
      <c r="AK436" s="136" t="n"/>
      <c r="AL436" s="136" t="n"/>
      <c r="AM436" s="136" t="n"/>
      <c r="AN436" s="136" t="n"/>
      <c r="AO436" s="136" t="n"/>
      <c r="AP436" s="136" t="n"/>
      <c r="AQ436" s="136" t="n"/>
      <c r="AR436" s="136" t="n"/>
    </row>
    <row r="437" ht="13.5" customHeight="1" s="196">
      <c r="A437" s="136" t="n"/>
      <c r="B437" s="136" t="n"/>
      <c r="C437" s="136" t="n"/>
      <c r="D437" s="141" t="n"/>
      <c r="E437" s="141" t="n"/>
      <c r="F437" s="141" t="n"/>
      <c r="G437" s="141" t="n"/>
      <c r="H437" s="141" t="n"/>
      <c r="I437" s="141" t="n"/>
      <c r="J437" s="141" t="n"/>
      <c r="K437" s="141" t="n"/>
      <c r="L437" s="141" t="n"/>
      <c r="M437" s="141" t="n"/>
      <c r="N437" s="141" t="n"/>
      <c r="O437" s="141" t="n"/>
      <c r="P437" s="141" t="n"/>
      <c r="Q437" s="141" t="n"/>
      <c r="R437" s="141" t="n"/>
      <c r="S437" s="141" t="n"/>
      <c r="T437" s="141" t="n"/>
      <c r="U437" s="141" t="n"/>
      <c r="V437" s="141" t="n"/>
      <c r="W437" s="141" t="n"/>
      <c r="X437" s="141" t="n"/>
      <c r="Y437" s="136" t="n"/>
      <c r="Z437" s="136" t="n"/>
      <c r="AA437" s="136" t="n"/>
      <c r="AB437" s="136" t="n"/>
      <c r="AC437" s="136" t="n"/>
      <c r="AD437" s="136" t="n"/>
      <c r="AE437" s="136" t="n"/>
      <c r="AF437" s="136" t="n"/>
      <c r="AG437" s="136" t="n"/>
      <c r="AH437" s="136" t="n"/>
      <c r="AI437" s="136" t="n"/>
      <c r="AJ437" s="136" t="n"/>
      <c r="AK437" s="136" t="n"/>
      <c r="AL437" s="136" t="n"/>
      <c r="AM437" s="136" t="n"/>
      <c r="AN437" s="136" t="n"/>
      <c r="AO437" s="136" t="n"/>
      <c r="AP437" s="136" t="n"/>
      <c r="AQ437" s="136" t="n"/>
      <c r="AR437" s="136" t="n"/>
    </row>
    <row r="438" ht="13.5" customHeight="1" s="196">
      <c r="A438" s="136" t="n"/>
      <c r="B438" s="136" t="n"/>
      <c r="C438" s="136" t="n"/>
      <c r="D438" s="141" t="n"/>
      <c r="E438" s="141" t="n"/>
      <c r="F438" s="141" t="n"/>
      <c r="G438" s="141" t="n"/>
      <c r="H438" s="141" t="n"/>
      <c r="I438" s="141" t="n"/>
      <c r="J438" s="141" t="n"/>
      <c r="K438" s="141" t="n"/>
      <c r="L438" s="141" t="n"/>
      <c r="M438" s="141" t="n"/>
      <c r="N438" s="141" t="n"/>
      <c r="O438" s="141" t="n"/>
      <c r="P438" s="141" t="n"/>
      <c r="Q438" s="141" t="n"/>
      <c r="R438" s="141" t="n"/>
      <c r="S438" s="141" t="n"/>
      <c r="T438" s="141" t="n"/>
      <c r="U438" s="141" t="n"/>
      <c r="V438" s="141" t="n"/>
      <c r="W438" s="141" t="n"/>
      <c r="X438" s="141" t="n"/>
      <c r="Y438" s="136" t="n"/>
      <c r="Z438" s="136" t="n"/>
      <c r="AA438" s="136" t="n"/>
      <c r="AB438" s="136" t="n"/>
      <c r="AC438" s="136" t="n"/>
      <c r="AD438" s="136" t="n"/>
      <c r="AE438" s="136" t="n"/>
      <c r="AF438" s="136" t="n"/>
      <c r="AG438" s="136" t="n"/>
      <c r="AH438" s="136" t="n"/>
      <c r="AI438" s="136" t="n"/>
      <c r="AJ438" s="136" t="n"/>
      <c r="AK438" s="136" t="n"/>
      <c r="AL438" s="136" t="n"/>
      <c r="AM438" s="136" t="n"/>
      <c r="AN438" s="136" t="n"/>
      <c r="AO438" s="136" t="n"/>
      <c r="AP438" s="136" t="n"/>
      <c r="AQ438" s="136" t="n"/>
      <c r="AR438" s="136" t="n"/>
    </row>
    <row r="439" ht="13.5" customHeight="1" s="196">
      <c r="A439" s="136" t="n"/>
      <c r="B439" s="136" t="n"/>
      <c r="C439" s="136" t="n"/>
      <c r="D439" s="141" t="n"/>
      <c r="E439" s="141" t="n"/>
      <c r="F439" s="141" t="n"/>
      <c r="G439" s="141" t="n"/>
      <c r="H439" s="141" t="n"/>
      <c r="I439" s="141" t="n"/>
      <c r="J439" s="141" t="n"/>
      <c r="K439" s="141" t="n"/>
      <c r="L439" s="141" t="n"/>
      <c r="M439" s="141" t="n"/>
      <c r="N439" s="141" t="n"/>
      <c r="O439" s="141" t="n"/>
      <c r="P439" s="141" t="n"/>
      <c r="Q439" s="141" t="n"/>
      <c r="R439" s="141" t="n"/>
      <c r="S439" s="141" t="n"/>
      <c r="T439" s="141" t="n"/>
      <c r="U439" s="141" t="n"/>
      <c r="V439" s="141" t="n"/>
      <c r="W439" s="141" t="n"/>
      <c r="X439" s="141" t="n"/>
      <c r="Y439" s="136" t="n"/>
      <c r="Z439" s="136" t="n"/>
      <c r="AA439" s="136" t="n"/>
      <c r="AB439" s="136" t="n"/>
      <c r="AC439" s="136" t="n"/>
      <c r="AD439" s="136" t="n"/>
      <c r="AE439" s="136" t="n"/>
      <c r="AF439" s="136" t="n"/>
      <c r="AG439" s="136" t="n"/>
      <c r="AH439" s="136" t="n"/>
      <c r="AI439" s="136" t="n"/>
      <c r="AJ439" s="136" t="n"/>
      <c r="AK439" s="136" t="n"/>
      <c r="AL439" s="136" t="n"/>
      <c r="AM439" s="136" t="n"/>
      <c r="AN439" s="136" t="n"/>
      <c r="AO439" s="136" t="n"/>
      <c r="AP439" s="136" t="n"/>
      <c r="AQ439" s="136" t="n"/>
      <c r="AR439" s="136" t="n"/>
    </row>
    <row r="440" ht="13.5" customHeight="1" s="196">
      <c r="A440" s="136" t="n"/>
      <c r="B440" s="136" t="n"/>
      <c r="C440" s="136" t="n"/>
      <c r="D440" s="141" t="n"/>
      <c r="E440" s="141" t="n"/>
      <c r="F440" s="141" t="n"/>
      <c r="G440" s="141" t="n"/>
      <c r="H440" s="141" t="n"/>
      <c r="I440" s="141" t="n"/>
      <c r="J440" s="141" t="n"/>
      <c r="K440" s="141" t="n"/>
      <c r="L440" s="141" t="n"/>
      <c r="M440" s="141" t="n"/>
      <c r="N440" s="141" t="n"/>
      <c r="O440" s="141" t="n"/>
      <c r="P440" s="141" t="n"/>
      <c r="Q440" s="141" t="n"/>
      <c r="R440" s="141" t="n"/>
      <c r="S440" s="141" t="n"/>
      <c r="T440" s="141" t="n"/>
      <c r="U440" s="141" t="n"/>
      <c r="V440" s="141" t="n"/>
      <c r="W440" s="141" t="n"/>
      <c r="X440" s="141" t="n"/>
      <c r="Y440" s="136" t="n"/>
      <c r="Z440" s="136" t="n"/>
      <c r="AA440" s="136" t="n"/>
      <c r="AB440" s="136" t="n"/>
      <c r="AC440" s="136" t="n"/>
      <c r="AD440" s="136" t="n"/>
      <c r="AE440" s="136" t="n"/>
      <c r="AF440" s="136" t="n"/>
      <c r="AG440" s="136" t="n"/>
      <c r="AH440" s="136" t="n"/>
      <c r="AI440" s="136" t="n"/>
      <c r="AJ440" s="136" t="n"/>
      <c r="AK440" s="136" t="n"/>
      <c r="AL440" s="136" t="n"/>
      <c r="AM440" s="136" t="n"/>
      <c r="AN440" s="136" t="n"/>
      <c r="AO440" s="136" t="n"/>
      <c r="AP440" s="136" t="n"/>
      <c r="AQ440" s="136" t="n"/>
      <c r="AR440" s="136" t="n"/>
    </row>
    <row r="441" ht="13.5" customHeight="1" s="196">
      <c r="A441" s="136" t="n"/>
      <c r="B441" s="136" t="n"/>
      <c r="C441" s="136" t="n"/>
      <c r="D441" s="141" t="n"/>
      <c r="E441" s="141" t="n"/>
      <c r="F441" s="141" t="n"/>
      <c r="G441" s="141" t="n"/>
      <c r="H441" s="141" t="n"/>
      <c r="I441" s="141" t="n"/>
      <c r="J441" s="141" t="n"/>
      <c r="K441" s="141" t="n"/>
      <c r="L441" s="141" t="n"/>
      <c r="M441" s="141" t="n"/>
      <c r="N441" s="141" t="n"/>
      <c r="O441" s="141" t="n"/>
      <c r="P441" s="141" t="n"/>
      <c r="Q441" s="141" t="n"/>
      <c r="R441" s="141" t="n"/>
      <c r="S441" s="141" t="n"/>
      <c r="T441" s="141" t="n"/>
      <c r="U441" s="141" t="n"/>
      <c r="V441" s="141" t="n"/>
      <c r="W441" s="141" t="n"/>
      <c r="X441" s="141" t="n"/>
      <c r="Y441" s="136" t="n"/>
      <c r="Z441" s="136" t="n"/>
      <c r="AA441" s="136" t="n"/>
      <c r="AB441" s="136" t="n"/>
      <c r="AC441" s="136" t="n"/>
      <c r="AD441" s="136" t="n"/>
      <c r="AE441" s="136" t="n"/>
      <c r="AF441" s="136" t="n"/>
      <c r="AG441" s="136" t="n"/>
      <c r="AH441" s="136" t="n"/>
      <c r="AI441" s="136" t="n"/>
      <c r="AJ441" s="136" t="n"/>
      <c r="AK441" s="136" t="n"/>
      <c r="AL441" s="136" t="n"/>
      <c r="AM441" s="136" t="n"/>
      <c r="AN441" s="136" t="n"/>
      <c r="AO441" s="136" t="n"/>
      <c r="AP441" s="136" t="n"/>
      <c r="AQ441" s="136" t="n"/>
      <c r="AR441" s="136" t="n"/>
    </row>
    <row r="442" ht="13.5" customHeight="1" s="196">
      <c r="A442" s="136" t="n"/>
      <c r="B442" s="136" t="n"/>
      <c r="C442" s="136" t="n"/>
      <c r="D442" s="141" t="n"/>
      <c r="E442" s="141" t="n"/>
      <c r="F442" s="141" t="n"/>
      <c r="G442" s="141" t="n"/>
      <c r="H442" s="141" t="n"/>
      <c r="I442" s="141" t="n"/>
      <c r="J442" s="141" t="n"/>
      <c r="K442" s="141" t="n"/>
      <c r="L442" s="141" t="n"/>
      <c r="M442" s="141" t="n"/>
      <c r="N442" s="141" t="n"/>
      <c r="O442" s="141" t="n"/>
      <c r="P442" s="141" t="n"/>
      <c r="Q442" s="141" t="n"/>
      <c r="R442" s="141" t="n"/>
      <c r="S442" s="141" t="n"/>
      <c r="T442" s="141" t="n"/>
      <c r="U442" s="141" t="n"/>
      <c r="V442" s="141" t="n"/>
      <c r="W442" s="141" t="n"/>
      <c r="X442" s="141" t="n"/>
      <c r="Y442" s="136" t="n"/>
      <c r="Z442" s="136" t="n"/>
      <c r="AA442" s="136" t="n"/>
      <c r="AB442" s="136" t="n"/>
      <c r="AC442" s="136" t="n"/>
      <c r="AD442" s="136" t="n"/>
      <c r="AE442" s="136" t="n"/>
      <c r="AF442" s="136" t="n"/>
      <c r="AG442" s="136" t="n"/>
      <c r="AH442" s="136" t="n"/>
      <c r="AI442" s="136" t="n"/>
      <c r="AJ442" s="136" t="n"/>
      <c r="AK442" s="136" t="n"/>
      <c r="AL442" s="136" t="n"/>
      <c r="AM442" s="136" t="n"/>
      <c r="AN442" s="136" t="n"/>
      <c r="AO442" s="136" t="n"/>
      <c r="AP442" s="136" t="n"/>
      <c r="AQ442" s="136" t="n"/>
      <c r="AR442" s="136" t="n"/>
    </row>
    <row r="443" ht="13.5" customHeight="1" s="196">
      <c r="A443" s="136" t="n"/>
      <c r="B443" s="136" t="n"/>
      <c r="C443" s="136" t="n"/>
      <c r="D443" s="141" t="n"/>
      <c r="E443" s="141" t="n"/>
      <c r="F443" s="141" t="n"/>
      <c r="G443" s="141" t="n"/>
      <c r="H443" s="141" t="n"/>
      <c r="I443" s="141" t="n"/>
      <c r="J443" s="141" t="n"/>
      <c r="K443" s="141" t="n"/>
      <c r="L443" s="141" t="n"/>
      <c r="M443" s="141" t="n"/>
      <c r="N443" s="141" t="n"/>
      <c r="O443" s="141" t="n"/>
      <c r="P443" s="141" t="n"/>
      <c r="Q443" s="141" t="n"/>
      <c r="R443" s="141" t="n"/>
      <c r="S443" s="141" t="n"/>
      <c r="T443" s="141" t="n"/>
      <c r="U443" s="141" t="n"/>
      <c r="V443" s="141" t="n"/>
      <c r="W443" s="141" t="n"/>
      <c r="X443" s="141" t="n"/>
      <c r="Y443" s="136" t="n"/>
      <c r="Z443" s="136" t="n"/>
      <c r="AA443" s="136" t="n"/>
      <c r="AB443" s="136" t="n"/>
      <c r="AC443" s="136" t="n"/>
      <c r="AD443" s="136" t="n"/>
      <c r="AE443" s="136" t="n"/>
      <c r="AF443" s="136" t="n"/>
      <c r="AG443" s="136" t="n"/>
      <c r="AH443" s="136" t="n"/>
      <c r="AI443" s="136" t="n"/>
      <c r="AJ443" s="136" t="n"/>
      <c r="AK443" s="136" t="n"/>
      <c r="AL443" s="136" t="n"/>
      <c r="AM443" s="136" t="n"/>
      <c r="AN443" s="136" t="n"/>
      <c r="AO443" s="136" t="n"/>
      <c r="AP443" s="136" t="n"/>
      <c r="AQ443" s="136" t="n"/>
      <c r="AR443" s="136" t="n"/>
    </row>
    <row r="444" ht="13.5" customHeight="1" s="196">
      <c r="A444" s="136" t="n"/>
      <c r="B444" s="136" t="n"/>
      <c r="C444" s="136" t="n"/>
      <c r="D444" s="141" t="n"/>
      <c r="E444" s="141" t="n"/>
      <c r="F444" s="141" t="n"/>
      <c r="G444" s="141" t="n"/>
      <c r="H444" s="141" t="n"/>
      <c r="I444" s="141" t="n"/>
      <c r="J444" s="141" t="n"/>
      <c r="K444" s="141" t="n"/>
      <c r="L444" s="141" t="n"/>
      <c r="M444" s="141" t="n"/>
      <c r="N444" s="141" t="n"/>
      <c r="O444" s="141" t="n"/>
      <c r="P444" s="141" t="n"/>
      <c r="Q444" s="141" t="n"/>
      <c r="R444" s="141" t="n"/>
      <c r="S444" s="141" t="n"/>
      <c r="T444" s="141" t="n"/>
      <c r="U444" s="141" t="n"/>
      <c r="V444" s="141" t="n"/>
      <c r="W444" s="141" t="n"/>
      <c r="X444" s="141" t="n"/>
      <c r="Y444" s="136" t="n"/>
      <c r="Z444" s="136" t="n"/>
      <c r="AA444" s="136" t="n"/>
      <c r="AB444" s="136" t="n"/>
      <c r="AC444" s="136" t="n"/>
      <c r="AD444" s="136" t="n"/>
      <c r="AE444" s="136" t="n"/>
      <c r="AF444" s="136" t="n"/>
      <c r="AG444" s="136" t="n"/>
      <c r="AH444" s="136" t="n"/>
      <c r="AI444" s="136" t="n"/>
      <c r="AJ444" s="136" t="n"/>
      <c r="AK444" s="136" t="n"/>
      <c r="AL444" s="136" t="n"/>
      <c r="AM444" s="136" t="n"/>
      <c r="AN444" s="136" t="n"/>
      <c r="AO444" s="136" t="n"/>
      <c r="AP444" s="136" t="n"/>
      <c r="AQ444" s="136" t="n"/>
      <c r="AR444" s="136" t="n"/>
    </row>
    <row r="445" ht="13.5" customHeight="1" s="196">
      <c r="A445" s="136" t="n"/>
      <c r="B445" s="136" t="n"/>
      <c r="C445" s="136" t="n"/>
      <c r="D445" s="141" t="n"/>
      <c r="E445" s="141" t="n"/>
      <c r="F445" s="141" t="n"/>
      <c r="G445" s="141" t="n"/>
      <c r="H445" s="141" t="n"/>
      <c r="I445" s="141" t="n"/>
      <c r="J445" s="141" t="n"/>
      <c r="K445" s="141" t="n"/>
      <c r="L445" s="141" t="n"/>
      <c r="M445" s="141" t="n"/>
      <c r="N445" s="141" t="n"/>
      <c r="O445" s="141" t="n"/>
      <c r="P445" s="141" t="n"/>
      <c r="Q445" s="141" t="n"/>
      <c r="R445" s="141" t="n"/>
      <c r="S445" s="141" t="n"/>
      <c r="T445" s="141" t="n"/>
      <c r="U445" s="141" t="n"/>
      <c r="V445" s="141" t="n"/>
      <c r="W445" s="141" t="n"/>
      <c r="X445" s="141" t="n"/>
      <c r="Y445" s="136" t="n"/>
      <c r="Z445" s="136" t="n"/>
      <c r="AA445" s="136" t="n"/>
      <c r="AB445" s="136" t="n"/>
      <c r="AC445" s="136" t="n"/>
      <c r="AD445" s="136" t="n"/>
      <c r="AE445" s="136" t="n"/>
      <c r="AF445" s="136" t="n"/>
      <c r="AG445" s="136" t="n"/>
      <c r="AH445" s="136" t="n"/>
      <c r="AI445" s="136" t="n"/>
      <c r="AJ445" s="136" t="n"/>
      <c r="AK445" s="136" t="n"/>
      <c r="AL445" s="136" t="n"/>
      <c r="AM445" s="136" t="n"/>
      <c r="AN445" s="136" t="n"/>
      <c r="AO445" s="136" t="n"/>
      <c r="AP445" s="136" t="n"/>
      <c r="AQ445" s="136" t="n"/>
      <c r="AR445" s="136" t="n"/>
    </row>
    <row r="446" ht="13.5" customHeight="1" s="196">
      <c r="A446" s="136" t="n"/>
      <c r="B446" s="136" t="n"/>
      <c r="C446" s="136" t="n"/>
      <c r="D446" s="141" t="n"/>
      <c r="E446" s="141" t="n"/>
      <c r="F446" s="141" t="n"/>
      <c r="G446" s="141" t="n"/>
      <c r="H446" s="141" t="n"/>
      <c r="I446" s="141" t="n"/>
      <c r="J446" s="141" t="n"/>
      <c r="K446" s="141" t="n"/>
      <c r="L446" s="141" t="n"/>
      <c r="M446" s="141" t="n"/>
      <c r="N446" s="141" t="n"/>
      <c r="O446" s="141" t="n"/>
      <c r="P446" s="141" t="n"/>
      <c r="Q446" s="141" t="n"/>
      <c r="R446" s="141" t="n"/>
      <c r="S446" s="141" t="n"/>
      <c r="T446" s="141" t="n"/>
      <c r="U446" s="141" t="n"/>
      <c r="V446" s="141" t="n"/>
      <c r="W446" s="141" t="n"/>
      <c r="X446" s="141" t="n"/>
      <c r="Y446" s="136" t="n"/>
      <c r="Z446" s="136" t="n"/>
      <c r="AA446" s="136" t="n"/>
      <c r="AB446" s="136" t="n"/>
      <c r="AC446" s="136" t="n"/>
      <c r="AD446" s="136" t="n"/>
      <c r="AE446" s="136" t="n"/>
      <c r="AF446" s="136" t="n"/>
      <c r="AG446" s="136" t="n"/>
      <c r="AH446" s="136" t="n"/>
      <c r="AI446" s="136" t="n"/>
      <c r="AJ446" s="136" t="n"/>
      <c r="AK446" s="136" t="n"/>
      <c r="AL446" s="136" t="n"/>
      <c r="AM446" s="136" t="n"/>
      <c r="AN446" s="136" t="n"/>
      <c r="AO446" s="136" t="n"/>
      <c r="AP446" s="136" t="n"/>
      <c r="AQ446" s="136" t="n"/>
      <c r="AR446" s="136" t="n"/>
    </row>
    <row r="447" ht="13.5" customHeight="1" s="196">
      <c r="A447" s="136" t="n"/>
      <c r="B447" s="136" t="n"/>
      <c r="C447" s="136" t="n"/>
      <c r="D447" s="141" t="n"/>
      <c r="E447" s="141" t="n"/>
      <c r="F447" s="141" t="n"/>
      <c r="G447" s="141" t="n"/>
      <c r="H447" s="141" t="n"/>
      <c r="I447" s="141" t="n"/>
      <c r="J447" s="141" t="n"/>
      <c r="K447" s="141" t="n"/>
      <c r="L447" s="141" t="n"/>
      <c r="M447" s="141" t="n"/>
      <c r="N447" s="141" t="n"/>
      <c r="O447" s="141" t="n"/>
      <c r="P447" s="141" t="n"/>
      <c r="Q447" s="141" t="n"/>
      <c r="R447" s="141" t="n"/>
      <c r="S447" s="141" t="n"/>
      <c r="T447" s="141" t="n"/>
      <c r="U447" s="141" t="n"/>
      <c r="V447" s="141" t="n"/>
      <c r="W447" s="141" t="n"/>
      <c r="X447" s="141" t="n"/>
      <c r="Y447" s="136" t="n"/>
      <c r="Z447" s="136" t="n"/>
      <c r="AA447" s="136" t="n"/>
      <c r="AB447" s="136" t="n"/>
      <c r="AC447" s="136" t="n"/>
      <c r="AD447" s="136" t="n"/>
      <c r="AE447" s="136" t="n"/>
      <c r="AF447" s="136" t="n"/>
      <c r="AG447" s="136" t="n"/>
      <c r="AH447" s="136" t="n"/>
      <c r="AI447" s="136" t="n"/>
      <c r="AJ447" s="136" t="n"/>
      <c r="AK447" s="136" t="n"/>
      <c r="AL447" s="136" t="n"/>
      <c r="AM447" s="136" t="n"/>
      <c r="AN447" s="136" t="n"/>
      <c r="AO447" s="136" t="n"/>
      <c r="AP447" s="136" t="n"/>
      <c r="AQ447" s="136" t="n"/>
      <c r="AR447" s="136" t="n"/>
    </row>
    <row r="448" ht="13.5" customHeight="1" s="196">
      <c r="A448" s="136" t="n"/>
      <c r="B448" s="136" t="n"/>
      <c r="C448" s="136" t="n"/>
      <c r="D448" s="141" t="n"/>
      <c r="E448" s="141" t="n"/>
      <c r="F448" s="141" t="n"/>
      <c r="G448" s="141" t="n"/>
      <c r="H448" s="141" t="n"/>
      <c r="I448" s="141" t="n"/>
      <c r="J448" s="141" t="n"/>
      <c r="K448" s="141" t="n"/>
      <c r="L448" s="141" t="n"/>
      <c r="M448" s="141" t="n"/>
      <c r="N448" s="141" t="n"/>
      <c r="O448" s="141" t="n"/>
      <c r="P448" s="141" t="n"/>
      <c r="Q448" s="141" t="n"/>
      <c r="R448" s="141" t="n"/>
      <c r="S448" s="141" t="n"/>
      <c r="T448" s="141" t="n"/>
      <c r="U448" s="141" t="n"/>
      <c r="V448" s="141" t="n"/>
      <c r="W448" s="141" t="n"/>
      <c r="X448" s="141" t="n"/>
      <c r="Y448" s="136" t="n"/>
      <c r="Z448" s="136" t="n"/>
      <c r="AA448" s="136" t="n"/>
      <c r="AB448" s="136" t="n"/>
      <c r="AC448" s="136" t="n"/>
      <c r="AD448" s="136" t="n"/>
      <c r="AE448" s="136" t="n"/>
      <c r="AF448" s="136" t="n"/>
      <c r="AG448" s="136" t="n"/>
      <c r="AH448" s="136" t="n"/>
      <c r="AI448" s="136" t="n"/>
      <c r="AJ448" s="136" t="n"/>
      <c r="AK448" s="136" t="n"/>
      <c r="AL448" s="136" t="n"/>
      <c r="AM448" s="136" t="n"/>
      <c r="AN448" s="136" t="n"/>
      <c r="AO448" s="136" t="n"/>
      <c r="AP448" s="136" t="n"/>
      <c r="AQ448" s="136" t="n"/>
      <c r="AR448" s="136" t="n"/>
    </row>
    <row r="449" ht="13.5" customHeight="1" s="196">
      <c r="A449" s="136" t="n"/>
      <c r="B449" s="136" t="n"/>
      <c r="C449" s="136" t="n"/>
      <c r="D449" s="141" t="n"/>
      <c r="E449" s="141" t="n"/>
      <c r="F449" s="141" t="n"/>
      <c r="G449" s="141" t="n"/>
      <c r="H449" s="141" t="n"/>
      <c r="I449" s="141" t="n"/>
      <c r="J449" s="141" t="n"/>
      <c r="K449" s="141" t="n"/>
      <c r="L449" s="141" t="n"/>
      <c r="M449" s="141" t="n"/>
      <c r="N449" s="141" t="n"/>
      <c r="O449" s="141" t="n"/>
      <c r="P449" s="141" t="n"/>
      <c r="Q449" s="141" t="n"/>
      <c r="R449" s="141" t="n"/>
      <c r="S449" s="141" t="n"/>
      <c r="T449" s="141" t="n"/>
      <c r="U449" s="141" t="n"/>
      <c r="V449" s="141" t="n"/>
      <c r="W449" s="141" t="n"/>
      <c r="X449" s="141" t="n"/>
      <c r="Y449" s="136" t="n"/>
      <c r="Z449" s="136" t="n"/>
      <c r="AA449" s="136" t="n"/>
      <c r="AB449" s="136" t="n"/>
      <c r="AC449" s="136" t="n"/>
      <c r="AD449" s="136" t="n"/>
      <c r="AE449" s="136" t="n"/>
      <c r="AF449" s="136" t="n"/>
      <c r="AG449" s="136" t="n"/>
      <c r="AH449" s="136" t="n"/>
      <c r="AI449" s="136" t="n"/>
      <c r="AJ449" s="136" t="n"/>
      <c r="AK449" s="136" t="n"/>
      <c r="AL449" s="136" t="n"/>
      <c r="AM449" s="136" t="n"/>
      <c r="AN449" s="136" t="n"/>
      <c r="AO449" s="136" t="n"/>
      <c r="AP449" s="136" t="n"/>
      <c r="AQ449" s="136" t="n"/>
      <c r="AR449" s="136" t="n"/>
    </row>
    <row r="450" ht="13.5" customHeight="1" s="196">
      <c r="A450" s="136" t="n"/>
      <c r="B450" s="136" t="n"/>
      <c r="C450" s="136" t="n"/>
      <c r="D450" s="141" t="n"/>
      <c r="E450" s="141" t="n"/>
      <c r="F450" s="141" t="n"/>
      <c r="G450" s="141" t="n"/>
      <c r="H450" s="141" t="n"/>
      <c r="I450" s="141" t="n"/>
      <c r="J450" s="141" t="n"/>
      <c r="K450" s="141" t="n"/>
      <c r="L450" s="141" t="n"/>
      <c r="M450" s="141" t="n"/>
      <c r="N450" s="141" t="n"/>
      <c r="O450" s="141" t="n"/>
      <c r="P450" s="141" t="n"/>
      <c r="Q450" s="141" t="n"/>
      <c r="R450" s="141" t="n"/>
      <c r="S450" s="141" t="n"/>
      <c r="T450" s="141" t="n"/>
      <c r="U450" s="141" t="n"/>
      <c r="V450" s="141" t="n"/>
      <c r="W450" s="141" t="n"/>
      <c r="X450" s="141" t="n"/>
      <c r="Y450" s="136" t="n"/>
      <c r="Z450" s="136" t="n"/>
      <c r="AA450" s="136" t="n"/>
      <c r="AB450" s="136" t="n"/>
      <c r="AC450" s="136" t="n"/>
      <c r="AD450" s="136" t="n"/>
      <c r="AE450" s="136" t="n"/>
      <c r="AF450" s="136" t="n"/>
      <c r="AG450" s="136" t="n"/>
      <c r="AH450" s="136" t="n"/>
      <c r="AI450" s="136" t="n"/>
      <c r="AJ450" s="136" t="n"/>
      <c r="AK450" s="136" t="n"/>
      <c r="AL450" s="136" t="n"/>
      <c r="AM450" s="136" t="n"/>
      <c r="AN450" s="136" t="n"/>
      <c r="AO450" s="136" t="n"/>
      <c r="AP450" s="136" t="n"/>
      <c r="AQ450" s="136" t="n"/>
      <c r="AR450" s="136" t="n"/>
    </row>
    <row r="451" ht="13.5" customHeight="1" s="196">
      <c r="A451" s="136" t="n"/>
      <c r="B451" s="136" t="n"/>
      <c r="C451" s="136" t="n"/>
      <c r="D451" s="141" t="n"/>
      <c r="E451" s="141" t="n"/>
      <c r="F451" s="141" t="n"/>
      <c r="G451" s="141" t="n"/>
      <c r="H451" s="141" t="n"/>
      <c r="I451" s="141" t="n"/>
      <c r="J451" s="141" t="n"/>
      <c r="K451" s="141" t="n"/>
      <c r="L451" s="141" t="n"/>
      <c r="M451" s="141" t="n"/>
      <c r="N451" s="141" t="n"/>
      <c r="O451" s="141" t="n"/>
      <c r="P451" s="141" t="n"/>
      <c r="Q451" s="141" t="n"/>
      <c r="R451" s="141" t="n"/>
      <c r="S451" s="141" t="n"/>
      <c r="T451" s="141" t="n"/>
      <c r="U451" s="141" t="n"/>
      <c r="V451" s="141" t="n"/>
      <c r="W451" s="141" t="n"/>
      <c r="X451" s="141" t="n"/>
      <c r="Y451" s="136" t="n"/>
      <c r="Z451" s="136" t="n"/>
      <c r="AA451" s="136" t="n"/>
      <c r="AB451" s="136" t="n"/>
      <c r="AC451" s="136" t="n"/>
      <c r="AD451" s="136" t="n"/>
      <c r="AE451" s="136" t="n"/>
      <c r="AF451" s="136" t="n"/>
      <c r="AG451" s="136" t="n"/>
      <c r="AH451" s="136" t="n"/>
      <c r="AI451" s="136" t="n"/>
      <c r="AJ451" s="136" t="n"/>
      <c r="AK451" s="136" t="n"/>
      <c r="AL451" s="136" t="n"/>
      <c r="AM451" s="136" t="n"/>
      <c r="AN451" s="136" t="n"/>
      <c r="AO451" s="136" t="n"/>
      <c r="AP451" s="136" t="n"/>
      <c r="AQ451" s="136" t="n"/>
      <c r="AR451" s="136" t="n"/>
    </row>
    <row r="452" ht="13.5" customHeight="1" s="196">
      <c r="A452" s="136" t="n"/>
      <c r="B452" s="136" t="n"/>
      <c r="C452" s="136" t="n"/>
      <c r="D452" s="141" t="n"/>
      <c r="E452" s="141" t="n"/>
      <c r="F452" s="141" t="n"/>
      <c r="G452" s="141" t="n"/>
      <c r="H452" s="141" t="n"/>
      <c r="I452" s="141" t="n"/>
      <c r="J452" s="141" t="n"/>
      <c r="K452" s="141" t="n"/>
      <c r="L452" s="141" t="n"/>
      <c r="M452" s="141" t="n"/>
      <c r="N452" s="141" t="n"/>
      <c r="O452" s="141" t="n"/>
      <c r="P452" s="141" t="n"/>
      <c r="Q452" s="141" t="n"/>
      <c r="R452" s="141" t="n"/>
      <c r="S452" s="141" t="n"/>
      <c r="T452" s="141" t="n"/>
      <c r="U452" s="141" t="n"/>
      <c r="V452" s="141" t="n"/>
      <c r="W452" s="141" t="n"/>
      <c r="X452" s="141" t="n"/>
      <c r="Y452" s="136" t="n"/>
      <c r="Z452" s="136" t="n"/>
      <c r="AA452" s="136" t="n"/>
      <c r="AB452" s="136" t="n"/>
      <c r="AC452" s="136" t="n"/>
      <c r="AD452" s="136" t="n"/>
      <c r="AE452" s="136" t="n"/>
      <c r="AF452" s="136" t="n"/>
      <c r="AG452" s="136" t="n"/>
      <c r="AH452" s="136" t="n"/>
      <c r="AI452" s="136" t="n"/>
      <c r="AJ452" s="136" t="n"/>
      <c r="AK452" s="136" t="n"/>
      <c r="AL452" s="136" t="n"/>
      <c r="AM452" s="136" t="n"/>
      <c r="AN452" s="136" t="n"/>
      <c r="AO452" s="136" t="n"/>
      <c r="AP452" s="136" t="n"/>
      <c r="AQ452" s="136" t="n"/>
      <c r="AR452" s="136" t="n"/>
    </row>
    <row r="453" ht="13.5" customHeight="1" s="196">
      <c r="A453" s="136" t="n"/>
      <c r="B453" s="136" t="n"/>
      <c r="C453" s="136" t="n"/>
      <c r="D453" s="141" t="n"/>
      <c r="E453" s="141" t="n"/>
      <c r="F453" s="141" t="n"/>
      <c r="G453" s="141" t="n"/>
      <c r="H453" s="141" t="n"/>
      <c r="I453" s="141" t="n"/>
      <c r="J453" s="141" t="n"/>
      <c r="K453" s="141" t="n"/>
      <c r="L453" s="141" t="n"/>
      <c r="M453" s="141" t="n"/>
      <c r="N453" s="141" t="n"/>
      <c r="O453" s="141" t="n"/>
      <c r="P453" s="141" t="n"/>
      <c r="Q453" s="141" t="n"/>
      <c r="R453" s="141" t="n"/>
      <c r="S453" s="141" t="n"/>
      <c r="T453" s="141" t="n"/>
      <c r="U453" s="141" t="n"/>
      <c r="V453" s="141" t="n"/>
      <c r="W453" s="141" t="n"/>
      <c r="X453" s="141" t="n"/>
      <c r="Y453" s="136" t="n"/>
      <c r="Z453" s="136" t="n"/>
      <c r="AA453" s="136" t="n"/>
      <c r="AB453" s="136" t="n"/>
      <c r="AC453" s="136" t="n"/>
      <c r="AD453" s="136" t="n"/>
      <c r="AE453" s="136" t="n"/>
      <c r="AF453" s="136" t="n"/>
      <c r="AG453" s="136" t="n"/>
      <c r="AH453" s="136" t="n"/>
      <c r="AI453" s="136" t="n"/>
      <c r="AJ453" s="136" t="n"/>
      <c r="AK453" s="136" t="n"/>
      <c r="AL453" s="136" t="n"/>
      <c r="AM453" s="136" t="n"/>
      <c r="AN453" s="136" t="n"/>
      <c r="AO453" s="136" t="n"/>
      <c r="AP453" s="136" t="n"/>
      <c r="AQ453" s="136" t="n"/>
      <c r="AR453" s="136" t="n"/>
    </row>
    <row r="454" ht="13.5" customHeight="1" s="196">
      <c r="A454" s="136" t="n"/>
      <c r="B454" s="136" t="n"/>
      <c r="C454" s="136" t="n"/>
      <c r="D454" s="141" t="n"/>
      <c r="E454" s="141" t="n"/>
      <c r="F454" s="141" t="n"/>
      <c r="G454" s="141" t="n"/>
      <c r="H454" s="141" t="n"/>
      <c r="I454" s="141" t="n"/>
      <c r="J454" s="141" t="n"/>
      <c r="K454" s="141" t="n"/>
      <c r="L454" s="141" t="n"/>
      <c r="M454" s="141" t="n"/>
      <c r="N454" s="141" t="n"/>
      <c r="O454" s="141" t="n"/>
      <c r="P454" s="141" t="n"/>
      <c r="Q454" s="141" t="n"/>
      <c r="R454" s="141" t="n"/>
      <c r="S454" s="141" t="n"/>
      <c r="T454" s="141" t="n"/>
      <c r="U454" s="141" t="n"/>
      <c r="V454" s="141" t="n"/>
      <c r="W454" s="141" t="n"/>
      <c r="X454" s="141" t="n"/>
      <c r="Y454" s="136" t="n"/>
      <c r="Z454" s="136" t="n"/>
      <c r="AA454" s="136" t="n"/>
      <c r="AB454" s="136" t="n"/>
      <c r="AC454" s="136" t="n"/>
      <c r="AD454" s="136" t="n"/>
      <c r="AE454" s="136" t="n"/>
      <c r="AF454" s="136" t="n"/>
      <c r="AG454" s="136" t="n"/>
      <c r="AH454" s="136" t="n"/>
      <c r="AI454" s="136" t="n"/>
      <c r="AJ454" s="136" t="n"/>
      <c r="AK454" s="136" t="n"/>
      <c r="AL454" s="136" t="n"/>
      <c r="AM454" s="136" t="n"/>
      <c r="AN454" s="136" t="n"/>
      <c r="AO454" s="136" t="n"/>
      <c r="AP454" s="136" t="n"/>
      <c r="AQ454" s="136" t="n"/>
      <c r="AR454" s="136" t="n"/>
    </row>
    <row r="455" ht="13.5" customHeight="1" s="196">
      <c r="A455" s="136" t="n"/>
      <c r="B455" s="136" t="n"/>
      <c r="C455" s="136" t="n"/>
      <c r="D455" s="141" t="n"/>
      <c r="E455" s="141" t="n"/>
      <c r="F455" s="141" t="n"/>
      <c r="G455" s="141" t="n"/>
      <c r="H455" s="141" t="n"/>
      <c r="I455" s="141" t="n"/>
      <c r="J455" s="141" t="n"/>
      <c r="K455" s="141" t="n"/>
      <c r="L455" s="141" t="n"/>
      <c r="M455" s="141" t="n"/>
      <c r="N455" s="141" t="n"/>
      <c r="O455" s="141" t="n"/>
      <c r="P455" s="141" t="n"/>
      <c r="Q455" s="141" t="n"/>
      <c r="R455" s="141" t="n"/>
      <c r="S455" s="141" t="n"/>
      <c r="T455" s="141" t="n"/>
      <c r="U455" s="141" t="n"/>
      <c r="V455" s="141" t="n"/>
      <c r="W455" s="141" t="n"/>
      <c r="X455" s="141" t="n"/>
      <c r="Y455" s="136" t="n"/>
      <c r="Z455" s="136" t="n"/>
      <c r="AA455" s="136" t="n"/>
      <c r="AB455" s="136" t="n"/>
      <c r="AC455" s="136" t="n"/>
      <c r="AD455" s="136" t="n"/>
      <c r="AE455" s="136" t="n"/>
      <c r="AF455" s="136" t="n"/>
      <c r="AG455" s="136" t="n"/>
      <c r="AH455" s="136" t="n"/>
      <c r="AI455" s="136" t="n"/>
      <c r="AJ455" s="136" t="n"/>
      <c r="AK455" s="136" t="n"/>
      <c r="AL455" s="136" t="n"/>
      <c r="AM455" s="136" t="n"/>
      <c r="AN455" s="136" t="n"/>
      <c r="AO455" s="136" t="n"/>
      <c r="AP455" s="136" t="n"/>
      <c r="AQ455" s="136" t="n"/>
      <c r="AR455" s="136" t="n"/>
    </row>
    <row r="456" ht="13.5" customHeight="1" s="196">
      <c r="A456" s="136" t="n"/>
      <c r="B456" s="136" t="n"/>
      <c r="C456" s="136" t="n"/>
      <c r="D456" s="141" t="n"/>
      <c r="E456" s="141" t="n"/>
      <c r="F456" s="141" t="n"/>
      <c r="G456" s="141" t="n"/>
      <c r="H456" s="141" t="n"/>
      <c r="I456" s="141" t="n"/>
      <c r="J456" s="141" t="n"/>
      <c r="K456" s="141" t="n"/>
      <c r="L456" s="141" t="n"/>
      <c r="M456" s="141" t="n"/>
      <c r="N456" s="141" t="n"/>
      <c r="O456" s="141" t="n"/>
      <c r="P456" s="141" t="n"/>
      <c r="Q456" s="141" t="n"/>
      <c r="R456" s="141" t="n"/>
      <c r="S456" s="141" t="n"/>
      <c r="T456" s="141" t="n"/>
      <c r="U456" s="141" t="n"/>
      <c r="V456" s="141" t="n"/>
      <c r="W456" s="141" t="n"/>
      <c r="X456" s="141" t="n"/>
      <c r="Y456" s="136" t="n"/>
      <c r="Z456" s="136" t="n"/>
      <c r="AA456" s="136" t="n"/>
      <c r="AB456" s="136" t="n"/>
      <c r="AC456" s="136" t="n"/>
      <c r="AD456" s="136" t="n"/>
      <c r="AE456" s="136" t="n"/>
      <c r="AF456" s="136" t="n"/>
      <c r="AG456" s="136" t="n"/>
      <c r="AH456" s="136" t="n"/>
      <c r="AI456" s="136" t="n"/>
      <c r="AJ456" s="136" t="n"/>
      <c r="AK456" s="136" t="n"/>
      <c r="AL456" s="136" t="n"/>
      <c r="AM456" s="136" t="n"/>
      <c r="AN456" s="136" t="n"/>
      <c r="AO456" s="136" t="n"/>
      <c r="AP456" s="136" t="n"/>
      <c r="AQ456" s="136" t="n"/>
      <c r="AR456" s="136" t="n"/>
    </row>
    <row r="457" ht="13.5" customHeight="1" s="196">
      <c r="A457" s="136" t="n"/>
      <c r="B457" s="136" t="n"/>
      <c r="C457" s="136" t="n"/>
      <c r="D457" s="141" t="n"/>
      <c r="E457" s="141" t="n"/>
      <c r="F457" s="141" t="n"/>
      <c r="G457" s="141" t="n"/>
      <c r="H457" s="141" t="n"/>
      <c r="I457" s="141" t="n"/>
      <c r="J457" s="141" t="n"/>
      <c r="K457" s="141" t="n"/>
      <c r="L457" s="141" t="n"/>
      <c r="M457" s="141" t="n"/>
      <c r="N457" s="141" t="n"/>
      <c r="O457" s="141" t="n"/>
      <c r="P457" s="141" t="n"/>
      <c r="Q457" s="141" t="n"/>
      <c r="R457" s="141" t="n"/>
      <c r="S457" s="141" t="n"/>
      <c r="T457" s="141" t="n"/>
      <c r="U457" s="141" t="n"/>
      <c r="V457" s="141" t="n"/>
      <c r="W457" s="141" t="n"/>
      <c r="X457" s="141" t="n"/>
      <c r="Y457" s="136" t="n"/>
      <c r="Z457" s="136" t="n"/>
      <c r="AA457" s="136" t="n"/>
      <c r="AB457" s="136" t="n"/>
      <c r="AC457" s="136" t="n"/>
      <c r="AD457" s="136" t="n"/>
      <c r="AE457" s="136" t="n"/>
      <c r="AF457" s="136" t="n"/>
      <c r="AG457" s="136" t="n"/>
      <c r="AH457" s="136" t="n"/>
      <c r="AI457" s="136" t="n"/>
      <c r="AJ457" s="136" t="n"/>
      <c r="AK457" s="136" t="n"/>
      <c r="AL457" s="136" t="n"/>
      <c r="AM457" s="136" t="n"/>
      <c r="AN457" s="136" t="n"/>
      <c r="AO457" s="136" t="n"/>
      <c r="AP457" s="136" t="n"/>
      <c r="AQ457" s="136" t="n"/>
      <c r="AR457" s="136" t="n"/>
    </row>
    <row r="458" ht="13.5" customHeight="1" s="196">
      <c r="A458" s="136" t="n"/>
      <c r="B458" s="136" t="n"/>
      <c r="C458" s="136" t="n"/>
      <c r="D458" s="141" t="n"/>
      <c r="E458" s="141" t="n"/>
      <c r="F458" s="141" t="n"/>
      <c r="G458" s="141" t="n"/>
      <c r="H458" s="141" t="n"/>
      <c r="I458" s="141" t="n"/>
      <c r="J458" s="141" t="n"/>
      <c r="K458" s="141" t="n"/>
      <c r="L458" s="141" t="n"/>
      <c r="M458" s="141" t="n"/>
      <c r="N458" s="141" t="n"/>
      <c r="O458" s="141" t="n"/>
      <c r="P458" s="141" t="n"/>
      <c r="Q458" s="141" t="n"/>
      <c r="R458" s="141" t="n"/>
      <c r="S458" s="141" t="n"/>
      <c r="T458" s="141" t="n"/>
      <c r="U458" s="141" t="n"/>
      <c r="V458" s="141" t="n"/>
      <c r="W458" s="141" t="n"/>
      <c r="X458" s="141" t="n"/>
      <c r="Y458" s="136" t="n"/>
      <c r="Z458" s="136" t="n"/>
      <c r="AA458" s="136" t="n"/>
      <c r="AB458" s="136" t="n"/>
      <c r="AC458" s="136" t="n"/>
      <c r="AD458" s="136" t="n"/>
      <c r="AE458" s="136" t="n"/>
      <c r="AF458" s="136" t="n"/>
      <c r="AG458" s="136" t="n"/>
      <c r="AH458" s="136" t="n"/>
      <c r="AI458" s="136" t="n"/>
      <c r="AJ458" s="136" t="n"/>
      <c r="AK458" s="136" t="n"/>
      <c r="AL458" s="136" t="n"/>
      <c r="AM458" s="136" t="n"/>
      <c r="AN458" s="136" t="n"/>
      <c r="AO458" s="136" t="n"/>
      <c r="AP458" s="136" t="n"/>
      <c r="AQ458" s="136" t="n"/>
      <c r="AR458" s="136" t="n"/>
    </row>
    <row r="459" ht="13.5" customHeight="1" s="196">
      <c r="A459" s="136" t="n"/>
      <c r="B459" s="136" t="n"/>
      <c r="C459" s="136" t="n"/>
      <c r="D459" s="141" t="n"/>
      <c r="E459" s="141" t="n"/>
      <c r="F459" s="141" t="n"/>
      <c r="G459" s="141" t="n"/>
      <c r="H459" s="141" t="n"/>
      <c r="I459" s="141" t="n"/>
      <c r="J459" s="141" t="n"/>
      <c r="K459" s="141" t="n"/>
      <c r="L459" s="141" t="n"/>
      <c r="M459" s="141" t="n"/>
      <c r="N459" s="141" t="n"/>
      <c r="O459" s="141" t="n"/>
      <c r="P459" s="141" t="n"/>
      <c r="Q459" s="141" t="n"/>
      <c r="R459" s="141" t="n"/>
      <c r="S459" s="141" t="n"/>
      <c r="T459" s="141" t="n"/>
      <c r="U459" s="141" t="n"/>
      <c r="V459" s="141" t="n"/>
      <c r="W459" s="141" t="n"/>
      <c r="X459" s="141" t="n"/>
      <c r="Y459" s="136" t="n"/>
      <c r="Z459" s="136" t="n"/>
      <c r="AA459" s="136" t="n"/>
      <c r="AB459" s="136" t="n"/>
      <c r="AC459" s="136" t="n"/>
      <c r="AD459" s="136" t="n"/>
      <c r="AE459" s="136" t="n"/>
      <c r="AF459" s="136" t="n"/>
      <c r="AG459" s="136" t="n"/>
      <c r="AH459" s="136" t="n"/>
      <c r="AI459" s="136" t="n"/>
      <c r="AJ459" s="136" t="n"/>
      <c r="AK459" s="136" t="n"/>
      <c r="AL459" s="136" t="n"/>
      <c r="AM459" s="136" t="n"/>
      <c r="AN459" s="136" t="n"/>
      <c r="AO459" s="136" t="n"/>
      <c r="AP459" s="136" t="n"/>
      <c r="AQ459" s="136" t="n"/>
      <c r="AR459" s="136" t="n"/>
    </row>
    <row r="460" ht="13.5" customHeight="1" s="196">
      <c r="A460" s="136" t="n"/>
      <c r="B460" s="136" t="n"/>
      <c r="C460" s="136" t="n"/>
      <c r="D460" s="141" t="n"/>
      <c r="E460" s="141" t="n"/>
      <c r="F460" s="141" t="n"/>
      <c r="G460" s="141" t="n"/>
      <c r="H460" s="141" t="n"/>
      <c r="I460" s="141" t="n"/>
      <c r="J460" s="141" t="n"/>
      <c r="K460" s="141" t="n"/>
      <c r="L460" s="141" t="n"/>
      <c r="M460" s="141" t="n"/>
      <c r="N460" s="141" t="n"/>
      <c r="O460" s="141" t="n"/>
      <c r="P460" s="141" t="n"/>
      <c r="Q460" s="141" t="n"/>
      <c r="R460" s="141" t="n"/>
      <c r="S460" s="141" t="n"/>
      <c r="T460" s="141" t="n"/>
      <c r="U460" s="141" t="n"/>
      <c r="V460" s="141" t="n"/>
      <c r="W460" s="141" t="n"/>
      <c r="X460" s="141" t="n"/>
      <c r="Y460" s="136" t="n"/>
      <c r="Z460" s="136" t="n"/>
      <c r="AA460" s="136" t="n"/>
      <c r="AB460" s="136" t="n"/>
      <c r="AC460" s="136" t="n"/>
      <c r="AD460" s="136" t="n"/>
      <c r="AE460" s="136" t="n"/>
      <c r="AF460" s="136" t="n"/>
      <c r="AG460" s="136" t="n"/>
      <c r="AH460" s="136" t="n"/>
      <c r="AI460" s="136" t="n"/>
      <c r="AJ460" s="136" t="n"/>
      <c r="AK460" s="136" t="n"/>
      <c r="AL460" s="136" t="n"/>
      <c r="AM460" s="136" t="n"/>
      <c r="AN460" s="136" t="n"/>
      <c r="AO460" s="136" t="n"/>
      <c r="AP460" s="136" t="n"/>
      <c r="AQ460" s="136" t="n"/>
      <c r="AR460" s="136" t="n"/>
    </row>
    <row r="461" ht="13.5" customHeight="1" s="196">
      <c r="A461" s="136" t="n"/>
      <c r="B461" s="136" t="n"/>
      <c r="C461" s="136" t="n"/>
      <c r="D461" s="141" t="n"/>
      <c r="E461" s="141" t="n"/>
      <c r="F461" s="141" t="n"/>
      <c r="G461" s="141" t="n"/>
      <c r="H461" s="141" t="n"/>
      <c r="I461" s="141" t="n"/>
      <c r="J461" s="141" t="n"/>
      <c r="K461" s="141" t="n"/>
      <c r="L461" s="141" t="n"/>
      <c r="M461" s="141" t="n"/>
      <c r="N461" s="141" t="n"/>
      <c r="O461" s="141" t="n"/>
      <c r="P461" s="141" t="n"/>
      <c r="Q461" s="141" t="n"/>
      <c r="R461" s="141" t="n"/>
      <c r="S461" s="141" t="n"/>
      <c r="T461" s="141" t="n"/>
      <c r="U461" s="141" t="n"/>
      <c r="V461" s="141" t="n"/>
      <c r="W461" s="141" t="n"/>
      <c r="X461" s="141" t="n"/>
      <c r="Y461" s="136" t="n"/>
      <c r="Z461" s="136" t="n"/>
      <c r="AA461" s="136" t="n"/>
      <c r="AB461" s="136" t="n"/>
      <c r="AC461" s="136" t="n"/>
      <c r="AD461" s="136" t="n"/>
      <c r="AE461" s="136" t="n"/>
      <c r="AF461" s="136" t="n"/>
      <c r="AG461" s="136" t="n"/>
      <c r="AH461" s="136" t="n"/>
      <c r="AI461" s="136" t="n"/>
      <c r="AJ461" s="136" t="n"/>
      <c r="AK461" s="136" t="n"/>
      <c r="AL461" s="136" t="n"/>
      <c r="AM461" s="136" t="n"/>
      <c r="AN461" s="136" t="n"/>
      <c r="AO461" s="136" t="n"/>
      <c r="AP461" s="136" t="n"/>
      <c r="AQ461" s="136" t="n"/>
      <c r="AR461" s="136" t="n"/>
    </row>
    <row r="462" ht="13.5" customHeight="1" s="196">
      <c r="A462" s="136" t="n"/>
      <c r="B462" s="136" t="n"/>
      <c r="C462" s="136" t="n"/>
      <c r="D462" s="141" t="n"/>
      <c r="E462" s="141" t="n"/>
      <c r="F462" s="141" t="n"/>
      <c r="G462" s="141" t="n"/>
      <c r="H462" s="141" t="n"/>
      <c r="I462" s="141" t="n"/>
      <c r="J462" s="141" t="n"/>
      <c r="K462" s="141" t="n"/>
      <c r="L462" s="141" t="n"/>
      <c r="M462" s="141" t="n"/>
      <c r="N462" s="141" t="n"/>
      <c r="O462" s="141" t="n"/>
      <c r="P462" s="141" t="n"/>
      <c r="Q462" s="141" t="n"/>
      <c r="R462" s="141" t="n"/>
      <c r="S462" s="141" t="n"/>
      <c r="T462" s="141" t="n"/>
      <c r="U462" s="141" t="n"/>
      <c r="V462" s="141" t="n"/>
      <c r="W462" s="141" t="n"/>
      <c r="X462" s="141" t="n"/>
      <c r="Y462" s="136" t="n"/>
      <c r="Z462" s="136" t="n"/>
      <c r="AA462" s="136" t="n"/>
      <c r="AB462" s="136" t="n"/>
      <c r="AC462" s="136" t="n"/>
      <c r="AD462" s="136" t="n"/>
      <c r="AE462" s="136" t="n"/>
      <c r="AF462" s="136" t="n"/>
      <c r="AG462" s="136" t="n"/>
      <c r="AH462" s="136" t="n"/>
      <c r="AI462" s="136" t="n"/>
      <c r="AJ462" s="136" t="n"/>
      <c r="AK462" s="136" t="n"/>
      <c r="AL462" s="136" t="n"/>
      <c r="AM462" s="136" t="n"/>
      <c r="AN462" s="136" t="n"/>
      <c r="AO462" s="136" t="n"/>
      <c r="AP462" s="136" t="n"/>
      <c r="AQ462" s="136" t="n"/>
      <c r="AR462" s="136" t="n"/>
    </row>
    <row r="463" ht="13.5" customHeight="1" s="196">
      <c r="A463" s="136" t="n"/>
      <c r="B463" s="136" t="n"/>
      <c r="C463" s="136" t="n"/>
      <c r="D463" s="141" t="n"/>
      <c r="E463" s="141" t="n"/>
      <c r="F463" s="141" t="n"/>
      <c r="G463" s="141" t="n"/>
      <c r="H463" s="141" t="n"/>
      <c r="I463" s="141" t="n"/>
      <c r="J463" s="141" t="n"/>
      <c r="K463" s="141" t="n"/>
      <c r="L463" s="141" t="n"/>
      <c r="M463" s="141" t="n"/>
      <c r="N463" s="141" t="n"/>
      <c r="O463" s="141" t="n"/>
      <c r="P463" s="141" t="n"/>
      <c r="Q463" s="141" t="n"/>
      <c r="R463" s="141" t="n"/>
      <c r="S463" s="141" t="n"/>
      <c r="T463" s="141" t="n"/>
      <c r="U463" s="141" t="n"/>
      <c r="V463" s="141" t="n"/>
      <c r="W463" s="141" t="n"/>
      <c r="X463" s="141" t="n"/>
      <c r="Y463" s="136" t="n"/>
      <c r="Z463" s="136" t="n"/>
      <c r="AA463" s="136" t="n"/>
      <c r="AB463" s="136" t="n"/>
      <c r="AC463" s="136" t="n"/>
      <c r="AD463" s="136" t="n"/>
      <c r="AE463" s="136" t="n"/>
      <c r="AF463" s="136" t="n"/>
      <c r="AG463" s="136" t="n"/>
      <c r="AH463" s="136" t="n"/>
      <c r="AI463" s="136" t="n"/>
      <c r="AJ463" s="136" t="n"/>
      <c r="AK463" s="136" t="n"/>
      <c r="AL463" s="136" t="n"/>
      <c r="AM463" s="136" t="n"/>
      <c r="AN463" s="136" t="n"/>
      <c r="AO463" s="136" t="n"/>
      <c r="AP463" s="136" t="n"/>
      <c r="AQ463" s="136" t="n"/>
      <c r="AR463" s="136" t="n"/>
    </row>
    <row r="464" ht="13.5" customHeight="1" s="196">
      <c r="A464" s="136" t="n"/>
      <c r="B464" s="136" t="n"/>
      <c r="C464" s="136" t="n"/>
      <c r="D464" s="141" t="n"/>
      <c r="E464" s="141" t="n"/>
      <c r="F464" s="141" t="n"/>
      <c r="G464" s="141" t="n"/>
      <c r="H464" s="141" t="n"/>
      <c r="I464" s="141" t="n"/>
      <c r="J464" s="141" t="n"/>
      <c r="K464" s="141" t="n"/>
      <c r="L464" s="141" t="n"/>
      <c r="M464" s="141" t="n"/>
      <c r="N464" s="141" t="n"/>
      <c r="O464" s="141" t="n"/>
      <c r="P464" s="141" t="n"/>
      <c r="Q464" s="141" t="n"/>
      <c r="R464" s="141" t="n"/>
      <c r="S464" s="141" t="n"/>
      <c r="T464" s="141" t="n"/>
      <c r="U464" s="141" t="n"/>
      <c r="V464" s="141" t="n"/>
      <c r="W464" s="141" t="n"/>
      <c r="X464" s="141" t="n"/>
      <c r="Y464" s="136" t="n"/>
      <c r="Z464" s="136" t="n"/>
      <c r="AA464" s="136" t="n"/>
      <c r="AB464" s="136" t="n"/>
      <c r="AC464" s="136" t="n"/>
      <c r="AD464" s="136" t="n"/>
      <c r="AE464" s="136" t="n"/>
      <c r="AF464" s="136" t="n"/>
      <c r="AG464" s="136" t="n"/>
      <c r="AH464" s="136" t="n"/>
      <c r="AI464" s="136" t="n"/>
      <c r="AJ464" s="136" t="n"/>
      <c r="AK464" s="136" t="n"/>
      <c r="AL464" s="136" t="n"/>
      <c r="AM464" s="136" t="n"/>
      <c r="AN464" s="136" t="n"/>
      <c r="AO464" s="136" t="n"/>
      <c r="AP464" s="136" t="n"/>
      <c r="AQ464" s="136" t="n"/>
      <c r="AR464" s="136" t="n"/>
    </row>
    <row r="465" ht="13.5" customHeight="1" s="196">
      <c r="A465" s="136" t="n"/>
      <c r="B465" s="136" t="n"/>
      <c r="C465" s="136" t="n"/>
      <c r="D465" s="141" t="n"/>
      <c r="E465" s="141" t="n"/>
      <c r="F465" s="141" t="n"/>
      <c r="G465" s="141" t="n"/>
      <c r="H465" s="141" t="n"/>
      <c r="I465" s="141" t="n"/>
      <c r="J465" s="141" t="n"/>
      <c r="K465" s="141" t="n"/>
      <c r="L465" s="141" t="n"/>
      <c r="M465" s="141" t="n"/>
      <c r="N465" s="141" t="n"/>
      <c r="O465" s="141" t="n"/>
      <c r="P465" s="141" t="n"/>
      <c r="Q465" s="141" t="n"/>
      <c r="R465" s="141" t="n"/>
      <c r="S465" s="141" t="n"/>
      <c r="T465" s="141" t="n"/>
      <c r="U465" s="141" t="n"/>
      <c r="V465" s="141" t="n"/>
      <c r="W465" s="141" t="n"/>
      <c r="X465" s="141" t="n"/>
      <c r="Y465" s="136" t="n"/>
      <c r="Z465" s="136" t="n"/>
      <c r="AA465" s="136" t="n"/>
      <c r="AB465" s="136" t="n"/>
      <c r="AC465" s="136" t="n"/>
      <c r="AD465" s="136" t="n"/>
      <c r="AE465" s="136" t="n"/>
      <c r="AF465" s="136" t="n"/>
      <c r="AG465" s="136" t="n"/>
      <c r="AH465" s="136" t="n"/>
      <c r="AI465" s="136" t="n"/>
      <c r="AJ465" s="136" t="n"/>
      <c r="AK465" s="136" t="n"/>
      <c r="AL465" s="136" t="n"/>
      <c r="AM465" s="136" t="n"/>
      <c r="AN465" s="136" t="n"/>
      <c r="AO465" s="136" t="n"/>
      <c r="AP465" s="136" t="n"/>
      <c r="AQ465" s="136" t="n"/>
      <c r="AR465" s="136" t="n"/>
    </row>
    <row r="466" ht="13.5" customHeight="1" s="196">
      <c r="A466" s="136" t="n"/>
      <c r="B466" s="136" t="n"/>
      <c r="C466" s="136" t="n"/>
      <c r="D466" s="141" t="n"/>
      <c r="E466" s="141" t="n"/>
      <c r="F466" s="141" t="n"/>
      <c r="G466" s="141" t="n"/>
      <c r="H466" s="141" t="n"/>
      <c r="I466" s="141" t="n"/>
      <c r="J466" s="141" t="n"/>
      <c r="K466" s="141" t="n"/>
      <c r="L466" s="141" t="n"/>
      <c r="M466" s="141" t="n"/>
      <c r="N466" s="141" t="n"/>
      <c r="O466" s="141" t="n"/>
      <c r="P466" s="141" t="n"/>
      <c r="Q466" s="141" t="n"/>
      <c r="R466" s="141" t="n"/>
      <c r="S466" s="141" t="n"/>
      <c r="T466" s="141" t="n"/>
      <c r="U466" s="141" t="n"/>
      <c r="V466" s="141" t="n"/>
      <c r="W466" s="141" t="n"/>
      <c r="X466" s="141" t="n"/>
      <c r="Y466" s="136" t="n"/>
      <c r="Z466" s="136" t="n"/>
      <c r="AA466" s="136" t="n"/>
      <c r="AB466" s="136" t="n"/>
      <c r="AC466" s="136" t="n"/>
      <c r="AD466" s="136" t="n"/>
      <c r="AE466" s="136" t="n"/>
      <c r="AF466" s="136" t="n"/>
      <c r="AG466" s="136" t="n"/>
      <c r="AH466" s="136" t="n"/>
      <c r="AI466" s="136" t="n"/>
      <c r="AJ466" s="136" t="n"/>
      <c r="AK466" s="136" t="n"/>
      <c r="AL466" s="136" t="n"/>
      <c r="AM466" s="136" t="n"/>
      <c r="AN466" s="136" t="n"/>
      <c r="AO466" s="136" t="n"/>
      <c r="AP466" s="136" t="n"/>
      <c r="AQ466" s="136" t="n"/>
      <c r="AR466" s="136" t="n"/>
    </row>
    <row r="467" ht="13.5" customHeight="1" s="196">
      <c r="A467" s="136" t="n"/>
      <c r="B467" s="136" t="n"/>
      <c r="C467" s="136" t="n"/>
      <c r="D467" s="141" t="n"/>
      <c r="E467" s="141" t="n"/>
      <c r="F467" s="141" t="n"/>
      <c r="G467" s="141" t="n"/>
      <c r="H467" s="141" t="n"/>
      <c r="I467" s="141" t="n"/>
      <c r="J467" s="141" t="n"/>
      <c r="K467" s="141" t="n"/>
      <c r="L467" s="141" t="n"/>
      <c r="M467" s="141" t="n"/>
      <c r="N467" s="141" t="n"/>
      <c r="O467" s="141" t="n"/>
      <c r="P467" s="141" t="n"/>
      <c r="Q467" s="141" t="n"/>
      <c r="R467" s="141" t="n"/>
      <c r="S467" s="141" t="n"/>
      <c r="T467" s="141" t="n"/>
      <c r="U467" s="141" t="n"/>
      <c r="V467" s="141" t="n"/>
      <c r="W467" s="141" t="n"/>
      <c r="X467" s="141" t="n"/>
      <c r="Y467" s="136" t="n"/>
      <c r="Z467" s="136" t="n"/>
      <c r="AA467" s="136" t="n"/>
      <c r="AB467" s="136" t="n"/>
      <c r="AC467" s="136" t="n"/>
      <c r="AD467" s="136" t="n"/>
      <c r="AE467" s="136" t="n"/>
      <c r="AF467" s="136" t="n"/>
      <c r="AG467" s="136" t="n"/>
      <c r="AH467" s="136" t="n"/>
      <c r="AI467" s="136" t="n"/>
      <c r="AJ467" s="136" t="n"/>
      <c r="AK467" s="136" t="n"/>
      <c r="AL467" s="136" t="n"/>
      <c r="AM467" s="136" t="n"/>
      <c r="AN467" s="136" t="n"/>
      <c r="AO467" s="136" t="n"/>
      <c r="AP467" s="136" t="n"/>
      <c r="AQ467" s="136" t="n"/>
      <c r="AR467" s="136" t="n"/>
    </row>
    <row r="468" ht="13.5" customHeight="1" s="196">
      <c r="A468" s="136" t="n"/>
      <c r="B468" s="136" t="n"/>
      <c r="C468" s="136" t="n"/>
      <c r="D468" s="141" t="n"/>
      <c r="E468" s="141" t="n"/>
      <c r="F468" s="141" t="n"/>
      <c r="G468" s="141" t="n"/>
      <c r="H468" s="141" t="n"/>
      <c r="I468" s="141" t="n"/>
      <c r="J468" s="141" t="n"/>
      <c r="K468" s="141" t="n"/>
      <c r="L468" s="141" t="n"/>
      <c r="M468" s="141" t="n"/>
      <c r="N468" s="141" t="n"/>
      <c r="O468" s="141" t="n"/>
      <c r="P468" s="141" t="n"/>
      <c r="Q468" s="141" t="n"/>
      <c r="R468" s="141" t="n"/>
      <c r="S468" s="141" t="n"/>
      <c r="T468" s="141" t="n"/>
      <c r="U468" s="141" t="n"/>
      <c r="V468" s="141" t="n"/>
      <c r="W468" s="141" t="n"/>
      <c r="X468" s="141" t="n"/>
      <c r="Y468" s="136" t="n"/>
      <c r="Z468" s="136" t="n"/>
      <c r="AA468" s="136" t="n"/>
      <c r="AB468" s="136" t="n"/>
      <c r="AC468" s="136" t="n"/>
      <c r="AD468" s="136" t="n"/>
      <c r="AE468" s="136" t="n"/>
      <c r="AF468" s="136" t="n"/>
      <c r="AG468" s="136" t="n"/>
      <c r="AH468" s="136" t="n"/>
      <c r="AI468" s="136" t="n"/>
      <c r="AJ468" s="136" t="n"/>
      <c r="AK468" s="136" t="n"/>
      <c r="AL468" s="136" t="n"/>
      <c r="AM468" s="136" t="n"/>
      <c r="AN468" s="136" t="n"/>
      <c r="AO468" s="136" t="n"/>
      <c r="AP468" s="136" t="n"/>
      <c r="AQ468" s="136" t="n"/>
      <c r="AR468" s="136" t="n"/>
    </row>
    <row r="469" ht="13.5" customHeight="1" s="196">
      <c r="A469" s="136" t="n"/>
      <c r="B469" s="136" t="n"/>
      <c r="C469" s="136" t="n"/>
      <c r="D469" s="141" t="n"/>
      <c r="E469" s="141" t="n"/>
      <c r="F469" s="141" t="n"/>
      <c r="G469" s="141" t="n"/>
      <c r="H469" s="141" t="n"/>
      <c r="I469" s="141" t="n"/>
      <c r="J469" s="141" t="n"/>
      <c r="K469" s="141" t="n"/>
      <c r="L469" s="141" t="n"/>
      <c r="M469" s="141" t="n"/>
      <c r="N469" s="141" t="n"/>
      <c r="O469" s="141" t="n"/>
      <c r="P469" s="141" t="n"/>
      <c r="Q469" s="141" t="n"/>
      <c r="R469" s="141" t="n"/>
      <c r="S469" s="141" t="n"/>
      <c r="T469" s="141" t="n"/>
      <c r="U469" s="141" t="n"/>
      <c r="V469" s="141" t="n"/>
      <c r="W469" s="141" t="n"/>
      <c r="X469" s="141" t="n"/>
      <c r="Y469" s="136" t="n"/>
      <c r="Z469" s="136" t="n"/>
      <c r="AA469" s="136" t="n"/>
      <c r="AB469" s="136" t="n"/>
      <c r="AC469" s="136" t="n"/>
      <c r="AD469" s="136" t="n"/>
      <c r="AE469" s="136" t="n"/>
      <c r="AF469" s="136" t="n"/>
      <c r="AG469" s="136" t="n"/>
      <c r="AH469" s="136" t="n"/>
      <c r="AI469" s="136" t="n"/>
      <c r="AJ469" s="136" t="n"/>
      <c r="AK469" s="136" t="n"/>
      <c r="AL469" s="136" t="n"/>
      <c r="AM469" s="136" t="n"/>
      <c r="AN469" s="136" t="n"/>
      <c r="AO469" s="136" t="n"/>
      <c r="AP469" s="136" t="n"/>
      <c r="AQ469" s="136" t="n"/>
      <c r="AR469" s="136" t="n"/>
    </row>
    <row r="470" ht="13.5" customHeight="1" s="196">
      <c r="A470" s="136" t="n"/>
      <c r="B470" s="136" t="n"/>
      <c r="C470" s="136" t="n"/>
      <c r="D470" s="141" t="n"/>
      <c r="E470" s="141" t="n"/>
      <c r="F470" s="141" t="n"/>
      <c r="G470" s="141" t="n"/>
      <c r="H470" s="141" t="n"/>
      <c r="I470" s="141" t="n"/>
      <c r="J470" s="141" t="n"/>
      <c r="K470" s="141" t="n"/>
      <c r="L470" s="141" t="n"/>
      <c r="M470" s="141" t="n"/>
      <c r="N470" s="141" t="n"/>
      <c r="O470" s="141" t="n"/>
      <c r="P470" s="141" t="n"/>
      <c r="Q470" s="141" t="n"/>
      <c r="R470" s="141" t="n"/>
      <c r="S470" s="141" t="n"/>
      <c r="T470" s="141" t="n"/>
      <c r="U470" s="141" t="n"/>
      <c r="V470" s="141" t="n"/>
      <c r="W470" s="141" t="n"/>
      <c r="X470" s="141" t="n"/>
      <c r="Y470" s="136" t="n"/>
      <c r="Z470" s="136" t="n"/>
      <c r="AA470" s="136" t="n"/>
      <c r="AB470" s="136" t="n"/>
      <c r="AC470" s="136" t="n"/>
      <c r="AD470" s="136" t="n"/>
      <c r="AE470" s="136" t="n"/>
      <c r="AF470" s="136" t="n"/>
      <c r="AG470" s="136" t="n"/>
      <c r="AH470" s="136" t="n"/>
      <c r="AI470" s="136" t="n"/>
      <c r="AJ470" s="136" t="n"/>
      <c r="AK470" s="136" t="n"/>
      <c r="AL470" s="136" t="n"/>
      <c r="AM470" s="136" t="n"/>
      <c r="AN470" s="136" t="n"/>
      <c r="AO470" s="136" t="n"/>
      <c r="AP470" s="136" t="n"/>
      <c r="AQ470" s="136" t="n"/>
      <c r="AR470" s="136" t="n"/>
    </row>
    <row r="471" ht="13.5" customHeight="1" s="196">
      <c r="A471" s="136" t="n"/>
      <c r="B471" s="136" t="n"/>
      <c r="C471" s="136" t="n"/>
      <c r="D471" s="141" t="n"/>
      <c r="E471" s="141" t="n"/>
      <c r="F471" s="141" t="n"/>
      <c r="G471" s="141" t="n"/>
      <c r="H471" s="141" t="n"/>
      <c r="I471" s="141" t="n"/>
      <c r="J471" s="141" t="n"/>
      <c r="K471" s="141" t="n"/>
      <c r="L471" s="141" t="n"/>
      <c r="M471" s="141" t="n"/>
      <c r="N471" s="141" t="n"/>
      <c r="O471" s="141" t="n"/>
      <c r="P471" s="141" t="n"/>
      <c r="Q471" s="141" t="n"/>
      <c r="R471" s="141" t="n"/>
      <c r="S471" s="141" t="n"/>
      <c r="T471" s="141" t="n"/>
      <c r="U471" s="141" t="n"/>
      <c r="V471" s="141" t="n"/>
      <c r="W471" s="141" t="n"/>
      <c r="X471" s="141" t="n"/>
      <c r="Y471" s="136" t="n"/>
      <c r="Z471" s="136" t="n"/>
      <c r="AA471" s="136" t="n"/>
      <c r="AB471" s="136" t="n"/>
      <c r="AC471" s="136" t="n"/>
      <c r="AD471" s="136" t="n"/>
      <c r="AE471" s="136" t="n"/>
      <c r="AF471" s="136" t="n"/>
      <c r="AG471" s="136" t="n"/>
      <c r="AH471" s="136" t="n"/>
      <c r="AI471" s="136" t="n"/>
      <c r="AJ471" s="136" t="n"/>
      <c r="AK471" s="136" t="n"/>
      <c r="AL471" s="136" t="n"/>
      <c r="AM471" s="136" t="n"/>
      <c r="AN471" s="136" t="n"/>
      <c r="AO471" s="136" t="n"/>
      <c r="AP471" s="136" t="n"/>
      <c r="AQ471" s="136" t="n"/>
      <c r="AR471" s="136" t="n"/>
    </row>
    <row r="472" ht="13.5" customHeight="1" s="196">
      <c r="A472" s="136" t="n"/>
      <c r="B472" s="136" t="n"/>
      <c r="C472" s="136" t="n"/>
      <c r="D472" s="141" t="n"/>
      <c r="E472" s="141" t="n"/>
      <c r="F472" s="141" t="n"/>
      <c r="G472" s="141" t="n"/>
      <c r="H472" s="141" t="n"/>
      <c r="I472" s="141" t="n"/>
      <c r="J472" s="141" t="n"/>
      <c r="K472" s="141" t="n"/>
      <c r="L472" s="141" t="n"/>
      <c r="M472" s="141" t="n"/>
      <c r="N472" s="141" t="n"/>
      <c r="O472" s="141" t="n"/>
      <c r="P472" s="141" t="n"/>
      <c r="Q472" s="141" t="n"/>
      <c r="R472" s="141" t="n"/>
      <c r="S472" s="141" t="n"/>
      <c r="T472" s="141" t="n"/>
      <c r="U472" s="141" t="n"/>
      <c r="V472" s="141" t="n"/>
      <c r="W472" s="141" t="n"/>
      <c r="X472" s="141" t="n"/>
      <c r="Y472" s="136" t="n"/>
      <c r="Z472" s="136" t="n"/>
      <c r="AA472" s="136" t="n"/>
      <c r="AB472" s="136" t="n"/>
      <c r="AC472" s="136" t="n"/>
      <c r="AD472" s="136" t="n"/>
      <c r="AE472" s="136" t="n"/>
      <c r="AF472" s="136" t="n"/>
      <c r="AG472" s="136" t="n"/>
      <c r="AH472" s="136" t="n"/>
      <c r="AI472" s="136" t="n"/>
      <c r="AJ472" s="136" t="n"/>
      <c r="AK472" s="136" t="n"/>
      <c r="AL472" s="136" t="n"/>
      <c r="AM472" s="136" t="n"/>
      <c r="AN472" s="136" t="n"/>
      <c r="AO472" s="136" t="n"/>
      <c r="AP472" s="136" t="n"/>
      <c r="AQ472" s="136" t="n"/>
      <c r="AR472" s="136" t="n"/>
    </row>
    <row r="473" ht="13.5" customHeight="1" s="196">
      <c r="A473" s="136" t="n"/>
      <c r="B473" s="136" t="n"/>
      <c r="C473" s="136" t="n"/>
      <c r="D473" s="141" t="n"/>
      <c r="E473" s="141" t="n"/>
      <c r="F473" s="141" t="n"/>
      <c r="G473" s="141" t="n"/>
      <c r="H473" s="141" t="n"/>
      <c r="I473" s="141" t="n"/>
      <c r="J473" s="141" t="n"/>
      <c r="K473" s="141" t="n"/>
      <c r="L473" s="141" t="n"/>
      <c r="M473" s="141" t="n"/>
      <c r="N473" s="141" t="n"/>
      <c r="O473" s="141" t="n"/>
      <c r="P473" s="141" t="n"/>
      <c r="Q473" s="141" t="n"/>
      <c r="R473" s="141" t="n"/>
      <c r="S473" s="141" t="n"/>
      <c r="T473" s="141" t="n"/>
      <c r="U473" s="141" t="n"/>
      <c r="V473" s="141" t="n"/>
      <c r="W473" s="141" t="n"/>
      <c r="X473" s="141" t="n"/>
      <c r="Y473" s="136" t="n"/>
      <c r="Z473" s="136" t="n"/>
      <c r="AA473" s="136" t="n"/>
      <c r="AB473" s="136" t="n"/>
      <c r="AC473" s="136" t="n"/>
      <c r="AD473" s="136" t="n"/>
      <c r="AE473" s="136" t="n"/>
      <c r="AF473" s="136" t="n"/>
      <c r="AG473" s="136" t="n"/>
      <c r="AH473" s="136" t="n"/>
      <c r="AI473" s="136" t="n"/>
      <c r="AJ473" s="136" t="n"/>
      <c r="AK473" s="136" t="n"/>
      <c r="AL473" s="136" t="n"/>
      <c r="AM473" s="136" t="n"/>
      <c r="AN473" s="136" t="n"/>
      <c r="AO473" s="136" t="n"/>
      <c r="AP473" s="136" t="n"/>
      <c r="AQ473" s="136" t="n"/>
      <c r="AR473" s="136" t="n"/>
    </row>
    <row r="474" ht="13.5" customHeight="1" s="196">
      <c r="A474" s="136" t="n"/>
      <c r="B474" s="136" t="n"/>
      <c r="C474" s="136" t="n"/>
      <c r="D474" s="141" t="n"/>
      <c r="E474" s="141" t="n"/>
      <c r="F474" s="141" t="n"/>
      <c r="G474" s="141" t="n"/>
      <c r="H474" s="141" t="n"/>
      <c r="I474" s="141" t="n"/>
      <c r="J474" s="141" t="n"/>
      <c r="K474" s="141" t="n"/>
      <c r="L474" s="141" t="n"/>
      <c r="M474" s="141" t="n"/>
      <c r="N474" s="141" t="n"/>
      <c r="O474" s="141" t="n"/>
      <c r="P474" s="141" t="n"/>
      <c r="Q474" s="141" t="n"/>
      <c r="R474" s="141" t="n"/>
      <c r="S474" s="141" t="n"/>
      <c r="T474" s="141" t="n"/>
      <c r="U474" s="141" t="n"/>
      <c r="V474" s="141" t="n"/>
      <c r="W474" s="141" t="n"/>
      <c r="X474" s="141" t="n"/>
      <c r="Y474" s="136" t="n"/>
      <c r="Z474" s="136" t="n"/>
      <c r="AA474" s="136" t="n"/>
      <c r="AB474" s="136" t="n"/>
      <c r="AC474" s="136" t="n"/>
      <c r="AD474" s="136" t="n"/>
      <c r="AE474" s="136" t="n"/>
      <c r="AF474" s="136" t="n"/>
      <c r="AG474" s="136" t="n"/>
      <c r="AH474" s="136" t="n"/>
      <c r="AI474" s="136" t="n"/>
      <c r="AJ474" s="136" t="n"/>
      <c r="AK474" s="136" t="n"/>
      <c r="AL474" s="136" t="n"/>
      <c r="AM474" s="136" t="n"/>
      <c r="AN474" s="136" t="n"/>
      <c r="AO474" s="136" t="n"/>
      <c r="AP474" s="136" t="n"/>
      <c r="AQ474" s="136" t="n"/>
      <c r="AR474" s="136" t="n"/>
    </row>
    <row r="475" ht="13.5" customHeight="1" s="196">
      <c r="A475" s="136" t="n"/>
      <c r="B475" s="136" t="n"/>
      <c r="C475" s="136" t="n"/>
      <c r="D475" s="141" t="n"/>
      <c r="E475" s="141" t="n"/>
      <c r="F475" s="141" t="n"/>
      <c r="G475" s="141" t="n"/>
      <c r="H475" s="141" t="n"/>
      <c r="I475" s="141" t="n"/>
      <c r="J475" s="141" t="n"/>
      <c r="K475" s="141" t="n"/>
      <c r="L475" s="141" t="n"/>
      <c r="M475" s="141" t="n"/>
      <c r="N475" s="141" t="n"/>
      <c r="O475" s="141" t="n"/>
      <c r="P475" s="141" t="n"/>
      <c r="Q475" s="141" t="n"/>
      <c r="R475" s="141" t="n"/>
      <c r="S475" s="141" t="n"/>
      <c r="T475" s="141" t="n"/>
      <c r="U475" s="141" t="n"/>
      <c r="V475" s="141" t="n"/>
      <c r="W475" s="141" t="n"/>
      <c r="X475" s="141" t="n"/>
      <c r="Y475" s="136" t="n"/>
      <c r="Z475" s="136" t="n"/>
      <c r="AA475" s="136" t="n"/>
      <c r="AB475" s="136" t="n"/>
      <c r="AC475" s="136" t="n"/>
      <c r="AD475" s="136" t="n"/>
      <c r="AE475" s="136" t="n"/>
      <c r="AF475" s="136" t="n"/>
      <c r="AG475" s="136" t="n"/>
      <c r="AH475" s="136" t="n"/>
      <c r="AI475" s="136" t="n"/>
      <c r="AJ475" s="136" t="n"/>
      <c r="AK475" s="136" t="n"/>
      <c r="AL475" s="136" t="n"/>
      <c r="AM475" s="136" t="n"/>
      <c r="AN475" s="136" t="n"/>
      <c r="AO475" s="136" t="n"/>
      <c r="AP475" s="136" t="n"/>
      <c r="AQ475" s="136" t="n"/>
      <c r="AR475" s="136" t="n"/>
    </row>
    <row r="476" ht="13.5" customHeight="1" s="196">
      <c r="A476" s="136" t="n"/>
      <c r="B476" s="136" t="n"/>
      <c r="C476" s="136" t="n"/>
      <c r="D476" s="141" t="n"/>
      <c r="E476" s="141" t="n"/>
      <c r="F476" s="141" t="n"/>
      <c r="G476" s="141" t="n"/>
      <c r="H476" s="141" t="n"/>
      <c r="I476" s="141" t="n"/>
      <c r="J476" s="141" t="n"/>
      <c r="K476" s="141" t="n"/>
      <c r="L476" s="141" t="n"/>
      <c r="M476" s="141" t="n"/>
      <c r="N476" s="141" t="n"/>
      <c r="O476" s="141" t="n"/>
      <c r="P476" s="141" t="n"/>
      <c r="Q476" s="141" t="n"/>
      <c r="R476" s="141" t="n"/>
      <c r="S476" s="141" t="n"/>
      <c r="T476" s="141" t="n"/>
      <c r="U476" s="141" t="n"/>
      <c r="V476" s="141" t="n"/>
      <c r="W476" s="141" t="n"/>
      <c r="X476" s="141" t="n"/>
      <c r="Y476" s="136" t="n"/>
      <c r="Z476" s="136" t="n"/>
      <c r="AA476" s="136" t="n"/>
      <c r="AB476" s="136" t="n"/>
      <c r="AC476" s="136" t="n"/>
      <c r="AD476" s="136" t="n"/>
      <c r="AE476" s="136" t="n"/>
      <c r="AF476" s="136" t="n"/>
      <c r="AG476" s="136" t="n"/>
      <c r="AH476" s="136" t="n"/>
      <c r="AI476" s="136" t="n"/>
      <c r="AJ476" s="136" t="n"/>
      <c r="AK476" s="136" t="n"/>
      <c r="AL476" s="136" t="n"/>
      <c r="AM476" s="136" t="n"/>
      <c r="AN476" s="136" t="n"/>
      <c r="AO476" s="136" t="n"/>
      <c r="AP476" s="136" t="n"/>
      <c r="AQ476" s="136" t="n"/>
      <c r="AR476" s="136" t="n"/>
    </row>
    <row r="477" ht="13.5" customHeight="1" s="196">
      <c r="A477" s="136" t="n"/>
      <c r="B477" s="136" t="n"/>
      <c r="C477" s="136" t="n"/>
      <c r="D477" s="141" t="n"/>
      <c r="E477" s="141" t="n"/>
      <c r="F477" s="141" t="n"/>
      <c r="G477" s="141" t="n"/>
      <c r="H477" s="141" t="n"/>
      <c r="I477" s="141" t="n"/>
      <c r="J477" s="141" t="n"/>
      <c r="K477" s="141" t="n"/>
      <c r="L477" s="141" t="n"/>
      <c r="M477" s="141" t="n"/>
      <c r="N477" s="141" t="n"/>
      <c r="O477" s="141" t="n"/>
      <c r="P477" s="141" t="n"/>
      <c r="Q477" s="141" t="n"/>
      <c r="R477" s="141" t="n"/>
      <c r="S477" s="141" t="n"/>
      <c r="T477" s="141" t="n"/>
      <c r="U477" s="141" t="n"/>
      <c r="V477" s="141" t="n"/>
      <c r="W477" s="141" t="n"/>
      <c r="X477" s="141" t="n"/>
      <c r="Y477" s="136" t="n"/>
      <c r="Z477" s="136" t="n"/>
      <c r="AA477" s="136" t="n"/>
      <c r="AB477" s="136" t="n"/>
      <c r="AC477" s="136" t="n"/>
      <c r="AD477" s="136" t="n"/>
      <c r="AE477" s="136" t="n"/>
      <c r="AF477" s="136" t="n"/>
      <c r="AG477" s="136" t="n"/>
      <c r="AH477" s="136" t="n"/>
      <c r="AI477" s="136" t="n"/>
      <c r="AJ477" s="136" t="n"/>
      <c r="AK477" s="136" t="n"/>
      <c r="AL477" s="136" t="n"/>
      <c r="AM477" s="136" t="n"/>
      <c r="AN477" s="136" t="n"/>
      <c r="AO477" s="136" t="n"/>
      <c r="AP477" s="136" t="n"/>
      <c r="AQ477" s="136" t="n"/>
      <c r="AR477" s="136" t="n"/>
    </row>
    <row r="478" ht="13.5" customHeight="1" s="196">
      <c r="A478" s="136" t="n"/>
      <c r="B478" s="136" t="n"/>
      <c r="C478" s="136" t="n"/>
      <c r="D478" s="141" t="n"/>
      <c r="E478" s="141" t="n"/>
      <c r="F478" s="141" t="n"/>
      <c r="G478" s="141" t="n"/>
      <c r="H478" s="141" t="n"/>
      <c r="I478" s="141" t="n"/>
      <c r="J478" s="141" t="n"/>
      <c r="K478" s="141" t="n"/>
      <c r="L478" s="141" t="n"/>
      <c r="M478" s="141" t="n"/>
      <c r="N478" s="141" t="n"/>
      <c r="O478" s="141" t="n"/>
      <c r="P478" s="141" t="n"/>
      <c r="Q478" s="141" t="n"/>
      <c r="R478" s="141" t="n"/>
      <c r="S478" s="141" t="n"/>
      <c r="T478" s="141" t="n"/>
      <c r="U478" s="141" t="n"/>
      <c r="V478" s="141" t="n"/>
      <c r="W478" s="141" t="n"/>
      <c r="X478" s="141" t="n"/>
      <c r="Y478" s="136" t="n"/>
      <c r="Z478" s="136" t="n"/>
      <c r="AA478" s="136" t="n"/>
      <c r="AB478" s="136" t="n"/>
      <c r="AC478" s="136" t="n"/>
      <c r="AD478" s="136" t="n"/>
      <c r="AE478" s="136" t="n"/>
      <c r="AF478" s="136" t="n"/>
      <c r="AG478" s="136" t="n"/>
      <c r="AH478" s="136" t="n"/>
      <c r="AI478" s="136" t="n"/>
      <c r="AJ478" s="136" t="n"/>
      <c r="AK478" s="136" t="n"/>
      <c r="AL478" s="136" t="n"/>
      <c r="AM478" s="136" t="n"/>
      <c r="AN478" s="136" t="n"/>
      <c r="AO478" s="136" t="n"/>
      <c r="AP478" s="136" t="n"/>
      <c r="AQ478" s="136" t="n"/>
      <c r="AR478" s="136" t="n"/>
    </row>
    <row r="479" ht="13.5" customHeight="1" s="196">
      <c r="A479" s="136" t="n"/>
      <c r="B479" s="136" t="n"/>
      <c r="C479" s="136" t="n"/>
      <c r="D479" s="141" t="n"/>
      <c r="E479" s="141" t="n"/>
      <c r="F479" s="141" t="n"/>
      <c r="G479" s="141" t="n"/>
      <c r="H479" s="141" t="n"/>
      <c r="I479" s="141" t="n"/>
      <c r="J479" s="141" t="n"/>
      <c r="K479" s="141" t="n"/>
      <c r="L479" s="141" t="n"/>
      <c r="M479" s="141" t="n"/>
      <c r="N479" s="141" t="n"/>
      <c r="O479" s="141" t="n"/>
      <c r="P479" s="141" t="n"/>
      <c r="Q479" s="141" t="n"/>
      <c r="R479" s="141" t="n"/>
      <c r="S479" s="141" t="n"/>
      <c r="T479" s="141" t="n"/>
      <c r="U479" s="141" t="n"/>
      <c r="V479" s="141" t="n"/>
      <c r="W479" s="141" t="n"/>
      <c r="X479" s="141" t="n"/>
      <c r="Y479" s="136" t="n"/>
      <c r="Z479" s="136" t="n"/>
      <c r="AA479" s="136" t="n"/>
      <c r="AB479" s="136" t="n"/>
      <c r="AC479" s="136" t="n"/>
      <c r="AD479" s="136" t="n"/>
      <c r="AE479" s="136" t="n"/>
      <c r="AF479" s="136" t="n"/>
      <c r="AG479" s="136" t="n"/>
      <c r="AH479" s="136" t="n"/>
      <c r="AI479" s="136" t="n"/>
      <c r="AJ479" s="136" t="n"/>
      <c r="AK479" s="136" t="n"/>
      <c r="AL479" s="136" t="n"/>
      <c r="AM479" s="136" t="n"/>
      <c r="AN479" s="136" t="n"/>
      <c r="AO479" s="136" t="n"/>
      <c r="AP479" s="136" t="n"/>
      <c r="AQ479" s="136" t="n"/>
      <c r="AR479" s="136" t="n"/>
    </row>
    <row r="480" ht="13.5" customHeight="1" s="196">
      <c r="A480" s="136" t="n"/>
      <c r="B480" s="136" t="n"/>
      <c r="C480" s="136" t="n"/>
      <c r="D480" s="141" t="n"/>
      <c r="E480" s="141" t="n"/>
      <c r="F480" s="141" t="n"/>
      <c r="G480" s="141" t="n"/>
      <c r="H480" s="141" t="n"/>
      <c r="I480" s="141" t="n"/>
      <c r="J480" s="141" t="n"/>
      <c r="K480" s="141" t="n"/>
      <c r="L480" s="141" t="n"/>
      <c r="M480" s="141" t="n"/>
      <c r="N480" s="141" t="n"/>
      <c r="O480" s="141" t="n"/>
      <c r="P480" s="141" t="n"/>
      <c r="Q480" s="141" t="n"/>
      <c r="R480" s="141" t="n"/>
      <c r="S480" s="141" t="n"/>
      <c r="T480" s="141" t="n"/>
      <c r="U480" s="141" t="n"/>
      <c r="V480" s="141" t="n"/>
      <c r="W480" s="141" t="n"/>
      <c r="X480" s="141" t="n"/>
      <c r="Y480" s="136" t="n"/>
      <c r="Z480" s="136" t="n"/>
      <c r="AA480" s="136" t="n"/>
      <c r="AB480" s="136" t="n"/>
      <c r="AC480" s="136" t="n"/>
      <c r="AD480" s="136" t="n"/>
      <c r="AE480" s="136" t="n"/>
      <c r="AF480" s="136" t="n"/>
      <c r="AG480" s="136" t="n"/>
      <c r="AH480" s="136" t="n"/>
      <c r="AI480" s="136" t="n"/>
      <c r="AJ480" s="136" t="n"/>
      <c r="AK480" s="136" t="n"/>
      <c r="AL480" s="136" t="n"/>
      <c r="AM480" s="136" t="n"/>
      <c r="AN480" s="136" t="n"/>
      <c r="AO480" s="136" t="n"/>
      <c r="AP480" s="136" t="n"/>
      <c r="AQ480" s="136" t="n"/>
      <c r="AR480" s="136" t="n"/>
    </row>
    <row r="481" ht="13.5" customHeight="1" s="196">
      <c r="A481" s="136" t="n"/>
      <c r="B481" s="136" t="n"/>
      <c r="C481" s="136" t="n"/>
      <c r="D481" s="141" t="n"/>
      <c r="E481" s="141" t="n"/>
      <c r="F481" s="141" t="n"/>
      <c r="G481" s="141" t="n"/>
      <c r="H481" s="141" t="n"/>
      <c r="I481" s="141" t="n"/>
      <c r="J481" s="141" t="n"/>
      <c r="K481" s="141" t="n"/>
      <c r="L481" s="141" t="n"/>
      <c r="M481" s="141" t="n"/>
      <c r="N481" s="141" t="n"/>
      <c r="O481" s="141" t="n"/>
      <c r="P481" s="141" t="n"/>
      <c r="Q481" s="141" t="n"/>
      <c r="R481" s="141" t="n"/>
      <c r="S481" s="141" t="n"/>
      <c r="T481" s="141" t="n"/>
      <c r="U481" s="141" t="n"/>
      <c r="V481" s="141" t="n"/>
      <c r="W481" s="141" t="n"/>
      <c r="X481" s="141" t="n"/>
      <c r="Y481" s="136" t="n"/>
      <c r="Z481" s="136" t="n"/>
      <c r="AA481" s="136" t="n"/>
      <c r="AB481" s="136" t="n"/>
      <c r="AC481" s="136" t="n"/>
      <c r="AD481" s="136" t="n"/>
      <c r="AE481" s="136" t="n"/>
      <c r="AF481" s="136" t="n"/>
      <c r="AG481" s="136" t="n"/>
      <c r="AH481" s="136" t="n"/>
      <c r="AI481" s="136" t="n"/>
      <c r="AJ481" s="136" t="n"/>
      <c r="AK481" s="136" t="n"/>
      <c r="AL481" s="136" t="n"/>
      <c r="AM481" s="136" t="n"/>
      <c r="AN481" s="136" t="n"/>
      <c r="AO481" s="136" t="n"/>
      <c r="AP481" s="136" t="n"/>
      <c r="AQ481" s="136" t="n"/>
      <c r="AR481" s="136" t="n"/>
    </row>
    <row r="482" ht="13.5" customHeight="1" s="196">
      <c r="A482" s="136" t="n"/>
      <c r="B482" s="136" t="n"/>
      <c r="C482" s="136" t="n"/>
      <c r="D482" s="141" t="n"/>
      <c r="E482" s="141" t="n"/>
      <c r="F482" s="141" t="n"/>
      <c r="G482" s="141" t="n"/>
      <c r="H482" s="141" t="n"/>
      <c r="I482" s="141" t="n"/>
      <c r="J482" s="141" t="n"/>
      <c r="K482" s="141" t="n"/>
      <c r="L482" s="141" t="n"/>
      <c r="M482" s="141" t="n"/>
      <c r="N482" s="141" t="n"/>
      <c r="O482" s="141" t="n"/>
      <c r="P482" s="141" t="n"/>
      <c r="Q482" s="141" t="n"/>
      <c r="R482" s="141" t="n"/>
      <c r="S482" s="141" t="n"/>
      <c r="T482" s="141" t="n"/>
      <c r="U482" s="141" t="n"/>
      <c r="V482" s="141" t="n"/>
      <c r="W482" s="141" t="n"/>
      <c r="X482" s="141" t="n"/>
      <c r="Y482" s="136" t="n"/>
      <c r="Z482" s="136" t="n"/>
      <c r="AA482" s="136" t="n"/>
      <c r="AB482" s="136" t="n"/>
      <c r="AC482" s="136" t="n"/>
      <c r="AD482" s="136" t="n"/>
      <c r="AE482" s="136" t="n"/>
      <c r="AF482" s="136" t="n"/>
      <c r="AG482" s="136" t="n"/>
      <c r="AH482" s="136" t="n"/>
      <c r="AI482" s="136" t="n"/>
      <c r="AJ482" s="136" t="n"/>
      <c r="AK482" s="136" t="n"/>
      <c r="AL482" s="136" t="n"/>
      <c r="AM482" s="136" t="n"/>
      <c r="AN482" s="136" t="n"/>
      <c r="AO482" s="136" t="n"/>
      <c r="AP482" s="136" t="n"/>
      <c r="AQ482" s="136" t="n"/>
      <c r="AR482" s="136" t="n"/>
    </row>
    <row r="483" ht="13.5" customHeight="1" s="196">
      <c r="A483" s="136" t="n"/>
      <c r="B483" s="136" t="n"/>
      <c r="C483" s="136" t="n"/>
      <c r="D483" s="141" t="n"/>
      <c r="E483" s="141" t="n"/>
      <c r="F483" s="141" t="n"/>
      <c r="G483" s="141" t="n"/>
      <c r="H483" s="141" t="n"/>
      <c r="I483" s="141" t="n"/>
      <c r="J483" s="141" t="n"/>
      <c r="K483" s="141" t="n"/>
      <c r="L483" s="141" t="n"/>
      <c r="M483" s="141" t="n"/>
      <c r="N483" s="141" t="n"/>
      <c r="O483" s="141" t="n"/>
      <c r="P483" s="141" t="n"/>
      <c r="Q483" s="141" t="n"/>
      <c r="R483" s="141" t="n"/>
      <c r="S483" s="141" t="n"/>
      <c r="T483" s="141" t="n"/>
      <c r="U483" s="141" t="n"/>
      <c r="V483" s="141" t="n"/>
      <c r="W483" s="141" t="n"/>
      <c r="X483" s="141" t="n"/>
      <c r="Y483" s="136" t="n"/>
      <c r="Z483" s="136" t="n"/>
      <c r="AA483" s="136" t="n"/>
      <c r="AB483" s="136" t="n"/>
      <c r="AC483" s="136" t="n"/>
      <c r="AD483" s="136" t="n"/>
      <c r="AE483" s="136" t="n"/>
      <c r="AF483" s="136" t="n"/>
      <c r="AG483" s="136" t="n"/>
      <c r="AH483" s="136" t="n"/>
      <c r="AI483" s="136" t="n"/>
      <c r="AJ483" s="136" t="n"/>
      <c r="AK483" s="136" t="n"/>
      <c r="AL483" s="136" t="n"/>
      <c r="AM483" s="136" t="n"/>
      <c r="AN483" s="136" t="n"/>
      <c r="AO483" s="136" t="n"/>
      <c r="AP483" s="136" t="n"/>
      <c r="AQ483" s="136" t="n"/>
      <c r="AR483" s="136" t="n"/>
    </row>
    <row r="484" ht="13.5" customHeight="1" s="196">
      <c r="A484" s="136" t="n"/>
      <c r="B484" s="136" t="n"/>
      <c r="C484" s="136" t="n"/>
      <c r="D484" s="141" t="n"/>
      <c r="E484" s="141" t="n"/>
      <c r="F484" s="141" t="n"/>
      <c r="G484" s="141" t="n"/>
      <c r="H484" s="141" t="n"/>
      <c r="I484" s="141" t="n"/>
      <c r="J484" s="141" t="n"/>
      <c r="K484" s="141" t="n"/>
      <c r="L484" s="141" t="n"/>
      <c r="M484" s="141" t="n"/>
      <c r="N484" s="141" t="n"/>
      <c r="O484" s="141" t="n"/>
      <c r="P484" s="141" t="n"/>
      <c r="Q484" s="141" t="n"/>
      <c r="R484" s="141" t="n"/>
      <c r="S484" s="141" t="n"/>
      <c r="T484" s="141" t="n"/>
      <c r="U484" s="141" t="n"/>
      <c r="V484" s="141" t="n"/>
      <c r="W484" s="141" t="n"/>
      <c r="X484" s="141" t="n"/>
      <c r="Y484" s="136" t="n"/>
      <c r="Z484" s="136" t="n"/>
      <c r="AA484" s="136" t="n"/>
      <c r="AB484" s="136" t="n"/>
      <c r="AC484" s="136" t="n"/>
      <c r="AD484" s="136" t="n"/>
      <c r="AE484" s="136" t="n"/>
      <c r="AF484" s="136" t="n"/>
      <c r="AG484" s="136" t="n"/>
      <c r="AH484" s="136" t="n"/>
      <c r="AI484" s="136" t="n"/>
      <c r="AJ484" s="136" t="n"/>
      <c r="AK484" s="136" t="n"/>
      <c r="AL484" s="136" t="n"/>
      <c r="AM484" s="136" t="n"/>
      <c r="AN484" s="136" t="n"/>
      <c r="AO484" s="136" t="n"/>
      <c r="AP484" s="136" t="n"/>
      <c r="AQ484" s="136" t="n"/>
      <c r="AR484" s="136" t="n"/>
    </row>
    <row r="485" ht="13.5" customHeight="1" s="196">
      <c r="A485" s="136" t="n"/>
      <c r="B485" s="136" t="n"/>
      <c r="C485" s="136" t="n"/>
      <c r="D485" s="141" t="n"/>
      <c r="E485" s="141" t="n"/>
      <c r="F485" s="141" t="n"/>
      <c r="G485" s="141" t="n"/>
      <c r="H485" s="141" t="n"/>
      <c r="I485" s="141" t="n"/>
      <c r="J485" s="141" t="n"/>
      <c r="K485" s="141" t="n"/>
      <c r="L485" s="141" t="n"/>
      <c r="M485" s="141" t="n"/>
      <c r="N485" s="141" t="n"/>
      <c r="O485" s="141" t="n"/>
      <c r="P485" s="141" t="n"/>
      <c r="Q485" s="141" t="n"/>
      <c r="R485" s="141" t="n"/>
      <c r="S485" s="141" t="n"/>
      <c r="T485" s="141" t="n"/>
      <c r="U485" s="141" t="n"/>
      <c r="V485" s="141" t="n"/>
      <c r="W485" s="141" t="n"/>
      <c r="X485" s="141" t="n"/>
      <c r="Y485" s="136" t="n"/>
      <c r="Z485" s="136" t="n"/>
      <c r="AA485" s="136" t="n"/>
      <c r="AB485" s="136" t="n"/>
      <c r="AC485" s="136" t="n"/>
      <c r="AD485" s="136" t="n"/>
      <c r="AE485" s="136" t="n"/>
      <c r="AF485" s="136" t="n"/>
      <c r="AG485" s="136" t="n"/>
      <c r="AH485" s="136" t="n"/>
      <c r="AI485" s="136" t="n"/>
      <c r="AJ485" s="136" t="n"/>
      <c r="AK485" s="136" t="n"/>
      <c r="AL485" s="136" t="n"/>
      <c r="AM485" s="136" t="n"/>
      <c r="AN485" s="136" t="n"/>
      <c r="AO485" s="136" t="n"/>
      <c r="AP485" s="136" t="n"/>
      <c r="AQ485" s="136" t="n"/>
      <c r="AR485" s="136" t="n"/>
    </row>
    <row r="486" ht="13.5" customHeight="1" s="196">
      <c r="A486" s="136" t="n"/>
      <c r="B486" s="136" t="n"/>
      <c r="C486" s="136" t="n"/>
      <c r="D486" s="141" t="n"/>
      <c r="E486" s="141" t="n"/>
      <c r="F486" s="141" t="n"/>
      <c r="G486" s="141" t="n"/>
      <c r="H486" s="141" t="n"/>
      <c r="I486" s="141" t="n"/>
      <c r="J486" s="141" t="n"/>
      <c r="K486" s="141" t="n"/>
      <c r="L486" s="141" t="n"/>
      <c r="M486" s="141" t="n"/>
      <c r="N486" s="141" t="n"/>
      <c r="O486" s="141" t="n"/>
      <c r="P486" s="141" t="n"/>
      <c r="Q486" s="141" t="n"/>
      <c r="R486" s="141" t="n"/>
      <c r="S486" s="141" t="n"/>
      <c r="T486" s="141" t="n"/>
      <c r="U486" s="141" t="n"/>
      <c r="V486" s="141" t="n"/>
      <c r="W486" s="141" t="n"/>
      <c r="X486" s="141" t="n"/>
      <c r="Y486" s="136" t="n"/>
      <c r="Z486" s="136" t="n"/>
      <c r="AA486" s="136" t="n"/>
      <c r="AB486" s="136" t="n"/>
      <c r="AC486" s="136" t="n"/>
      <c r="AD486" s="136" t="n"/>
      <c r="AE486" s="136" t="n"/>
      <c r="AF486" s="136" t="n"/>
      <c r="AG486" s="136" t="n"/>
      <c r="AH486" s="136" t="n"/>
      <c r="AI486" s="136" t="n"/>
      <c r="AJ486" s="136" t="n"/>
      <c r="AK486" s="136" t="n"/>
      <c r="AL486" s="136" t="n"/>
      <c r="AM486" s="136" t="n"/>
      <c r="AN486" s="136" t="n"/>
      <c r="AO486" s="136" t="n"/>
      <c r="AP486" s="136" t="n"/>
      <c r="AQ486" s="136" t="n"/>
      <c r="AR486" s="136" t="n"/>
    </row>
    <row r="487" ht="13.5" customHeight="1" s="196">
      <c r="A487" s="136" t="n"/>
      <c r="B487" s="136" t="n"/>
      <c r="C487" s="136" t="n"/>
      <c r="D487" s="141" t="n"/>
      <c r="E487" s="141" t="n"/>
      <c r="F487" s="141" t="n"/>
      <c r="G487" s="141" t="n"/>
      <c r="H487" s="141" t="n"/>
      <c r="I487" s="141" t="n"/>
      <c r="J487" s="141" t="n"/>
      <c r="K487" s="141" t="n"/>
      <c r="L487" s="141" t="n"/>
      <c r="M487" s="141" t="n"/>
      <c r="N487" s="141" t="n"/>
      <c r="O487" s="141" t="n"/>
      <c r="P487" s="141" t="n"/>
      <c r="Q487" s="141" t="n"/>
      <c r="R487" s="141" t="n"/>
      <c r="S487" s="141" t="n"/>
      <c r="T487" s="141" t="n"/>
      <c r="U487" s="141" t="n"/>
      <c r="V487" s="141" t="n"/>
      <c r="W487" s="141" t="n"/>
      <c r="X487" s="141" t="n"/>
      <c r="Y487" s="136" t="n"/>
      <c r="Z487" s="136" t="n"/>
      <c r="AA487" s="136" t="n"/>
      <c r="AB487" s="136" t="n"/>
      <c r="AC487" s="136" t="n"/>
      <c r="AD487" s="136" t="n"/>
      <c r="AE487" s="136" t="n"/>
      <c r="AF487" s="136" t="n"/>
      <c r="AG487" s="136" t="n"/>
      <c r="AH487" s="136" t="n"/>
      <c r="AI487" s="136" t="n"/>
      <c r="AJ487" s="136" t="n"/>
      <c r="AK487" s="136" t="n"/>
      <c r="AL487" s="136" t="n"/>
      <c r="AM487" s="136" t="n"/>
      <c r="AN487" s="136" t="n"/>
      <c r="AO487" s="136" t="n"/>
      <c r="AP487" s="136" t="n"/>
      <c r="AQ487" s="136" t="n"/>
      <c r="AR487" s="136" t="n"/>
    </row>
    <row r="488" ht="13.5" customHeight="1" s="196">
      <c r="A488" s="136" t="n"/>
      <c r="B488" s="136" t="n"/>
      <c r="C488" s="136" t="n"/>
      <c r="D488" s="141" t="n"/>
      <c r="E488" s="141" t="n"/>
      <c r="F488" s="141" t="n"/>
      <c r="G488" s="141" t="n"/>
      <c r="H488" s="141" t="n"/>
      <c r="I488" s="141" t="n"/>
      <c r="J488" s="141" t="n"/>
      <c r="K488" s="141" t="n"/>
      <c r="L488" s="141" t="n"/>
      <c r="M488" s="141" t="n"/>
      <c r="N488" s="141" t="n"/>
      <c r="O488" s="141" t="n"/>
      <c r="P488" s="141" t="n"/>
      <c r="Q488" s="141" t="n"/>
      <c r="R488" s="141" t="n"/>
      <c r="S488" s="141" t="n"/>
      <c r="T488" s="141" t="n"/>
      <c r="U488" s="141" t="n"/>
      <c r="V488" s="141" t="n"/>
      <c r="W488" s="141" t="n"/>
      <c r="X488" s="141" t="n"/>
      <c r="Y488" s="136" t="n"/>
      <c r="Z488" s="136" t="n"/>
      <c r="AA488" s="136" t="n"/>
      <c r="AB488" s="136" t="n"/>
      <c r="AC488" s="136" t="n"/>
      <c r="AD488" s="136" t="n"/>
      <c r="AE488" s="136" t="n"/>
      <c r="AF488" s="136" t="n"/>
      <c r="AG488" s="136" t="n"/>
      <c r="AH488" s="136" t="n"/>
      <c r="AI488" s="136" t="n"/>
      <c r="AJ488" s="136" t="n"/>
      <c r="AK488" s="136" t="n"/>
      <c r="AL488" s="136" t="n"/>
      <c r="AM488" s="136" t="n"/>
      <c r="AN488" s="136" t="n"/>
      <c r="AO488" s="136" t="n"/>
      <c r="AP488" s="136" t="n"/>
      <c r="AQ488" s="136" t="n"/>
      <c r="AR488" s="136" t="n"/>
    </row>
    <row r="489" ht="13.5" customHeight="1" s="196">
      <c r="A489" s="136" t="n"/>
      <c r="B489" s="136" t="n"/>
      <c r="C489" s="136" t="n"/>
      <c r="D489" s="141" t="n"/>
      <c r="E489" s="141" t="n"/>
      <c r="F489" s="141" t="n"/>
      <c r="G489" s="141" t="n"/>
      <c r="H489" s="141" t="n"/>
      <c r="I489" s="141" t="n"/>
      <c r="J489" s="141" t="n"/>
      <c r="K489" s="141" t="n"/>
      <c r="L489" s="141" t="n"/>
      <c r="M489" s="141" t="n"/>
      <c r="N489" s="141" t="n"/>
      <c r="O489" s="141" t="n"/>
      <c r="P489" s="141" t="n"/>
      <c r="Q489" s="141" t="n"/>
      <c r="R489" s="141" t="n"/>
      <c r="S489" s="141" t="n"/>
      <c r="T489" s="141" t="n"/>
      <c r="U489" s="141" t="n"/>
      <c r="V489" s="141" t="n"/>
      <c r="W489" s="141" t="n"/>
      <c r="X489" s="141" t="n"/>
      <c r="Y489" s="136" t="n"/>
      <c r="Z489" s="136" t="n"/>
      <c r="AA489" s="136" t="n"/>
      <c r="AB489" s="136" t="n"/>
      <c r="AC489" s="136" t="n"/>
      <c r="AD489" s="136" t="n"/>
      <c r="AE489" s="136" t="n"/>
      <c r="AF489" s="136" t="n"/>
      <c r="AG489" s="136" t="n"/>
      <c r="AH489" s="136" t="n"/>
      <c r="AI489" s="136" t="n"/>
      <c r="AJ489" s="136" t="n"/>
      <c r="AK489" s="136" t="n"/>
      <c r="AL489" s="136" t="n"/>
      <c r="AM489" s="136" t="n"/>
      <c r="AN489" s="136" t="n"/>
      <c r="AO489" s="136" t="n"/>
      <c r="AP489" s="136" t="n"/>
      <c r="AQ489" s="136" t="n"/>
      <c r="AR489" s="136" t="n"/>
    </row>
    <row r="490" ht="13.5" customHeight="1" s="196">
      <c r="A490" s="136" t="n"/>
      <c r="B490" s="136" t="n"/>
      <c r="C490" s="136" t="n"/>
      <c r="D490" s="141" t="n"/>
      <c r="E490" s="141" t="n"/>
      <c r="F490" s="141" t="n"/>
      <c r="G490" s="141" t="n"/>
      <c r="H490" s="141" t="n"/>
      <c r="I490" s="141" t="n"/>
      <c r="J490" s="141" t="n"/>
      <c r="K490" s="141" t="n"/>
      <c r="L490" s="141" t="n"/>
      <c r="M490" s="141" t="n"/>
      <c r="N490" s="141" t="n"/>
      <c r="O490" s="141" t="n"/>
      <c r="P490" s="141" t="n"/>
      <c r="Q490" s="141" t="n"/>
      <c r="R490" s="141" t="n"/>
      <c r="S490" s="141" t="n"/>
      <c r="T490" s="141" t="n"/>
      <c r="U490" s="141" t="n"/>
      <c r="V490" s="141" t="n"/>
      <c r="W490" s="141" t="n"/>
      <c r="X490" s="141" t="n"/>
      <c r="Y490" s="136" t="n"/>
      <c r="Z490" s="136" t="n"/>
      <c r="AA490" s="136" t="n"/>
      <c r="AB490" s="136" t="n"/>
      <c r="AC490" s="136" t="n"/>
      <c r="AD490" s="136" t="n"/>
      <c r="AE490" s="136" t="n"/>
      <c r="AF490" s="136" t="n"/>
      <c r="AG490" s="136" t="n"/>
      <c r="AH490" s="136" t="n"/>
      <c r="AI490" s="136" t="n"/>
      <c r="AJ490" s="136" t="n"/>
      <c r="AK490" s="136" t="n"/>
      <c r="AL490" s="136" t="n"/>
      <c r="AM490" s="136" t="n"/>
      <c r="AN490" s="136" t="n"/>
      <c r="AO490" s="136" t="n"/>
      <c r="AP490" s="136" t="n"/>
      <c r="AQ490" s="136" t="n"/>
      <c r="AR490" s="136" t="n"/>
    </row>
    <row r="491" ht="13.5" customHeight="1" s="196">
      <c r="A491" s="136" t="n"/>
      <c r="B491" s="136" t="n"/>
      <c r="C491" s="136" t="n"/>
      <c r="D491" s="141" t="n"/>
      <c r="E491" s="141" t="n"/>
      <c r="F491" s="141" t="n"/>
      <c r="G491" s="141" t="n"/>
      <c r="H491" s="141" t="n"/>
      <c r="I491" s="141" t="n"/>
      <c r="J491" s="141" t="n"/>
      <c r="K491" s="141" t="n"/>
      <c r="L491" s="141" t="n"/>
      <c r="M491" s="141" t="n"/>
      <c r="N491" s="141" t="n"/>
      <c r="O491" s="141" t="n"/>
      <c r="P491" s="141" t="n"/>
      <c r="Q491" s="141" t="n"/>
      <c r="R491" s="141" t="n"/>
      <c r="S491" s="141" t="n"/>
      <c r="T491" s="141" t="n"/>
      <c r="U491" s="141" t="n"/>
      <c r="V491" s="141" t="n"/>
      <c r="W491" s="141" t="n"/>
      <c r="X491" s="141" t="n"/>
      <c r="Y491" s="136" t="n"/>
      <c r="Z491" s="136" t="n"/>
      <c r="AA491" s="136" t="n"/>
      <c r="AB491" s="136" t="n"/>
      <c r="AC491" s="136" t="n"/>
      <c r="AD491" s="136" t="n"/>
      <c r="AE491" s="136" t="n"/>
      <c r="AF491" s="136" t="n"/>
      <c r="AG491" s="136" t="n"/>
      <c r="AH491" s="136" t="n"/>
      <c r="AI491" s="136" t="n"/>
      <c r="AJ491" s="136" t="n"/>
      <c r="AK491" s="136" t="n"/>
      <c r="AL491" s="136" t="n"/>
      <c r="AM491" s="136" t="n"/>
      <c r="AN491" s="136" t="n"/>
      <c r="AO491" s="136" t="n"/>
      <c r="AP491" s="136" t="n"/>
      <c r="AQ491" s="136" t="n"/>
      <c r="AR491" s="136" t="n"/>
    </row>
    <row r="492" ht="13.5" customHeight="1" s="196">
      <c r="A492" s="136" t="n"/>
      <c r="B492" s="136" t="n"/>
      <c r="C492" s="136" t="n"/>
      <c r="D492" s="141" t="n"/>
      <c r="E492" s="141" t="n"/>
      <c r="F492" s="141" t="n"/>
      <c r="G492" s="141" t="n"/>
      <c r="H492" s="141" t="n"/>
      <c r="I492" s="141" t="n"/>
      <c r="J492" s="141" t="n"/>
      <c r="K492" s="141" t="n"/>
      <c r="L492" s="141" t="n"/>
      <c r="M492" s="141" t="n"/>
      <c r="N492" s="141" t="n"/>
      <c r="O492" s="141" t="n"/>
      <c r="P492" s="141" t="n"/>
      <c r="Q492" s="141" t="n"/>
      <c r="R492" s="141" t="n"/>
      <c r="S492" s="141" t="n"/>
      <c r="T492" s="141" t="n"/>
      <c r="U492" s="141" t="n"/>
      <c r="V492" s="141" t="n"/>
      <c r="W492" s="141" t="n"/>
      <c r="X492" s="141" t="n"/>
      <c r="Y492" s="136" t="n"/>
      <c r="Z492" s="136" t="n"/>
      <c r="AA492" s="136" t="n"/>
      <c r="AB492" s="136" t="n"/>
      <c r="AC492" s="136" t="n"/>
      <c r="AD492" s="136" t="n"/>
      <c r="AE492" s="136" t="n"/>
      <c r="AF492" s="136" t="n"/>
      <c r="AG492" s="136" t="n"/>
      <c r="AH492" s="136" t="n"/>
      <c r="AI492" s="136" t="n"/>
      <c r="AJ492" s="136" t="n"/>
      <c r="AK492" s="136" t="n"/>
      <c r="AL492" s="136" t="n"/>
      <c r="AM492" s="136" t="n"/>
      <c r="AN492" s="136" t="n"/>
      <c r="AO492" s="136" t="n"/>
      <c r="AP492" s="136" t="n"/>
      <c r="AQ492" s="136" t="n"/>
      <c r="AR492" s="136" t="n"/>
    </row>
    <row r="493" ht="13.5" customHeight="1" s="196">
      <c r="A493" s="136" t="n"/>
      <c r="B493" s="136" t="n"/>
      <c r="C493" s="136" t="n"/>
      <c r="D493" s="141" t="n"/>
      <c r="E493" s="141" t="n"/>
      <c r="F493" s="141" t="n"/>
      <c r="G493" s="141" t="n"/>
      <c r="H493" s="141" t="n"/>
      <c r="I493" s="141" t="n"/>
      <c r="J493" s="141" t="n"/>
      <c r="K493" s="141" t="n"/>
      <c r="L493" s="141" t="n"/>
      <c r="M493" s="141" t="n"/>
      <c r="N493" s="141" t="n"/>
      <c r="O493" s="141" t="n"/>
      <c r="P493" s="141" t="n"/>
      <c r="Q493" s="141" t="n"/>
      <c r="R493" s="141" t="n"/>
      <c r="S493" s="141" t="n"/>
      <c r="T493" s="141" t="n"/>
      <c r="U493" s="141" t="n"/>
      <c r="V493" s="141" t="n"/>
      <c r="W493" s="141" t="n"/>
      <c r="X493" s="141" t="n"/>
      <c r="Y493" s="136" t="n"/>
      <c r="Z493" s="136" t="n"/>
      <c r="AA493" s="136" t="n"/>
      <c r="AB493" s="136" t="n"/>
      <c r="AC493" s="136" t="n"/>
      <c r="AD493" s="136" t="n"/>
      <c r="AE493" s="136" t="n"/>
      <c r="AF493" s="136" t="n"/>
      <c r="AG493" s="136" t="n"/>
      <c r="AH493" s="136" t="n"/>
      <c r="AI493" s="136" t="n"/>
      <c r="AJ493" s="136" t="n"/>
      <c r="AK493" s="136" t="n"/>
      <c r="AL493" s="136" t="n"/>
      <c r="AM493" s="136" t="n"/>
      <c r="AN493" s="136" t="n"/>
      <c r="AO493" s="136" t="n"/>
      <c r="AP493" s="136" t="n"/>
      <c r="AQ493" s="136" t="n"/>
      <c r="AR493" s="136" t="n"/>
    </row>
    <row r="494" ht="13.5" customHeight="1" s="196">
      <c r="A494" s="136" t="n"/>
      <c r="B494" s="136" t="n"/>
      <c r="C494" s="136" t="n"/>
      <c r="D494" s="141" t="n"/>
      <c r="E494" s="141" t="n"/>
      <c r="F494" s="141" t="n"/>
      <c r="G494" s="141" t="n"/>
      <c r="H494" s="141" t="n"/>
      <c r="I494" s="141" t="n"/>
      <c r="J494" s="141" t="n"/>
      <c r="K494" s="141" t="n"/>
      <c r="L494" s="141" t="n"/>
      <c r="M494" s="141" t="n"/>
      <c r="N494" s="141" t="n"/>
      <c r="O494" s="141" t="n"/>
      <c r="P494" s="141" t="n"/>
      <c r="Q494" s="141" t="n"/>
      <c r="R494" s="141" t="n"/>
      <c r="S494" s="141" t="n"/>
      <c r="T494" s="141" t="n"/>
      <c r="U494" s="141" t="n"/>
      <c r="V494" s="141" t="n"/>
      <c r="W494" s="141" t="n"/>
      <c r="X494" s="141" t="n"/>
      <c r="Y494" s="136" t="n"/>
      <c r="Z494" s="136" t="n"/>
      <c r="AA494" s="136" t="n"/>
      <c r="AB494" s="136" t="n"/>
      <c r="AC494" s="136" t="n"/>
      <c r="AD494" s="136" t="n"/>
      <c r="AE494" s="136" t="n"/>
      <c r="AF494" s="136" t="n"/>
      <c r="AG494" s="136" t="n"/>
      <c r="AH494" s="136" t="n"/>
      <c r="AI494" s="136" t="n"/>
      <c r="AJ494" s="136" t="n"/>
      <c r="AK494" s="136" t="n"/>
      <c r="AL494" s="136" t="n"/>
      <c r="AM494" s="136" t="n"/>
      <c r="AN494" s="136" t="n"/>
      <c r="AO494" s="136" t="n"/>
      <c r="AP494" s="136" t="n"/>
      <c r="AQ494" s="136" t="n"/>
      <c r="AR494" s="136" t="n"/>
    </row>
    <row r="495" ht="13.5" customHeight="1" s="196">
      <c r="A495" s="136" t="n"/>
      <c r="B495" s="136" t="n"/>
      <c r="C495" s="136" t="n"/>
      <c r="D495" s="141" t="n"/>
      <c r="E495" s="141" t="n"/>
      <c r="F495" s="141" t="n"/>
      <c r="G495" s="141" t="n"/>
      <c r="H495" s="141" t="n"/>
      <c r="I495" s="141" t="n"/>
      <c r="J495" s="141" t="n"/>
      <c r="K495" s="141" t="n"/>
      <c r="L495" s="141" t="n"/>
      <c r="M495" s="141" t="n"/>
      <c r="N495" s="141" t="n"/>
      <c r="O495" s="141" t="n"/>
      <c r="P495" s="141" t="n"/>
      <c r="Q495" s="141" t="n"/>
      <c r="R495" s="141" t="n"/>
      <c r="S495" s="141" t="n"/>
      <c r="T495" s="141" t="n"/>
      <c r="U495" s="141" t="n"/>
      <c r="V495" s="141" t="n"/>
      <c r="W495" s="141" t="n"/>
      <c r="X495" s="141" t="n"/>
      <c r="Y495" s="136" t="n"/>
      <c r="Z495" s="136" t="n"/>
      <c r="AA495" s="136" t="n"/>
      <c r="AB495" s="136" t="n"/>
      <c r="AC495" s="136" t="n"/>
      <c r="AD495" s="136" t="n"/>
      <c r="AE495" s="136" t="n"/>
      <c r="AF495" s="136" t="n"/>
      <c r="AG495" s="136" t="n"/>
      <c r="AH495" s="136" t="n"/>
      <c r="AI495" s="136" t="n"/>
      <c r="AJ495" s="136" t="n"/>
      <c r="AK495" s="136" t="n"/>
      <c r="AL495" s="136" t="n"/>
      <c r="AM495" s="136" t="n"/>
      <c r="AN495" s="136" t="n"/>
      <c r="AO495" s="136" t="n"/>
      <c r="AP495" s="136" t="n"/>
      <c r="AQ495" s="136" t="n"/>
      <c r="AR495" s="136" t="n"/>
    </row>
    <row r="496" ht="13.5" customHeight="1" s="196">
      <c r="A496" s="136" t="n"/>
      <c r="B496" s="136" t="n"/>
      <c r="C496" s="136" t="n"/>
      <c r="D496" s="141" t="n"/>
      <c r="E496" s="141" t="n"/>
      <c r="F496" s="141" t="n"/>
      <c r="G496" s="141" t="n"/>
      <c r="H496" s="141" t="n"/>
      <c r="I496" s="141" t="n"/>
      <c r="J496" s="141" t="n"/>
      <c r="K496" s="141" t="n"/>
      <c r="L496" s="141" t="n"/>
      <c r="M496" s="141" t="n"/>
      <c r="N496" s="141" t="n"/>
      <c r="O496" s="141" t="n"/>
      <c r="P496" s="141" t="n"/>
      <c r="Q496" s="141" t="n"/>
      <c r="R496" s="141" t="n"/>
      <c r="S496" s="141" t="n"/>
      <c r="T496" s="141" t="n"/>
      <c r="U496" s="141" t="n"/>
      <c r="V496" s="141" t="n"/>
      <c r="W496" s="141" t="n"/>
      <c r="X496" s="141" t="n"/>
      <c r="Y496" s="136" t="n"/>
      <c r="Z496" s="136" t="n"/>
      <c r="AA496" s="136" t="n"/>
      <c r="AB496" s="136" t="n"/>
      <c r="AC496" s="136" t="n"/>
      <c r="AD496" s="136" t="n"/>
      <c r="AE496" s="136" t="n"/>
      <c r="AF496" s="136" t="n"/>
      <c r="AG496" s="136" t="n"/>
      <c r="AH496" s="136" t="n"/>
      <c r="AI496" s="136" t="n"/>
      <c r="AJ496" s="136" t="n"/>
      <c r="AK496" s="136" t="n"/>
      <c r="AL496" s="136" t="n"/>
      <c r="AM496" s="136" t="n"/>
      <c r="AN496" s="136" t="n"/>
      <c r="AO496" s="136" t="n"/>
      <c r="AP496" s="136" t="n"/>
      <c r="AQ496" s="136" t="n"/>
      <c r="AR496" s="136" t="n"/>
    </row>
    <row r="497" ht="13.5" customHeight="1" s="196">
      <c r="A497" s="136" t="n"/>
      <c r="B497" s="136" t="n"/>
      <c r="C497" s="136" t="n"/>
      <c r="D497" s="141" t="n"/>
      <c r="E497" s="141" t="n"/>
      <c r="F497" s="141" t="n"/>
      <c r="G497" s="141" t="n"/>
      <c r="H497" s="141" t="n"/>
      <c r="I497" s="141" t="n"/>
      <c r="J497" s="141" t="n"/>
      <c r="K497" s="141" t="n"/>
      <c r="L497" s="141" t="n"/>
      <c r="M497" s="141" t="n"/>
      <c r="N497" s="141" t="n"/>
      <c r="O497" s="141" t="n"/>
      <c r="P497" s="141" t="n"/>
      <c r="Q497" s="141" t="n"/>
      <c r="R497" s="141" t="n"/>
      <c r="S497" s="141" t="n"/>
      <c r="T497" s="141" t="n"/>
      <c r="U497" s="141" t="n"/>
      <c r="V497" s="141" t="n"/>
      <c r="W497" s="141" t="n"/>
      <c r="X497" s="141" t="n"/>
      <c r="Y497" s="136" t="n"/>
      <c r="Z497" s="136" t="n"/>
      <c r="AA497" s="136" t="n"/>
      <c r="AB497" s="136" t="n"/>
      <c r="AC497" s="136" t="n"/>
      <c r="AD497" s="136" t="n"/>
      <c r="AE497" s="136" t="n"/>
      <c r="AF497" s="136" t="n"/>
      <c r="AG497" s="136" t="n"/>
      <c r="AH497" s="136" t="n"/>
      <c r="AI497" s="136" t="n"/>
      <c r="AJ497" s="136" t="n"/>
      <c r="AK497" s="136" t="n"/>
      <c r="AL497" s="136" t="n"/>
      <c r="AM497" s="136" t="n"/>
      <c r="AN497" s="136" t="n"/>
      <c r="AO497" s="136" t="n"/>
      <c r="AP497" s="136" t="n"/>
      <c r="AQ497" s="136" t="n"/>
      <c r="AR497" s="136" t="n"/>
    </row>
    <row r="498" ht="13.5" customHeight="1" s="196">
      <c r="A498" s="136" t="n"/>
      <c r="B498" s="136" t="n"/>
      <c r="C498" s="136" t="n"/>
      <c r="D498" s="141" t="n"/>
      <c r="E498" s="141" t="n"/>
      <c r="F498" s="141" t="n"/>
      <c r="G498" s="141" t="n"/>
      <c r="H498" s="141" t="n"/>
      <c r="I498" s="141" t="n"/>
      <c r="J498" s="141" t="n"/>
      <c r="K498" s="141" t="n"/>
      <c r="L498" s="141" t="n"/>
      <c r="M498" s="141" t="n"/>
      <c r="N498" s="141" t="n"/>
      <c r="O498" s="141" t="n"/>
      <c r="P498" s="141" t="n"/>
      <c r="Q498" s="141" t="n"/>
      <c r="R498" s="141" t="n"/>
      <c r="S498" s="141" t="n"/>
      <c r="T498" s="141" t="n"/>
      <c r="U498" s="141" t="n"/>
      <c r="V498" s="141" t="n"/>
      <c r="W498" s="141" t="n"/>
      <c r="X498" s="141" t="n"/>
      <c r="Y498" s="136" t="n"/>
      <c r="Z498" s="136" t="n"/>
      <c r="AA498" s="136" t="n"/>
      <c r="AB498" s="136" t="n"/>
      <c r="AC498" s="136" t="n"/>
      <c r="AD498" s="136" t="n"/>
      <c r="AE498" s="136" t="n"/>
      <c r="AF498" s="136" t="n"/>
      <c r="AG498" s="136" t="n"/>
      <c r="AH498" s="136" t="n"/>
      <c r="AI498" s="136" t="n"/>
      <c r="AJ498" s="136" t="n"/>
      <c r="AK498" s="136" t="n"/>
      <c r="AL498" s="136" t="n"/>
      <c r="AM498" s="136" t="n"/>
      <c r="AN498" s="136" t="n"/>
      <c r="AO498" s="136" t="n"/>
      <c r="AP498" s="136" t="n"/>
      <c r="AQ498" s="136" t="n"/>
      <c r="AR498" s="136" t="n"/>
    </row>
    <row r="499" ht="13.5" customHeight="1" s="196">
      <c r="A499" s="136" t="n"/>
      <c r="B499" s="136" t="n"/>
      <c r="C499" s="136" t="n"/>
      <c r="D499" s="141" t="n"/>
      <c r="E499" s="141" t="n"/>
      <c r="F499" s="141" t="n"/>
      <c r="G499" s="141" t="n"/>
      <c r="H499" s="141" t="n"/>
      <c r="I499" s="141" t="n"/>
      <c r="J499" s="141" t="n"/>
      <c r="K499" s="141" t="n"/>
      <c r="L499" s="141" t="n"/>
      <c r="M499" s="141" t="n"/>
      <c r="N499" s="141" t="n"/>
      <c r="O499" s="141" t="n"/>
      <c r="P499" s="141" t="n"/>
      <c r="Q499" s="141" t="n"/>
      <c r="R499" s="141" t="n"/>
      <c r="S499" s="141" t="n"/>
      <c r="T499" s="141" t="n"/>
      <c r="U499" s="141" t="n"/>
      <c r="V499" s="141" t="n"/>
      <c r="W499" s="141" t="n"/>
      <c r="X499" s="141" t="n"/>
      <c r="Y499" s="136" t="n"/>
      <c r="Z499" s="136" t="n"/>
      <c r="AA499" s="136" t="n"/>
      <c r="AB499" s="136" t="n"/>
      <c r="AC499" s="136" t="n"/>
      <c r="AD499" s="136" t="n"/>
      <c r="AE499" s="136" t="n"/>
      <c r="AF499" s="136" t="n"/>
      <c r="AG499" s="136" t="n"/>
      <c r="AH499" s="136" t="n"/>
      <c r="AI499" s="136" t="n"/>
      <c r="AJ499" s="136" t="n"/>
      <c r="AK499" s="136" t="n"/>
      <c r="AL499" s="136" t="n"/>
      <c r="AM499" s="136" t="n"/>
      <c r="AN499" s="136" t="n"/>
      <c r="AO499" s="136" t="n"/>
      <c r="AP499" s="136" t="n"/>
      <c r="AQ499" s="136" t="n"/>
      <c r="AR499" s="136" t="n"/>
    </row>
    <row r="500" ht="13.5" customHeight="1" s="196">
      <c r="A500" s="136" t="n"/>
      <c r="B500" s="136" t="n"/>
      <c r="C500" s="136" t="n"/>
      <c r="D500" s="141" t="n"/>
      <c r="E500" s="141" t="n"/>
      <c r="F500" s="141" t="n"/>
      <c r="G500" s="141" t="n"/>
      <c r="H500" s="141" t="n"/>
      <c r="I500" s="141" t="n"/>
      <c r="J500" s="141" t="n"/>
      <c r="K500" s="141" t="n"/>
      <c r="L500" s="141" t="n"/>
      <c r="M500" s="141" t="n"/>
      <c r="N500" s="141" t="n"/>
      <c r="O500" s="141" t="n"/>
      <c r="P500" s="141" t="n"/>
      <c r="Q500" s="141" t="n"/>
      <c r="R500" s="141" t="n"/>
      <c r="S500" s="141" t="n"/>
      <c r="T500" s="141" t="n"/>
      <c r="U500" s="141" t="n"/>
      <c r="V500" s="141" t="n"/>
      <c r="W500" s="141" t="n"/>
      <c r="X500" s="141" t="n"/>
      <c r="Y500" s="136" t="n"/>
      <c r="Z500" s="136" t="n"/>
      <c r="AA500" s="136" t="n"/>
      <c r="AB500" s="136" t="n"/>
      <c r="AC500" s="136" t="n"/>
      <c r="AD500" s="136" t="n"/>
      <c r="AE500" s="136" t="n"/>
      <c r="AF500" s="136" t="n"/>
      <c r="AG500" s="136" t="n"/>
      <c r="AH500" s="136" t="n"/>
      <c r="AI500" s="136" t="n"/>
      <c r="AJ500" s="136" t="n"/>
      <c r="AK500" s="136" t="n"/>
      <c r="AL500" s="136" t="n"/>
      <c r="AM500" s="136" t="n"/>
      <c r="AN500" s="136" t="n"/>
      <c r="AO500" s="136" t="n"/>
      <c r="AP500" s="136" t="n"/>
      <c r="AQ500" s="136" t="n"/>
      <c r="AR500" s="136" t="n"/>
    </row>
    <row r="501" ht="13.5" customHeight="1" s="196">
      <c r="A501" s="136" t="n"/>
      <c r="B501" s="136" t="n"/>
      <c r="C501" s="136" t="n"/>
      <c r="D501" s="141" t="n"/>
      <c r="E501" s="141" t="n"/>
      <c r="F501" s="141" t="n"/>
      <c r="G501" s="141" t="n"/>
      <c r="H501" s="141" t="n"/>
      <c r="I501" s="141" t="n"/>
      <c r="J501" s="141" t="n"/>
      <c r="K501" s="141" t="n"/>
      <c r="L501" s="141" t="n"/>
      <c r="M501" s="141" t="n"/>
      <c r="N501" s="141" t="n"/>
      <c r="O501" s="141" t="n"/>
      <c r="P501" s="141" t="n"/>
      <c r="Q501" s="141" t="n"/>
      <c r="R501" s="141" t="n"/>
      <c r="S501" s="141" t="n"/>
      <c r="T501" s="141" t="n"/>
      <c r="U501" s="141" t="n"/>
      <c r="V501" s="141" t="n"/>
      <c r="W501" s="141" t="n"/>
      <c r="X501" s="141" t="n"/>
      <c r="Y501" s="136" t="n"/>
      <c r="Z501" s="136" t="n"/>
      <c r="AA501" s="136" t="n"/>
      <c r="AB501" s="136" t="n"/>
      <c r="AC501" s="136" t="n"/>
      <c r="AD501" s="136" t="n"/>
      <c r="AE501" s="136" t="n"/>
      <c r="AF501" s="136" t="n"/>
      <c r="AG501" s="136" t="n"/>
      <c r="AH501" s="136" t="n"/>
      <c r="AI501" s="136" t="n"/>
      <c r="AJ501" s="136" t="n"/>
      <c r="AK501" s="136" t="n"/>
      <c r="AL501" s="136" t="n"/>
      <c r="AM501" s="136" t="n"/>
      <c r="AN501" s="136" t="n"/>
      <c r="AO501" s="136" t="n"/>
      <c r="AP501" s="136" t="n"/>
      <c r="AQ501" s="136" t="n"/>
      <c r="AR501" s="136" t="n"/>
    </row>
    <row r="502" ht="13.5" customHeight="1" s="196">
      <c r="A502" s="136" t="n"/>
      <c r="B502" s="136" t="n"/>
      <c r="C502" s="136" t="n"/>
      <c r="D502" s="141" t="n"/>
      <c r="E502" s="141" t="n"/>
      <c r="F502" s="141" t="n"/>
      <c r="G502" s="141" t="n"/>
      <c r="H502" s="141" t="n"/>
      <c r="I502" s="141" t="n"/>
      <c r="J502" s="141" t="n"/>
      <c r="K502" s="141" t="n"/>
      <c r="L502" s="141" t="n"/>
      <c r="M502" s="141" t="n"/>
      <c r="N502" s="141" t="n"/>
      <c r="O502" s="141" t="n"/>
      <c r="P502" s="141" t="n"/>
      <c r="Q502" s="141" t="n"/>
      <c r="R502" s="141" t="n"/>
      <c r="S502" s="141" t="n"/>
      <c r="T502" s="141" t="n"/>
      <c r="U502" s="141" t="n"/>
      <c r="V502" s="141" t="n"/>
      <c r="W502" s="141" t="n"/>
      <c r="X502" s="141" t="n"/>
      <c r="Y502" s="136" t="n"/>
      <c r="Z502" s="136" t="n"/>
      <c r="AA502" s="136" t="n"/>
      <c r="AB502" s="136" t="n"/>
      <c r="AC502" s="136" t="n"/>
      <c r="AD502" s="136" t="n"/>
      <c r="AE502" s="136" t="n"/>
      <c r="AF502" s="136" t="n"/>
      <c r="AG502" s="136" t="n"/>
      <c r="AH502" s="136" t="n"/>
      <c r="AI502" s="136" t="n"/>
      <c r="AJ502" s="136" t="n"/>
      <c r="AK502" s="136" t="n"/>
      <c r="AL502" s="136" t="n"/>
      <c r="AM502" s="136" t="n"/>
      <c r="AN502" s="136" t="n"/>
      <c r="AO502" s="136" t="n"/>
      <c r="AP502" s="136" t="n"/>
      <c r="AQ502" s="136" t="n"/>
      <c r="AR502" s="136" t="n"/>
    </row>
    <row r="503" ht="13.5" customHeight="1" s="196">
      <c r="A503" s="136" t="n"/>
      <c r="B503" s="136" t="n"/>
      <c r="C503" s="136" t="n"/>
      <c r="D503" s="141" t="n"/>
      <c r="E503" s="141" t="n"/>
      <c r="F503" s="141" t="n"/>
      <c r="G503" s="141" t="n"/>
      <c r="H503" s="141" t="n"/>
      <c r="I503" s="141" t="n"/>
      <c r="J503" s="141" t="n"/>
      <c r="K503" s="141" t="n"/>
      <c r="L503" s="141" t="n"/>
      <c r="M503" s="141" t="n"/>
      <c r="N503" s="141" t="n"/>
      <c r="O503" s="141" t="n"/>
      <c r="P503" s="141" t="n"/>
      <c r="Q503" s="141" t="n"/>
      <c r="R503" s="141" t="n"/>
      <c r="S503" s="141" t="n"/>
      <c r="T503" s="141" t="n"/>
      <c r="U503" s="141" t="n"/>
      <c r="V503" s="141" t="n"/>
      <c r="W503" s="141" t="n"/>
      <c r="X503" s="141" t="n"/>
      <c r="Y503" s="136" t="n"/>
      <c r="Z503" s="136" t="n"/>
      <c r="AA503" s="136" t="n"/>
      <c r="AB503" s="136" t="n"/>
      <c r="AC503" s="136" t="n"/>
      <c r="AD503" s="136" t="n"/>
      <c r="AE503" s="136" t="n"/>
      <c r="AF503" s="136" t="n"/>
      <c r="AG503" s="136" t="n"/>
      <c r="AH503" s="136" t="n"/>
      <c r="AI503" s="136" t="n"/>
      <c r="AJ503" s="136" t="n"/>
      <c r="AK503" s="136" t="n"/>
      <c r="AL503" s="136" t="n"/>
      <c r="AM503" s="136" t="n"/>
      <c r="AN503" s="136" t="n"/>
      <c r="AO503" s="136" t="n"/>
      <c r="AP503" s="136" t="n"/>
      <c r="AQ503" s="136" t="n"/>
      <c r="AR503" s="136" t="n"/>
    </row>
    <row r="504" ht="13.5" customHeight="1" s="196">
      <c r="A504" s="136" t="n"/>
      <c r="B504" s="136" t="n"/>
      <c r="C504" s="136" t="n"/>
      <c r="D504" s="141" t="n"/>
      <c r="E504" s="141" t="n"/>
      <c r="F504" s="141" t="n"/>
      <c r="G504" s="141" t="n"/>
      <c r="H504" s="141" t="n"/>
      <c r="I504" s="141" t="n"/>
      <c r="J504" s="141" t="n"/>
      <c r="K504" s="141" t="n"/>
      <c r="L504" s="141" t="n"/>
      <c r="M504" s="141" t="n"/>
      <c r="N504" s="141" t="n"/>
      <c r="O504" s="141" t="n"/>
      <c r="P504" s="141" t="n"/>
      <c r="Q504" s="141" t="n"/>
      <c r="R504" s="141" t="n"/>
      <c r="S504" s="141" t="n"/>
      <c r="T504" s="141" t="n"/>
      <c r="U504" s="141" t="n"/>
      <c r="V504" s="141" t="n"/>
      <c r="W504" s="141" t="n"/>
      <c r="X504" s="141" t="n"/>
      <c r="Y504" s="136" t="n"/>
      <c r="Z504" s="136" t="n"/>
      <c r="AA504" s="136" t="n"/>
      <c r="AB504" s="136" t="n"/>
      <c r="AC504" s="136" t="n"/>
      <c r="AD504" s="136" t="n"/>
      <c r="AE504" s="136" t="n"/>
      <c r="AF504" s="136" t="n"/>
      <c r="AG504" s="136" t="n"/>
      <c r="AH504" s="136" t="n"/>
      <c r="AI504" s="136" t="n"/>
      <c r="AJ504" s="136" t="n"/>
      <c r="AK504" s="136" t="n"/>
      <c r="AL504" s="136" t="n"/>
      <c r="AM504" s="136" t="n"/>
      <c r="AN504" s="136" t="n"/>
      <c r="AO504" s="136" t="n"/>
      <c r="AP504" s="136" t="n"/>
      <c r="AQ504" s="136" t="n"/>
      <c r="AR504" s="136" t="n"/>
    </row>
    <row r="505" ht="13.5" customHeight="1" s="196">
      <c r="A505" s="136" t="n"/>
      <c r="B505" s="136" t="n"/>
      <c r="C505" s="136" t="n"/>
      <c r="D505" s="141" t="n"/>
      <c r="E505" s="141" t="n"/>
      <c r="F505" s="141" t="n"/>
      <c r="G505" s="141" t="n"/>
      <c r="H505" s="141" t="n"/>
      <c r="I505" s="141" t="n"/>
      <c r="J505" s="141" t="n"/>
      <c r="K505" s="141" t="n"/>
      <c r="L505" s="141" t="n"/>
      <c r="M505" s="141" t="n"/>
      <c r="N505" s="141" t="n"/>
      <c r="O505" s="141" t="n"/>
      <c r="P505" s="141" t="n"/>
      <c r="Q505" s="141" t="n"/>
      <c r="R505" s="141" t="n"/>
      <c r="S505" s="141" t="n"/>
      <c r="T505" s="141" t="n"/>
      <c r="U505" s="141" t="n"/>
      <c r="V505" s="141" t="n"/>
      <c r="W505" s="141" t="n"/>
      <c r="X505" s="141" t="n"/>
      <c r="Y505" s="136" t="n"/>
      <c r="Z505" s="136" t="n"/>
      <c r="AA505" s="136" t="n"/>
      <c r="AB505" s="136" t="n"/>
      <c r="AC505" s="136" t="n"/>
      <c r="AD505" s="136" t="n"/>
      <c r="AE505" s="136" t="n"/>
      <c r="AF505" s="136" t="n"/>
      <c r="AG505" s="136" t="n"/>
      <c r="AH505" s="136" t="n"/>
      <c r="AI505" s="136" t="n"/>
      <c r="AJ505" s="136" t="n"/>
      <c r="AK505" s="136" t="n"/>
      <c r="AL505" s="136" t="n"/>
      <c r="AM505" s="136" t="n"/>
      <c r="AN505" s="136" t="n"/>
      <c r="AO505" s="136" t="n"/>
      <c r="AP505" s="136" t="n"/>
      <c r="AQ505" s="136" t="n"/>
      <c r="AR505" s="136" t="n"/>
    </row>
    <row r="506" ht="13.5" customHeight="1" s="196">
      <c r="A506" s="136" t="n"/>
      <c r="B506" s="136" t="n"/>
      <c r="C506" s="136" t="n"/>
      <c r="D506" s="141" t="n"/>
      <c r="E506" s="141" t="n"/>
      <c r="F506" s="141" t="n"/>
      <c r="G506" s="141" t="n"/>
      <c r="H506" s="141" t="n"/>
      <c r="I506" s="141" t="n"/>
      <c r="J506" s="141" t="n"/>
      <c r="K506" s="141" t="n"/>
      <c r="L506" s="141" t="n"/>
      <c r="M506" s="141" t="n"/>
      <c r="N506" s="141" t="n"/>
      <c r="O506" s="141" t="n"/>
      <c r="P506" s="141" t="n"/>
      <c r="Q506" s="141" t="n"/>
      <c r="R506" s="141" t="n"/>
      <c r="S506" s="141" t="n"/>
      <c r="T506" s="141" t="n"/>
      <c r="U506" s="141" t="n"/>
      <c r="V506" s="141" t="n"/>
      <c r="W506" s="141" t="n"/>
      <c r="X506" s="141" t="n"/>
      <c r="Y506" s="136" t="n"/>
      <c r="Z506" s="136" t="n"/>
      <c r="AA506" s="136" t="n"/>
      <c r="AB506" s="136" t="n"/>
      <c r="AC506" s="136" t="n"/>
      <c r="AD506" s="136" t="n"/>
      <c r="AE506" s="136" t="n"/>
      <c r="AF506" s="136" t="n"/>
      <c r="AG506" s="136" t="n"/>
      <c r="AH506" s="136" t="n"/>
      <c r="AI506" s="136" t="n"/>
      <c r="AJ506" s="136" t="n"/>
      <c r="AK506" s="136" t="n"/>
      <c r="AL506" s="136" t="n"/>
      <c r="AM506" s="136" t="n"/>
      <c r="AN506" s="136" t="n"/>
      <c r="AO506" s="136" t="n"/>
      <c r="AP506" s="136" t="n"/>
      <c r="AQ506" s="136" t="n"/>
      <c r="AR506" s="136" t="n"/>
    </row>
    <row r="507" ht="13.5" customHeight="1" s="196">
      <c r="A507" s="136" t="n"/>
      <c r="B507" s="136" t="n"/>
      <c r="C507" s="136" t="n"/>
      <c r="D507" s="141" t="n"/>
      <c r="E507" s="141" t="n"/>
      <c r="F507" s="141" t="n"/>
      <c r="G507" s="141" t="n"/>
      <c r="H507" s="141" t="n"/>
      <c r="I507" s="141" t="n"/>
      <c r="J507" s="141" t="n"/>
      <c r="K507" s="141" t="n"/>
      <c r="L507" s="141" t="n"/>
      <c r="M507" s="141" t="n"/>
      <c r="N507" s="141" t="n"/>
      <c r="O507" s="141" t="n"/>
      <c r="P507" s="141" t="n"/>
      <c r="Q507" s="141" t="n"/>
      <c r="R507" s="141" t="n"/>
      <c r="S507" s="141" t="n"/>
      <c r="T507" s="141" t="n"/>
      <c r="U507" s="141" t="n"/>
      <c r="V507" s="141" t="n"/>
      <c r="W507" s="141" t="n"/>
      <c r="X507" s="141" t="n"/>
      <c r="Y507" s="136" t="n"/>
      <c r="Z507" s="136" t="n"/>
      <c r="AA507" s="136" t="n"/>
      <c r="AB507" s="136" t="n"/>
      <c r="AC507" s="136" t="n"/>
      <c r="AD507" s="136" t="n"/>
      <c r="AE507" s="136" t="n"/>
      <c r="AF507" s="136" t="n"/>
      <c r="AG507" s="136" t="n"/>
      <c r="AH507" s="136" t="n"/>
      <c r="AI507" s="136" t="n"/>
      <c r="AJ507" s="136" t="n"/>
      <c r="AK507" s="136" t="n"/>
      <c r="AL507" s="136" t="n"/>
      <c r="AM507" s="136" t="n"/>
      <c r="AN507" s="136" t="n"/>
      <c r="AO507" s="136" t="n"/>
      <c r="AP507" s="136" t="n"/>
      <c r="AQ507" s="136" t="n"/>
      <c r="AR507" s="136" t="n"/>
    </row>
    <row r="508" ht="13.5" customHeight="1" s="196">
      <c r="A508" s="136" t="n"/>
      <c r="B508" s="136" t="n"/>
      <c r="C508" s="136" t="n"/>
      <c r="D508" s="141" t="n"/>
      <c r="E508" s="141" t="n"/>
      <c r="F508" s="141" t="n"/>
      <c r="G508" s="141" t="n"/>
      <c r="H508" s="141" t="n"/>
      <c r="I508" s="141" t="n"/>
      <c r="J508" s="141" t="n"/>
      <c r="K508" s="141" t="n"/>
      <c r="L508" s="141" t="n"/>
      <c r="M508" s="141" t="n"/>
      <c r="N508" s="141" t="n"/>
      <c r="O508" s="141" t="n"/>
      <c r="P508" s="141" t="n"/>
      <c r="Q508" s="141" t="n"/>
      <c r="R508" s="141" t="n"/>
      <c r="S508" s="141" t="n"/>
      <c r="T508" s="141" t="n"/>
      <c r="U508" s="141" t="n"/>
      <c r="V508" s="141" t="n"/>
      <c r="W508" s="141" t="n"/>
      <c r="X508" s="141" t="n"/>
      <c r="Y508" s="136" t="n"/>
      <c r="Z508" s="136" t="n"/>
      <c r="AA508" s="136" t="n"/>
      <c r="AB508" s="136" t="n"/>
      <c r="AC508" s="136" t="n"/>
      <c r="AD508" s="136" t="n"/>
      <c r="AE508" s="136" t="n"/>
      <c r="AF508" s="136" t="n"/>
      <c r="AG508" s="136" t="n"/>
      <c r="AH508" s="136" t="n"/>
      <c r="AI508" s="136" t="n"/>
      <c r="AJ508" s="136" t="n"/>
      <c r="AK508" s="136" t="n"/>
      <c r="AL508" s="136" t="n"/>
      <c r="AM508" s="136" t="n"/>
      <c r="AN508" s="136" t="n"/>
      <c r="AO508" s="136" t="n"/>
      <c r="AP508" s="136" t="n"/>
      <c r="AQ508" s="136" t="n"/>
      <c r="AR508" s="136" t="n"/>
    </row>
    <row r="509" ht="13.5" customHeight="1" s="196">
      <c r="A509" s="136" t="n"/>
      <c r="B509" s="136" t="n"/>
      <c r="C509" s="136" t="n"/>
      <c r="D509" s="141" t="n"/>
      <c r="E509" s="141" t="n"/>
      <c r="F509" s="141" t="n"/>
      <c r="G509" s="141" t="n"/>
      <c r="H509" s="141" t="n"/>
      <c r="I509" s="141" t="n"/>
      <c r="J509" s="141" t="n"/>
      <c r="K509" s="141" t="n"/>
      <c r="L509" s="141" t="n"/>
      <c r="M509" s="141" t="n"/>
      <c r="N509" s="141" t="n"/>
      <c r="O509" s="141" t="n"/>
      <c r="P509" s="141" t="n"/>
      <c r="Q509" s="141" t="n"/>
      <c r="R509" s="141" t="n"/>
      <c r="S509" s="141" t="n"/>
      <c r="T509" s="141" t="n"/>
      <c r="U509" s="141" t="n"/>
      <c r="V509" s="141" t="n"/>
      <c r="W509" s="141" t="n"/>
      <c r="X509" s="141" t="n"/>
      <c r="Y509" s="136" t="n"/>
      <c r="Z509" s="136" t="n"/>
      <c r="AA509" s="136" t="n"/>
      <c r="AB509" s="136" t="n"/>
      <c r="AC509" s="136" t="n"/>
      <c r="AD509" s="136" t="n"/>
      <c r="AE509" s="136" t="n"/>
      <c r="AF509" s="136" t="n"/>
      <c r="AG509" s="136" t="n"/>
      <c r="AH509" s="136" t="n"/>
      <c r="AI509" s="136" t="n"/>
      <c r="AJ509" s="136" t="n"/>
      <c r="AK509" s="136" t="n"/>
      <c r="AL509" s="136" t="n"/>
      <c r="AM509" s="136" t="n"/>
      <c r="AN509" s="136" t="n"/>
      <c r="AO509" s="136" t="n"/>
      <c r="AP509" s="136" t="n"/>
      <c r="AQ509" s="136" t="n"/>
      <c r="AR509" s="136" t="n"/>
    </row>
    <row r="510" ht="13.5" customHeight="1" s="196">
      <c r="A510" s="136" t="n"/>
      <c r="B510" s="136" t="n"/>
      <c r="C510" s="136" t="n"/>
      <c r="D510" s="141" t="n"/>
      <c r="E510" s="141" t="n"/>
      <c r="F510" s="141" t="n"/>
      <c r="G510" s="141" t="n"/>
      <c r="H510" s="141" t="n"/>
      <c r="I510" s="141" t="n"/>
      <c r="J510" s="141" t="n"/>
      <c r="K510" s="141" t="n"/>
      <c r="L510" s="141" t="n"/>
      <c r="M510" s="141" t="n"/>
      <c r="N510" s="141" t="n"/>
      <c r="O510" s="141" t="n"/>
      <c r="P510" s="141" t="n"/>
      <c r="Q510" s="141" t="n"/>
      <c r="R510" s="141" t="n"/>
      <c r="S510" s="141" t="n"/>
      <c r="T510" s="141" t="n"/>
      <c r="U510" s="141" t="n"/>
      <c r="V510" s="141" t="n"/>
      <c r="W510" s="141" t="n"/>
      <c r="X510" s="141" t="n"/>
      <c r="Y510" s="136" t="n"/>
      <c r="Z510" s="136" t="n"/>
      <c r="AA510" s="136" t="n"/>
      <c r="AB510" s="136" t="n"/>
      <c r="AC510" s="136" t="n"/>
      <c r="AD510" s="136" t="n"/>
      <c r="AE510" s="136" t="n"/>
      <c r="AF510" s="136" t="n"/>
      <c r="AG510" s="136" t="n"/>
      <c r="AH510" s="136" t="n"/>
      <c r="AI510" s="136" t="n"/>
      <c r="AJ510" s="136" t="n"/>
      <c r="AK510" s="136" t="n"/>
      <c r="AL510" s="136" t="n"/>
      <c r="AM510" s="136" t="n"/>
      <c r="AN510" s="136" t="n"/>
      <c r="AO510" s="136" t="n"/>
      <c r="AP510" s="136" t="n"/>
      <c r="AQ510" s="136" t="n"/>
      <c r="AR510" s="136" t="n"/>
    </row>
    <row r="511" ht="13.5" customHeight="1" s="196">
      <c r="A511" s="136" t="n"/>
      <c r="B511" s="136" t="n"/>
      <c r="C511" s="136" t="n"/>
      <c r="D511" s="141" t="n"/>
      <c r="E511" s="141" t="n"/>
      <c r="F511" s="141" t="n"/>
      <c r="G511" s="141" t="n"/>
      <c r="H511" s="141" t="n"/>
      <c r="I511" s="141" t="n"/>
      <c r="J511" s="141" t="n"/>
      <c r="K511" s="141" t="n"/>
      <c r="L511" s="141" t="n"/>
      <c r="M511" s="141" t="n"/>
      <c r="N511" s="141" t="n"/>
      <c r="O511" s="141" t="n"/>
      <c r="P511" s="141" t="n"/>
      <c r="Q511" s="141" t="n"/>
      <c r="R511" s="141" t="n"/>
      <c r="S511" s="141" t="n"/>
      <c r="T511" s="141" t="n"/>
      <c r="U511" s="141" t="n"/>
      <c r="V511" s="141" t="n"/>
      <c r="W511" s="141" t="n"/>
      <c r="X511" s="141" t="n"/>
      <c r="Y511" s="136" t="n"/>
      <c r="Z511" s="136" t="n"/>
      <c r="AA511" s="136" t="n"/>
      <c r="AB511" s="136" t="n"/>
      <c r="AC511" s="136" t="n"/>
      <c r="AD511" s="136" t="n"/>
      <c r="AE511" s="136" t="n"/>
      <c r="AF511" s="136" t="n"/>
      <c r="AG511" s="136" t="n"/>
      <c r="AH511" s="136" t="n"/>
      <c r="AI511" s="136" t="n"/>
      <c r="AJ511" s="136" t="n"/>
      <c r="AK511" s="136" t="n"/>
      <c r="AL511" s="136" t="n"/>
      <c r="AM511" s="136" t="n"/>
      <c r="AN511" s="136" t="n"/>
      <c r="AO511" s="136" t="n"/>
      <c r="AP511" s="136" t="n"/>
      <c r="AQ511" s="136" t="n"/>
      <c r="AR511" s="136" t="n"/>
    </row>
    <row r="512" ht="13.5" customHeight="1" s="196">
      <c r="A512" s="136" t="n"/>
      <c r="B512" s="136" t="n"/>
      <c r="C512" s="136" t="n"/>
      <c r="D512" s="141" t="n"/>
      <c r="E512" s="141" t="n"/>
      <c r="F512" s="141" t="n"/>
      <c r="G512" s="141" t="n"/>
      <c r="H512" s="141" t="n"/>
      <c r="I512" s="141" t="n"/>
      <c r="J512" s="141" t="n"/>
      <c r="K512" s="141" t="n"/>
      <c r="L512" s="141" t="n"/>
      <c r="M512" s="141" t="n"/>
      <c r="N512" s="141" t="n"/>
      <c r="O512" s="141" t="n"/>
      <c r="P512" s="141" t="n"/>
      <c r="Q512" s="141" t="n"/>
      <c r="R512" s="141" t="n"/>
      <c r="S512" s="141" t="n"/>
      <c r="T512" s="141" t="n"/>
      <c r="U512" s="141" t="n"/>
      <c r="V512" s="141" t="n"/>
      <c r="W512" s="141" t="n"/>
      <c r="X512" s="141" t="n"/>
      <c r="Y512" s="136" t="n"/>
      <c r="Z512" s="136" t="n"/>
      <c r="AA512" s="136" t="n"/>
      <c r="AB512" s="136" t="n"/>
      <c r="AC512" s="136" t="n"/>
      <c r="AD512" s="136" t="n"/>
      <c r="AE512" s="136" t="n"/>
      <c r="AF512" s="136" t="n"/>
      <c r="AG512" s="136" t="n"/>
      <c r="AH512" s="136" t="n"/>
      <c r="AI512" s="136" t="n"/>
      <c r="AJ512" s="136" t="n"/>
      <c r="AK512" s="136" t="n"/>
      <c r="AL512" s="136" t="n"/>
      <c r="AM512" s="136" t="n"/>
      <c r="AN512" s="136" t="n"/>
      <c r="AO512" s="136" t="n"/>
      <c r="AP512" s="136" t="n"/>
      <c r="AQ512" s="136" t="n"/>
      <c r="AR512" s="136" t="n"/>
    </row>
    <row r="513" ht="13.5" customHeight="1" s="196">
      <c r="A513" s="136" t="n"/>
      <c r="B513" s="136" t="n"/>
      <c r="C513" s="136" t="n"/>
      <c r="D513" s="141" t="n"/>
      <c r="E513" s="141" t="n"/>
      <c r="F513" s="141" t="n"/>
      <c r="G513" s="141" t="n"/>
      <c r="H513" s="141" t="n"/>
      <c r="I513" s="141" t="n"/>
      <c r="J513" s="141" t="n"/>
      <c r="K513" s="141" t="n"/>
      <c r="L513" s="141" t="n"/>
      <c r="M513" s="141" t="n"/>
      <c r="N513" s="141" t="n"/>
      <c r="O513" s="141" t="n"/>
      <c r="P513" s="141" t="n"/>
      <c r="Q513" s="141" t="n"/>
      <c r="R513" s="141" t="n"/>
      <c r="S513" s="141" t="n"/>
      <c r="T513" s="141" t="n"/>
      <c r="U513" s="141" t="n"/>
      <c r="V513" s="141" t="n"/>
      <c r="W513" s="141" t="n"/>
      <c r="X513" s="141" t="n"/>
      <c r="Y513" s="136" t="n"/>
      <c r="Z513" s="136" t="n"/>
      <c r="AA513" s="136" t="n"/>
      <c r="AB513" s="136" t="n"/>
      <c r="AC513" s="136" t="n"/>
      <c r="AD513" s="136" t="n"/>
      <c r="AE513" s="136" t="n"/>
      <c r="AF513" s="136" t="n"/>
      <c r="AG513" s="136" t="n"/>
      <c r="AH513" s="136" t="n"/>
      <c r="AI513" s="136" t="n"/>
      <c r="AJ513" s="136" t="n"/>
      <c r="AK513" s="136" t="n"/>
      <c r="AL513" s="136" t="n"/>
      <c r="AM513" s="136" t="n"/>
      <c r="AN513" s="136" t="n"/>
      <c r="AO513" s="136" t="n"/>
      <c r="AP513" s="136" t="n"/>
      <c r="AQ513" s="136" t="n"/>
      <c r="AR513" s="136" t="n"/>
    </row>
    <row r="514" ht="13.5" customHeight="1" s="196">
      <c r="A514" s="136" t="n"/>
      <c r="B514" s="136" t="n"/>
      <c r="C514" s="136" t="n"/>
      <c r="D514" s="141" t="n"/>
      <c r="E514" s="141" t="n"/>
      <c r="F514" s="141" t="n"/>
      <c r="G514" s="141" t="n"/>
      <c r="H514" s="141" t="n"/>
      <c r="I514" s="141" t="n"/>
      <c r="J514" s="141" t="n"/>
      <c r="K514" s="141" t="n"/>
      <c r="L514" s="141" t="n"/>
      <c r="M514" s="141" t="n"/>
      <c r="N514" s="141" t="n"/>
      <c r="O514" s="141" t="n"/>
      <c r="P514" s="141" t="n"/>
      <c r="Q514" s="141" t="n"/>
      <c r="R514" s="141" t="n"/>
      <c r="S514" s="141" t="n"/>
      <c r="T514" s="141" t="n"/>
      <c r="U514" s="141" t="n"/>
      <c r="V514" s="141" t="n"/>
      <c r="W514" s="141" t="n"/>
      <c r="X514" s="141" t="n"/>
      <c r="Y514" s="136" t="n"/>
      <c r="Z514" s="136" t="n"/>
      <c r="AA514" s="136" t="n"/>
      <c r="AB514" s="136" t="n"/>
      <c r="AC514" s="136" t="n"/>
      <c r="AD514" s="136" t="n"/>
      <c r="AE514" s="136" t="n"/>
      <c r="AF514" s="136" t="n"/>
      <c r="AG514" s="136" t="n"/>
      <c r="AH514" s="136" t="n"/>
      <c r="AI514" s="136" t="n"/>
      <c r="AJ514" s="136" t="n"/>
      <c r="AK514" s="136" t="n"/>
      <c r="AL514" s="136" t="n"/>
      <c r="AM514" s="136" t="n"/>
      <c r="AN514" s="136" t="n"/>
      <c r="AO514" s="136" t="n"/>
      <c r="AP514" s="136" t="n"/>
      <c r="AQ514" s="136" t="n"/>
      <c r="AR514" s="136" t="n"/>
    </row>
    <row r="515" ht="13.5" customHeight="1" s="196">
      <c r="A515" s="136" t="n"/>
      <c r="B515" s="136" t="n"/>
      <c r="C515" s="136" t="n"/>
      <c r="D515" s="141" t="n"/>
      <c r="E515" s="141" t="n"/>
      <c r="F515" s="141" t="n"/>
      <c r="G515" s="141" t="n"/>
      <c r="H515" s="141" t="n"/>
      <c r="I515" s="141" t="n"/>
      <c r="J515" s="141" t="n"/>
      <c r="K515" s="141" t="n"/>
      <c r="L515" s="141" t="n"/>
      <c r="M515" s="141" t="n"/>
      <c r="N515" s="141" t="n"/>
      <c r="O515" s="141" t="n"/>
      <c r="P515" s="141" t="n"/>
      <c r="Q515" s="141" t="n"/>
      <c r="R515" s="141" t="n"/>
      <c r="S515" s="141" t="n"/>
      <c r="T515" s="141" t="n"/>
      <c r="U515" s="141" t="n"/>
      <c r="V515" s="141" t="n"/>
      <c r="W515" s="141" t="n"/>
      <c r="X515" s="141" t="n"/>
      <c r="Y515" s="136" t="n"/>
      <c r="Z515" s="136" t="n"/>
      <c r="AA515" s="136" t="n"/>
      <c r="AB515" s="136" t="n"/>
      <c r="AC515" s="136" t="n"/>
      <c r="AD515" s="136" t="n"/>
      <c r="AE515" s="136" t="n"/>
      <c r="AF515" s="136" t="n"/>
      <c r="AG515" s="136" t="n"/>
      <c r="AH515" s="136" t="n"/>
      <c r="AI515" s="136" t="n"/>
      <c r="AJ515" s="136" t="n"/>
      <c r="AK515" s="136" t="n"/>
      <c r="AL515" s="136" t="n"/>
      <c r="AM515" s="136" t="n"/>
      <c r="AN515" s="136" t="n"/>
      <c r="AO515" s="136" t="n"/>
      <c r="AP515" s="136" t="n"/>
      <c r="AQ515" s="136" t="n"/>
      <c r="AR515" s="136" t="n"/>
    </row>
    <row r="516" ht="13.5" customHeight="1" s="196">
      <c r="A516" s="136" t="n"/>
      <c r="B516" s="136" t="n"/>
      <c r="C516" s="136" t="n"/>
      <c r="D516" s="141" t="n"/>
      <c r="E516" s="141" t="n"/>
      <c r="F516" s="141" t="n"/>
      <c r="G516" s="141" t="n"/>
      <c r="H516" s="141" t="n"/>
      <c r="I516" s="141" t="n"/>
      <c r="J516" s="141" t="n"/>
      <c r="K516" s="141" t="n"/>
      <c r="L516" s="141" t="n"/>
      <c r="M516" s="141" t="n"/>
      <c r="N516" s="141" t="n"/>
      <c r="O516" s="141" t="n"/>
      <c r="P516" s="141" t="n"/>
      <c r="Q516" s="141" t="n"/>
      <c r="R516" s="141" t="n"/>
      <c r="S516" s="141" t="n"/>
      <c r="T516" s="141" t="n"/>
      <c r="U516" s="141" t="n"/>
      <c r="V516" s="141" t="n"/>
      <c r="W516" s="141" t="n"/>
      <c r="X516" s="141" t="n"/>
      <c r="Y516" s="136" t="n"/>
      <c r="Z516" s="136" t="n"/>
      <c r="AA516" s="136" t="n"/>
      <c r="AB516" s="136" t="n"/>
      <c r="AC516" s="136" t="n"/>
      <c r="AD516" s="136" t="n"/>
      <c r="AE516" s="136" t="n"/>
      <c r="AF516" s="136" t="n"/>
      <c r="AG516" s="136" t="n"/>
      <c r="AH516" s="136" t="n"/>
      <c r="AI516" s="136" t="n"/>
      <c r="AJ516" s="136" t="n"/>
      <c r="AK516" s="136" t="n"/>
      <c r="AL516" s="136" t="n"/>
      <c r="AM516" s="136" t="n"/>
      <c r="AN516" s="136" t="n"/>
      <c r="AO516" s="136" t="n"/>
      <c r="AP516" s="136" t="n"/>
      <c r="AQ516" s="136" t="n"/>
      <c r="AR516" s="136" t="n"/>
    </row>
    <row r="517" ht="13.5" customHeight="1" s="196">
      <c r="A517" s="136" t="n"/>
      <c r="B517" s="136" t="n"/>
      <c r="C517" s="136" t="n"/>
      <c r="D517" s="141" t="n"/>
      <c r="E517" s="141" t="n"/>
      <c r="F517" s="141" t="n"/>
      <c r="G517" s="141" t="n"/>
      <c r="H517" s="141" t="n"/>
      <c r="I517" s="141" t="n"/>
      <c r="J517" s="141" t="n"/>
      <c r="K517" s="141" t="n"/>
      <c r="L517" s="141" t="n"/>
      <c r="M517" s="141" t="n"/>
      <c r="N517" s="141" t="n"/>
      <c r="O517" s="141" t="n"/>
      <c r="P517" s="141" t="n"/>
      <c r="Q517" s="141" t="n"/>
      <c r="R517" s="141" t="n"/>
      <c r="S517" s="141" t="n"/>
      <c r="T517" s="141" t="n"/>
      <c r="U517" s="141" t="n"/>
      <c r="V517" s="141" t="n"/>
      <c r="W517" s="141" t="n"/>
      <c r="X517" s="141" t="n"/>
      <c r="Y517" s="136" t="n"/>
      <c r="Z517" s="136" t="n"/>
      <c r="AA517" s="136" t="n"/>
      <c r="AB517" s="136" t="n"/>
      <c r="AC517" s="136" t="n"/>
      <c r="AD517" s="136" t="n"/>
      <c r="AE517" s="136" t="n"/>
      <c r="AF517" s="136" t="n"/>
      <c r="AG517" s="136" t="n"/>
      <c r="AH517" s="136" t="n"/>
      <c r="AI517" s="136" t="n"/>
      <c r="AJ517" s="136" t="n"/>
      <c r="AK517" s="136" t="n"/>
      <c r="AL517" s="136" t="n"/>
      <c r="AM517" s="136" t="n"/>
      <c r="AN517" s="136" t="n"/>
      <c r="AO517" s="136" t="n"/>
      <c r="AP517" s="136" t="n"/>
      <c r="AQ517" s="136" t="n"/>
      <c r="AR517" s="136" t="n"/>
    </row>
    <row r="518" ht="13.5" customHeight="1" s="196">
      <c r="A518" s="136" t="n"/>
      <c r="B518" s="136" t="n"/>
      <c r="C518" s="136" t="n"/>
      <c r="D518" s="141" t="n"/>
      <c r="E518" s="141" t="n"/>
      <c r="F518" s="141" t="n"/>
      <c r="G518" s="141" t="n"/>
      <c r="H518" s="141" t="n"/>
      <c r="I518" s="141" t="n"/>
      <c r="J518" s="141" t="n"/>
      <c r="K518" s="141" t="n"/>
      <c r="L518" s="141" t="n"/>
      <c r="M518" s="141" t="n"/>
      <c r="N518" s="141" t="n"/>
      <c r="O518" s="141" t="n"/>
      <c r="P518" s="141" t="n"/>
      <c r="Q518" s="141" t="n"/>
      <c r="R518" s="141" t="n"/>
      <c r="S518" s="141" t="n"/>
      <c r="T518" s="141" t="n"/>
      <c r="U518" s="141" t="n"/>
      <c r="V518" s="141" t="n"/>
      <c r="W518" s="141" t="n"/>
      <c r="X518" s="141" t="n"/>
      <c r="Y518" s="136" t="n"/>
      <c r="Z518" s="136" t="n"/>
      <c r="AA518" s="136" t="n"/>
      <c r="AB518" s="136" t="n"/>
      <c r="AC518" s="136" t="n"/>
      <c r="AD518" s="136" t="n"/>
      <c r="AE518" s="136" t="n"/>
      <c r="AF518" s="136" t="n"/>
      <c r="AG518" s="136" t="n"/>
      <c r="AH518" s="136" t="n"/>
      <c r="AI518" s="136" t="n"/>
      <c r="AJ518" s="136" t="n"/>
      <c r="AK518" s="136" t="n"/>
      <c r="AL518" s="136" t="n"/>
      <c r="AM518" s="136" t="n"/>
      <c r="AN518" s="136" t="n"/>
      <c r="AO518" s="136" t="n"/>
      <c r="AP518" s="136" t="n"/>
      <c r="AQ518" s="136" t="n"/>
      <c r="AR518" s="136" t="n"/>
    </row>
    <row r="519" ht="13.5" customHeight="1" s="196">
      <c r="A519" s="136" t="n"/>
      <c r="B519" s="136" t="n"/>
      <c r="C519" s="136" t="n"/>
      <c r="D519" s="141" t="n"/>
      <c r="E519" s="141" t="n"/>
      <c r="F519" s="141" t="n"/>
      <c r="G519" s="141" t="n"/>
      <c r="H519" s="141" t="n"/>
      <c r="I519" s="141" t="n"/>
      <c r="J519" s="141" t="n"/>
      <c r="K519" s="141" t="n"/>
      <c r="L519" s="141" t="n"/>
      <c r="M519" s="141" t="n"/>
      <c r="N519" s="141" t="n"/>
      <c r="O519" s="141" t="n"/>
      <c r="P519" s="141" t="n"/>
      <c r="Q519" s="141" t="n"/>
      <c r="R519" s="141" t="n"/>
      <c r="S519" s="141" t="n"/>
      <c r="T519" s="141" t="n"/>
      <c r="U519" s="141" t="n"/>
      <c r="V519" s="141" t="n"/>
      <c r="W519" s="141" t="n"/>
      <c r="X519" s="141" t="n"/>
      <c r="Y519" s="136" t="n"/>
      <c r="Z519" s="136" t="n"/>
      <c r="AA519" s="136" t="n"/>
      <c r="AB519" s="136" t="n"/>
      <c r="AC519" s="136" t="n"/>
      <c r="AD519" s="136" t="n"/>
      <c r="AE519" s="136" t="n"/>
      <c r="AF519" s="136" t="n"/>
      <c r="AG519" s="136" t="n"/>
      <c r="AH519" s="136" t="n"/>
      <c r="AI519" s="136" t="n"/>
      <c r="AJ519" s="136" t="n"/>
      <c r="AK519" s="136" t="n"/>
      <c r="AL519" s="136" t="n"/>
      <c r="AM519" s="136" t="n"/>
      <c r="AN519" s="136" t="n"/>
      <c r="AO519" s="136" t="n"/>
      <c r="AP519" s="136" t="n"/>
      <c r="AQ519" s="136" t="n"/>
      <c r="AR519" s="136" t="n"/>
    </row>
    <row r="520" ht="13.5" customHeight="1" s="196">
      <c r="A520" s="136" t="n"/>
      <c r="B520" s="136" t="n"/>
      <c r="C520" s="136" t="n"/>
      <c r="D520" s="141" t="n"/>
      <c r="E520" s="141" t="n"/>
      <c r="F520" s="141" t="n"/>
      <c r="G520" s="141" t="n"/>
      <c r="H520" s="141" t="n"/>
      <c r="I520" s="141" t="n"/>
      <c r="J520" s="141" t="n"/>
      <c r="K520" s="141" t="n"/>
      <c r="L520" s="141" t="n"/>
      <c r="M520" s="141" t="n"/>
      <c r="N520" s="141" t="n"/>
      <c r="O520" s="141" t="n"/>
      <c r="P520" s="141" t="n"/>
      <c r="Q520" s="141" t="n"/>
      <c r="R520" s="141" t="n"/>
      <c r="S520" s="141" t="n"/>
      <c r="T520" s="141" t="n"/>
      <c r="U520" s="141" t="n"/>
      <c r="V520" s="141" t="n"/>
      <c r="W520" s="141" t="n"/>
      <c r="X520" s="141" t="n"/>
      <c r="Y520" s="136" t="n"/>
      <c r="Z520" s="136" t="n"/>
      <c r="AA520" s="136" t="n"/>
      <c r="AB520" s="136" t="n"/>
      <c r="AC520" s="136" t="n"/>
      <c r="AD520" s="136" t="n"/>
      <c r="AE520" s="136" t="n"/>
      <c r="AF520" s="136" t="n"/>
      <c r="AG520" s="136" t="n"/>
      <c r="AH520" s="136" t="n"/>
      <c r="AI520" s="136" t="n"/>
      <c r="AJ520" s="136" t="n"/>
      <c r="AK520" s="136" t="n"/>
      <c r="AL520" s="136" t="n"/>
      <c r="AM520" s="136" t="n"/>
      <c r="AN520" s="136" t="n"/>
      <c r="AO520" s="136" t="n"/>
      <c r="AP520" s="136" t="n"/>
      <c r="AQ520" s="136" t="n"/>
      <c r="AR520" s="136" t="n"/>
    </row>
    <row r="521" ht="13.5" customHeight="1" s="196">
      <c r="A521" s="136" t="n"/>
      <c r="B521" s="136" t="n"/>
      <c r="C521" s="136" t="n"/>
      <c r="D521" s="141" t="n"/>
      <c r="E521" s="141" t="n"/>
      <c r="F521" s="141" t="n"/>
      <c r="G521" s="141" t="n"/>
      <c r="H521" s="141" t="n"/>
      <c r="I521" s="141" t="n"/>
      <c r="J521" s="141" t="n"/>
      <c r="K521" s="141" t="n"/>
      <c r="L521" s="141" t="n"/>
      <c r="M521" s="141" t="n"/>
      <c r="N521" s="141" t="n"/>
      <c r="O521" s="141" t="n"/>
      <c r="P521" s="141" t="n"/>
      <c r="Q521" s="141" t="n"/>
      <c r="R521" s="141" t="n"/>
      <c r="S521" s="141" t="n"/>
      <c r="T521" s="141" t="n"/>
      <c r="U521" s="141" t="n"/>
      <c r="V521" s="141" t="n"/>
      <c r="W521" s="141" t="n"/>
      <c r="X521" s="141" t="n"/>
      <c r="Y521" s="136" t="n"/>
      <c r="Z521" s="136" t="n"/>
      <c r="AA521" s="136" t="n"/>
      <c r="AB521" s="136" t="n"/>
      <c r="AC521" s="136" t="n"/>
      <c r="AD521" s="136" t="n"/>
      <c r="AE521" s="136" t="n"/>
      <c r="AF521" s="136" t="n"/>
      <c r="AG521" s="136" t="n"/>
      <c r="AH521" s="136" t="n"/>
      <c r="AI521" s="136" t="n"/>
      <c r="AJ521" s="136" t="n"/>
      <c r="AK521" s="136" t="n"/>
      <c r="AL521" s="136" t="n"/>
      <c r="AM521" s="136" t="n"/>
      <c r="AN521" s="136" t="n"/>
      <c r="AO521" s="136" t="n"/>
      <c r="AP521" s="136" t="n"/>
      <c r="AQ521" s="136" t="n"/>
      <c r="AR521" s="136" t="n"/>
    </row>
    <row r="522" ht="13.5" customHeight="1" s="196">
      <c r="A522" s="136" t="n"/>
      <c r="B522" s="136" t="n"/>
      <c r="C522" s="136" t="n"/>
      <c r="D522" s="141" t="n"/>
      <c r="E522" s="141" t="n"/>
      <c r="F522" s="141" t="n"/>
      <c r="G522" s="141" t="n"/>
      <c r="H522" s="141" t="n"/>
      <c r="I522" s="141" t="n"/>
      <c r="J522" s="141" t="n"/>
      <c r="K522" s="141" t="n"/>
      <c r="L522" s="141" t="n"/>
      <c r="M522" s="141" t="n"/>
      <c r="N522" s="141" t="n"/>
      <c r="O522" s="141" t="n"/>
      <c r="P522" s="141" t="n"/>
      <c r="Q522" s="141" t="n"/>
      <c r="R522" s="141" t="n"/>
      <c r="S522" s="141" t="n"/>
      <c r="T522" s="141" t="n"/>
      <c r="U522" s="141" t="n"/>
      <c r="V522" s="141" t="n"/>
      <c r="W522" s="141" t="n"/>
      <c r="X522" s="141" t="n"/>
      <c r="Y522" s="136" t="n"/>
      <c r="Z522" s="136" t="n"/>
      <c r="AA522" s="136" t="n"/>
      <c r="AB522" s="136" t="n"/>
      <c r="AC522" s="136" t="n"/>
      <c r="AD522" s="136" t="n"/>
      <c r="AE522" s="136" t="n"/>
      <c r="AF522" s="136" t="n"/>
      <c r="AG522" s="136" t="n"/>
      <c r="AH522" s="136" t="n"/>
      <c r="AI522" s="136" t="n"/>
      <c r="AJ522" s="136" t="n"/>
      <c r="AK522" s="136" t="n"/>
      <c r="AL522" s="136" t="n"/>
      <c r="AM522" s="136" t="n"/>
      <c r="AN522" s="136" t="n"/>
      <c r="AO522" s="136" t="n"/>
      <c r="AP522" s="136" t="n"/>
      <c r="AQ522" s="136" t="n"/>
      <c r="AR522" s="136" t="n"/>
    </row>
    <row r="523" ht="13.5" customHeight="1" s="196">
      <c r="A523" s="136" t="n"/>
      <c r="B523" s="136" t="n"/>
      <c r="C523" s="136" t="n"/>
      <c r="D523" s="141" t="n"/>
      <c r="E523" s="141" t="n"/>
      <c r="F523" s="141" t="n"/>
      <c r="G523" s="141" t="n"/>
      <c r="H523" s="141" t="n"/>
      <c r="I523" s="141" t="n"/>
      <c r="J523" s="141" t="n"/>
      <c r="K523" s="141" t="n"/>
      <c r="L523" s="141" t="n"/>
      <c r="M523" s="141" t="n"/>
      <c r="N523" s="141" t="n"/>
      <c r="O523" s="141" t="n"/>
      <c r="P523" s="141" t="n"/>
      <c r="Q523" s="141" t="n"/>
      <c r="R523" s="141" t="n"/>
      <c r="S523" s="141" t="n"/>
      <c r="T523" s="141" t="n"/>
      <c r="U523" s="141" t="n"/>
      <c r="V523" s="141" t="n"/>
      <c r="W523" s="141" t="n"/>
      <c r="X523" s="141" t="n"/>
      <c r="Y523" s="136" t="n"/>
      <c r="Z523" s="136" t="n"/>
      <c r="AA523" s="136" t="n"/>
      <c r="AB523" s="136" t="n"/>
      <c r="AC523" s="136" t="n"/>
      <c r="AD523" s="136" t="n"/>
      <c r="AE523" s="136" t="n"/>
      <c r="AF523" s="136" t="n"/>
      <c r="AG523" s="136" t="n"/>
      <c r="AH523" s="136" t="n"/>
      <c r="AI523" s="136" t="n"/>
      <c r="AJ523" s="136" t="n"/>
      <c r="AK523" s="136" t="n"/>
      <c r="AL523" s="136" t="n"/>
      <c r="AM523" s="136" t="n"/>
      <c r="AN523" s="136" t="n"/>
      <c r="AO523" s="136" t="n"/>
      <c r="AP523" s="136" t="n"/>
      <c r="AQ523" s="136" t="n"/>
      <c r="AR523" s="136" t="n"/>
    </row>
    <row r="524" ht="13.5" customHeight="1" s="196">
      <c r="A524" s="136" t="n"/>
      <c r="B524" s="136" t="n"/>
      <c r="C524" s="136" t="n"/>
      <c r="D524" s="141" t="n"/>
      <c r="E524" s="141" t="n"/>
      <c r="F524" s="141" t="n"/>
      <c r="G524" s="141" t="n"/>
      <c r="H524" s="141" t="n"/>
      <c r="I524" s="141" t="n"/>
      <c r="J524" s="141" t="n"/>
      <c r="K524" s="141" t="n"/>
      <c r="L524" s="141" t="n"/>
      <c r="M524" s="141" t="n"/>
      <c r="N524" s="141" t="n"/>
      <c r="O524" s="141" t="n"/>
      <c r="P524" s="141" t="n"/>
      <c r="Q524" s="141" t="n"/>
      <c r="R524" s="141" t="n"/>
      <c r="S524" s="141" t="n"/>
      <c r="T524" s="141" t="n"/>
      <c r="U524" s="141" t="n"/>
      <c r="V524" s="141" t="n"/>
      <c r="W524" s="141" t="n"/>
      <c r="X524" s="141" t="n"/>
      <c r="Y524" s="136" t="n"/>
      <c r="Z524" s="136" t="n"/>
      <c r="AA524" s="136" t="n"/>
      <c r="AB524" s="136" t="n"/>
      <c r="AC524" s="136" t="n"/>
      <c r="AD524" s="136" t="n"/>
      <c r="AE524" s="136" t="n"/>
      <c r="AF524" s="136" t="n"/>
      <c r="AG524" s="136" t="n"/>
      <c r="AH524" s="136" t="n"/>
      <c r="AI524" s="136" t="n"/>
      <c r="AJ524" s="136" t="n"/>
      <c r="AK524" s="136" t="n"/>
      <c r="AL524" s="136" t="n"/>
      <c r="AM524" s="136" t="n"/>
      <c r="AN524" s="136" t="n"/>
      <c r="AO524" s="136" t="n"/>
      <c r="AP524" s="136" t="n"/>
      <c r="AQ524" s="136" t="n"/>
      <c r="AR524" s="136" t="n"/>
    </row>
    <row r="525" ht="13.5" customHeight="1" s="196">
      <c r="A525" s="136" t="n"/>
      <c r="B525" s="136" t="n"/>
      <c r="C525" s="136" t="n"/>
      <c r="D525" s="141" t="n"/>
      <c r="E525" s="141" t="n"/>
      <c r="F525" s="141" t="n"/>
      <c r="G525" s="141" t="n"/>
      <c r="H525" s="141" t="n"/>
      <c r="I525" s="141" t="n"/>
      <c r="J525" s="141" t="n"/>
      <c r="K525" s="141" t="n"/>
      <c r="L525" s="141" t="n"/>
      <c r="M525" s="141" t="n"/>
      <c r="N525" s="141" t="n"/>
      <c r="O525" s="141" t="n"/>
      <c r="P525" s="141" t="n"/>
      <c r="Q525" s="141" t="n"/>
      <c r="R525" s="141" t="n"/>
      <c r="S525" s="141" t="n"/>
      <c r="T525" s="141" t="n"/>
      <c r="U525" s="141" t="n"/>
      <c r="V525" s="141" t="n"/>
      <c r="W525" s="141" t="n"/>
      <c r="X525" s="141" t="n"/>
      <c r="Y525" s="136" t="n"/>
      <c r="Z525" s="136" t="n"/>
      <c r="AA525" s="136" t="n"/>
      <c r="AB525" s="136" t="n"/>
      <c r="AC525" s="136" t="n"/>
      <c r="AD525" s="136" t="n"/>
      <c r="AE525" s="136" t="n"/>
      <c r="AF525" s="136" t="n"/>
      <c r="AG525" s="136" t="n"/>
      <c r="AH525" s="136" t="n"/>
      <c r="AI525" s="136" t="n"/>
      <c r="AJ525" s="136" t="n"/>
      <c r="AK525" s="136" t="n"/>
      <c r="AL525" s="136" t="n"/>
      <c r="AM525" s="136" t="n"/>
      <c r="AN525" s="136" t="n"/>
      <c r="AO525" s="136" t="n"/>
      <c r="AP525" s="136" t="n"/>
      <c r="AQ525" s="136" t="n"/>
      <c r="AR525" s="136" t="n"/>
    </row>
    <row r="526" ht="13.5" customHeight="1" s="196">
      <c r="A526" s="136" t="n"/>
      <c r="B526" s="136" t="n"/>
      <c r="C526" s="136" t="n"/>
      <c r="D526" s="141" t="n"/>
      <c r="E526" s="141" t="n"/>
      <c r="F526" s="141" t="n"/>
      <c r="G526" s="141" t="n"/>
      <c r="H526" s="141" t="n"/>
      <c r="I526" s="141" t="n"/>
      <c r="J526" s="141" t="n"/>
      <c r="K526" s="141" t="n"/>
      <c r="L526" s="141" t="n"/>
      <c r="M526" s="141" t="n"/>
      <c r="N526" s="141" t="n"/>
      <c r="O526" s="141" t="n"/>
      <c r="P526" s="141" t="n"/>
      <c r="Q526" s="141" t="n"/>
      <c r="R526" s="141" t="n"/>
      <c r="S526" s="141" t="n"/>
      <c r="T526" s="141" t="n"/>
      <c r="U526" s="141" t="n"/>
      <c r="V526" s="141" t="n"/>
      <c r="W526" s="141" t="n"/>
      <c r="X526" s="141" t="n"/>
      <c r="Y526" s="136" t="n"/>
      <c r="Z526" s="136" t="n"/>
      <c r="AA526" s="136" t="n"/>
      <c r="AB526" s="136" t="n"/>
      <c r="AC526" s="136" t="n"/>
      <c r="AD526" s="136" t="n"/>
      <c r="AE526" s="136" t="n"/>
      <c r="AF526" s="136" t="n"/>
      <c r="AG526" s="136" t="n"/>
      <c r="AH526" s="136" t="n"/>
      <c r="AI526" s="136" t="n"/>
      <c r="AJ526" s="136" t="n"/>
      <c r="AK526" s="136" t="n"/>
      <c r="AL526" s="136" t="n"/>
      <c r="AM526" s="136" t="n"/>
      <c r="AN526" s="136" t="n"/>
      <c r="AO526" s="136" t="n"/>
      <c r="AP526" s="136" t="n"/>
      <c r="AQ526" s="136" t="n"/>
      <c r="AR526" s="136" t="n"/>
    </row>
    <row r="527" ht="13.5" customHeight="1" s="196">
      <c r="A527" s="136" t="n"/>
      <c r="B527" s="136" t="n"/>
      <c r="C527" s="136" t="n"/>
      <c r="D527" s="141" t="n"/>
      <c r="E527" s="141" t="n"/>
      <c r="F527" s="141" t="n"/>
      <c r="G527" s="141" t="n"/>
      <c r="H527" s="141" t="n"/>
      <c r="I527" s="141" t="n"/>
      <c r="J527" s="141" t="n"/>
      <c r="K527" s="141" t="n"/>
      <c r="L527" s="141" t="n"/>
      <c r="M527" s="141" t="n"/>
      <c r="N527" s="141" t="n"/>
      <c r="O527" s="141" t="n"/>
      <c r="P527" s="141" t="n"/>
      <c r="Q527" s="141" t="n"/>
      <c r="R527" s="141" t="n"/>
      <c r="S527" s="141" t="n"/>
      <c r="T527" s="141" t="n"/>
      <c r="U527" s="141" t="n"/>
      <c r="V527" s="141" t="n"/>
      <c r="W527" s="141" t="n"/>
      <c r="X527" s="141" t="n"/>
      <c r="Y527" s="136" t="n"/>
      <c r="Z527" s="136" t="n"/>
      <c r="AA527" s="136" t="n"/>
      <c r="AB527" s="136" t="n"/>
      <c r="AC527" s="136" t="n"/>
      <c r="AD527" s="136" t="n"/>
      <c r="AE527" s="136" t="n"/>
      <c r="AF527" s="136" t="n"/>
      <c r="AG527" s="136" t="n"/>
      <c r="AH527" s="136" t="n"/>
      <c r="AI527" s="136" t="n"/>
      <c r="AJ527" s="136" t="n"/>
      <c r="AK527" s="136" t="n"/>
      <c r="AL527" s="136" t="n"/>
      <c r="AM527" s="136" t="n"/>
      <c r="AN527" s="136" t="n"/>
      <c r="AO527" s="136" t="n"/>
      <c r="AP527" s="136" t="n"/>
      <c r="AQ527" s="136" t="n"/>
      <c r="AR527" s="136" t="n"/>
    </row>
    <row r="528" ht="13.5" customHeight="1" s="196">
      <c r="A528" s="136" t="n"/>
      <c r="B528" s="136" t="n"/>
      <c r="C528" s="136" t="n"/>
      <c r="D528" s="141" t="n"/>
      <c r="E528" s="141" t="n"/>
      <c r="F528" s="141" t="n"/>
      <c r="G528" s="141" t="n"/>
      <c r="H528" s="141" t="n"/>
      <c r="I528" s="141" t="n"/>
      <c r="J528" s="141" t="n"/>
      <c r="K528" s="141" t="n"/>
      <c r="L528" s="141" t="n"/>
      <c r="M528" s="141" t="n"/>
      <c r="N528" s="141" t="n"/>
      <c r="O528" s="141" t="n"/>
      <c r="P528" s="141" t="n"/>
      <c r="Q528" s="141" t="n"/>
      <c r="R528" s="141" t="n"/>
      <c r="S528" s="141" t="n"/>
      <c r="T528" s="141" t="n"/>
      <c r="U528" s="141" t="n"/>
      <c r="V528" s="141" t="n"/>
      <c r="W528" s="141" t="n"/>
      <c r="X528" s="141" t="n"/>
      <c r="Y528" s="136" t="n"/>
      <c r="Z528" s="136" t="n"/>
      <c r="AA528" s="136" t="n"/>
      <c r="AB528" s="136" t="n"/>
      <c r="AC528" s="136" t="n"/>
      <c r="AD528" s="136" t="n"/>
      <c r="AE528" s="136" t="n"/>
      <c r="AF528" s="136" t="n"/>
      <c r="AG528" s="136" t="n"/>
      <c r="AH528" s="136" t="n"/>
      <c r="AI528" s="136" t="n"/>
      <c r="AJ528" s="136" t="n"/>
      <c r="AK528" s="136" t="n"/>
      <c r="AL528" s="136" t="n"/>
      <c r="AM528" s="136" t="n"/>
      <c r="AN528" s="136" t="n"/>
      <c r="AO528" s="136" t="n"/>
      <c r="AP528" s="136" t="n"/>
      <c r="AQ528" s="136" t="n"/>
      <c r="AR528" s="136" t="n"/>
    </row>
    <row r="529" ht="13.5" customHeight="1" s="196">
      <c r="A529" s="136" t="n"/>
      <c r="B529" s="136" t="n"/>
      <c r="C529" s="136" t="n"/>
      <c r="D529" s="141" t="n"/>
      <c r="E529" s="141" t="n"/>
      <c r="F529" s="141" t="n"/>
      <c r="G529" s="141" t="n"/>
      <c r="H529" s="141" t="n"/>
      <c r="I529" s="141" t="n"/>
      <c r="J529" s="141" t="n"/>
      <c r="K529" s="141" t="n"/>
      <c r="L529" s="141" t="n"/>
      <c r="M529" s="141" t="n"/>
      <c r="N529" s="141" t="n"/>
      <c r="O529" s="141" t="n"/>
      <c r="P529" s="141" t="n"/>
      <c r="Q529" s="141" t="n"/>
      <c r="R529" s="141" t="n"/>
      <c r="S529" s="141" t="n"/>
      <c r="T529" s="141" t="n"/>
      <c r="U529" s="141" t="n"/>
      <c r="V529" s="141" t="n"/>
      <c r="W529" s="141" t="n"/>
      <c r="X529" s="141" t="n"/>
      <c r="Y529" s="136" t="n"/>
      <c r="Z529" s="136" t="n"/>
      <c r="AA529" s="136" t="n"/>
      <c r="AB529" s="136" t="n"/>
      <c r="AC529" s="136" t="n"/>
      <c r="AD529" s="136" t="n"/>
      <c r="AE529" s="136" t="n"/>
      <c r="AF529" s="136" t="n"/>
      <c r="AG529" s="136" t="n"/>
      <c r="AH529" s="136" t="n"/>
      <c r="AI529" s="136" t="n"/>
      <c r="AJ529" s="136" t="n"/>
      <c r="AK529" s="136" t="n"/>
      <c r="AL529" s="136" t="n"/>
      <c r="AM529" s="136" t="n"/>
      <c r="AN529" s="136" t="n"/>
      <c r="AO529" s="136" t="n"/>
      <c r="AP529" s="136" t="n"/>
      <c r="AQ529" s="136" t="n"/>
      <c r="AR529" s="136" t="n"/>
    </row>
    <row r="530" ht="13.5" customHeight="1" s="196">
      <c r="A530" s="136" t="n"/>
      <c r="B530" s="136" t="n"/>
      <c r="C530" s="136" t="n"/>
      <c r="D530" s="141" t="n"/>
      <c r="E530" s="141" t="n"/>
      <c r="F530" s="141" t="n"/>
      <c r="G530" s="141" t="n"/>
      <c r="H530" s="141" t="n"/>
      <c r="I530" s="141" t="n"/>
      <c r="J530" s="141" t="n"/>
      <c r="K530" s="141" t="n"/>
      <c r="L530" s="141" t="n"/>
      <c r="M530" s="141" t="n"/>
      <c r="N530" s="141" t="n"/>
      <c r="O530" s="141" t="n"/>
      <c r="P530" s="141" t="n"/>
      <c r="Q530" s="141" t="n"/>
      <c r="R530" s="141" t="n"/>
      <c r="S530" s="141" t="n"/>
      <c r="T530" s="141" t="n"/>
      <c r="U530" s="141" t="n"/>
      <c r="V530" s="141" t="n"/>
      <c r="W530" s="141" t="n"/>
      <c r="X530" s="141" t="n"/>
      <c r="Y530" s="136" t="n"/>
      <c r="Z530" s="136" t="n"/>
      <c r="AA530" s="136" t="n"/>
      <c r="AB530" s="136" t="n"/>
      <c r="AC530" s="136" t="n"/>
      <c r="AD530" s="136" t="n"/>
      <c r="AE530" s="136" t="n"/>
      <c r="AF530" s="136" t="n"/>
      <c r="AG530" s="136" t="n"/>
      <c r="AH530" s="136" t="n"/>
      <c r="AI530" s="136" t="n"/>
      <c r="AJ530" s="136" t="n"/>
      <c r="AK530" s="136" t="n"/>
      <c r="AL530" s="136" t="n"/>
      <c r="AM530" s="136" t="n"/>
      <c r="AN530" s="136" t="n"/>
      <c r="AO530" s="136" t="n"/>
      <c r="AP530" s="136" t="n"/>
      <c r="AQ530" s="136" t="n"/>
      <c r="AR530" s="136" t="n"/>
    </row>
    <row r="531" ht="13.5" customHeight="1" s="196">
      <c r="A531" s="136" t="n"/>
      <c r="B531" s="136" t="n"/>
      <c r="C531" s="136" t="n"/>
      <c r="D531" s="141" t="n"/>
      <c r="E531" s="141" t="n"/>
      <c r="F531" s="141" t="n"/>
      <c r="G531" s="141" t="n"/>
      <c r="H531" s="141" t="n"/>
      <c r="I531" s="141" t="n"/>
      <c r="J531" s="141" t="n"/>
      <c r="K531" s="141" t="n"/>
      <c r="L531" s="141" t="n"/>
      <c r="M531" s="141" t="n"/>
      <c r="N531" s="141" t="n"/>
      <c r="O531" s="141" t="n"/>
      <c r="P531" s="141" t="n"/>
      <c r="Q531" s="141" t="n"/>
      <c r="R531" s="141" t="n"/>
      <c r="S531" s="141" t="n"/>
      <c r="T531" s="141" t="n"/>
      <c r="U531" s="141" t="n"/>
      <c r="V531" s="141" t="n"/>
      <c r="W531" s="141" t="n"/>
      <c r="X531" s="141" t="n"/>
      <c r="Y531" s="136" t="n"/>
      <c r="Z531" s="136" t="n"/>
      <c r="AA531" s="136" t="n"/>
      <c r="AB531" s="136" t="n"/>
      <c r="AC531" s="136" t="n"/>
      <c r="AD531" s="136" t="n"/>
      <c r="AE531" s="136" t="n"/>
      <c r="AF531" s="136" t="n"/>
      <c r="AG531" s="136" t="n"/>
      <c r="AH531" s="136" t="n"/>
      <c r="AI531" s="136" t="n"/>
      <c r="AJ531" s="136" t="n"/>
      <c r="AK531" s="136" t="n"/>
      <c r="AL531" s="136" t="n"/>
      <c r="AM531" s="136" t="n"/>
      <c r="AN531" s="136" t="n"/>
      <c r="AO531" s="136" t="n"/>
      <c r="AP531" s="136" t="n"/>
      <c r="AQ531" s="136" t="n"/>
      <c r="AR531" s="136" t="n"/>
    </row>
    <row r="532" ht="13.5" customHeight="1" s="196">
      <c r="A532" s="136" t="n"/>
      <c r="B532" s="136" t="n"/>
      <c r="C532" s="136" t="n"/>
      <c r="D532" s="141" t="n"/>
      <c r="E532" s="141" t="n"/>
      <c r="F532" s="141" t="n"/>
      <c r="G532" s="141" t="n"/>
      <c r="H532" s="141" t="n"/>
      <c r="I532" s="141" t="n"/>
      <c r="J532" s="141" t="n"/>
      <c r="K532" s="141" t="n"/>
      <c r="L532" s="141" t="n"/>
      <c r="M532" s="141" t="n"/>
      <c r="N532" s="141" t="n"/>
      <c r="O532" s="141" t="n"/>
      <c r="P532" s="141" t="n"/>
      <c r="Q532" s="141" t="n"/>
      <c r="R532" s="141" t="n"/>
      <c r="S532" s="141" t="n"/>
      <c r="T532" s="141" t="n"/>
      <c r="U532" s="141" t="n"/>
      <c r="V532" s="141" t="n"/>
      <c r="W532" s="141" t="n"/>
      <c r="X532" s="141" t="n"/>
      <c r="Y532" s="136" t="n"/>
      <c r="Z532" s="136" t="n"/>
      <c r="AA532" s="136" t="n"/>
      <c r="AB532" s="136" t="n"/>
      <c r="AC532" s="136" t="n"/>
      <c r="AD532" s="136" t="n"/>
      <c r="AE532" s="136" t="n"/>
      <c r="AF532" s="136" t="n"/>
      <c r="AG532" s="136" t="n"/>
      <c r="AH532" s="136" t="n"/>
      <c r="AI532" s="136" t="n"/>
      <c r="AJ532" s="136" t="n"/>
      <c r="AK532" s="136" t="n"/>
      <c r="AL532" s="136" t="n"/>
      <c r="AM532" s="136" t="n"/>
      <c r="AN532" s="136" t="n"/>
      <c r="AO532" s="136" t="n"/>
      <c r="AP532" s="136" t="n"/>
      <c r="AQ532" s="136" t="n"/>
      <c r="AR532" s="136" t="n"/>
    </row>
    <row r="533" ht="13.5" customHeight="1" s="196">
      <c r="A533" s="136" t="n"/>
      <c r="B533" s="136" t="n"/>
      <c r="C533" s="136" t="n"/>
      <c r="D533" s="141" t="n"/>
      <c r="E533" s="141" t="n"/>
      <c r="F533" s="141" t="n"/>
      <c r="G533" s="141" t="n"/>
      <c r="H533" s="141" t="n"/>
      <c r="I533" s="141" t="n"/>
      <c r="J533" s="141" t="n"/>
      <c r="K533" s="141" t="n"/>
      <c r="L533" s="141" t="n"/>
      <c r="M533" s="141" t="n"/>
      <c r="N533" s="141" t="n"/>
      <c r="O533" s="141" t="n"/>
      <c r="P533" s="141" t="n"/>
      <c r="Q533" s="141" t="n"/>
      <c r="R533" s="141" t="n"/>
      <c r="S533" s="141" t="n"/>
      <c r="T533" s="141" t="n"/>
      <c r="U533" s="141" t="n"/>
      <c r="V533" s="141" t="n"/>
      <c r="W533" s="141" t="n"/>
      <c r="X533" s="141" t="n"/>
      <c r="Y533" s="136" t="n"/>
      <c r="Z533" s="136" t="n"/>
      <c r="AA533" s="136" t="n"/>
      <c r="AB533" s="136" t="n"/>
      <c r="AC533" s="136" t="n"/>
      <c r="AD533" s="136" t="n"/>
      <c r="AE533" s="136" t="n"/>
      <c r="AF533" s="136" t="n"/>
      <c r="AG533" s="136" t="n"/>
      <c r="AH533" s="136" t="n"/>
      <c r="AI533" s="136" t="n"/>
      <c r="AJ533" s="136" t="n"/>
      <c r="AK533" s="136" t="n"/>
      <c r="AL533" s="136" t="n"/>
      <c r="AM533" s="136" t="n"/>
      <c r="AN533" s="136" t="n"/>
      <c r="AO533" s="136" t="n"/>
      <c r="AP533" s="136" t="n"/>
      <c r="AQ533" s="136" t="n"/>
      <c r="AR533" s="136" t="n"/>
    </row>
    <row r="534" ht="13.5" customHeight="1" s="196">
      <c r="A534" s="136" t="n"/>
      <c r="B534" s="136" t="n"/>
      <c r="C534" s="136" t="n"/>
      <c r="D534" s="141" t="n"/>
      <c r="E534" s="141" t="n"/>
      <c r="F534" s="141" t="n"/>
      <c r="G534" s="141" t="n"/>
      <c r="H534" s="141" t="n"/>
      <c r="I534" s="141" t="n"/>
      <c r="J534" s="141" t="n"/>
      <c r="K534" s="141" t="n"/>
      <c r="L534" s="141" t="n"/>
      <c r="M534" s="141" t="n"/>
      <c r="N534" s="141" t="n"/>
      <c r="O534" s="141" t="n"/>
      <c r="P534" s="141" t="n"/>
      <c r="Q534" s="141" t="n"/>
      <c r="R534" s="141" t="n"/>
      <c r="S534" s="141" t="n"/>
      <c r="T534" s="141" t="n"/>
      <c r="U534" s="141" t="n"/>
      <c r="V534" s="141" t="n"/>
      <c r="W534" s="141" t="n"/>
      <c r="X534" s="141" t="n"/>
      <c r="Y534" s="136" t="n"/>
      <c r="Z534" s="136" t="n"/>
      <c r="AA534" s="136" t="n"/>
      <c r="AB534" s="136" t="n"/>
      <c r="AC534" s="136" t="n"/>
      <c r="AD534" s="136" t="n"/>
      <c r="AE534" s="136" t="n"/>
      <c r="AF534" s="136" t="n"/>
      <c r="AG534" s="136" t="n"/>
      <c r="AH534" s="136" t="n"/>
      <c r="AI534" s="136" t="n"/>
      <c r="AJ534" s="136" t="n"/>
      <c r="AK534" s="136" t="n"/>
      <c r="AL534" s="136" t="n"/>
      <c r="AM534" s="136" t="n"/>
      <c r="AN534" s="136" t="n"/>
      <c r="AO534" s="136" t="n"/>
      <c r="AP534" s="136" t="n"/>
      <c r="AQ534" s="136" t="n"/>
      <c r="AR534" s="136" t="n"/>
    </row>
    <row r="535" ht="13.5" customHeight="1" s="196">
      <c r="A535" s="136" t="n"/>
      <c r="B535" s="136" t="n"/>
      <c r="C535" s="136" t="n"/>
      <c r="D535" s="141" t="n"/>
      <c r="E535" s="141" t="n"/>
      <c r="F535" s="141" t="n"/>
      <c r="G535" s="141" t="n"/>
      <c r="H535" s="141" t="n"/>
      <c r="I535" s="141" t="n"/>
      <c r="J535" s="141" t="n"/>
      <c r="K535" s="141" t="n"/>
      <c r="L535" s="141" t="n"/>
      <c r="M535" s="141" t="n"/>
      <c r="N535" s="141" t="n"/>
      <c r="O535" s="141" t="n"/>
      <c r="P535" s="141" t="n"/>
      <c r="Q535" s="141" t="n"/>
      <c r="R535" s="141" t="n"/>
      <c r="S535" s="141" t="n"/>
      <c r="T535" s="141" t="n"/>
      <c r="U535" s="141" t="n"/>
      <c r="V535" s="141" t="n"/>
      <c r="W535" s="141" t="n"/>
      <c r="X535" s="141" t="n"/>
      <c r="Y535" s="136" t="n"/>
      <c r="Z535" s="136" t="n"/>
      <c r="AA535" s="136" t="n"/>
      <c r="AB535" s="136" t="n"/>
      <c r="AC535" s="136" t="n"/>
      <c r="AD535" s="136" t="n"/>
      <c r="AE535" s="136" t="n"/>
      <c r="AF535" s="136" t="n"/>
      <c r="AG535" s="136" t="n"/>
      <c r="AH535" s="136" t="n"/>
      <c r="AI535" s="136" t="n"/>
      <c r="AJ535" s="136" t="n"/>
      <c r="AK535" s="136" t="n"/>
      <c r="AL535" s="136" t="n"/>
      <c r="AM535" s="136" t="n"/>
      <c r="AN535" s="136" t="n"/>
      <c r="AO535" s="136" t="n"/>
      <c r="AP535" s="136" t="n"/>
      <c r="AQ535" s="136" t="n"/>
      <c r="AR535" s="136" t="n"/>
    </row>
    <row r="536" ht="13.5" customHeight="1" s="196">
      <c r="A536" s="136" t="n"/>
      <c r="B536" s="136" t="n"/>
      <c r="C536" s="136" t="n"/>
      <c r="D536" s="141" t="n"/>
      <c r="E536" s="141" t="n"/>
      <c r="F536" s="141" t="n"/>
      <c r="G536" s="141" t="n"/>
      <c r="H536" s="141" t="n"/>
      <c r="I536" s="141" t="n"/>
      <c r="J536" s="141" t="n"/>
      <c r="K536" s="141" t="n"/>
      <c r="L536" s="141" t="n"/>
      <c r="M536" s="141" t="n"/>
      <c r="N536" s="141" t="n"/>
      <c r="O536" s="141" t="n"/>
      <c r="P536" s="141" t="n"/>
      <c r="Q536" s="141" t="n"/>
      <c r="R536" s="141" t="n"/>
      <c r="S536" s="141" t="n"/>
      <c r="T536" s="141" t="n"/>
      <c r="U536" s="141" t="n"/>
      <c r="V536" s="141" t="n"/>
      <c r="W536" s="141" t="n"/>
      <c r="X536" s="141" t="n"/>
      <c r="Y536" s="136" t="n"/>
      <c r="Z536" s="136" t="n"/>
      <c r="AA536" s="136" t="n"/>
      <c r="AB536" s="136" t="n"/>
      <c r="AC536" s="136" t="n"/>
      <c r="AD536" s="136" t="n"/>
      <c r="AE536" s="136" t="n"/>
      <c r="AF536" s="136" t="n"/>
      <c r="AG536" s="136" t="n"/>
      <c r="AH536" s="136" t="n"/>
      <c r="AI536" s="136" t="n"/>
      <c r="AJ536" s="136" t="n"/>
      <c r="AK536" s="136" t="n"/>
      <c r="AL536" s="136" t="n"/>
      <c r="AM536" s="136" t="n"/>
      <c r="AN536" s="136" t="n"/>
      <c r="AO536" s="136" t="n"/>
      <c r="AP536" s="136" t="n"/>
      <c r="AQ536" s="136" t="n"/>
      <c r="AR536" s="136" t="n"/>
    </row>
    <row r="537" ht="13.5" customHeight="1" s="196">
      <c r="A537" s="136" t="n"/>
      <c r="B537" s="136" t="n"/>
      <c r="C537" s="136" t="n"/>
      <c r="D537" s="141" t="n"/>
      <c r="E537" s="141" t="n"/>
      <c r="F537" s="141" t="n"/>
      <c r="G537" s="141" t="n"/>
      <c r="H537" s="141" t="n"/>
      <c r="I537" s="141" t="n"/>
      <c r="J537" s="141" t="n"/>
      <c r="K537" s="141" t="n"/>
      <c r="L537" s="141" t="n"/>
      <c r="M537" s="141" t="n"/>
      <c r="N537" s="141" t="n"/>
      <c r="O537" s="141" t="n"/>
      <c r="P537" s="141" t="n"/>
      <c r="Q537" s="141" t="n"/>
      <c r="R537" s="141" t="n"/>
      <c r="S537" s="141" t="n"/>
      <c r="T537" s="141" t="n"/>
      <c r="U537" s="141" t="n"/>
      <c r="V537" s="141" t="n"/>
      <c r="W537" s="141" t="n"/>
      <c r="X537" s="141" t="n"/>
      <c r="Y537" s="136" t="n"/>
      <c r="Z537" s="136" t="n"/>
      <c r="AA537" s="136" t="n"/>
      <c r="AB537" s="136" t="n"/>
      <c r="AC537" s="136" t="n"/>
      <c r="AD537" s="136" t="n"/>
      <c r="AE537" s="136" t="n"/>
      <c r="AF537" s="136" t="n"/>
      <c r="AG537" s="136" t="n"/>
      <c r="AH537" s="136" t="n"/>
      <c r="AI537" s="136" t="n"/>
      <c r="AJ537" s="136" t="n"/>
      <c r="AK537" s="136" t="n"/>
      <c r="AL537" s="136" t="n"/>
      <c r="AM537" s="136" t="n"/>
      <c r="AN537" s="136" t="n"/>
      <c r="AO537" s="136" t="n"/>
      <c r="AP537" s="136" t="n"/>
      <c r="AQ537" s="136" t="n"/>
      <c r="AR537" s="136" t="n"/>
    </row>
    <row r="538" ht="13.5" customHeight="1" s="196">
      <c r="A538" s="136" t="n"/>
      <c r="B538" s="136" t="n"/>
      <c r="C538" s="136" t="n"/>
      <c r="D538" s="141" t="n"/>
      <c r="E538" s="141" t="n"/>
      <c r="F538" s="141" t="n"/>
      <c r="G538" s="141" t="n"/>
      <c r="H538" s="141" t="n"/>
      <c r="I538" s="141" t="n"/>
      <c r="J538" s="141" t="n"/>
      <c r="K538" s="141" t="n"/>
      <c r="L538" s="141" t="n"/>
      <c r="M538" s="141" t="n"/>
      <c r="N538" s="141" t="n"/>
      <c r="O538" s="141" t="n"/>
      <c r="P538" s="141" t="n"/>
      <c r="Q538" s="141" t="n"/>
      <c r="R538" s="141" t="n"/>
      <c r="S538" s="141" t="n"/>
      <c r="T538" s="141" t="n"/>
      <c r="U538" s="141" t="n"/>
      <c r="V538" s="141" t="n"/>
      <c r="W538" s="141" t="n"/>
      <c r="X538" s="141" t="n"/>
      <c r="Y538" s="136" t="n"/>
      <c r="Z538" s="136" t="n"/>
      <c r="AA538" s="136" t="n"/>
      <c r="AB538" s="136" t="n"/>
      <c r="AC538" s="136" t="n"/>
      <c r="AD538" s="136" t="n"/>
      <c r="AE538" s="136" t="n"/>
      <c r="AF538" s="136" t="n"/>
      <c r="AG538" s="136" t="n"/>
      <c r="AH538" s="136" t="n"/>
      <c r="AI538" s="136" t="n"/>
      <c r="AJ538" s="136" t="n"/>
      <c r="AK538" s="136" t="n"/>
      <c r="AL538" s="136" t="n"/>
      <c r="AM538" s="136" t="n"/>
      <c r="AN538" s="136" t="n"/>
      <c r="AO538" s="136" t="n"/>
      <c r="AP538" s="136" t="n"/>
      <c r="AQ538" s="136" t="n"/>
      <c r="AR538" s="136" t="n"/>
    </row>
    <row r="539" ht="13.5" customHeight="1" s="196">
      <c r="A539" s="136" t="n"/>
      <c r="B539" s="136" t="n"/>
      <c r="C539" s="136" t="n"/>
      <c r="D539" s="141" t="n"/>
      <c r="E539" s="141" t="n"/>
      <c r="F539" s="141" t="n"/>
      <c r="G539" s="141" t="n"/>
      <c r="H539" s="141" t="n"/>
      <c r="I539" s="141" t="n"/>
      <c r="J539" s="141" t="n"/>
      <c r="K539" s="141" t="n"/>
      <c r="L539" s="141" t="n"/>
      <c r="M539" s="141" t="n"/>
      <c r="N539" s="141" t="n"/>
      <c r="O539" s="141" t="n"/>
      <c r="P539" s="141" t="n"/>
      <c r="Q539" s="141" t="n"/>
      <c r="R539" s="141" t="n"/>
      <c r="S539" s="141" t="n"/>
      <c r="T539" s="141" t="n"/>
      <c r="U539" s="141" t="n"/>
      <c r="V539" s="141" t="n"/>
      <c r="W539" s="141" t="n"/>
      <c r="X539" s="141" t="n"/>
      <c r="Y539" s="136" t="n"/>
      <c r="Z539" s="136" t="n"/>
      <c r="AA539" s="136" t="n"/>
      <c r="AB539" s="136" t="n"/>
      <c r="AC539" s="136" t="n"/>
      <c r="AD539" s="136" t="n"/>
      <c r="AE539" s="136" t="n"/>
      <c r="AF539" s="136" t="n"/>
      <c r="AG539" s="136" t="n"/>
      <c r="AH539" s="136" t="n"/>
      <c r="AI539" s="136" t="n"/>
      <c r="AJ539" s="136" t="n"/>
      <c r="AK539" s="136" t="n"/>
      <c r="AL539" s="136" t="n"/>
      <c r="AM539" s="136" t="n"/>
      <c r="AN539" s="136" t="n"/>
      <c r="AO539" s="136" t="n"/>
      <c r="AP539" s="136" t="n"/>
      <c r="AQ539" s="136" t="n"/>
      <c r="AR539" s="136" t="n"/>
    </row>
    <row r="540" ht="13.5" customHeight="1" s="196">
      <c r="A540" s="136" t="n"/>
      <c r="B540" s="136" t="n"/>
      <c r="C540" s="136" t="n"/>
      <c r="D540" s="141" t="n"/>
      <c r="E540" s="141" t="n"/>
      <c r="F540" s="141" t="n"/>
      <c r="G540" s="141" t="n"/>
      <c r="H540" s="141" t="n"/>
      <c r="I540" s="141" t="n"/>
      <c r="J540" s="141" t="n"/>
      <c r="K540" s="141" t="n"/>
      <c r="L540" s="141" t="n"/>
      <c r="M540" s="141" t="n"/>
      <c r="N540" s="141" t="n"/>
      <c r="O540" s="141" t="n"/>
      <c r="P540" s="141" t="n"/>
      <c r="Q540" s="141" t="n"/>
      <c r="R540" s="141" t="n"/>
      <c r="S540" s="141" t="n"/>
      <c r="T540" s="141" t="n"/>
      <c r="U540" s="141" t="n"/>
      <c r="V540" s="141" t="n"/>
      <c r="W540" s="141" t="n"/>
      <c r="X540" s="141" t="n"/>
      <c r="Y540" s="136" t="n"/>
      <c r="Z540" s="136" t="n"/>
      <c r="AA540" s="136" t="n"/>
      <c r="AB540" s="136" t="n"/>
      <c r="AC540" s="136" t="n"/>
      <c r="AD540" s="136" t="n"/>
      <c r="AE540" s="136" t="n"/>
      <c r="AF540" s="136" t="n"/>
      <c r="AG540" s="136" t="n"/>
      <c r="AH540" s="136" t="n"/>
      <c r="AI540" s="136" t="n"/>
      <c r="AJ540" s="136" t="n"/>
      <c r="AK540" s="136" t="n"/>
      <c r="AL540" s="136" t="n"/>
      <c r="AM540" s="136" t="n"/>
      <c r="AN540" s="136" t="n"/>
      <c r="AO540" s="136" t="n"/>
      <c r="AP540" s="136" t="n"/>
      <c r="AQ540" s="136" t="n"/>
      <c r="AR540" s="136" t="n"/>
    </row>
    <row r="541" ht="13.5" customHeight="1" s="196">
      <c r="A541" s="136" t="n"/>
      <c r="B541" s="136" t="n"/>
      <c r="C541" s="136" t="n"/>
      <c r="D541" s="141" t="n"/>
      <c r="E541" s="141" t="n"/>
      <c r="F541" s="141" t="n"/>
      <c r="G541" s="141" t="n"/>
      <c r="H541" s="141" t="n"/>
      <c r="I541" s="141" t="n"/>
      <c r="J541" s="141" t="n"/>
      <c r="K541" s="141" t="n"/>
      <c r="L541" s="141" t="n"/>
      <c r="M541" s="141" t="n"/>
      <c r="N541" s="141" t="n"/>
      <c r="O541" s="141" t="n"/>
      <c r="P541" s="141" t="n"/>
      <c r="Q541" s="141" t="n"/>
      <c r="R541" s="141" t="n"/>
      <c r="S541" s="141" t="n"/>
      <c r="T541" s="141" t="n"/>
      <c r="U541" s="141" t="n"/>
      <c r="V541" s="141" t="n"/>
      <c r="W541" s="141" t="n"/>
      <c r="X541" s="141" t="n"/>
      <c r="Y541" s="136" t="n"/>
      <c r="Z541" s="136" t="n"/>
      <c r="AA541" s="136" t="n"/>
      <c r="AB541" s="136" t="n"/>
      <c r="AC541" s="136" t="n"/>
      <c r="AD541" s="136" t="n"/>
      <c r="AE541" s="136" t="n"/>
      <c r="AF541" s="136" t="n"/>
      <c r="AG541" s="136" t="n"/>
      <c r="AH541" s="136" t="n"/>
      <c r="AI541" s="136" t="n"/>
      <c r="AJ541" s="136" t="n"/>
      <c r="AK541" s="136" t="n"/>
      <c r="AL541" s="136" t="n"/>
      <c r="AM541" s="136" t="n"/>
      <c r="AN541" s="136" t="n"/>
      <c r="AO541" s="136" t="n"/>
      <c r="AP541" s="136" t="n"/>
      <c r="AQ541" s="136" t="n"/>
      <c r="AR541" s="136" t="n"/>
    </row>
    <row r="542" ht="13.5" customHeight="1" s="196">
      <c r="A542" s="136" t="n"/>
      <c r="B542" s="136" t="n"/>
      <c r="C542" s="136" t="n"/>
      <c r="D542" s="141" t="n"/>
      <c r="E542" s="141" t="n"/>
      <c r="F542" s="141" t="n"/>
      <c r="G542" s="141" t="n"/>
      <c r="H542" s="141" t="n"/>
      <c r="I542" s="141" t="n"/>
      <c r="J542" s="141" t="n"/>
      <c r="K542" s="141" t="n"/>
      <c r="L542" s="141" t="n"/>
      <c r="M542" s="141" t="n"/>
      <c r="N542" s="141" t="n"/>
      <c r="O542" s="141" t="n"/>
      <c r="P542" s="141" t="n"/>
      <c r="Q542" s="141" t="n"/>
      <c r="R542" s="141" t="n"/>
      <c r="S542" s="141" t="n"/>
      <c r="T542" s="141" t="n"/>
      <c r="U542" s="141" t="n"/>
      <c r="V542" s="141" t="n"/>
      <c r="W542" s="141" t="n"/>
      <c r="X542" s="141" t="n"/>
      <c r="Y542" s="136" t="n"/>
      <c r="Z542" s="136" t="n"/>
      <c r="AA542" s="136" t="n"/>
      <c r="AB542" s="136" t="n"/>
      <c r="AC542" s="136" t="n"/>
      <c r="AD542" s="136" t="n"/>
      <c r="AE542" s="136" t="n"/>
      <c r="AF542" s="136" t="n"/>
      <c r="AG542" s="136" t="n"/>
      <c r="AH542" s="136" t="n"/>
      <c r="AI542" s="136" t="n"/>
      <c r="AJ542" s="136" t="n"/>
      <c r="AK542" s="136" t="n"/>
      <c r="AL542" s="136" t="n"/>
      <c r="AM542" s="136" t="n"/>
      <c r="AN542" s="136" t="n"/>
      <c r="AO542" s="136" t="n"/>
      <c r="AP542" s="136" t="n"/>
      <c r="AQ542" s="136" t="n"/>
      <c r="AR542" s="136" t="n"/>
    </row>
    <row r="543" ht="13.5" customHeight="1" s="196">
      <c r="A543" s="136" t="n"/>
      <c r="B543" s="136" t="n"/>
      <c r="C543" s="136" t="n"/>
      <c r="D543" s="141" t="n"/>
      <c r="E543" s="141" t="n"/>
      <c r="F543" s="141" t="n"/>
      <c r="G543" s="141" t="n"/>
      <c r="H543" s="141" t="n"/>
      <c r="I543" s="141" t="n"/>
      <c r="J543" s="141" t="n"/>
      <c r="K543" s="141" t="n"/>
      <c r="L543" s="141" t="n"/>
      <c r="M543" s="141" t="n"/>
      <c r="N543" s="141" t="n"/>
      <c r="O543" s="141" t="n"/>
      <c r="P543" s="141" t="n"/>
      <c r="Q543" s="141" t="n"/>
      <c r="R543" s="141" t="n"/>
      <c r="S543" s="141" t="n"/>
      <c r="T543" s="141" t="n"/>
      <c r="U543" s="141" t="n"/>
      <c r="V543" s="141" t="n"/>
      <c r="W543" s="141" t="n"/>
      <c r="X543" s="141" t="n"/>
      <c r="Y543" s="136" t="n"/>
      <c r="Z543" s="136" t="n"/>
      <c r="AA543" s="136" t="n"/>
      <c r="AB543" s="136" t="n"/>
      <c r="AC543" s="136" t="n"/>
      <c r="AD543" s="136" t="n"/>
      <c r="AE543" s="136" t="n"/>
      <c r="AF543" s="136" t="n"/>
      <c r="AG543" s="136" t="n"/>
      <c r="AH543" s="136" t="n"/>
      <c r="AI543" s="136" t="n"/>
      <c r="AJ543" s="136" t="n"/>
      <c r="AK543" s="136" t="n"/>
      <c r="AL543" s="136" t="n"/>
      <c r="AM543" s="136" t="n"/>
      <c r="AN543" s="136" t="n"/>
      <c r="AO543" s="136" t="n"/>
      <c r="AP543" s="136" t="n"/>
      <c r="AQ543" s="136" t="n"/>
      <c r="AR543" s="136" t="n"/>
    </row>
    <row r="544" ht="13.5" customHeight="1" s="196">
      <c r="A544" s="136" t="n"/>
      <c r="B544" s="136" t="n"/>
      <c r="C544" s="136" t="n"/>
      <c r="D544" s="141" t="n"/>
      <c r="E544" s="141" t="n"/>
      <c r="F544" s="141" t="n"/>
      <c r="G544" s="141" t="n"/>
      <c r="H544" s="141" t="n"/>
      <c r="I544" s="141" t="n"/>
      <c r="J544" s="141" t="n"/>
      <c r="K544" s="141" t="n"/>
      <c r="L544" s="141" t="n"/>
      <c r="M544" s="141" t="n"/>
      <c r="N544" s="141" t="n"/>
      <c r="O544" s="141" t="n"/>
      <c r="P544" s="141" t="n"/>
      <c r="Q544" s="141" t="n"/>
      <c r="R544" s="141" t="n"/>
      <c r="S544" s="141" t="n"/>
      <c r="T544" s="141" t="n"/>
      <c r="U544" s="141" t="n"/>
      <c r="V544" s="141" t="n"/>
      <c r="W544" s="141" t="n"/>
      <c r="X544" s="141" t="n"/>
      <c r="Y544" s="136" t="n"/>
      <c r="Z544" s="136" t="n"/>
      <c r="AA544" s="136" t="n"/>
      <c r="AB544" s="136" t="n"/>
      <c r="AC544" s="136" t="n"/>
      <c r="AD544" s="136" t="n"/>
      <c r="AE544" s="136" t="n"/>
      <c r="AF544" s="136" t="n"/>
      <c r="AG544" s="136" t="n"/>
      <c r="AH544" s="136" t="n"/>
      <c r="AI544" s="136" t="n"/>
      <c r="AJ544" s="136" t="n"/>
      <c r="AK544" s="136" t="n"/>
      <c r="AL544" s="136" t="n"/>
      <c r="AM544" s="136" t="n"/>
      <c r="AN544" s="136" t="n"/>
      <c r="AO544" s="136" t="n"/>
      <c r="AP544" s="136" t="n"/>
      <c r="AQ544" s="136" t="n"/>
      <c r="AR544" s="136" t="n"/>
    </row>
    <row r="545" ht="13.5" customHeight="1" s="196">
      <c r="A545" s="136" t="n"/>
      <c r="B545" s="136" t="n"/>
      <c r="C545" s="136" t="n"/>
      <c r="D545" s="141" t="n"/>
      <c r="E545" s="141" t="n"/>
      <c r="F545" s="141" t="n"/>
      <c r="G545" s="141" t="n"/>
      <c r="H545" s="141" t="n"/>
      <c r="I545" s="141" t="n"/>
      <c r="J545" s="141" t="n"/>
      <c r="K545" s="141" t="n"/>
      <c r="L545" s="141" t="n"/>
      <c r="M545" s="141" t="n"/>
      <c r="N545" s="141" t="n"/>
      <c r="O545" s="141" t="n"/>
      <c r="P545" s="141" t="n"/>
      <c r="Q545" s="141" t="n"/>
      <c r="R545" s="141" t="n"/>
      <c r="S545" s="141" t="n"/>
      <c r="T545" s="141" t="n"/>
      <c r="U545" s="141" t="n"/>
      <c r="V545" s="141" t="n"/>
      <c r="W545" s="141" t="n"/>
      <c r="X545" s="141" t="n"/>
      <c r="Y545" s="136" t="n"/>
      <c r="Z545" s="136" t="n"/>
      <c r="AA545" s="136" t="n"/>
      <c r="AB545" s="136" t="n"/>
      <c r="AC545" s="136" t="n"/>
      <c r="AD545" s="136" t="n"/>
      <c r="AE545" s="136" t="n"/>
      <c r="AF545" s="136" t="n"/>
      <c r="AG545" s="136" t="n"/>
      <c r="AH545" s="136" t="n"/>
      <c r="AI545" s="136" t="n"/>
      <c r="AJ545" s="136" t="n"/>
      <c r="AK545" s="136" t="n"/>
      <c r="AL545" s="136" t="n"/>
      <c r="AM545" s="136" t="n"/>
      <c r="AN545" s="136" t="n"/>
      <c r="AO545" s="136" t="n"/>
      <c r="AP545" s="136" t="n"/>
      <c r="AQ545" s="136" t="n"/>
      <c r="AR545" s="136" t="n"/>
    </row>
    <row r="546" ht="13.5" customHeight="1" s="196">
      <c r="A546" s="136" t="n"/>
      <c r="B546" s="136" t="n"/>
      <c r="C546" s="136" t="n"/>
      <c r="D546" s="141" t="n"/>
      <c r="E546" s="141" t="n"/>
      <c r="F546" s="141" t="n"/>
      <c r="G546" s="141" t="n"/>
      <c r="H546" s="141" t="n"/>
      <c r="I546" s="141" t="n"/>
      <c r="J546" s="141" t="n"/>
      <c r="K546" s="141" t="n"/>
      <c r="L546" s="141" t="n"/>
      <c r="M546" s="141" t="n"/>
      <c r="N546" s="141" t="n"/>
      <c r="O546" s="141" t="n"/>
      <c r="P546" s="141" t="n"/>
      <c r="Q546" s="141" t="n"/>
      <c r="R546" s="141" t="n"/>
      <c r="S546" s="141" t="n"/>
      <c r="T546" s="141" t="n"/>
      <c r="U546" s="141" t="n"/>
      <c r="V546" s="141" t="n"/>
      <c r="W546" s="141" t="n"/>
      <c r="X546" s="141" t="n"/>
      <c r="Y546" s="136" t="n"/>
      <c r="Z546" s="136" t="n"/>
      <c r="AA546" s="136" t="n"/>
      <c r="AB546" s="136" t="n"/>
      <c r="AC546" s="136" t="n"/>
      <c r="AD546" s="136" t="n"/>
      <c r="AE546" s="136" t="n"/>
      <c r="AF546" s="136" t="n"/>
      <c r="AG546" s="136" t="n"/>
      <c r="AH546" s="136" t="n"/>
      <c r="AI546" s="136" t="n"/>
      <c r="AJ546" s="136" t="n"/>
      <c r="AK546" s="136" t="n"/>
      <c r="AL546" s="136" t="n"/>
      <c r="AM546" s="136" t="n"/>
      <c r="AN546" s="136" t="n"/>
      <c r="AO546" s="136" t="n"/>
      <c r="AP546" s="136" t="n"/>
      <c r="AQ546" s="136" t="n"/>
      <c r="AR546" s="136" t="n"/>
    </row>
    <row r="547" ht="13.5" customHeight="1" s="196">
      <c r="A547" s="136" t="n"/>
      <c r="B547" s="136" t="n"/>
      <c r="C547" s="136" t="n"/>
      <c r="D547" s="141" t="n"/>
      <c r="E547" s="141" t="n"/>
      <c r="F547" s="141" t="n"/>
      <c r="G547" s="141" t="n"/>
      <c r="H547" s="141" t="n"/>
      <c r="I547" s="141" t="n"/>
      <c r="J547" s="141" t="n"/>
      <c r="K547" s="141" t="n"/>
      <c r="L547" s="141" t="n"/>
      <c r="M547" s="141" t="n"/>
      <c r="N547" s="141" t="n"/>
      <c r="O547" s="141" t="n"/>
      <c r="P547" s="141" t="n"/>
      <c r="Q547" s="141" t="n"/>
      <c r="R547" s="141" t="n"/>
      <c r="S547" s="141" t="n"/>
      <c r="T547" s="141" t="n"/>
      <c r="U547" s="141" t="n"/>
      <c r="V547" s="141" t="n"/>
      <c r="W547" s="141" t="n"/>
      <c r="X547" s="141" t="n"/>
      <c r="Y547" s="136" t="n"/>
      <c r="Z547" s="136" t="n"/>
      <c r="AA547" s="136" t="n"/>
      <c r="AB547" s="136" t="n"/>
      <c r="AC547" s="136" t="n"/>
      <c r="AD547" s="136" t="n"/>
      <c r="AE547" s="136" t="n"/>
      <c r="AF547" s="136" t="n"/>
      <c r="AG547" s="136" t="n"/>
      <c r="AH547" s="136" t="n"/>
      <c r="AI547" s="136" t="n"/>
      <c r="AJ547" s="136" t="n"/>
      <c r="AK547" s="136" t="n"/>
      <c r="AL547" s="136" t="n"/>
      <c r="AM547" s="136" t="n"/>
      <c r="AN547" s="136" t="n"/>
      <c r="AO547" s="136" t="n"/>
      <c r="AP547" s="136" t="n"/>
      <c r="AQ547" s="136" t="n"/>
      <c r="AR547" s="136" t="n"/>
    </row>
    <row r="548" ht="13.5" customHeight="1" s="196">
      <c r="A548" s="136" t="n"/>
      <c r="B548" s="136" t="n"/>
      <c r="C548" s="136" t="n"/>
      <c r="D548" s="141" t="n"/>
      <c r="E548" s="141" t="n"/>
      <c r="F548" s="141" t="n"/>
      <c r="G548" s="141" t="n"/>
      <c r="H548" s="141" t="n"/>
      <c r="I548" s="141" t="n"/>
      <c r="J548" s="141" t="n"/>
      <c r="K548" s="141" t="n"/>
      <c r="L548" s="141" t="n"/>
      <c r="M548" s="141" t="n"/>
      <c r="N548" s="141" t="n"/>
      <c r="O548" s="141" t="n"/>
      <c r="P548" s="141" t="n"/>
      <c r="Q548" s="141" t="n"/>
      <c r="R548" s="141" t="n"/>
      <c r="S548" s="141" t="n"/>
      <c r="T548" s="141" t="n"/>
      <c r="U548" s="141" t="n"/>
      <c r="V548" s="141" t="n"/>
      <c r="W548" s="141" t="n"/>
      <c r="X548" s="141" t="n"/>
      <c r="Y548" s="136" t="n"/>
      <c r="Z548" s="136" t="n"/>
      <c r="AA548" s="136" t="n"/>
      <c r="AB548" s="136" t="n"/>
      <c r="AC548" s="136" t="n"/>
      <c r="AD548" s="136" t="n"/>
      <c r="AE548" s="136" t="n"/>
      <c r="AF548" s="136" t="n"/>
      <c r="AG548" s="136" t="n"/>
      <c r="AH548" s="136" t="n"/>
      <c r="AI548" s="136" t="n"/>
      <c r="AJ548" s="136" t="n"/>
      <c r="AK548" s="136" t="n"/>
      <c r="AL548" s="136" t="n"/>
      <c r="AM548" s="136" t="n"/>
      <c r="AN548" s="136" t="n"/>
      <c r="AO548" s="136" t="n"/>
      <c r="AP548" s="136" t="n"/>
      <c r="AQ548" s="136" t="n"/>
      <c r="AR548" s="136" t="n"/>
    </row>
    <row r="549" ht="13.5" customHeight="1" s="196">
      <c r="A549" s="136" t="n"/>
      <c r="B549" s="136" t="n"/>
      <c r="C549" s="136" t="n"/>
      <c r="D549" s="141" t="n"/>
      <c r="E549" s="141" t="n"/>
      <c r="F549" s="141" t="n"/>
      <c r="G549" s="141" t="n"/>
      <c r="H549" s="141" t="n"/>
      <c r="I549" s="141" t="n"/>
      <c r="J549" s="141" t="n"/>
      <c r="K549" s="141" t="n"/>
      <c r="L549" s="141" t="n"/>
      <c r="M549" s="141" t="n"/>
      <c r="N549" s="141" t="n"/>
      <c r="O549" s="141" t="n"/>
      <c r="P549" s="141" t="n"/>
      <c r="Q549" s="141" t="n"/>
      <c r="R549" s="141" t="n"/>
      <c r="S549" s="141" t="n"/>
      <c r="T549" s="141" t="n"/>
      <c r="U549" s="141" t="n"/>
      <c r="V549" s="141" t="n"/>
      <c r="W549" s="141" t="n"/>
      <c r="X549" s="141" t="n"/>
      <c r="Y549" s="136" t="n"/>
      <c r="Z549" s="136" t="n"/>
      <c r="AA549" s="136" t="n"/>
      <c r="AB549" s="136" t="n"/>
      <c r="AC549" s="136" t="n"/>
      <c r="AD549" s="136" t="n"/>
      <c r="AE549" s="136" t="n"/>
      <c r="AF549" s="136" t="n"/>
      <c r="AG549" s="136" t="n"/>
      <c r="AH549" s="136" t="n"/>
      <c r="AI549" s="136" t="n"/>
      <c r="AJ549" s="136" t="n"/>
      <c r="AK549" s="136" t="n"/>
      <c r="AL549" s="136" t="n"/>
      <c r="AM549" s="136" t="n"/>
      <c r="AN549" s="136" t="n"/>
      <c r="AO549" s="136" t="n"/>
      <c r="AP549" s="136" t="n"/>
      <c r="AQ549" s="136" t="n"/>
      <c r="AR549" s="136" t="n"/>
    </row>
    <row r="550" ht="13.5" customHeight="1" s="196">
      <c r="A550" s="136" t="n"/>
      <c r="B550" s="136" t="n"/>
      <c r="C550" s="136" t="n"/>
      <c r="D550" s="141" t="n"/>
      <c r="E550" s="141" t="n"/>
      <c r="F550" s="141" t="n"/>
      <c r="G550" s="141" t="n"/>
      <c r="H550" s="141" t="n"/>
      <c r="I550" s="141" t="n"/>
      <c r="J550" s="141" t="n"/>
      <c r="K550" s="141" t="n"/>
      <c r="L550" s="141" t="n"/>
      <c r="M550" s="141" t="n"/>
      <c r="N550" s="141" t="n"/>
      <c r="O550" s="141" t="n"/>
      <c r="P550" s="141" t="n"/>
      <c r="Q550" s="141" t="n"/>
      <c r="R550" s="141" t="n"/>
      <c r="S550" s="141" t="n"/>
      <c r="T550" s="141" t="n"/>
      <c r="U550" s="141" t="n"/>
      <c r="V550" s="141" t="n"/>
      <c r="W550" s="141" t="n"/>
      <c r="X550" s="141" t="n"/>
      <c r="Y550" s="136" t="n"/>
      <c r="Z550" s="136" t="n"/>
      <c r="AA550" s="136" t="n"/>
      <c r="AB550" s="136" t="n"/>
      <c r="AC550" s="136" t="n"/>
      <c r="AD550" s="136" t="n"/>
      <c r="AE550" s="136" t="n"/>
      <c r="AF550" s="136" t="n"/>
      <c r="AG550" s="136" t="n"/>
      <c r="AH550" s="136" t="n"/>
      <c r="AI550" s="136" t="n"/>
      <c r="AJ550" s="136" t="n"/>
      <c r="AK550" s="136" t="n"/>
      <c r="AL550" s="136" t="n"/>
      <c r="AM550" s="136" t="n"/>
      <c r="AN550" s="136" t="n"/>
      <c r="AO550" s="136" t="n"/>
      <c r="AP550" s="136" t="n"/>
      <c r="AQ550" s="136" t="n"/>
      <c r="AR550" s="136" t="n"/>
    </row>
    <row r="551" ht="13.5" customHeight="1" s="196">
      <c r="A551" s="136" t="n"/>
      <c r="B551" s="136" t="n"/>
      <c r="C551" s="136" t="n"/>
      <c r="D551" s="141" t="n"/>
      <c r="E551" s="141" t="n"/>
      <c r="F551" s="141" t="n"/>
      <c r="G551" s="141" t="n"/>
      <c r="H551" s="141" t="n"/>
      <c r="I551" s="141" t="n"/>
      <c r="J551" s="141" t="n"/>
      <c r="K551" s="141" t="n"/>
      <c r="L551" s="141" t="n"/>
      <c r="M551" s="141" t="n"/>
      <c r="N551" s="141" t="n"/>
      <c r="O551" s="141" t="n"/>
      <c r="P551" s="141" t="n"/>
      <c r="Q551" s="141" t="n"/>
      <c r="R551" s="141" t="n"/>
      <c r="S551" s="141" t="n"/>
      <c r="T551" s="141" t="n"/>
      <c r="U551" s="141" t="n"/>
      <c r="V551" s="141" t="n"/>
      <c r="W551" s="141" t="n"/>
      <c r="X551" s="141" t="n"/>
      <c r="Y551" s="136" t="n"/>
      <c r="Z551" s="136" t="n"/>
      <c r="AA551" s="136" t="n"/>
      <c r="AB551" s="136" t="n"/>
      <c r="AC551" s="136" t="n"/>
      <c r="AD551" s="136" t="n"/>
      <c r="AE551" s="136" t="n"/>
      <c r="AF551" s="136" t="n"/>
      <c r="AG551" s="136" t="n"/>
      <c r="AH551" s="136" t="n"/>
      <c r="AI551" s="136" t="n"/>
      <c r="AJ551" s="136" t="n"/>
      <c r="AK551" s="136" t="n"/>
      <c r="AL551" s="136" t="n"/>
      <c r="AM551" s="136" t="n"/>
      <c r="AN551" s="136" t="n"/>
      <c r="AO551" s="136" t="n"/>
      <c r="AP551" s="136" t="n"/>
      <c r="AQ551" s="136" t="n"/>
      <c r="AR551" s="136" t="n"/>
    </row>
    <row r="552" ht="13.5" customHeight="1" s="196">
      <c r="A552" s="136" t="n"/>
      <c r="B552" s="136" t="n"/>
      <c r="C552" s="136" t="n"/>
      <c r="D552" s="141" t="n"/>
      <c r="E552" s="141" t="n"/>
      <c r="F552" s="141" t="n"/>
      <c r="G552" s="141" t="n"/>
      <c r="H552" s="141" t="n"/>
      <c r="I552" s="141" t="n"/>
      <c r="J552" s="141" t="n"/>
      <c r="K552" s="141" t="n"/>
      <c r="L552" s="141" t="n"/>
      <c r="M552" s="141" t="n"/>
      <c r="N552" s="141" t="n"/>
      <c r="O552" s="141" t="n"/>
      <c r="P552" s="141" t="n"/>
      <c r="Q552" s="141" t="n"/>
      <c r="R552" s="141" t="n"/>
      <c r="S552" s="141" t="n"/>
      <c r="T552" s="141" t="n"/>
      <c r="U552" s="141" t="n"/>
      <c r="V552" s="141" t="n"/>
      <c r="W552" s="141" t="n"/>
      <c r="X552" s="141" t="n"/>
      <c r="Y552" s="136" t="n"/>
      <c r="Z552" s="136" t="n"/>
      <c r="AA552" s="136" t="n"/>
      <c r="AB552" s="136" t="n"/>
      <c r="AC552" s="136" t="n"/>
      <c r="AD552" s="136" t="n"/>
      <c r="AE552" s="136" t="n"/>
      <c r="AF552" s="136" t="n"/>
      <c r="AG552" s="136" t="n"/>
      <c r="AH552" s="136" t="n"/>
      <c r="AI552" s="136" t="n"/>
      <c r="AJ552" s="136" t="n"/>
      <c r="AK552" s="136" t="n"/>
      <c r="AL552" s="136" t="n"/>
      <c r="AM552" s="136" t="n"/>
      <c r="AN552" s="136" t="n"/>
      <c r="AO552" s="136" t="n"/>
      <c r="AP552" s="136" t="n"/>
      <c r="AQ552" s="136" t="n"/>
      <c r="AR552" s="136" t="n"/>
    </row>
    <row r="553" ht="13.5" customHeight="1" s="196">
      <c r="A553" s="136" t="n"/>
      <c r="B553" s="136" t="n"/>
      <c r="C553" s="136" t="n"/>
      <c r="D553" s="141" t="n"/>
      <c r="E553" s="141" t="n"/>
      <c r="F553" s="141" t="n"/>
      <c r="G553" s="141" t="n"/>
      <c r="H553" s="141" t="n"/>
      <c r="I553" s="141" t="n"/>
      <c r="J553" s="141" t="n"/>
      <c r="K553" s="141" t="n"/>
      <c r="L553" s="141" t="n"/>
      <c r="M553" s="141" t="n"/>
      <c r="N553" s="141" t="n"/>
      <c r="O553" s="141" t="n"/>
      <c r="P553" s="141" t="n"/>
      <c r="Q553" s="141" t="n"/>
      <c r="R553" s="141" t="n"/>
      <c r="S553" s="141" t="n"/>
      <c r="T553" s="141" t="n"/>
      <c r="U553" s="141" t="n"/>
      <c r="V553" s="141" t="n"/>
      <c r="W553" s="141" t="n"/>
      <c r="X553" s="141" t="n"/>
      <c r="Y553" s="136" t="n"/>
      <c r="Z553" s="136" t="n"/>
      <c r="AA553" s="136" t="n"/>
      <c r="AB553" s="136" t="n"/>
      <c r="AC553" s="136" t="n"/>
      <c r="AD553" s="136" t="n"/>
      <c r="AE553" s="136" t="n"/>
      <c r="AF553" s="136" t="n"/>
      <c r="AG553" s="136" t="n"/>
      <c r="AH553" s="136" t="n"/>
      <c r="AI553" s="136" t="n"/>
      <c r="AJ553" s="136" t="n"/>
      <c r="AK553" s="136" t="n"/>
      <c r="AL553" s="136" t="n"/>
      <c r="AM553" s="136" t="n"/>
      <c r="AN553" s="136" t="n"/>
      <c r="AO553" s="136" t="n"/>
      <c r="AP553" s="136" t="n"/>
      <c r="AQ553" s="136" t="n"/>
      <c r="AR553" s="136" t="n"/>
    </row>
    <row r="554" ht="13.5" customHeight="1" s="196">
      <c r="A554" s="136" t="n"/>
      <c r="B554" s="136" t="n"/>
      <c r="C554" s="136" t="n"/>
      <c r="D554" s="141" t="n"/>
      <c r="E554" s="141" t="n"/>
      <c r="F554" s="141" t="n"/>
      <c r="G554" s="141" t="n"/>
      <c r="H554" s="141" t="n"/>
      <c r="I554" s="141" t="n"/>
      <c r="J554" s="141" t="n"/>
      <c r="K554" s="141" t="n"/>
      <c r="L554" s="141" t="n"/>
      <c r="M554" s="141" t="n"/>
      <c r="N554" s="141" t="n"/>
      <c r="O554" s="141" t="n"/>
      <c r="P554" s="141" t="n"/>
      <c r="Q554" s="141" t="n"/>
      <c r="R554" s="141" t="n"/>
      <c r="S554" s="141" t="n"/>
      <c r="T554" s="141" t="n"/>
      <c r="U554" s="141" t="n"/>
      <c r="V554" s="141" t="n"/>
      <c r="W554" s="141" t="n"/>
      <c r="X554" s="141" t="n"/>
      <c r="Y554" s="136" t="n"/>
      <c r="Z554" s="136" t="n"/>
      <c r="AA554" s="136" t="n"/>
      <c r="AB554" s="136" t="n"/>
      <c r="AC554" s="136" t="n"/>
      <c r="AD554" s="136" t="n"/>
      <c r="AE554" s="136" t="n"/>
      <c r="AF554" s="136" t="n"/>
      <c r="AG554" s="136" t="n"/>
      <c r="AH554" s="136" t="n"/>
      <c r="AI554" s="136" t="n"/>
      <c r="AJ554" s="136" t="n"/>
      <c r="AK554" s="136" t="n"/>
      <c r="AL554" s="136" t="n"/>
      <c r="AM554" s="136" t="n"/>
      <c r="AN554" s="136" t="n"/>
      <c r="AO554" s="136" t="n"/>
      <c r="AP554" s="136" t="n"/>
      <c r="AQ554" s="136" t="n"/>
      <c r="AR554" s="136" t="n"/>
    </row>
    <row r="555" ht="13.5" customHeight="1" s="196">
      <c r="A555" s="136" t="n"/>
      <c r="B555" s="136" t="n"/>
      <c r="C555" s="136" t="n"/>
      <c r="D555" s="141" t="n"/>
      <c r="E555" s="141" t="n"/>
      <c r="F555" s="141" t="n"/>
      <c r="G555" s="141" t="n"/>
      <c r="H555" s="141" t="n"/>
      <c r="I555" s="141" t="n"/>
      <c r="J555" s="141" t="n"/>
      <c r="K555" s="141" t="n"/>
      <c r="L555" s="141" t="n"/>
      <c r="M555" s="141" t="n"/>
      <c r="N555" s="141" t="n"/>
      <c r="O555" s="141" t="n"/>
      <c r="P555" s="141" t="n"/>
      <c r="Q555" s="141" t="n"/>
      <c r="R555" s="141" t="n"/>
      <c r="S555" s="141" t="n"/>
      <c r="T555" s="141" t="n"/>
      <c r="U555" s="141" t="n"/>
      <c r="V555" s="141" t="n"/>
      <c r="W555" s="141" t="n"/>
      <c r="X555" s="141" t="n"/>
      <c r="Y555" s="136" t="n"/>
      <c r="Z555" s="136" t="n"/>
      <c r="AA555" s="136" t="n"/>
      <c r="AB555" s="136" t="n"/>
      <c r="AC555" s="136" t="n"/>
      <c r="AD555" s="136" t="n"/>
      <c r="AE555" s="136" t="n"/>
      <c r="AF555" s="136" t="n"/>
      <c r="AG555" s="136" t="n"/>
      <c r="AH555" s="136" t="n"/>
      <c r="AI555" s="136" t="n"/>
      <c r="AJ555" s="136" t="n"/>
      <c r="AK555" s="136" t="n"/>
      <c r="AL555" s="136" t="n"/>
      <c r="AM555" s="136" t="n"/>
      <c r="AN555" s="136" t="n"/>
      <c r="AO555" s="136" t="n"/>
      <c r="AP555" s="136" t="n"/>
      <c r="AQ555" s="136" t="n"/>
      <c r="AR555" s="136" t="n"/>
    </row>
    <row r="556" ht="13.5" customHeight="1" s="196">
      <c r="A556" s="136" t="n"/>
      <c r="B556" s="136" t="n"/>
      <c r="C556" s="136" t="n"/>
      <c r="D556" s="141" t="n"/>
      <c r="E556" s="141" t="n"/>
      <c r="F556" s="141" t="n"/>
      <c r="G556" s="141" t="n"/>
      <c r="H556" s="141" t="n"/>
      <c r="I556" s="141" t="n"/>
      <c r="J556" s="141" t="n"/>
      <c r="K556" s="141" t="n"/>
      <c r="L556" s="141" t="n"/>
      <c r="M556" s="141" t="n"/>
      <c r="N556" s="141" t="n"/>
      <c r="O556" s="141" t="n"/>
      <c r="P556" s="141" t="n"/>
      <c r="Q556" s="141" t="n"/>
      <c r="R556" s="141" t="n"/>
      <c r="S556" s="141" t="n"/>
      <c r="T556" s="141" t="n"/>
      <c r="U556" s="141" t="n"/>
      <c r="V556" s="141" t="n"/>
      <c r="W556" s="141" t="n"/>
      <c r="X556" s="141" t="n"/>
      <c r="Y556" s="136" t="n"/>
      <c r="Z556" s="136" t="n"/>
      <c r="AA556" s="136" t="n"/>
      <c r="AB556" s="136" t="n"/>
      <c r="AC556" s="136" t="n"/>
      <c r="AD556" s="136" t="n"/>
      <c r="AE556" s="136" t="n"/>
      <c r="AF556" s="136" t="n"/>
      <c r="AG556" s="136" t="n"/>
      <c r="AH556" s="136" t="n"/>
      <c r="AI556" s="136" t="n"/>
      <c r="AJ556" s="136" t="n"/>
      <c r="AK556" s="136" t="n"/>
      <c r="AL556" s="136" t="n"/>
      <c r="AM556" s="136" t="n"/>
      <c r="AN556" s="136" t="n"/>
      <c r="AO556" s="136" t="n"/>
      <c r="AP556" s="136" t="n"/>
      <c r="AQ556" s="136" t="n"/>
      <c r="AR556" s="136" t="n"/>
    </row>
    <row r="557" ht="13.5" customHeight="1" s="196">
      <c r="A557" s="136" t="n"/>
      <c r="B557" s="136" t="n"/>
      <c r="C557" s="136" t="n"/>
      <c r="D557" s="141" t="n"/>
      <c r="E557" s="141" t="n"/>
      <c r="F557" s="141" t="n"/>
      <c r="G557" s="141" t="n"/>
      <c r="H557" s="141" t="n"/>
      <c r="I557" s="141" t="n"/>
      <c r="J557" s="141" t="n"/>
      <c r="K557" s="141" t="n"/>
      <c r="L557" s="141" t="n"/>
      <c r="M557" s="141" t="n"/>
      <c r="N557" s="141" t="n"/>
      <c r="O557" s="141" t="n"/>
      <c r="P557" s="141" t="n"/>
      <c r="Q557" s="141" t="n"/>
      <c r="R557" s="141" t="n"/>
      <c r="S557" s="141" t="n"/>
      <c r="T557" s="141" t="n"/>
      <c r="U557" s="141" t="n"/>
      <c r="V557" s="141" t="n"/>
      <c r="W557" s="141" t="n"/>
      <c r="X557" s="141" t="n"/>
      <c r="Y557" s="136" t="n"/>
      <c r="Z557" s="136" t="n"/>
      <c r="AA557" s="136" t="n"/>
      <c r="AB557" s="136" t="n"/>
      <c r="AC557" s="136" t="n"/>
      <c r="AD557" s="136" t="n"/>
      <c r="AE557" s="136" t="n"/>
      <c r="AF557" s="136" t="n"/>
      <c r="AG557" s="136" t="n"/>
      <c r="AH557" s="136" t="n"/>
      <c r="AI557" s="136" t="n"/>
      <c r="AJ557" s="136" t="n"/>
      <c r="AK557" s="136" t="n"/>
      <c r="AL557" s="136" t="n"/>
      <c r="AM557" s="136" t="n"/>
      <c r="AN557" s="136" t="n"/>
      <c r="AO557" s="136" t="n"/>
      <c r="AP557" s="136" t="n"/>
      <c r="AQ557" s="136" t="n"/>
      <c r="AR557" s="136" t="n"/>
    </row>
    <row r="558" ht="13.5" customHeight="1" s="196">
      <c r="A558" s="136" t="n"/>
      <c r="B558" s="136" t="n"/>
      <c r="C558" s="136" t="n"/>
      <c r="D558" s="141" t="n"/>
      <c r="E558" s="141" t="n"/>
      <c r="F558" s="141" t="n"/>
      <c r="G558" s="141" t="n"/>
      <c r="H558" s="141" t="n"/>
      <c r="I558" s="141" t="n"/>
      <c r="J558" s="141" t="n"/>
      <c r="K558" s="141" t="n"/>
      <c r="L558" s="141" t="n"/>
      <c r="M558" s="141" t="n"/>
      <c r="N558" s="141" t="n"/>
      <c r="O558" s="141" t="n"/>
      <c r="P558" s="141" t="n"/>
      <c r="Q558" s="141" t="n"/>
      <c r="R558" s="141" t="n"/>
      <c r="S558" s="141" t="n"/>
      <c r="T558" s="141" t="n"/>
      <c r="U558" s="141" t="n"/>
      <c r="V558" s="141" t="n"/>
      <c r="W558" s="141" t="n"/>
      <c r="X558" s="141" t="n"/>
      <c r="Y558" s="136" t="n"/>
      <c r="Z558" s="136" t="n"/>
      <c r="AA558" s="136" t="n"/>
      <c r="AB558" s="136" t="n"/>
      <c r="AC558" s="136" t="n"/>
      <c r="AD558" s="136" t="n"/>
      <c r="AE558" s="136" t="n"/>
      <c r="AF558" s="136" t="n"/>
      <c r="AG558" s="136" t="n"/>
      <c r="AH558" s="136" t="n"/>
      <c r="AI558" s="136" t="n"/>
      <c r="AJ558" s="136" t="n"/>
      <c r="AK558" s="136" t="n"/>
      <c r="AL558" s="136" t="n"/>
      <c r="AM558" s="136" t="n"/>
      <c r="AN558" s="136" t="n"/>
      <c r="AO558" s="136" t="n"/>
      <c r="AP558" s="136" t="n"/>
      <c r="AQ558" s="136" t="n"/>
      <c r="AR558" s="136" t="n"/>
    </row>
    <row r="559" ht="13.5" customHeight="1" s="196">
      <c r="A559" s="136" t="n"/>
      <c r="B559" s="136" t="n"/>
      <c r="C559" s="136" t="n"/>
      <c r="D559" s="141" t="n"/>
      <c r="E559" s="141" t="n"/>
      <c r="F559" s="141" t="n"/>
      <c r="G559" s="141" t="n"/>
      <c r="H559" s="141" t="n"/>
      <c r="I559" s="141" t="n"/>
      <c r="J559" s="141" t="n"/>
      <c r="K559" s="141" t="n"/>
      <c r="L559" s="141" t="n"/>
      <c r="M559" s="141" t="n"/>
      <c r="N559" s="141" t="n"/>
      <c r="O559" s="141" t="n"/>
      <c r="P559" s="141" t="n"/>
      <c r="Q559" s="141" t="n"/>
      <c r="R559" s="141" t="n"/>
      <c r="S559" s="141" t="n"/>
      <c r="T559" s="141" t="n"/>
      <c r="U559" s="141" t="n"/>
      <c r="V559" s="141" t="n"/>
      <c r="W559" s="141" t="n"/>
      <c r="X559" s="141" t="n"/>
      <c r="Y559" s="136" t="n"/>
      <c r="Z559" s="136" t="n"/>
      <c r="AA559" s="136" t="n"/>
      <c r="AB559" s="136" t="n"/>
      <c r="AC559" s="136" t="n"/>
      <c r="AD559" s="136" t="n"/>
      <c r="AE559" s="136" t="n"/>
      <c r="AF559" s="136" t="n"/>
      <c r="AG559" s="136" t="n"/>
      <c r="AH559" s="136" t="n"/>
      <c r="AI559" s="136" t="n"/>
      <c r="AJ559" s="136" t="n"/>
      <c r="AK559" s="136" t="n"/>
      <c r="AL559" s="136" t="n"/>
      <c r="AM559" s="136" t="n"/>
      <c r="AN559" s="136" t="n"/>
      <c r="AO559" s="136" t="n"/>
      <c r="AP559" s="136" t="n"/>
      <c r="AQ559" s="136" t="n"/>
      <c r="AR559" s="136" t="n"/>
    </row>
    <row r="560" ht="13.5" customHeight="1" s="196">
      <c r="A560" s="136" t="n"/>
      <c r="B560" s="136" t="n"/>
      <c r="C560" s="136" t="n"/>
      <c r="D560" s="141" t="n"/>
      <c r="E560" s="141" t="n"/>
      <c r="F560" s="141" t="n"/>
      <c r="G560" s="141" t="n"/>
      <c r="H560" s="141" t="n"/>
      <c r="I560" s="141" t="n"/>
      <c r="J560" s="141" t="n"/>
      <c r="K560" s="141" t="n"/>
      <c r="L560" s="141" t="n"/>
      <c r="M560" s="141" t="n"/>
      <c r="N560" s="141" t="n"/>
      <c r="O560" s="141" t="n"/>
      <c r="P560" s="141" t="n"/>
      <c r="Q560" s="141" t="n"/>
      <c r="R560" s="141" t="n"/>
      <c r="S560" s="141" t="n"/>
      <c r="T560" s="141" t="n"/>
      <c r="U560" s="141" t="n"/>
      <c r="V560" s="141" t="n"/>
      <c r="W560" s="141" t="n"/>
      <c r="X560" s="141" t="n"/>
      <c r="Y560" s="136" t="n"/>
      <c r="Z560" s="136" t="n"/>
      <c r="AA560" s="136" t="n"/>
      <c r="AB560" s="136" t="n"/>
      <c r="AC560" s="136" t="n"/>
      <c r="AD560" s="136" t="n"/>
      <c r="AE560" s="136" t="n"/>
      <c r="AF560" s="136" t="n"/>
      <c r="AG560" s="136" t="n"/>
      <c r="AH560" s="136" t="n"/>
      <c r="AI560" s="136" t="n"/>
      <c r="AJ560" s="136" t="n"/>
      <c r="AK560" s="136" t="n"/>
      <c r="AL560" s="136" t="n"/>
      <c r="AM560" s="136" t="n"/>
      <c r="AN560" s="136" t="n"/>
      <c r="AO560" s="136" t="n"/>
      <c r="AP560" s="136" t="n"/>
      <c r="AQ560" s="136" t="n"/>
      <c r="AR560" s="136" t="n"/>
    </row>
    <row r="561" ht="13.5" customHeight="1" s="196">
      <c r="A561" s="136" t="n"/>
      <c r="B561" s="136" t="n"/>
      <c r="C561" s="136" t="n"/>
      <c r="D561" s="141" t="n"/>
      <c r="E561" s="141" t="n"/>
      <c r="F561" s="141" t="n"/>
      <c r="G561" s="141" t="n"/>
      <c r="H561" s="141" t="n"/>
      <c r="I561" s="141" t="n"/>
      <c r="J561" s="141" t="n"/>
      <c r="K561" s="141" t="n"/>
      <c r="L561" s="141" t="n"/>
      <c r="M561" s="141" t="n"/>
      <c r="N561" s="141" t="n"/>
      <c r="O561" s="141" t="n"/>
      <c r="P561" s="141" t="n"/>
      <c r="Q561" s="141" t="n"/>
      <c r="R561" s="141" t="n"/>
      <c r="S561" s="141" t="n"/>
      <c r="T561" s="141" t="n"/>
      <c r="U561" s="141" t="n"/>
      <c r="V561" s="141" t="n"/>
      <c r="W561" s="141" t="n"/>
      <c r="X561" s="141" t="n"/>
      <c r="Y561" s="136" t="n"/>
      <c r="Z561" s="136" t="n"/>
      <c r="AA561" s="136" t="n"/>
      <c r="AB561" s="136" t="n"/>
      <c r="AC561" s="136" t="n"/>
      <c r="AD561" s="136" t="n"/>
      <c r="AE561" s="136" t="n"/>
      <c r="AF561" s="136" t="n"/>
      <c r="AG561" s="136" t="n"/>
      <c r="AH561" s="136" t="n"/>
      <c r="AI561" s="136" t="n"/>
      <c r="AJ561" s="136" t="n"/>
      <c r="AK561" s="136" t="n"/>
      <c r="AL561" s="136" t="n"/>
      <c r="AM561" s="136" t="n"/>
      <c r="AN561" s="136" t="n"/>
      <c r="AO561" s="136" t="n"/>
      <c r="AP561" s="136" t="n"/>
      <c r="AQ561" s="136" t="n"/>
      <c r="AR561" s="136" t="n"/>
    </row>
    <row r="562" ht="13.5" customHeight="1" s="196">
      <c r="A562" s="136" t="n"/>
      <c r="B562" s="136" t="n"/>
      <c r="C562" s="136" t="n"/>
      <c r="D562" s="141" t="n"/>
      <c r="E562" s="141" t="n"/>
      <c r="F562" s="141" t="n"/>
      <c r="G562" s="141" t="n"/>
      <c r="H562" s="141" t="n"/>
      <c r="I562" s="141" t="n"/>
      <c r="J562" s="141" t="n"/>
      <c r="K562" s="141" t="n"/>
      <c r="L562" s="141" t="n"/>
      <c r="M562" s="141" t="n"/>
      <c r="N562" s="141" t="n"/>
      <c r="O562" s="141" t="n"/>
      <c r="P562" s="141" t="n"/>
      <c r="Q562" s="141" t="n"/>
      <c r="R562" s="141" t="n"/>
      <c r="S562" s="141" t="n"/>
      <c r="T562" s="141" t="n"/>
      <c r="U562" s="141" t="n"/>
      <c r="V562" s="141" t="n"/>
      <c r="W562" s="141" t="n"/>
      <c r="X562" s="141" t="n"/>
      <c r="Y562" s="136" t="n"/>
      <c r="Z562" s="136" t="n"/>
      <c r="AA562" s="136" t="n"/>
      <c r="AB562" s="136" t="n"/>
      <c r="AC562" s="136" t="n"/>
      <c r="AD562" s="136" t="n"/>
      <c r="AE562" s="136" t="n"/>
      <c r="AF562" s="136" t="n"/>
      <c r="AG562" s="136" t="n"/>
      <c r="AH562" s="136" t="n"/>
      <c r="AI562" s="136" t="n"/>
      <c r="AJ562" s="136" t="n"/>
      <c r="AK562" s="136" t="n"/>
      <c r="AL562" s="136" t="n"/>
      <c r="AM562" s="136" t="n"/>
      <c r="AN562" s="136" t="n"/>
      <c r="AO562" s="136" t="n"/>
      <c r="AP562" s="136" t="n"/>
      <c r="AQ562" s="136" t="n"/>
      <c r="AR562" s="136" t="n"/>
    </row>
    <row r="563" ht="13.5" customHeight="1" s="196">
      <c r="A563" s="136" t="n"/>
      <c r="B563" s="136" t="n"/>
      <c r="C563" s="136" t="n"/>
      <c r="D563" s="141" t="n"/>
      <c r="E563" s="141" t="n"/>
      <c r="F563" s="141" t="n"/>
      <c r="G563" s="141" t="n"/>
      <c r="H563" s="141" t="n"/>
      <c r="I563" s="141" t="n"/>
      <c r="J563" s="141" t="n"/>
      <c r="K563" s="141" t="n"/>
      <c r="L563" s="141" t="n"/>
      <c r="M563" s="141" t="n"/>
      <c r="N563" s="141" t="n"/>
      <c r="O563" s="141" t="n"/>
      <c r="P563" s="141" t="n"/>
      <c r="Q563" s="141" t="n"/>
      <c r="R563" s="141" t="n"/>
      <c r="S563" s="141" t="n"/>
      <c r="T563" s="141" t="n"/>
      <c r="U563" s="141" t="n"/>
      <c r="V563" s="141" t="n"/>
      <c r="W563" s="141" t="n"/>
      <c r="X563" s="141" t="n"/>
      <c r="Y563" s="136" t="n"/>
      <c r="Z563" s="136" t="n"/>
      <c r="AA563" s="136" t="n"/>
      <c r="AB563" s="136" t="n"/>
      <c r="AC563" s="136" t="n"/>
      <c r="AD563" s="136" t="n"/>
      <c r="AE563" s="136" t="n"/>
      <c r="AF563" s="136" t="n"/>
      <c r="AG563" s="136" t="n"/>
      <c r="AH563" s="136" t="n"/>
      <c r="AI563" s="136" t="n"/>
      <c r="AJ563" s="136" t="n"/>
      <c r="AK563" s="136" t="n"/>
      <c r="AL563" s="136" t="n"/>
      <c r="AM563" s="136" t="n"/>
      <c r="AN563" s="136" t="n"/>
      <c r="AO563" s="136" t="n"/>
      <c r="AP563" s="136" t="n"/>
      <c r="AQ563" s="136" t="n"/>
      <c r="AR563" s="136" t="n"/>
    </row>
    <row r="564" ht="13.5" customHeight="1" s="196">
      <c r="A564" s="136" t="n"/>
      <c r="B564" s="136" t="n"/>
      <c r="C564" s="136" t="n"/>
      <c r="D564" s="141" t="n"/>
      <c r="E564" s="141" t="n"/>
      <c r="F564" s="141" t="n"/>
      <c r="G564" s="141" t="n"/>
      <c r="H564" s="141" t="n"/>
      <c r="I564" s="141" t="n"/>
      <c r="J564" s="141" t="n"/>
      <c r="K564" s="141" t="n"/>
      <c r="L564" s="141" t="n"/>
      <c r="M564" s="141" t="n"/>
      <c r="N564" s="141" t="n"/>
      <c r="O564" s="141" t="n"/>
      <c r="P564" s="141" t="n"/>
      <c r="Q564" s="141" t="n"/>
      <c r="R564" s="141" t="n"/>
      <c r="S564" s="141" t="n"/>
      <c r="T564" s="141" t="n"/>
      <c r="U564" s="141" t="n"/>
      <c r="V564" s="141" t="n"/>
      <c r="W564" s="141" t="n"/>
      <c r="X564" s="141" t="n"/>
      <c r="Y564" s="136" t="n"/>
      <c r="Z564" s="136" t="n"/>
      <c r="AA564" s="136" t="n"/>
      <c r="AB564" s="136" t="n"/>
      <c r="AC564" s="136" t="n"/>
      <c r="AD564" s="136" t="n"/>
      <c r="AE564" s="136" t="n"/>
      <c r="AF564" s="136" t="n"/>
      <c r="AG564" s="136" t="n"/>
      <c r="AH564" s="136" t="n"/>
      <c r="AI564" s="136" t="n"/>
      <c r="AJ564" s="136" t="n"/>
      <c r="AK564" s="136" t="n"/>
      <c r="AL564" s="136" t="n"/>
      <c r="AM564" s="136" t="n"/>
      <c r="AN564" s="136" t="n"/>
      <c r="AO564" s="136" t="n"/>
      <c r="AP564" s="136" t="n"/>
      <c r="AQ564" s="136" t="n"/>
      <c r="AR564" s="136" t="n"/>
    </row>
    <row r="565" ht="13.5" customHeight="1" s="196">
      <c r="A565" s="136" t="n"/>
      <c r="B565" s="136" t="n"/>
      <c r="C565" s="136" t="n"/>
      <c r="D565" s="141" t="n"/>
      <c r="E565" s="141" t="n"/>
      <c r="F565" s="141" t="n"/>
      <c r="G565" s="141" t="n"/>
      <c r="H565" s="141" t="n"/>
      <c r="I565" s="141" t="n"/>
      <c r="J565" s="141" t="n"/>
      <c r="K565" s="141" t="n"/>
      <c r="L565" s="141" t="n"/>
      <c r="M565" s="141" t="n"/>
      <c r="N565" s="141" t="n"/>
      <c r="O565" s="141" t="n"/>
      <c r="P565" s="141" t="n"/>
      <c r="Q565" s="141" t="n"/>
      <c r="R565" s="141" t="n"/>
      <c r="S565" s="141" t="n"/>
      <c r="T565" s="141" t="n"/>
      <c r="U565" s="141" t="n"/>
      <c r="V565" s="141" t="n"/>
      <c r="W565" s="141" t="n"/>
      <c r="X565" s="141" t="n"/>
      <c r="Y565" s="136" t="n"/>
      <c r="Z565" s="136" t="n"/>
      <c r="AA565" s="136" t="n"/>
      <c r="AB565" s="136" t="n"/>
      <c r="AC565" s="136" t="n"/>
      <c r="AD565" s="136" t="n"/>
      <c r="AE565" s="136" t="n"/>
      <c r="AF565" s="136" t="n"/>
      <c r="AG565" s="136" t="n"/>
      <c r="AH565" s="136" t="n"/>
      <c r="AI565" s="136" t="n"/>
      <c r="AJ565" s="136" t="n"/>
      <c r="AK565" s="136" t="n"/>
      <c r="AL565" s="136" t="n"/>
      <c r="AM565" s="136" t="n"/>
      <c r="AN565" s="136" t="n"/>
      <c r="AO565" s="136" t="n"/>
      <c r="AP565" s="136" t="n"/>
      <c r="AQ565" s="136" t="n"/>
      <c r="AR565" s="136" t="n"/>
    </row>
    <row r="566" ht="13.5" customHeight="1" s="196">
      <c r="A566" s="136" t="n"/>
      <c r="B566" s="136" t="n"/>
      <c r="C566" s="136" t="n"/>
      <c r="D566" s="141" t="n"/>
      <c r="E566" s="141" t="n"/>
      <c r="F566" s="141" t="n"/>
      <c r="G566" s="141" t="n"/>
      <c r="H566" s="141" t="n"/>
      <c r="I566" s="141" t="n"/>
      <c r="J566" s="141" t="n"/>
      <c r="K566" s="141" t="n"/>
      <c r="L566" s="141" t="n"/>
      <c r="M566" s="141" t="n"/>
      <c r="N566" s="141" t="n"/>
      <c r="O566" s="141" t="n"/>
      <c r="P566" s="141" t="n"/>
      <c r="Q566" s="141" t="n"/>
      <c r="R566" s="141" t="n"/>
      <c r="S566" s="141" t="n"/>
      <c r="T566" s="141" t="n"/>
      <c r="U566" s="141" t="n"/>
      <c r="V566" s="141" t="n"/>
      <c r="W566" s="141" t="n"/>
      <c r="X566" s="141" t="n"/>
      <c r="Y566" s="136" t="n"/>
      <c r="Z566" s="136" t="n"/>
      <c r="AA566" s="136" t="n"/>
      <c r="AB566" s="136" t="n"/>
      <c r="AC566" s="136" t="n"/>
      <c r="AD566" s="136" t="n"/>
      <c r="AE566" s="136" t="n"/>
      <c r="AF566" s="136" t="n"/>
      <c r="AG566" s="136" t="n"/>
      <c r="AH566" s="136" t="n"/>
      <c r="AI566" s="136" t="n"/>
      <c r="AJ566" s="136" t="n"/>
      <c r="AK566" s="136" t="n"/>
      <c r="AL566" s="136" t="n"/>
      <c r="AM566" s="136" t="n"/>
      <c r="AN566" s="136" t="n"/>
      <c r="AO566" s="136" t="n"/>
      <c r="AP566" s="136" t="n"/>
      <c r="AQ566" s="136" t="n"/>
      <c r="AR566" s="136" t="n"/>
    </row>
    <row r="567" ht="13.5" customHeight="1" s="196">
      <c r="A567" s="136" t="n"/>
      <c r="B567" s="136" t="n"/>
      <c r="C567" s="136" t="n"/>
      <c r="D567" s="141" t="n"/>
      <c r="E567" s="141" t="n"/>
      <c r="F567" s="141" t="n"/>
      <c r="G567" s="141" t="n"/>
      <c r="H567" s="141" t="n"/>
      <c r="I567" s="141" t="n"/>
      <c r="J567" s="141" t="n"/>
      <c r="K567" s="141" t="n"/>
      <c r="L567" s="141" t="n"/>
      <c r="M567" s="141" t="n"/>
      <c r="N567" s="141" t="n"/>
      <c r="O567" s="141" t="n"/>
      <c r="P567" s="141" t="n"/>
      <c r="Q567" s="141" t="n"/>
      <c r="R567" s="141" t="n"/>
      <c r="S567" s="141" t="n"/>
      <c r="T567" s="141" t="n"/>
      <c r="U567" s="141" t="n"/>
      <c r="V567" s="141" t="n"/>
      <c r="W567" s="141" t="n"/>
      <c r="X567" s="141" t="n"/>
      <c r="Y567" s="136" t="n"/>
      <c r="Z567" s="136" t="n"/>
      <c r="AA567" s="136" t="n"/>
      <c r="AB567" s="136" t="n"/>
      <c r="AC567" s="136" t="n"/>
      <c r="AD567" s="136" t="n"/>
      <c r="AE567" s="136" t="n"/>
      <c r="AF567" s="136" t="n"/>
      <c r="AG567" s="136" t="n"/>
      <c r="AH567" s="136" t="n"/>
      <c r="AI567" s="136" t="n"/>
      <c r="AJ567" s="136" t="n"/>
      <c r="AK567" s="136" t="n"/>
      <c r="AL567" s="136" t="n"/>
      <c r="AM567" s="136" t="n"/>
      <c r="AN567" s="136" t="n"/>
      <c r="AO567" s="136" t="n"/>
      <c r="AP567" s="136" t="n"/>
      <c r="AQ567" s="136" t="n"/>
      <c r="AR567" s="136" t="n"/>
    </row>
    <row r="568" ht="13.5" customHeight="1" s="196">
      <c r="A568" s="136" t="n"/>
      <c r="B568" s="136" t="n"/>
      <c r="C568" s="136" t="n"/>
      <c r="D568" s="141" t="n"/>
      <c r="E568" s="141" t="n"/>
      <c r="F568" s="141" t="n"/>
      <c r="G568" s="141" t="n"/>
      <c r="H568" s="141" t="n"/>
      <c r="I568" s="141" t="n"/>
      <c r="J568" s="141" t="n"/>
      <c r="K568" s="141" t="n"/>
      <c r="L568" s="141" t="n"/>
      <c r="M568" s="141" t="n"/>
      <c r="N568" s="141" t="n"/>
      <c r="O568" s="141" t="n"/>
      <c r="P568" s="141" t="n"/>
      <c r="Q568" s="141" t="n"/>
      <c r="R568" s="141" t="n"/>
      <c r="S568" s="141" t="n"/>
      <c r="T568" s="141" t="n"/>
      <c r="U568" s="141" t="n"/>
      <c r="V568" s="141" t="n"/>
      <c r="W568" s="141" t="n"/>
      <c r="X568" s="141" t="n"/>
      <c r="Y568" s="136" t="n"/>
      <c r="Z568" s="136" t="n"/>
      <c r="AA568" s="136" t="n"/>
      <c r="AB568" s="136" t="n"/>
      <c r="AC568" s="136" t="n"/>
      <c r="AD568" s="136" t="n"/>
      <c r="AE568" s="136" t="n"/>
      <c r="AF568" s="136" t="n"/>
      <c r="AG568" s="136" t="n"/>
      <c r="AH568" s="136" t="n"/>
      <c r="AI568" s="136" t="n"/>
      <c r="AJ568" s="136" t="n"/>
      <c r="AK568" s="136" t="n"/>
      <c r="AL568" s="136" t="n"/>
      <c r="AM568" s="136" t="n"/>
      <c r="AN568" s="136" t="n"/>
      <c r="AO568" s="136" t="n"/>
      <c r="AP568" s="136" t="n"/>
      <c r="AQ568" s="136" t="n"/>
      <c r="AR568" s="136" t="n"/>
    </row>
    <row r="569" ht="13.5" customHeight="1" s="196">
      <c r="A569" s="136" t="n"/>
      <c r="B569" s="136" t="n"/>
      <c r="C569" s="136" t="n"/>
      <c r="D569" s="141" t="n"/>
      <c r="E569" s="141" t="n"/>
      <c r="F569" s="141" t="n"/>
      <c r="G569" s="141" t="n"/>
      <c r="H569" s="141" t="n"/>
      <c r="I569" s="141" t="n"/>
      <c r="J569" s="141" t="n"/>
      <c r="K569" s="141" t="n"/>
      <c r="L569" s="141" t="n"/>
      <c r="M569" s="141" t="n"/>
      <c r="N569" s="141" t="n"/>
      <c r="O569" s="141" t="n"/>
      <c r="P569" s="141" t="n"/>
      <c r="Q569" s="141" t="n"/>
      <c r="R569" s="141" t="n"/>
      <c r="S569" s="141" t="n"/>
      <c r="T569" s="141" t="n"/>
      <c r="U569" s="141" t="n"/>
      <c r="V569" s="141" t="n"/>
      <c r="W569" s="141" t="n"/>
      <c r="X569" s="141" t="n"/>
      <c r="Y569" s="136" t="n"/>
      <c r="Z569" s="136" t="n"/>
      <c r="AA569" s="136" t="n"/>
      <c r="AB569" s="136" t="n"/>
      <c r="AC569" s="136" t="n"/>
      <c r="AD569" s="136" t="n"/>
      <c r="AE569" s="136" t="n"/>
      <c r="AF569" s="136" t="n"/>
      <c r="AG569" s="136" t="n"/>
      <c r="AH569" s="136" t="n"/>
      <c r="AI569" s="136" t="n"/>
      <c r="AJ569" s="136" t="n"/>
      <c r="AK569" s="136" t="n"/>
      <c r="AL569" s="136" t="n"/>
      <c r="AM569" s="136" t="n"/>
      <c r="AN569" s="136" t="n"/>
      <c r="AO569" s="136" t="n"/>
      <c r="AP569" s="136" t="n"/>
      <c r="AQ569" s="136" t="n"/>
      <c r="AR569" s="136" t="n"/>
    </row>
    <row r="570" ht="13.5" customHeight="1" s="196">
      <c r="A570" s="136" t="n"/>
      <c r="B570" s="136" t="n"/>
      <c r="C570" s="136" t="n"/>
      <c r="D570" s="141" t="n"/>
      <c r="E570" s="141" t="n"/>
      <c r="F570" s="141" t="n"/>
      <c r="G570" s="141" t="n"/>
      <c r="H570" s="141" t="n"/>
      <c r="I570" s="141" t="n"/>
      <c r="J570" s="141" t="n"/>
      <c r="K570" s="141" t="n"/>
      <c r="L570" s="141" t="n"/>
      <c r="M570" s="141" t="n"/>
      <c r="N570" s="141" t="n"/>
      <c r="O570" s="141" t="n"/>
      <c r="P570" s="141" t="n"/>
      <c r="Q570" s="141" t="n"/>
      <c r="R570" s="141" t="n"/>
      <c r="S570" s="141" t="n"/>
      <c r="T570" s="141" t="n"/>
      <c r="U570" s="141" t="n"/>
      <c r="V570" s="141" t="n"/>
      <c r="W570" s="141" t="n"/>
      <c r="X570" s="141" t="n"/>
      <c r="Y570" s="136" t="n"/>
      <c r="Z570" s="136" t="n"/>
      <c r="AA570" s="136" t="n"/>
      <c r="AB570" s="136" t="n"/>
      <c r="AC570" s="136" t="n"/>
      <c r="AD570" s="136" t="n"/>
      <c r="AE570" s="136" t="n"/>
      <c r="AF570" s="136" t="n"/>
      <c r="AG570" s="136" t="n"/>
      <c r="AH570" s="136" t="n"/>
      <c r="AI570" s="136" t="n"/>
      <c r="AJ570" s="136" t="n"/>
      <c r="AK570" s="136" t="n"/>
      <c r="AL570" s="136" t="n"/>
      <c r="AM570" s="136" t="n"/>
      <c r="AN570" s="136" t="n"/>
      <c r="AO570" s="136" t="n"/>
      <c r="AP570" s="136" t="n"/>
      <c r="AQ570" s="136" t="n"/>
      <c r="AR570" s="136" t="n"/>
    </row>
    <row r="571" ht="13.5" customHeight="1" s="196">
      <c r="A571" s="136" t="n"/>
      <c r="B571" s="136" t="n"/>
      <c r="C571" s="136" t="n"/>
      <c r="D571" s="141" t="n"/>
      <c r="E571" s="141" t="n"/>
      <c r="F571" s="141" t="n"/>
      <c r="G571" s="141" t="n"/>
      <c r="H571" s="141" t="n"/>
      <c r="I571" s="141" t="n"/>
      <c r="J571" s="141" t="n"/>
      <c r="K571" s="141" t="n"/>
      <c r="L571" s="141" t="n"/>
      <c r="M571" s="141" t="n"/>
      <c r="N571" s="141" t="n"/>
      <c r="O571" s="141" t="n"/>
      <c r="P571" s="141" t="n"/>
      <c r="Q571" s="141" t="n"/>
      <c r="R571" s="141" t="n"/>
      <c r="S571" s="141" t="n"/>
      <c r="T571" s="141" t="n"/>
      <c r="U571" s="141" t="n"/>
      <c r="V571" s="141" t="n"/>
      <c r="W571" s="141" t="n"/>
      <c r="X571" s="141" t="n"/>
      <c r="Y571" s="136" t="n"/>
      <c r="Z571" s="136" t="n"/>
      <c r="AA571" s="136" t="n"/>
      <c r="AB571" s="136" t="n"/>
      <c r="AC571" s="136" t="n"/>
      <c r="AD571" s="136" t="n"/>
      <c r="AE571" s="136" t="n"/>
      <c r="AF571" s="136" t="n"/>
      <c r="AG571" s="136" t="n"/>
      <c r="AH571" s="136" t="n"/>
      <c r="AI571" s="136" t="n"/>
      <c r="AJ571" s="136" t="n"/>
      <c r="AK571" s="136" t="n"/>
      <c r="AL571" s="136" t="n"/>
      <c r="AM571" s="136" t="n"/>
      <c r="AN571" s="136" t="n"/>
      <c r="AO571" s="136" t="n"/>
      <c r="AP571" s="136" t="n"/>
      <c r="AQ571" s="136" t="n"/>
      <c r="AR571" s="136" t="n"/>
    </row>
    <row r="572" ht="13.5" customHeight="1" s="196">
      <c r="A572" s="136" t="n"/>
      <c r="B572" s="136" t="n"/>
      <c r="C572" s="136" t="n"/>
      <c r="D572" s="141" t="n"/>
      <c r="E572" s="141" t="n"/>
      <c r="F572" s="141" t="n"/>
      <c r="G572" s="141" t="n"/>
      <c r="H572" s="141" t="n"/>
      <c r="I572" s="141" t="n"/>
      <c r="J572" s="141" t="n"/>
      <c r="K572" s="141" t="n"/>
      <c r="L572" s="141" t="n"/>
      <c r="M572" s="141" t="n"/>
      <c r="N572" s="141" t="n"/>
      <c r="O572" s="141" t="n"/>
      <c r="P572" s="141" t="n"/>
      <c r="Q572" s="141" t="n"/>
      <c r="R572" s="141" t="n"/>
      <c r="S572" s="141" t="n"/>
      <c r="T572" s="141" t="n"/>
      <c r="U572" s="141" t="n"/>
      <c r="V572" s="141" t="n"/>
      <c r="W572" s="141" t="n"/>
      <c r="X572" s="141" t="n"/>
      <c r="Y572" s="136" t="n"/>
      <c r="Z572" s="136" t="n"/>
      <c r="AA572" s="136" t="n"/>
      <c r="AB572" s="136" t="n"/>
      <c r="AC572" s="136" t="n"/>
      <c r="AD572" s="136" t="n"/>
      <c r="AE572" s="136" t="n"/>
      <c r="AF572" s="136" t="n"/>
      <c r="AG572" s="136" t="n"/>
      <c r="AH572" s="136" t="n"/>
      <c r="AI572" s="136" t="n"/>
      <c r="AJ572" s="136" t="n"/>
      <c r="AK572" s="136" t="n"/>
      <c r="AL572" s="136" t="n"/>
      <c r="AM572" s="136" t="n"/>
      <c r="AN572" s="136" t="n"/>
      <c r="AO572" s="136" t="n"/>
      <c r="AP572" s="136" t="n"/>
      <c r="AQ572" s="136" t="n"/>
      <c r="AR572" s="136" t="n"/>
    </row>
    <row r="573" ht="13.5" customHeight="1" s="196">
      <c r="A573" s="136" t="n"/>
      <c r="B573" s="136" t="n"/>
      <c r="C573" s="136" t="n"/>
      <c r="D573" s="141" t="n"/>
      <c r="E573" s="141" t="n"/>
      <c r="F573" s="141" t="n"/>
      <c r="G573" s="141" t="n"/>
      <c r="H573" s="141" t="n"/>
      <c r="I573" s="141" t="n"/>
      <c r="J573" s="141" t="n"/>
      <c r="K573" s="141" t="n"/>
      <c r="L573" s="141" t="n"/>
      <c r="M573" s="141" t="n"/>
      <c r="N573" s="141" t="n"/>
      <c r="O573" s="141" t="n"/>
      <c r="P573" s="141" t="n"/>
      <c r="Q573" s="141" t="n"/>
      <c r="R573" s="141" t="n"/>
      <c r="S573" s="141" t="n"/>
      <c r="T573" s="141" t="n"/>
      <c r="U573" s="141" t="n"/>
      <c r="V573" s="141" t="n"/>
      <c r="W573" s="141" t="n"/>
      <c r="X573" s="141" t="n"/>
      <c r="Y573" s="136" t="n"/>
      <c r="Z573" s="136" t="n"/>
      <c r="AA573" s="136" t="n"/>
      <c r="AB573" s="136" t="n"/>
      <c r="AC573" s="136" t="n"/>
      <c r="AD573" s="136" t="n"/>
      <c r="AE573" s="136" t="n"/>
      <c r="AF573" s="136" t="n"/>
      <c r="AG573" s="136" t="n"/>
      <c r="AH573" s="136" t="n"/>
      <c r="AI573" s="136" t="n"/>
      <c r="AJ573" s="136" t="n"/>
      <c r="AK573" s="136" t="n"/>
      <c r="AL573" s="136" t="n"/>
      <c r="AM573" s="136" t="n"/>
      <c r="AN573" s="136" t="n"/>
      <c r="AO573" s="136" t="n"/>
      <c r="AP573" s="136" t="n"/>
      <c r="AQ573" s="136" t="n"/>
      <c r="AR573" s="136" t="n"/>
    </row>
    <row r="574" ht="13.5" customHeight="1" s="196">
      <c r="A574" s="136" t="n"/>
      <c r="B574" s="136" t="n"/>
      <c r="C574" s="136" t="n"/>
      <c r="D574" s="141" t="n"/>
      <c r="E574" s="141" t="n"/>
      <c r="F574" s="141" t="n"/>
      <c r="G574" s="141" t="n"/>
      <c r="H574" s="141" t="n"/>
      <c r="I574" s="141" t="n"/>
      <c r="J574" s="141" t="n"/>
      <c r="K574" s="141" t="n"/>
      <c r="L574" s="141" t="n"/>
      <c r="M574" s="141" t="n"/>
      <c r="N574" s="141" t="n"/>
      <c r="O574" s="141" t="n"/>
      <c r="P574" s="141" t="n"/>
      <c r="Q574" s="141" t="n"/>
      <c r="R574" s="141" t="n"/>
      <c r="S574" s="141" t="n"/>
      <c r="T574" s="141" t="n"/>
      <c r="U574" s="141" t="n"/>
      <c r="V574" s="141" t="n"/>
      <c r="W574" s="141" t="n"/>
      <c r="X574" s="141" t="n"/>
      <c r="Y574" s="136" t="n"/>
      <c r="Z574" s="136" t="n"/>
      <c r="AA574" s="136" t="n"/>
      <c r="AB574" s="136" t="n"/>
      <c r="AC574" s="136" t="n"/>
      <c r="AD574" s="136" t="n"/>
      <c r="AE574" s="136" t="n"/>
      <c r="AF574" s="136" t="n"/>
      <c r="AG574" s="136" t="n"/>
      <c r="AH574" s="136" t="n"/>
      <c r="AI574" s="136" t="n"/>
      <c r="AJ574" s="136" t="n"/>
      <c r="AK574" s="136" t="n"/>
      <c r="AL574" s="136" t="n"/>
      <c r="AM574" s="136" t="n"/>
      <c r="AN574" s="136" t="n"/>
      <c r="AO574" s="136" t="n"/>
      <c r="AP574" s="136" t="n"/>
      <c r="AQ574" s="136" t="n"/>
      <c r="AR574" s="136" t="n"/>
    </row>
    <row r="575" ht="13.5" customHeight="1" s="196">
      <c r="A575" s="136" t="n"/>
      <c r="B575" s="136" t="n"/>
      <c r="C575" s="136" t="n"/>
      <c r="D575" s="141" t="n"/>
      <c r="E575" s="141" t="n"/>
      <c r="F575" s="141" t="n"/>
      <c r="G575" s="141" t="n"/>
      <c r="H575" s="141" t="n"/>
      <c r="I575" s="141" t="n"/>
      <c r="J575" s="141" t="n"/>
      <c r="K575" s="141" t="n"/>
      <c r="L575" s="141" t="n"/>
      <c r="M575" s="141" t="n"/>
      <c r="N575" s="141" t="n"/>
      <c r="O575" s="141" t="n"/>
      <c r="P575" s="141" t="n"/>
      <c r="Q575" s="141" t="n"/>
      <c r="R575" s="141" t="n"/>
      <c r="S575" s="141" t="n"/>
      <c r="T575" s="141" t="n"/>
      <c r="U575" s="141" t="n"/>
      <c r="V575" s="141" t="n"/>
      <c r="W575" s="141" t="n"/>
      <c r="X575" s="141" t="n"/>
      <c r="Y575" s="136" t="n"/>
      <c r="Z575" s="136" t="n"/>
      <c r="AA575" s="136" t="n"/>
      <c r="AB575" s="136" t="n"/>
      <c r="AC575" s="136" t="n"/>
      <c r="AD575" s="136" t="n"/>
      <c r="AE575" s="136" t="n"/>
      <c r="AF575" s="136" t="n"/>
      <c r="AG575" s="136" t="n"/>
      <c r="AH575" s="136" t="n"/>
      <c r="AI575" s="136" t="n"/>
      <c r="AJ575" s="136" t="n"/>
      <c r="AK575" s="136" t="n"/>
      <c r="AL575" s="136" t="n"/>
      <c r="AM575" s="136" t="n"/>
      <c r="AN575" s="136" t="n"/>
      <c r="AO575" s="136" t="n"/>
      <c r="AP575" s="136" t="n"/>
      <c r="AQ575" s="136" t="n"/>
      <c r="AR575" s="136" t="n"/>
    </row>
    <row r="576" ht="13.5" customHeight="1" s="196">
      <c r="A576" s="136" t="n"/>
      <c r="B576" s="136" t="n"/>
      <c r="C576" s="136" t="n"/>
      <c r="D576" s="141" t="n"/>
      <c r="E576" s="141" t="n"/>
      <c r="F576" s="141" t="n"/>
      <c r="G576" s="141" t="n"/>
      <c r="H576" s="141" t="n"/>
      <c r="I576" s="141" t="n"/>
      <c r="J576" s="141" t="n"/>
      <c r="K576" s="141" t="n"/>
      <c r="L576" s="141" t="n"/>
      <c r="M576" s="141" t="n"/>
      <c r="N576" s="141" t="n"/>
      <c r="O576" s="141" t="n"/>
      <c r="P576" s="141" t="n"/>
      <c r="Q576" s="141" t="n"/>
      <c r="R576" s="141" t="n"/>
      <c r="S576" s="141" t="n"/>
      <c r="T576" s="141" t="n"/>
      <c r="U576" s="141" t="n"/>
      <c r="V576" s="141" t="n"/>
      <c r="W576" s="141" t="n"/>
      <c r="X576" s="141" t="n"/>
      <c r="Y576" s="136" t="n"/>
      <c r="Z576" s="136" t="n"/>
      <c r="AA576" s="136" t="n"/>
      <c r="AB576" s="136" t="n"/>
      <c r="AC576" s="136" t="n"/>
      <c r="AD576" s="136" t="n"/>
      <c r="AE576" s="136" t="n"/>
      <c r="AF576" s="136" t="n"/>
      <c r="AG576" s="136" t="n"/>
      <c r="AH576" s="136" t="n"/>
      <c r="AI576" s="136" t="n"/>
      <c r="AJ576" s="136" t="n"/>
      <c r="AK576" s="136" t="n"/>
      <c r="AL576" s="136" t="n"/>
      <c r="AM576" s="136" t="n"/>
      <c r="AN576" s="136" t="n"/>
      <c r="AO576" s="136" t="n"/>
      <c r="AP576" s="136" t="n"/>
      <c r="AQ576" s="136" t="n"/>
      <c r="AR576" s="136" t="n"/>
    </row>
    <row r="577" ht="13.5" customHeight="1" s="196">
      <c r="A577" s="136" t="n"/>
      <c r="B577" s="136" t="n"/>
      <c r="C577" s="136" t="n"/>
      <c r="D577" s="141" t="n"/>
      <c r="E577" s="141" t="n"/>
      <c r="F577" s="141" t="n"/>
      <c r="G577" s="141" t="n"/>
      <c r="H577" s="141" t="n"/>
      <c r="I577" s="141" t="n"/>
      <c r="J577" s="141" t="n"/>
      <c r="K577" s="141" t="n"/>
      <c r="L577" s="141" t="n"/>
      <c r="M577" s="141" t="n"/>
      <c r="N577" s="141" t="n"/>
      <c r="O577" s="141" t="n"/>
      <c r="P577" s="141" t="n"/>
      <c r="Q577" s="141" t="n"/>
      <c r="R577" s="141" t="n"/>
      <c r="S577" s="141" t="n"/>
      <c r="T577" s="141" t="n"/>
      <c r="U577" s="141" t="n"/>
      <c r="V577" s="141" t="n"/>
      <c r="W577" s="141" t="n"/>
      <c r="X577" s="141" t="n"/>
      <c r="Y577" s="136" t="n"/>
      <c r="Z577" s="136" t="n"/>
      <c r="AA577" s="136" t="n"/>
      <c r="AB577" s="136" t="n"/>
      <c r="AC577" s="136" t="n"/>
      <c r="AD577" s="136" t="n"/>
      <c r="AE577" s="136" t="n"/>
      <c r="AF577" s="136" t="n"/>
      <c r="AG577" s="136" t="n"/>
      <c r="AH577" s="136" t="n"/>
      <c r="AI577" s="136" t="n"/>
      <c r="AJ577" s="136" t="n"/>
      <c r="AK577" s="136" t="n"/>
      <c r="AL577" s="136" t="n"/>
      <c r="AM577" s="136" t="n"/>
      <c r="AN577" s="136" t="n"/>
      <c r="AO577" s="136" t="n"/>
      <c r="AP577" s="136" t="n"/>
      <c r="AQ577" s="136" t="n"/>
      <c r="AR577" s="136" t="n"/>
    </row>
    <row r="578" ht="13.5" customHeight="1" s="196">
      <c r="A578" s="136" t="n"/>
      <c r="B578" s="136" t="n"/>
      <c r="C578" s="136" t="n"/>
      <c r="D578" s="141" t="n"/>
      <c r="E578" s="141" t="n"/>
      <c r="F578" s="141" t="n"/>
      <c r="G578" s="141" t="n"/>
      <c r="H578" s="141" t="n"/>
      <c r="I578" s="141" t="n"/>
      <c r="J578" s="141" t="n"/>
      <c r="K578" s="141" t="n"/>
      <c r="L578" s="141" t="n"/>
      <c r="M578" s="141" t="n"/>
      <c r="N578" s="141" t="n"/>
      <c r="O578" s="141" t="n"/>
      <c r="P578" s="141" t="n"/>
      <c r="Q578" s="141" t="n"/>
      <c r="R578" s="141" t="n"/>
      <c r="S578" s="141" t="n"/>
      <c r="T578" s="141" t="n"/>
      <c r="U578" s="141" t="n"/>
      <c r="V578" s="141" t="n"/>
      <c r="W578" s="141" t="n"/>
      <c r="X578" s="141" t="n"/>
      <c r="Y578" s="136" t="n"/>
      <c r="Z578" s="136" t="n"/>
      <c r="AA578" s="136" t="n"/>
      <c r="AB578" s="136" t="n"/>
      <c r="AC578" s="136" t="n"/>
      <c r="AD578" s="136" t="n"/>
      <c r="AE578" s="136" t="n"/>
      <c r="AF578" s="136" t="n"/>
      <c r="AG578" s="136" t="n"/>
      <c r="AH578" s="136" t="n"/>
      <c r="AI578" s="136" t="n"/>
      <c r="AJ578" s="136" t="n"/>
      <c r="AK578" s="136" t="n"/>
      <c r="AL578" s="136" t="n"/>
      <c r="AM578" s="136" t="n"/>
      <c r="AN578" s="136" t="n"/>
      <c r="AO578" s="136" t="n"/>
      <c r="AP578" s="136" t="n"/>
      <c r="AQ578" s="136" t="n"/>
      <c r="AR578" s="136" t="n"/>
    </row>
    <row r="579" ht="13.5" customHeight="1" s="196">
      <c r="A579" s="136" t="n"/>
      <c r="B579" s="136" t="n"/>
      <c r="C579" s="136" t="n"/>
      <c r="D579" s="141" t="n"/>
      <c r="E579" s="141" t="n"/>
      <c r="F579" s="141" t="n"/>
      <c r="G579" s="141" t="n"/>
      <c r="H579" s="141" t="n"/>
      <c r="I579" s="141" t="n"/>
      <c r="J579" s="141" t="n"/>
      <c r="K579" s="141" t="n"/>
      <c r="L579" s="141" t="n"/>
      <c r="M579" s="141" t="n"/>
      <c r="N579" s="141" t="n"/>
      <c r="O579" s="141" t="n"/>
      <c r="P579" s="141" t="n"/>
      <c r="Q579" s="141" t="n"/>
      <c r="R579" s="141" t="n"/>
      <c r="S579" s="141" t="n"/>
      <c r="T579" s="141" t="n"/>
      <c r="U579" s="141" t="n"/>
      <c r="V579" s="141" t="n"/>
      <c r="W579" s="141" t="n"/>
      <c r="X579" s="141" t="n"/>
      <c r="Y579" s="136" t="n"/>
      <c r="Z579" s="136" t="n"/>
      <c r="AA579" s="136" t="n"/>
      <c r="AB579" s="136" t="n"/>
      <c r="AC579" s="136" t="n"/>
      <c r="AD579" s="136" t="n"/>
      <c r="AE579" s="136" t="n"/>
      <c r="AF579" s="136" t="n"/>
      <c r="AG579" s="136" t="n"/>
      <c r="AH579" s="136" t="n"/>
      <c r="AI579" s="136" t="n"/>
      <c r="AJ579" s="136" t="n"/>
      <c r="AK579" s="136" t="n"/>
      <c r="AL579" s="136" t="n"/>
      <c r="AM579" s="136" t="n"/>
      <c r="AN579" s="136" t="n"/>
      <c r="AO579" s="136" t="n"/>
      <c r="AP579" s="136" t="n"/>
      <c r="AQ579" s="136" t="n"/>
      <c r="AR579" s="136" t="n"/>
    </row>
    <row r="580" ht="13.5" customHeight="1" s="196">
      <c r="A580" s="136" t="n"/>
      <c r="B580" s="136" t="n"/>
      <c r="C580" s="136" t="n"/>
      <c r="D580" s="141" t="n"/>
      <c r="E580" s="141" t="n"/>
      <c r="F580" s="141" t="n"/>
      <c r="G580" s="141" t="n"/>
      <c r="H580" s="141" t="n"/>
      <c r="I580" s="141" t="n"/>
      <c r="J580" s="141" t="n"/>
      <c r="K580" s="141" t="n"/>
      <c r="L580" s="141" t="n"/>
      <c r="M580" s="141" t="n"/>
      <c r="N580" s="141" t="n"/>
      <c r="O580" s="141" t="n"/>
      <c r="P580" s="141" t="n"/>
      <c r="Q580" s="141" t="n"/>
      <c r="R580" s="141" t="n"/>
      <c r="S580" s="141" t="n"/>
      <c r="T580" s="141" t="n"/>
      <c r="U580" s="141" t="n"/>
      <c r="V580" s="141" t="n"/>
      <c r="W580" s="141" t="n"/>
      <c r="X580" s="141" t="n"/>
      <c r="Y580" s="136" t="n"/>
      <c r="Z580" s="136" t="n"/>
      <c r="AA580" s="136" t="n"/>
      <c r="AB580" s="136" t="n"/>
      <c r="AC580" s="136" t="n"/>
      <c r="AD580" s="136" t="n"/>
      <c r="AE580" s="136" t="n"/>
      <c r="AF580" s="136" t="n"/>
      <c r="AG580" s="136" t="n"/>
      <c r="AH580" s="136" t="n"/>
      <c r="AI580" s="136" t="n"/>
      <c r="AJ580" s="136" t="n"/>
      <c r="AK580" s="136" t="n"/>
      <c r="AL580" s="136" t="n"/>
      <c r="AM580" s="136" t="n"/>
      <c r="AN580" s="136" t="n"/>
      <c r="AO580" s="136" t="n"/>
      <c r="AP580" s="136" t="n"/>
      <c r="AQ580" s="136" t="n"/>
      <c r="AR580" s="136" t="n"/>
    </row>
    <row r="581" ht="13.5" customHeight="1" s="196">
      <c r="A581" s="136" t="n"/>
      <c r="B581" s="136" t="n"/>
      <c r="C581" s="136" t="n"/>
      <c r="D581" s="141" t="n"/>
      <c r="E581" s="141" t="n"/>
      <c r="F581" s="141" t="n"/>
      <c r="G581" s="141" t="n"/>
      <c r="H581" s="141" t="n"/>
      <c r="I581" s="141" t="n"/>
      <c r="J581" s="141" t="n"/>
      <c r="K581" s="141" t="n"/>
      <c r="L581" s="141" t="n"/>
      <c r="M581" s="141" t="n"/>
      <c r="N581" s="141" t="n"/>
      <c r="O581" s="141" t="n"/>
      <c r="P581" s="141" t="n"/>
      <c r="Q581" s="141" t="n"/>
      <c r="R581" s="141" t="n"/>
      <c r="S581" s="141" t="n"/>
      <c r="T581" s="141" t="n"/>
      <c r="U581" s="141" t="n"/>
      <c r="V581" s="141" t="n"/>
      <c r="W581" s="141" t="n"/>
      <c r="X581" s="141" t="n"/>
      <c r="Y581" s="136" t="n"/>
      <c r="Z581" s="136" t="n"/>
      <c r="AA581" s="136" t="n"/>
      <c r="AB581" s="136" t="n"/>
      <c r="AC581" s="136" t="n"/>
      <c r="AD581" s="136" t="n"/>
      <c r="AE581" s="136" t="n"/>
      <c r="AF581" s="136" t="n"/>
      <c r="AG581" s="136" t="n"/>
      <c r="AH581" s="136" t="n"/>
      <c r="AI581" s="136" t="n"/>
      <c r="AJ581" s="136" t="n"/>
      <c r="AK581" s="136" t="n"/>
      <c r="AL581" s="136" t="n"/>
      <c r="AM581" s="136" t="n"/>
      <c r="AN581" s="136" t="n"/>
      <c r="AO581" s="136" t="n"/>
      <c r="AP581" s="136" t="n"/>
      <c r="AQ581" s="136" t="n"/>
      <c r="AR581" s="136" t="n"/>
    </row>
    <row r="582" ht="13.5" customHeight="1" s="196">
      <c r="A582" s="136" t="n"/>
      <c r="B582" s="136" t="n"/>
      <c r="C582" s="136" t="n"/>
      <c r="D582" s="141" t="n"/>
      <c r="E582" s="141" t="n"/>
      <c r="F582" s="141" t="n"/>
      <c r="G582" s="141" t="n"/>
      <c r="H582" s="141" t="n"/>
      <c r="I582" s="141" t="n"/>
      <c r="J582" s="141" t="n"/>
      <c r="K582" s="141" t="n"/>
      <c r="L582" s="141" t="n"/>
      <c r="M582" s="141" t="n"/>
      <c r="N582" s="141" t="n"/>
      <c r="O582" s="141" t="n"/>
      <c r="P582" s="141" t="n"/>
      <c r="Q582" s="141" t="n"/>
      <c r="R582" s="141" t="n"/>
      <c r="S582" s="141" t="n"/>
      <c r="T582" s="141" t="n"/>
      <c r="U582" s="141" t="n"/>
      <c r="V582" s="141" t="n"/>
      <c r="W582" s="141" t="n"/>
      <c r="X582" s="141" t="n"/>
      <c r="Y582" s="136" t="n"/>
      <c r="Z582" s="136" t="n"/>
      <c r="AA582" s="136" t="n"/>
      <c r="AB582" s="136" t="n"/>
      <c r="AC582" s="136" t="n"/>
      <c r="AD582" s="136" t="n"/>
      <c r="AE582" s="136" t="n"/>
      <c r="AF582" s="136" t="n"/>
      <c r="AG582" s="136" t="n"/>
      <c r="AH582" s="136" t="n"/>
      <c r="AI582" s="136" t="n"/>
      <c r="AJ582" s="136" t="n"/>
      <c r="AK582" s="136" t="n"/>
      <c r="AL582" s="136" t="n"/>
      <c r="AM582" s="136" t="n"/>
      <c r="AN582" s="136" t="n"/>
      <c r="AO582" s="136" t="n"/>
      <c r="AP582" s="136" t="n"/>
      <c r="AQ582" s="136" t="n"/>
      <c r="AR582" s="136" t="n"/>
    </row>
    <row r="583" ht="13.5" customHeight="1" s="196">
      <c r="A583" s="136" t="n"/>
      <c r="B583" s="136" t="n"/>
      <c r="C583" s="136" t="n"/>
      <c r="D583" s="141" t="n"/>
      <c r="E583" s="141" t="n"/>
      <c r="F583" s="141" t="n"/>
      <c r="G583" s="141" t="n"/>
      <c r="H583" s="141" t="n"/>
      <c r="I583" s="141" t="n"/>
      <c r="J583" s="141" t="n"/>
      <c r="K583" s="141" t="n"/>
      <c r="L583" s="141" t="n"/>
      <c r="M583" s="141" t="n"/>
      <c r="N583" s="141" t="n"/>
      <c r="O583" s="141" t="n"/>
      <c r="P583" s="141" t="n"/>
      <c r="Q583" s="141" t="n"/>
      <c r="R583" s="141" t="n"/>
      <c r="S583" s="141" t="n"/>
      <c r="T583" s="141" t="n"/>
      <c r="U583" s="141" t="n"/>
      <c r="V583" s="141" t="n"/>
      <c r="W583" s="141" t="n"/>
      <c r="X583" s="141" t="n"/>
      <c r="Y583" s="136" t="n"/>
      <c r="Z583" s="136" t="n"/>
      <c r="AA583" s="136" t="n"/>
      <c r="AB583" s="136" t="n"/>
      <c r="AC583" s="136" t="n"/>
      <c r="AD583" s="136" t="n"/>
      <c r="AE583" s="136" t="n"/>
      <c r="AF583" s="136" t="n"/>
      <c r="AG583" s="136" t="n"/>
      <c r="AH583" s="136" t="n"/>
      <c r="AI583" s="136" t="n"/>
      <c r="AJ583" s="136" t="n"/>
      <c r="AK583" s="136" t="n"/>
      <c r="AL583" s="136" t="n"/>
      <c r="AM583" s="136" t="n"/>
      <c r="AN583" s="136" t="n"/>
      <c r="AO583" s="136" t="n"/>
      <c r="AP583" s="136" t="n"/>
      <c r="AQ583" s="136" t="n"/>
      <c r="AR583" s="136" t="n"/>
    </row>
    <row r="584" ht="13.5" customHeight="1" s="196">
      <c r="A584" s="136" t="n"/>
      <c r="B584" s="136" t="n"/>
      <c r="C584" s="136" t="n"/>
      <c r="D584" s="141" t="n"/>
      <c r="E584" s="141" t="n"/>
      <c r="F584" s="141" t="n"/>
      <c r="G584" s="141" t="n"/>
      <c r="H584" s="141" t="n"/>
      <c r="I584" s="141" t="n"/>
      <c r="J584" s="141" t="n"/>
      <c r="K584" s="141" t="n"/>
      <c r="L584" s="141" t="n"/>
      <c r="M584" s="141" t="n"/>
      <c r="N584" s="141" t="n"/>
      <c r="O584" s="141" t="n"/>
      <c r="P584" s="141" t="n"/>
      <c r="Q584" s="141" t="n"/>
      <c r="R584" s="141" t="n"/>
      <c r="S584" s="141" t="n"/>
      <c r="T584" s="141" t="n"/>
      <c r="U584" s="141" t="n"/>
      <c r="V584" s="141" t="n"/>
      <c r="W584" s="141" t="n"/>
      <c r="X584" s="141" t="n"/>
      <c r="Y584" s="136" t="n"/>
      <c r="Z584" s="136" t="n"/>
      <c r="AA584" s="136" t="n"/>
      <c r="AB584" s="136" t="n"/>
      <c r="AC584" s="136" t="n"/>
      <c r="AD584" s="136" t="n"/>
      <c r="AE584" s="136" t="n"/>
      <c r="AF584" s="136" t="n"/>
      <c r="AG584" s="136" t="n"/>
      <c r="AH584" s="136" t="n"/>
      <c r="AI584" s="136" t="n"/>
      <c r="AJ584" s="136" t="n"/>
      <c r="AK584" s="136" t="n"/>
      <c r="AL584" s="136" t="n"/>
      <c r="AM584" s="136" t="n"/>
      <c r="AN584" s="136" t="n"/>
      <c r="AO584" s="136" t="n"/>
      <c r="AP584" s="136" t="n"/>
      <c r="AQ584" s="136" t="n"/>
      <c r="AR584" s="136" t="n"/>
    </row>
    <row r="585" ht="13.5" customHeight="1" s="196">
      <c r="A585" s="136" t="n"/>
      <c r="B585" s="136" t="n"/>
      <c r="C585" s="136" t="n"/>
      <c r="D585" s="141" t="n"/>
      <c r="E585" s="141" t="n"/>
      <c r="F585" s="141" t="n"/>
      <c r="G585" s="141" t="n"/>
      <c r="H585" s="141" t="n"/>
      <c r="I585" s="141" t="n"/>
      <c r="J585" s="141" t="n"/>
      <c r="K585" s="141" t="n"/>
      <c r="L585" s="141" t="n"/>
      <c r="M585" s="141" t="n"/>
      <c r="N585" s="141" t="n"/>
      <c r="O585" s="141" t="n"/>
      <c r="P585" s="141" t="n"/>
      <c r="Q585" s="141" t="n"/>
      <c r="R585" s="141" t="n"/>
      <c r="S585" s="141" t="n"/>
      <c r="T585" s="141" t="n"/>
      <c r="U585" s="141" t="n"/>
      <c r="V585" s="141" t="n"/>
      <c r="W585" s="141" t="n"/>
      <c r="X585" s="141" t="n"/>
      <c r="Y585" s="136" t="n"/>
      <c r="Z585" s="136" t="n"/>
      <c r="AA585" s="136" t="n"/>
      <c r="AB585" s="136" t="n"/>
      <c r="AC585" s="136" t="n"/>
      <c r="AD585" s="136" t="n"/>
      <c r="AE585" s="136" t="n"/>
      <c r="AF585" s="136" t="n"/>
      <c r="AG585" s="136" t="n"/>
      <c r="AH585" s="136" t="n"/>
      <c r="AI585" s="136" t="n"/>
      <c r="AJ585" s="136" t="n"/>
      <c r="AK585" s="136" t="n"/>
      <c r="AL585" s="136" t="n"/>
      <c r="AM585" s="136" t="n"/>
      <c r="AN585" s="136" t="n"/>
      <c r="AO585" s="136" t="n"/>
      <c r="AP585" s="136" t="n"/>
      <c r="AQ585" s="136" t="n"/>
      <c r="AR585" s="136" t="n"/>
    </row>
    <row r="586" ht="13.5" customHeight="1" s="196">
      <c r="A586" s="136" t="n"/>
      <c r="B586" s="136" t="n"/>
      <c r="C586" s="136" t="n"/>
      <c r="D586" s="141" t="n"/>
      <c r="E586" s="141" t="n"/>
      <c r="F586" s="141" t="n"/>
      <c r="G586" s="141" t="n"/>
      <c r="H586" s="141" t="n"/>
      <c r="I586" s="141" t="n"/>
      <c r="J586" s="141" t="n"/>
      <c r="K586" s="141" t="n"/>
      <c r="L586" s="141" t="n"/>
      <c r="M586" s="141" t="n"/>
      <c r="N586" s="141" t="n"/>
      <c r="O586" s="141" t="n"/>
      <c r="P586" s="141" t="n"/>
      <c r="Q586" s="141" t="n"/>
      <c r="R586" s="141" t="n"/>
      <c r="S586" s="141" t="n"/>
      <c r="T586" s="141" t="n"/>
      <c r="U586" s="141" t="n"/>
      <c r="V586" s="141" t="n"/>
      <c r="W586" s="141" t="n"/>
      <c r="X586" s="141" t="n"/>
      <c r="Y586" s="136" t="n"/>
      <c r="Z586" s="136" t="n"/>
      <c r="AA586" s="136" t="n"/>
      <c r="AB586" s="136" t="n"/>
      <c r="AC586" s="136" t="n"/>
      <c r="AD586" s="136" t="n"/>
      <c r="AE586" s="136" t="n"/>
      <c r="AF586" s="136" t="n"/>
      <c r="AG586" s="136" t="n"/>
      <c r="AH586" s="136" t="n"/>
      <c r="AI586" s="136" t="n"/>
      <c r="AJ586" s="136" t="n"/>
      <c r="AK586" s="136" t="n"/>
      <c r="AL586" s="136" t="n"/>
      <c r="AM586" s="136" t="n"/>
      <c r="AN586" s="136" t="n"/>
      <c r="AO586" s="136" t="n"/>
      <c r="AP586" s="136" t="n"/>
      <c r="AQ586" s="136" t="n"/>
      <c r="AR586" s="136" t="n"/>
    </row>
    <row r="587" ht="13.5" customHeight="1" s="196">
      <c r="A587" s="136" t="n"/>
      <c r="B587" s="136" t="n"/>
      <c r="C587" s="136" t="n"/>
      <c r="D587" s="141" t="n"/>
      <c r="E587" s="141" t="n"/>
      <c r="F587" s="141" t="n"/>
      <c r="G587" s="141" t="n"/>
      <c r="H587" s="141" t="n"/>
      <c r="I587" s="141" t="n"/>
      <c r="J587" s="141" t="n"/>
      <c r="K587" s="141" t="n"/>
      <c r="L587" s="141" t="n"/>
      <c r="M587" s="141" t="n"/>
      <c r="N587" s="141" t="n"/>
      <c r="O587" s="141" t="n"/>
      <c r="P587" s="141" t="n"/>
      <c r="Q587" s="141" t="n"/>
      <c r="R587" s="141" t="n"/>
      <c r="S587" s="141" t="n"/>
      <c r="T587" s="141" t="n"/>
      <c r="U587" s="141" t="n"/>
      <c r="V587" s="141" t="n"/>
      <c r="W587" s="141" t="n"/>
      <c r="X587" s="141" t="n"/>
      <c r="Y587" s="136" t="n"/>
      <c r="Z587" s="136" t="n"/>
      <c r="AA587" s="136" t="n"/>
      <c r="AB587" s="136" t="n"/>
      <c r="AC587" s="136" t="n"/>
      <c r="AD587" s="136" t="n"/>
      <c r="AE587" s="136" t="n"/>
      <c r="AF587" s="136" t="n"/>
      <c r="AG587" s="136" t="n"/>
      <c r="AH587" s="136" t="n"/>
      <c r="AI587" s="136" t="n"/>
      <c r="AJ587" s="136" t="n"/>
      <c r="AK587" s="136" t="n"/>
      <c r="AL587" s="136" t="n"/>
      <c r="AM587" s="136" t="n"/>
      <c r="AN587" s="136" t="n"/>
      <c r="AO587" s="136" t="n"/>
      <c r="AP587" s="136" t="n"/>
      <c r="AQ587" s="136" t="n"/>
      <c r="AR587" s="136" t="n"/>
    </row>
    <row r="588" ht="13.5" customHeight="1" s="196">
      <c r="A588" s="136" t="n"/>
      <c r="B588" s="136" t="n"/>
      <c r="C588" s="136" t="n"/>
      <c r="D588" s="141" t="n"/>
      <c r="E588" s="141" t="n"/>
      <c r="F588" s="141" t="n"/>
      <c r="G588" s="141" t="n"/>
      <c r="H588" s="141" t="n"/>
      <c r="I588" s="141" t="n"/>
      <c r="J588" s="141" t="n"/>
      <c r="K588" s="141" t="n"/>
      <c r="L588" s="141" t="n"/>
      <c r="M588" s="141" t="n"/>
      <c r="N588" s="141" t="n"/>
      <c r="O588" s="141" t="n"/>
      <c r="P588" s="141" t="n"/>
      <c r="Q588" s="141" t="n"/>
      <c r="R588" s="141" t="n"/>
      <c r="S588" s="141" t="n"/>
      <c r="T588" s="141" t="n"/>
      <c r="U588" s="141" t="n"/>
      <c r="V588" s="141" t="n"/>
      <c r="W588" s="141" t="n"/>
      <c r="X588" s="141" t="n"/>
      <c r="Y588" s="136" t="n"/>
      <c r="Z588" s="136" t="n"/>
      <c r="AA588" s="136" t="n"/>
      <c r="AB588" s="136" t="n"/>
      <c r="AC588" s="136" t="n"/>
      <c r="AD588" s="136" t="n"/>
      <c r="AE588" s="136" t="n"/>
      <c r="AF588" s="136" t="n"/>
      <c r="AG588" s="136" t="n"/>
      <c r="AH588" s="136" t="n"/>
      <c r="AI588" s="136" t="n"/>
      <c r="AJ588" s="136" t="n"/>
      <c r="AK588" s="136" t="n"/>
      <c r="AL588" s="136" t="n"/>
      <c r="AM588" s="136" t="n"/>
      <c r="AN588" s="136" t="n"/>
      <c r="AO588" s="136" t="n"/>
      <c r="AP588" s="136" t="n"/>
      <c r="AQ588" s="136" t="n"/>
      <c r="AR588" s="136" t="n"/>
    </row>
    <row r="589" ht="13.5" customHeight="1" s="196">
      <c r="A589" s="136" t="n"/>
      <c r="B589" s="136" t="n"/>
      <c r="C589" s="136" t="n"/>
      <c r="D589" s="141" t="n"/>
      <c r="E589" s="141" t="n"/>
      <c r="F589" s="141" t="n"/>
      <c r="G589" s="141" t="n"/>
      <c r="H589" s="141" t="n"/>
      <c r="I589" s="141" t="n"/>
      <c r="J589" s="141" t="n"/>
      <c r="K589" s="141" t="n"/>
      <c r="L589" s="141" t="n"/>
      <c r="M589" s="141" t="n"/>
      <c r="N589" s="141" t="n"/>
      <c r="O589" s="141" t="n"/>
      <c r="P589" s="141" t="n"/>
      <c r="Q589" s="141" t="n"/>
      <c r="R589" s="141" t="n"/>
      <c r="S589" s="141" t="n"/>
      <c r="T589" s="141" t="n"/>
      <c r="U589" s="141" t="n"/>
      <c r="V589" s="141" t="n"/>
      <c r="W589" s="141" t="n"/>
      <c r="X589" s="141" t="n"/>
      <c r="Y589" s="136" t="n"/>
      <c r="Z589" s="136" t="n"/>
      <c r="AA589" s="136" t="n"/>
      <c r="AB589" s="136" t="n"/>
      <c r="AC589" s="136" t="n"/>
      <c r="AD589" s="136" t="n"/>
      <c r="AE589" s="136" t="n"/>
      <c r="AF589" s="136" t="n"/>
      <c r="AG589" s="136" t="n"/>
      <c r="AH589" s="136" t="n"/>
      <c r="AI589" s="136" t="n"/>
      <c r="AJ589" s="136" t="n"/>
      <c r="AK589" s="136" t="n"/>
      <c r="AL589" s="136" t="n"/>
      <c r="AM589" s="136" t="n"/>
      <c r="AN589" s="136" t="n"/>
      <c r="AO589" s="136" t="n"/>
      <c r="AP589" s="136" t="n"/>
      <c r="AQ589" s="136" t="n"/>
      <c r="AR589" s="136" t="n"/>
    </row>
    <row r="590" ht="13.5" customHeight="1" s="196">
      <c r="A590" s="136" t="n"/>
      <c r="B590" s="136" t="n"/>
      <c r="C590" s="136" t="n"/>
      <c r="D590" s="141" t="n"/>
      <c r="E590" s="141" t="n"/>
      <c r="F590" s="141" t="n"/>
      <c r="G590" s="141" t="n"/>
      <c r="H590" s="141" t="n"/>
      <c r="I590" s="141" t="n"/>
      <c r="J590" s="141" t="n"/>
      <c r="K590" s="141" t="n"/>
      <c r="L590" s="141" t="n"/>
      <c r="M590" s="141" t="n"/>
      <c r="N590" s="141" t="n"/>
      <c r="O590" s="141" t="n"/>
      <c r="P590" s="141" t="n"/>
      <c r="Q590" s="141" t="n"/>
      <c r="R590" s="141" t="n"/>
      <c r="S590" s="141" t="n"/>
      <c r="T590" s="141" t="n"/>
      <c r="U590" s="141" t="n"/>
      <c r="V590" s="141" t="n"/>
      <c r="W590" s="141" t="n"/>
      <c r="X590" s="141" t="n"/>
      <c r="Y590" s="136" t="n"/>
      <c r="Z590" s="136" t="n"/>
      <c r="AA590" s="136" t="n"/>
      <c r="AB590" s="136" t="n"/>
      <c r="AC590" s="136" t="n"/>
      <c r="AD590" s="136" t="n"/>
      <c r="AE590" s="136" t="n"/>
      <c r="AF590" s="136" t="n"/>
      <c r="AG590" s="136" t="n"/>
      <c r="AH590" s="136" t="n"/>
      <c r="AI590" s="136" t="n"/>
      <c r="AJ590" s="136" t="n"/>
      <c r="AK590" s="136" t="n"/>
      <c r="AL590" s="136" t="n"/>
      <c r="AM590" s="136" t="n"/>
      <c r="AN590" s="136" t="n"/>
      <c r="AO590" s="136" t="n"/>
      <c r="AP590" s="136" t="n"/>
      <c r="AQ590" s="136" t="n"/>
      <c r="AR590" s="136" t="n"/>
    </row>
    <row r="591" ht="13.5" customHeight="1" s="196">
      <c r="A591" s="136" t="n"/>
      <c r="B591" s="136" t="n"/>
      <c r="C591" s="136" t="n"/>
      <c r="D591" s="141" t="n"/>
      <c r="E591" s="141" t="n"/>
      <c r="F591" s="141" t="n"/>
      <c r="G591" s="141" t="n"/>
      <c r="H591" s="141" t="n"/>
      <c r="I591" s="141" t="n"/>
      <c r="J591" s="141" t="n"/>
      <c r="K591" s="141" t="n"/>
      <c r="L591" s="141" t="n"/>
      <c r="M591" s="141" t="n"/>
      <c r="N591" s="141" t="n"/>
      <c r="O591" s="141" t="n"/>
      <c r="P591" s="141" t="n"/>
      <c r="Q591" s="141" t="n"/>
      <c r="R591" s="141" t="n"/>
      <c r="S591" s="141" t="n"/>
      <c r="T591" s="141" t="n"/>
      <c r="U591" s="141" t="n"/>
      <c r="V591" s="141" t="n"/>
      <c r="W591" s="141" t="n"/>
      <c r="X591" s="141" t="n"/>
      <c r="Y591" s="136" t="n"/>
      <c r="Z591" s="136" t="n"/>
      <c r="AA591" s="136" t="n"/>
      <c r="AB591" s="136" t="n"/>
      <c r="AC591" s="136" t="n"/>
      <c r="AD591" s="136" t="n"/>
      <c r="AE591" s="136" t="n"/>
      <c r="AF591" s="136" t="n"/>
      <c r="AG591" s="136" t="n"/>
      <c r="AH591" s="136" t="n"/>
      <c r="AI591" s="136" t="n"/>
      <c r="AJ591" s="136" t="n"/>
      <c r="AK591" s="136" t="n"/>
      <c r="AL591" s="136" t="n"/>
      <c r="AM591" s="136" t="n"/>
      <c r="AN591" s="136" t="n"/>
      <c r="AO591" s="136" t="n"/>
      <c r="AP591" s="136" t="n"/>
      <c r="AQ591" s="136" t="n"/>
      <c r="AR591" s="136" t="n"/>
    </row>
    <row r="592" ht="13.5" customHeight="1" s="196">
      <c r="A592" s="136" t="n"/>
      <c r="B592" s="136" t="n"/>
      <c r="C592" s="136" t="n"/>
      <c r="D592" s="141" t="n"/>
      <c r="E592" s="141" t="n"/>
      <c r="F592" s="141" t="n"/>
      <c r="G592" s="141" t="n"/>
      <c r="H592" s="141" t="n"/>
      <c r="I592" s="141" t="n"/>
      <c r="J592" s="141" t="n"/>
      <c r="K592" s="141" t="n"/>
      <c r="L592" s="141" t="n"/>
      <c r="M592" s="141" t="n"/>
      <c r="N592" s="141" t="n"/>
      <c r="O592" s="141" t="n"/>
      <c r="P592" s="141" t="n"/>
      <c r="Q592" s="141" t="n"/>
      <c r="R592" s="141" t="n"/>
      <c r="S592" s="141" t="n"/>
      <c r="T592" s="141" t="n"/>
      <c r="U592" s="141" t="n"/>
      <c r="V592" s="141" t="n"/>
      <c r="W592" s="141" t="n"/>
      <c r="X592" s="141" t="n"/>
      <c r="Y592" s="136" t="n"/>
      <c r="Z592" s="136" t="n"/>
      <c r="AA592" s="136" t="n"/>
      <c r="AB592" s="136" t="n"/>
      <c r="AC592" s="136" t="n"/>
      <c r="AD592" s="136" t="n"/>
      <c r="AE592" s="136" t="n"/>
      <c r="AF592" s="136" t="n"/>
      <c r="AG592" s="136" t="n"/>
      <c r="AH592" s="136" t="n"/>
      <c r="AI592" s="136" t="n"/>
      <c r="AJ592" s="136" t="n"/>
      <c r="AK592" s="136" t="n"/>
      <c r="AL592" s="136" t="n"/>
      <c r="AM592" s="136" t="n"/>
      <c r="AN592" s="136" t="n"/>
      <c r="AO592" s="136" t="n"/>
      <c r="AP592" s="136" t="n"/>
      <c r="AQ592" s="136" t="n"/>
      <c r="AR592" s="136" t="n"/>
    </row>
    <row r="593" ht="13.5" customHeight="1" s="196">
      <c r="A593" s="136" t="n"/>
      <c r="B593" s="136" t="n"/>
      <c r="C593" s="136" t="n"/>
      <c r="D593" s="141" t="n"/>
      <c r="E593" s="141" t="n"/>
      <c r="F593" s="141" t="n"/>
      <c r="G593" s="141" t="n"/>
      <c r="H593" s="141" t="n"/>
      <c r="I593" s="141" t="n"/>
      <c r="J593" s="141" t="n"/>
      <c r="K593" s="141" t="n"/>
      <c r="L593" s="141" t="n"/>
      <c r="M593" s="141" t="n"/>
      <c r="N593" s="141" t="n"/>
      <c r="O593" s="141" t="n"/>
      <c r="P593" s="141" t="n"/>
      <c r="Q593" s="141" t="n"/>
      <c r="R593" s="141" t="n"/>
      <c r="S593" s="141" t="n"/>
      <c r="T593" s="141" t="n"/>
      <c r="U593" s="141" t="n"/>
      <c r="V593" s="141" t="n"/>
      <c r="W593" s="141" t="n"/>
      <c r="X593" s="141" t="n"/>
      <c r="Y593" s="136" t="n"/>
      <c r="Z593" s="136" t="n"/>
      <c r="AA593" s="136" t="n"/>
      <c r="AB593" s="136" t="n"/>
      <c r="AC593" s="136" t="n"/>
      <c r="AD593" s="136" t="n"/>
      <c r="AE593" s="136" t="n"/>
      <c r="AF593" s="136" t="n"/>
      <c r="AG593" s="136" t="n"/>
      <c r="AH593" s="136" t="n"/>
      <c r="AI593" s="136" t="n"/>
      <c r="AJ593" s="136" t="n"/>
      <c r="AK593" s="136" t="n"/>
      <c r="AL593" s="136" t="n"/>
      <c r="AM593" s="136" t="n"/>
      <c r="AN593" s="136" t="n"/>
      <c r="AO593" s="136" t="n"/>
      <c r="AP593" s="136" t="n"/>
      <c r="AQ593" s="136" t="n"/>
      <c r="AR593" s="136" t="n"/>
    </row>
    <row r="594" ht="13.5" customHeight="1" s="196">
      <c r="A594" s="136" t="n"/>
      <c r="B594" s="136" t="n"/>
      <c r="C594" s="136" t="n"/>
      <c r="D594" s="141" t="n"/>
      <c r="E594" s="141" t="n"/>
      <c r="F594" s="141" t="n"/>
      <c r="G594" s="141" t="n"/>
      <c r="H594" s="141" t="n"/>
      <c r="I594" s="141" t="n"/>
      <c r="J594" s="141" t="n"/>
      <c r="K594" s="141" t="n"/>
      <c r="L594" s="141" t="n"/>
      <c r="M594" s="141" t="n"/>
      <c r="N594" s="141" t="n"/>
      <c r="O594" s="141" t="n"/>
      <c r="P594" s="141" t="n"/>
      <c r="Q594" s="141" t="n"/>
      <c r="R594" s="141" t="n"/>
      <c r="S594" s="141" t="n"/>
      <c r="T594" s="141" t="n"/>
      <c r="U594" s="141" t="n"/>
      <c r="V594" s="141" t="n"/>
      <c r="W594" s="141" t="n"/>
      <c r="X594" s="141" t="n"/>
      <c r="Y594" s="136" t="n"/>
      <c r="Z594" s="136" t="n"/>
      <c r="AA594" s="136" t="n"/>
      <c r="AB594" s="136" t="n"/>
      <c r="AC594" s="136" t="n"/>
      <c r="AD594" s="136" t="n"/>
      <c r="AE594" s="136" t="n"/>
      <c r="AF594" s="136" t="n"/>
      <c r="AG594" s="136" t="n"/>
      <c r="AH594" s="136" t="n"/>
      <c r="AI594" s="136" t="n"/>
      <c r="AJ594" s="136" t="n"/>
      <c r="AK594" s="136" t="n"/>
      <c r="AL594" s="136" t="n"/>
      <c r="AM594" s="136" t="n"/>
      <c r="AN594" s="136" t="n"/>
      <c r="AO594" s="136" t="n"/>
      <c r="AP594" s="136" t="n"/>
      <c r="AQ594" s="136" t="n"/>
      <c r="AR594" s="136" t="n"/>
    </row>
    <row r="595" ht="13.5" customHeight="1" s="196">
      <c r="A595" s="136" t="n"/>
      <c r="B595" s="136" t="n"/>
      <c r="C595" s="136" t="n"/>
      <c r="D595" s="141" t="n"/>
      <c r="E595" s="141" t="n"/>
      <c r="F595" s="141" t="n"/>
      <c r="G595" s="141" t="n"/>
      <c r="H595" s="141" t="n"/>
      <c r="I595" s="141" t="n"/>
      <c r="J595" s="141" t="n"/>
      <c r="K595" s="141" t="n"/>
      <c r="L595" s="141" t="n"/>
      <c r="M595" s="141" t="n"/>
      <c r="N595" s="141" t="n"/>
      <c r="O595" s="141" t="n"/>
      <c r="P595" s="141" t="n"/>
      <c r="Q595" s="141" t="n"/>
      <c r="R595" s="141" t="n"/>
      <c r="S595" s="141" t="n"/>
      <c r="T595" s="141" t="n"/>
      <c r="U595" s="141" t="n"/>
      <c r="V595" s="141" t="n"/>
      <c r="W595" s="141" t="n"/>
      <c r="X595" s="141" t="n"/>
      <c r="Y595" s="136" t="n"/>
      <c r="Z595" s="136" t="n"/>
      <c r="AA595" s="136" t="n"/>
      <c r="AB595" s="136" t="n"/>
      <c r="AC595" s="136" t="n"/>
      <c r="AD595" s="136" t="n"/>
      <c r="AE595" s="136" t="n"/>
      <c r="AF595" s="136" t="n"/>
      <c r="AG595" s="136" t="n"/>
      <c r="AH595" s="136" t="n"/>
      <c r="AI595" s="136" t="n"/>
      <c r="AJ595" s="136" t="n"/>
      <c r="AK595" s="136" t="n"/>
      <c r="AL595" s="136" t="n"/>
      <c r="AM595" s="136" t="n"/>
      <c r="AN595" s="136" t="n"/>
      <c r="AO595" s="136" t="n"/>
      <c r="AP595" s="136" t="n"/>
      <c r="AQ595" s="136" t="n"/>
      <c r="AR595" s="136" t="n"/>
    </row>
    <row r="596" ht="13.5" customHeight="1" s="196">
      <c r="A596" s="136" t="n"/>
      <c r="B596" s="136" t="n"/>
      <c r="C596" s="136" t="n"/>
      <c r="D596" s="141" t="n"/>
      <c r="E596" s="141" t="n"/>
      <c r="F596" s="141" t="n"/>
      <c r="G596" s="141" t="n"/>
      <c r="H596" s="141" t="n"/>
      <c r="I596" s="141" t="n"/>
      <c r="J596" s="141" t="n"/>
      <c r="K596" s="141" t="n"/>
      <c r="L596" s="141" t="n"/>
      <c r="M596" s="141" t="n"/>
      <c r="N596" s="141" t="n"/>
      <c r="O596" s="141" t="n"/>
      <c r="P596" s="141" t="n"/>
      <c r="Q596" s="141" t="n"/>
      <c r="R596" s="141" t="n"/>
      <c r="S596" s="141" t="n"/>
      <c r="T596" s="141" t="n"/>
      <c r="U596" s="141" t="n"/>
      <c r="V596" s="141" t="n"/>
      <c r="W596" s="141" t="n"/>
      <c r="X596" s="141" t="n"/>
      <c r="Y596" s="136" t="n"/>
      <c r="Z596" s="136" t="n"/>
      <c r="AA596" s="136" t="n"/>
      <c r="AB596" s="136" t="n"/>
      <c r="AC596" s="136" t="n"/>
      <c r="AD596" s="136" t="n"/>
      <c r="AE596" s="136" t="n"/>
      <c r="AF596" s="136" t="n"/>
      <c r="AG596" s="136" t="n"/>
      <c r="AH596" s="136" t="n"/>
      <c r="AI596" s="136" t="n"/>
      <c r="AJ596" s="136" t="n"/>
      <c r="AK596" s="136" t="n"/>
      <c r="AL596" s="136" t="n"/>
      <c r="AM596" s="136" t="n"/>
      <c r="AN596" s="136" t="n"/>
      <c r="AO596" s="136" t="n"/>
      <c r="AP596" s="136" t="n"/>
      <c r="AQ596" s="136" t="n"/>
      <c r="AR596" s="136" t="n"/>
    </row>
    <row r="597" ht="13.5" customHeight="1" s="196">
      <c r="A597" s="136" t="n"/>
      <c r="B597" s="136" t="n"/>
      <c r="C597" s="136" t="n"/>
      <c r="D597" s="141" t="n"/>
      <c r="E597" s="141" t="n"/>
      <c r="F597" s="141" t="n"/>
      <c r="G597" s="141" t="n"/>
      <c r="H597" s="141" t="n"/>
      <c r="I597" s="141" t="n"/>
      <c r="J597" s="141" t="n"/>
      <c r="K597" s="141" t="n"/>
      <c r="L597" s="141" t="n"/>
      <c r="M597" s="141" t="n"/>
      <c r="N597" s="141" t="n"/>
      <c r="O597" s="141" t="n"/>
      <c r="P597" s="141" t="n"/>
      <c r="Q597" s="141" t="n"/>
      <c r="R597" s="141" t="n"/>
      <c r="S597" s="141" t="n"/>
      <c r="T597" s="141" t="n"/>
      <c r="U597" s="141" t="n"/>
      <c r="V597" s="141" t="n"/>
      <c r="W597" s="141" t="n"/>
      <c r="X597" s="141" t="n"/>
      <c r="Y597" s="136" t="n"/>
      <c r="Z597" s="136" t="n"/>
      <c r="AA597" s="136" t="n"/>
      <c r="AB597" s="136" t="n"/>
      <c r="AC597" s="136" t="n"/>
      <c r="AD597" s="136" t="n"/>
      <c r="AE597" s="136" t="n"/>
      <c r="AF597" s="136" t="n"/>
      <c r="AG597" s="136" t="n"/>
      <c r="AH597" s="136" t="n"/>
      <c r="AI597" s="136" t="n"/>
      <c r="AJ597" s="136" t="n"/>
      <c r="AK597" s="136" t="n"/>
      <c r="AL597" s="136" t="n"/>
      <c r="AM597" s="136" t="n"/>
      <c r="AN597" s="136" t="n"/>
      <c r="AO597" s="136" t="n"/>
      <c r="AP597" s="136" t="n"/>
      <c r="AQ597" s="136" t="n"/>
      <c r="AR597" s="136" t="n"/>
    </row>
    <row r="598" ht="13.5" customHeight="1" s="196">
      <c r="A598" s="136" t="n"/>
      <c r="B598" s="136" t="n"/>
      <c r="C598" s="136" t="n"/>
      <c r="D598" s="141" t="n"/>
      <c r="E598" s="141" t="n"/>
      <c r="F598" s="141" t="n"/>
      <c r="G598" s="141" t="n"/>
      <c r="H598" s="141" t="n"/>
      <c r="I598" s="141" t="n"/>
      <c r="J598" s="141" t="n"/>
      <c r="K598" s="141" t="n"/>
      <c r="L598" s="141" t="n"/>
      <c r="M598" s="141" t="n"/>
      <c r="N598" s="141" t="n"/>
      <c r="O598" s="141" t="n"/>
      <c r="P598" s="141" t="n"/>
      <c r="Q598" s="141" t="n"/>
      <c r="R598" s="141" t="n"/>
      <c r="S598" s="141" t="n"/>
      <c r="T598" s="141" t="n"/>
      <c r="U598" s="141" t="n"/>
      <c r="V598" s="141" t="n"/>
      <c r="W598" s="141" t="n"/>
      <c r="X598" s="141" t="n"/>
      <c r="Y598" s="136" t="n"/>
      <c r="Z598" s="136" t="n"/>
      <c r="AA598" s="136" t="n"/>
      <c r="AB598" s="136" t="n"/>
      <c r="AC598" s="136" t="n"/>
      <c r="AD598" s="136" t="n"/>
      <c r="AE598" s="136" t="n"/>
      <c r="AF598" s="136" t="n"/>
      <c r="AG598" s="136" t="n"/>
      <c r="AH598" s="136" t="n"/>
      <c r="AI598" s="136" t="n"/>
      <c r="AJ598" s="136" t="n"/>
      <c r="AK598" s="136" t="n"/>
      <c r="AL598" s="136" t="n"/>
      <c r="AM598" s="136" t="n"/>
      <c r="AN598" s="136" t="n"/>
      <c r="AO598" s="136" t="n"/>
      <c r="AP598" s="136" t="n"/>
      <c r="AQ598" s="136" t="n"/>
      <c r="AR598" s="136" t="n"/>
    </row>
    <row r="599" ht="13.5" customHeight="1" s="196">
      <c r="A599" s="136" t="n"/>
      <c r="B599" s="136" t="n"/>
      <c r="C599" s="136" t="n"/>
      <c r="D599" s="141" t="n"/>
      <c r="E599" s="141" t="n"/>
      <c r="F599" s="141" t="n"/>
      <c r="G599" s="141" t="n"/>
      <c r="H599" s="141" t="n"/>
      <c r="I599" s="141" t="n"/>
      <c r="J599" s="141" t="n"/>
      <c r="K599" s="141" t="n"/>
      <c r="L599" s="141" t="n"/>
      <c r="M599" s="141" t="n"/>
      <c r="N599" s="141" t="n"/>
      <c r="O599" s="141" t="n"/>
      <c r="P599" s="141" t="n"/>
      <c r="Q599" s="141" t="n"/>
      <c r="R599" s="141" t="n"/>
      <c r="S599" s="141" t="n"/>
      <c r="T599" s="141" t="n"/>
      <c r="U599" s="141" t="n"/>
      <c r="V599" s="141" t="n"/>
      <c r="W599" s="141" t="n"/>
      <c r="X599" s="141" t="n"/>
      <c r="Y599" s="136" t="n"/>
      <c r="Z599" s="136" t="n"/>
      <c r="AA599" s="136" t="n"/>
      <c r="AB599" s="136" t="n"/>
      <c r="AC599" s="136" t="n"/>
      <c r="AD599" s="136" t="n"/>
      <c r="AE599" s="136" t="n"/>
      <c r="AF599" s="136" t="n"/>
      <c r="AG599" s="136" t="n"/>
      <c r="AH599" s="136" t="n"/>
      <c r="AI599" s="136" t="n"/>
      <c r="AJ599" s="136" t="n"/>
      <c r="AK599" s="136" t="n"/>
      <c r="AL599" s="136" t="n"/>
      <c r="AM599" s="136" t="n"/>
      <c r="AN599" s="136" t="n"/>
      <c r="AO599" s="136" t="n"/>
      <c r="AP599" s="136" t="n"/>
      <c r="AQ599" s="136" t="n"/>
      <c r="AR599" s="136" t="n"/>
    </row>
    <row r="600" ht="13.5" customHeight="1" s="196">
      <c r="A600" s="136" t="n"/>
      <c r="B600" s="136" t="n"/>
      <c r="C600" s="136" t="n"/>
      <c r="D600" s="141" t="n"/>
      <c r="E600" s="141" t="n"/>
      <c r="F600" s="141" t="n"/>
      <c r="G600" s="141" t="n"/>
      <c r="H600" s="141" t="n"/>
      <c r="I600" s="141" t="n"/>
      <c r="J600" s="141" t="n"/>
      <c r="K600" s="141" t="n"/>
      <c r="L600" s="141" t="n"/>
      <c r="M600" s="141" t="n"/>
      <c r="N600" s="141" t="n"/>
      <c r="O600" s="141" t="n"/>
      <c r="P600" s="141" t="n"/>
      <c r="Q600" s="141" t="n"/>
      <c r="R600" s="141" t="n"/>
      <c r="S600" s="141" t="n"/>
      <c r="T600" s="141" t="n"/>
      <c r="U600" s="141" t="n"/>
      <c r="V600" s="141" t="n"/>
      <c r="W600" s="141" t="n"/>
      <c r="X600" s="141" t="n"/>
      <c r="Y600" s="136" t="n"/>
      <c r="Z600" s="136" t="n"/>
      <c r="AA600" s="136" t="n"/>
      <c r="AB600" s="136" t="n"/>
      <c r="AC600" s="136" t="n"/>
      <c r="AD600" s="136" t="n"/>
      <c r="AE600" s="136" t="n"/>
      <c r="AF600" s="136" t="n"/>
      <c r="AG600" s="136" t="n"/>
      <c r="AH600" s="136" t="n"/>
      <c r="AI600" s="136" t="n"/>
      <c r="AJ600" s="136" t="n"/>
      <c r="AK600" s="136" t="n"/>
      <c r="AL600" s="136" t="n"/>
      <c r="AM600" s="136" t="n"/>
      <c r="AN600" s="136" t="n"/>
      <c r="AO600" s="136" t="n"/>
      <c r="AP600" s="136" t="n"/>
      <c r="AQ600" s="136" t="n"/>
      <c r="AR600" s="136" t="n"/>
    </row>
    <row r="601" ht="13.5" customHeight="1" s="196">
      <c r="A601" s="136" t="n"/>
      <c r="B601" s="136" t="n"/>
      <c r="C601" s="136" t="n"/>
      <c r="D601" s="141" t="n"/>
      <c r="E601" s="141" t="n"/>
      <c r="F601" s="141" t="n"/>
      <c r="G601" s="141" t="n"/>
      <c r="H601" s="141" t="n"/>
      <c r="I601" s="141" t="n"/>
      <c r="J601" s="141" t="n"/>
      <c r="K601" s="141" t="n"/>
      <c r="L601" s="141" t="n"/>
      <c r="M601" s="141" t="n"/>
      <c r="N601" s="141" t="n"/>
      <c r="O601" s="141" t="n"/>
      <c r="P601" s="141" t="n"/>
      <c r="Q601" s="141" t="n"/>
      <c r="R601" s="141" t="n"/>
      <c r="S601" s="141" t="n"/>
      <c r="T601" s="141" t="n"/>
      <c r="U601" s="141" t="n"/>
      <c r="V601" s="141" t="n"/>
      <c r="W601" s="141" t="n"/>
      <c r="X601" s="141" t="n"/>
      <c r="Y601" s="136" t="n"/>
      <c r="Z601" s="136" t="n"/>
      <c r="AA601" s="136" t="n"/>
      <c r="AB601" s="136" t="n"/>
      <c r="AC601" s="136" t="n"/>
      <c r="AD601" s="136" t="n"/>
      <c r="AE601" s="136" t="n"/>
      <c r="AF601" s="136" t="n"/>
      <c r="AG601" s="136" t="n"/>
      <c r="AH601" s="136" t="n"/>
      <c r="AI601" s="136" t="n"/>
      <c r="AJ601" s="136" t="n"/>
      <c r="AK601" s="136" t="n"/>
      <c r="AL601" s="136" t="n"/>
      <c r="AM601" s="136" t="n"/>
      <c r="AN601" s="136" t="n"/>
      <c r="AO601" s="136" t="n"/>
      <c r="AP601" s="136" t="n"/>
      <c r="AQ601" s="136" t="n"/>
      <c r="AR601" s="136" t="n"/>
    </row>
    <row r="602" ht="13.5" customHeight="1" s="196">
      <c r="A602" s="136" t="n"/>
      <c r="B602" s="136" t="n"/>
      <c r="C602" s="136" t="n"/>
      <c r="D602" s="141" t="n"/>
      <c r="E602" s="141" t="n"/>
      <c r="F602" s="141" t="n"/>
      <c r="G602" s="141" t="n"/>
      <c r="H602" s="141" t="n"/>
      <c r="I602" s="141" t="n"/>
      <c r="J602" s="141" t="n"/>
      <c r="K602" s="141" t="n"/>
      <c r="L602" s="141" t="n"/>
      <c r="M602" s="141" t="n"/>
      <c r="N602" s="141" t="n"/>
      <c r="O602" s="141" t="n"/>
      <c r="P602" s="141" t="n"/>
      <c r="Q602" s="141" t="n"/>
      <c r="R602" s="141" t="n"/>
      <c r="S602" s="141" t="n"/>
      <c r="T602" s="141" t="n"/>
      <c r="U602" s="141" t="n"/>
      <c r="V602" s="141" t="n"/>
      <c r="W602" s="141" t="n"/>
      <c r="X602" s="141" t="n"/>
      <c r="Y602" s="136" t="n"/>
      <c r="Z602" s="136" t="n"/>
      <c r="AA602" s="136" t="n"/>
      <c r="AB602" s="136" t="n"/>
      <c r="AC602" s="136" t="n"/>
      <c r="AD602" s="136" t="n"/>
      <c r="AE602" s="136" t="n"/>
      <c r="AF602" s="136" t="n"/>
      <c r="AG602" s="136" t="n"/>
      <c r="AH602" s="136" t="n"/>
      <c r="AI602" s="136" t="n"/>
      <c r="AJ602" s="136" t="n"/>
      <c r="AK602" s="136" t="n"/>
      <c r="AL602" s="136" t="n"/>
      <c r="AM602" s="136" t="n"/>
      <c r="AN602" s="136" t="n"/>
      <c r="AO602" s="136" t="n"/>
      <c r="AP602" s="136" t="n"/>
      <c r="AQ602" s="136" t="n"/>
      <c r="AR602" s="136" t="n"/>
    </row>
    <row r="603" ht="13.5" customHeight="1" s="196">
      <c r="A603" s="136" t="n"/>
      <c r="B603" s="136" t="n"/>
      <c r="C603" s="136" t="n"/>
      <c r="D603" s="141" t="n"/>
      <c r="E603" s="141" t="n"/>
      <c r="F603" s="141" t="n"/>
      <c r="G603" s="141" t="n"/>
      <c r="H603" s="141" t="n"/>
      <c r="I603" s="141" t="n"/>
      <c r="J603" s="141" t="n"/>
      <c r="K603" s="141" t="n"/>
      <c r="L603" s="141" t="n"/>
      <c r="M603" s="141" t="n"/>
      <c r="N603" s="141" t="n"/>
      <c r="O603" s="141" t="n"/>
      <c r="P603" s="141" t="n"/>
      <c r="Q603" s="141" t="n"/>
      <c r="R603" s="141" t="n"/>
      <c r="S603" s="141" t="n"/>
      <c r="T603" s="141" t="n"/>
      <c r="U603" s="141" t="n"/>
      <c r="V603" s="141" t="n"/>
      <c r="W603" s="141" t="n"/>
      <c r="X603" s="141" t="n"/>
      <c r="Y603" s="136" t="n"/>
      <c r="Z603" s="136" t="n"/>
      <c r="AA603" s="136" t="n"/>
      <c r="AB603" s="136" t="n"/>
      <c r="AC603" s="136" t="n"/>
      <c r="AD603" s="136" t="n"/>
      <c r="AE603" s="136" t="n"/>
      <c r="AF603" s="136" t="n"/>
      <c r="AG603" s="136" t="n"/>
      <c r="AH603" s="136" t="n"/>
      <c r="AI603" s="136" t="n"/>
      <c r="AJ603" s="136" t="n"/>
      <c r="AK603" s="136" t="n"/>
      <c r="AL603" s="136" t="n"/>
      <c r="AM603" s="136" t="n"/>
      <c r="AN603" s="136" t="n"/>
      <c r="AO603" s="136" t="n"/>
      <c r="AP603" s="136" t="n"/>
      <c r="AQ603" s="136" t="n"/>
      <c r="AR603" s="136" t="n"/>
    </row>
    <row r="604" ht="13.5" customHeight="1" s="196">
      <c r="A604" s="136" t="n"/>
      <c r="B604" s="136" t="n"/>
      <c r="C604" s="136" t="n"/>
      <c r="D604" s="141" t="n"/>
      <c r="E604" s="141" t="n"/>
      <c r="F604" s="141" t="n"/>
      <c r="G604" s="141" t="n"/>
      <c r="H604" s="141" t="n"/>
      <c r="I604" s="141" t="n"/>
      <c r="J604" s="141" t="n"/>
      <c r="K604" s="141" t="n"/>
      <c r="L604" s="141" t="n"/>
      <c r="M604" s="141" t="n"/>
      <c r="N604" s="141" t="n"/>
      <c r="O604" s="141" t="n"/>
      <c r="P604" s="141" t="n"/>
      <c r="Q604" s="141" t="n"/>
      <c r="R604" s="141" t="n"/>
      <c r="S604" s="141" t="n"/>
      <c r="T604" s="141" t="n"/>
      <c r="U604" s="141" t="n"/>
      <c r="V604" s="141" t="n"/>
      <c r="W604" s="141" t="n"/>
      <c r="X604" s="141" t="n"/>
      <c r="Y604" s="136" t="n"/>
      <c r="Z604" s="136" t="n"/>
      <c r="AA604" s="136" t="n"/>
      <c r="AB604" s="136" t="n"/>
      <c r="AC604" s="136" t="n"/>
      <c r="AD604" s="136" t="n"/>
      <c r="AE604" s="136" t="n"/>
      <c r="AF604" s="136" t="n"/>
      <c r="AG604" s="136" t="n"/>
      <c r="AH604" s="136" t="n"/>
      <c r="AI604" s="136" t="n"/>
      <c r="AJ604" s="136" t="n"/>
      <c r="AK604" s="136" t="n"/>
      <c r="AL604" s="136" t="n"/>
      <c r="AM604" s="136" t="n"/>
      <c r="AN604" s="136" t="n"/>
      <c r="AO604" s="136" t="n"/>
      <c r="AP604" s="136" t="n"/>
      <c r="AQ604" s="136" t="n"/>
      <c r="AR604" s="136" t="n"/>
    </row>
    <row r="605" ht="13.5" customHeight="1" s="196">
      <c r="A605" s="136" t="n"/>
      <c r="B605" s="136" t="n"/>
      <c r="C605" s="136" t="n"/>
      <c r="D605" s="141" t="n"/>
      <c r="E605" s="141" t="n"/>
      <c r="F605" s="141" t="n"/>
      <c r="G605" s="141" t="n"/>
      <c r="H605" s="141" t="n"/>
      <c r="I605" s="141" t="n"/>
      <c r="J605" s="141" t="n"/>
      <c r="K605" s="141" t="n"/>
      <c r="L605" s="141" t="n"/>
      <c r="M605" s="141" t="n"/>
      <c r="N605" s="141" t="n"/>
      <c r="O605" s="141" t="n"/>
      <c r="P605" s="141" t="n"/>
      <c r="Q605" s="141" t="n"/>
      <c r="R605" s="141" t="n"/>
      <c r="S605" s="141" t="n"/>
      <c r="T605" s="141" t="n"/>
      <c r="U605" s="141" t="n"/>
      <c r="V605" s="141" t="n"/>
      <c r="W605" s="141" t="n"/>
      <c r="X605" s="141" t="n"/>
      <c r="Y605" s="136" t="n"/>
      <c r="Z605" s="136" t="n"/>
      <c r="AA605" s="136" t="n"/>
      <c r="AB605" s="136" t="n"/>
      <c r="AC605" s="136" t="n"/>
      <c r="AD605" s="136" t="n"/>
      <c r="AE605" s="136" t="n"/>
      <c r="AF605" s="136" t="n"/>
      <c r="AG605" s="136" t="n"/>
      <c r="AH605" s="136" t="n"/>
      <c r="AI605" s="136" t="n"/>
      <c r="AJ605" s="136" t="n"/>
      <c r="AK605" s="136" t="n"/>
      <c r="AL605" s="136" t="n"/>
      <c r="AM605" s="136" t="n"/>
      <c r="AN605" s="136" t="n"/>
      <c r="AO605" s="136" t="n"/>
      <c r="AP605" s="136" t="n"/>
      <c r="AQ605" s="136" t="n"/>
      <c r="AR605" s="136" t="n"/>
    </row>
    <row r="606" ht="13.5" customHeight="1" s="196">
      <c r="A606" s="136" t="n"/>
      <c r="B606" s="136" t="n"/>
      <c r="C606" s="136" t="n"/>
      <c r="D606" s="141" t="n"/>
      <c r="E606" s="141" t="n"/>
      <c r="F606" s="141" t="n"/>
      <c r="G606" s="141" t="n"/>
      <c r="H606" s="141" t="n"/>
      <c r="I606" s="141" t="n"/>
      <c r="J606" s="141" t="n"/>
      <c r="K606" s="141" t="n"/>
      <c r="L606" s="141" t="n"/>
      <c r="M606" s="141" t="n"/>
      <c r="N606" s="141" t="n"/>
      <c r="O606" s="141" t="n"/>
      <c r="P606" s="141" t="n"/>
      <c r="Q606" s="141" t="n"/>
      <c r="R606" s="141" t="n"/>
      <c r="S606" s="141" t="n"/>
      <c r="T606" s="141" t="n"/>
      <c r="U606" s="141" t="n"/>
      <c r="V606" s="141" t="n"/>
      <c r="W606" s="141" t="n"/>
      <c r="X606" s="141" t="n"/>
      <c r="Y606" s="136" t="n"/>
      <c r="Z606" s="136" t="n"/>
      <c r="AA606" s="136" t="n"/>
      <c r="AB606" s="136" t="n"/>
      <c r="AC606" s="136" t="n"/>
      <c r="AD606" s="136" t="n"/>
      <c r="AE606" s="136" t="n"/>
      <c r="AF606" s="136" t="n"/>
      <c r="AG606" s="136" t="n"/>
      <c r="AH606" s="136" t="n"/>
      <c r="AI606" s="136" t="n"/>
      <c r="AJ606" s="136" t="n"/>
      <c r="AK606" s="136" t="n"/>
      <c r="AL606" s="136" t="n"/>
      <c r="AM606" s="136" t="n"/>
      <c r="AN606" s="136" t="n"/>
      <c r="AO606" s="136" t="n"/>
      <c r="AP606" s="136" t="n"/>
      <c r="AQ606" s="136" t="n"/>
      <c r="AR606" s="136" t="n"/>
    </row>
    <row r="607" ht="13.5" customHeight="1" s="196">
      <c r="A607" s="136" t="n"/>
      <c r="B607" s="136" t="n"/>
      <c r="C607" s="136" t="n"/>
      <c r="D607" s="141" t="n"/>
      <c r="E607" s="141" t="n"/>
      <c r="F607" s="141" t="n"/>
      <c r="G607" s="141" t="n"/>
      <c r="H607" s="141" t="n"/>
      <c r="I607" s="141" t="n"/>
      <c r="J607" s="141" t="n"/>
      <c r="K607" s="141" t="n"/>
      <c r="L607" s="141" t="n"/>
      <c r="M607" s="141" t="n"/>
      <c r="N607" s="141" t="n"/>
      <c r="O607" s="141" t="n"/>
      <c r="P607" s="141" t="n"/>
      <c r="Q607" s="141" t="n"/>
      <c r="R607" s="141" t="n"/>
      <c r="S607" s="141" t="n"/>
      <c r="T607" s="141" t="n"/>
      <c r="U607" s="141" t="n"/>
      <c r="V607" s="141" t="n"/>
      <c r="W607" s="141" t="n"/>
      <c r="X607" s="141" t="n"/>
      <c r="Y607" s="136" t="n"/>
      <c r="Z607" s="136" t="n"/>
      <c r="AA607" s="136" t="n"/>
      <c r="AB607" s="136" t="n"/>
      <c r="AC607" s="136" t="n"/>
      <c r="AD607" s="136" t="n"/>
      <c r="AE607" s="136" t="n"/>
      <c r="AF607" s="136" t="n"/>
      <c r="AG607" s="136" t="n"/>
      <c r="AH607" s="136" t="n"/>
      <c r="AI607" s="136" t="n"/>
      <c r="AJ607" s="136" t="n"/>
      <c r="AK607" s="136" t="n"/>
      <c r="AL607" s="136" t="n"/>
      <c r="AM607" s="136" t="n"/>
      <c r="AN607" s="136" t="n"/>
      <c r="AO607" s="136" t="n"/>
      <c r="AP607" s="136" t="n"/>
      <c r="AQ607" s="136" t="n"/>
      <c r="AR607" s="136" t="n"/>
    </row>
    <row r="608" ht="13.5" customHeight="1" s="196">
      <c r="A608" s="136" t="n"/>
      <c r="B608" s="136" t="n"/>
      <c r="C608" s="136" t="n"/>
      <c r="D608" s="141" t="n"/>
      <c r="E608" s="141" t="n"/>
      <c r="F608" s="141" t="n"/>
      <c r="G608" s="141" t="n"/>
      <c r="H608" s="141" t="n"/>
      <c r="I608" s="141" t="n"/>
      <c r="J608" s="141" t="n"/>
      <c r="K608" s="141" t="n"/>
      <c r="L608" s="141" t="n"/>
      <c r="M608" s="141" t="n"/>
      <c r="N608" s="141" t="n"/>
      <c r="O608" s="141" t="n"/>
      <c r="P608" s="141" t="n"/>
      <c r="Q608" s="141" t="n"/>
      <c r="R608" s="141" t="n"/>
      <c r="S608" s="141" t="n"/>
      <c r="T608" s="141" t="n"/>
      <c r="U608" s="141" t="n"/>
      <c r="V608" s="141" t="n"/>
      <c r="W608" s="141" t="n"/>
      <c r="X608" s="141" t="n"/>
      <c r="Y608" s="136" t="n"/>
      <c r="Z608" s="136" t="n"/>
      <c r="AA608" s="136" t="n"/>
      <c r="AB608" s="136" t="n"/>
      <c r="AC608" s="136" t="n"/>
      <c r="AD608" s="136" t="n"/>
      <c r="AE608" s="136" t="n"/>
      <c r="AF608" s="136" t="n"/>
      <c r="AG608" s="136" t="n"/>
      <c r="AH608" s="136" t="n"/>
      <c r="AI608" s="136" t="n"/>
      <c r="AJ608" s="136" t="n"/>
      <c r="AK608" s="136" t="n"/>
      <c r="AL608" s="136" t="n"/>
      <c r="AM608" s="136" t="n"/>
      <c r="AN608" s="136" t="n"/>
      <c r="AO608" s="136" t="n"/>
      <c r="AP608" s="136" t="n"/>
      <c r="AQ608" s="136" t="n"/>
      <c r="AR608" s="136" t="n"/>
    </row>
    <row r="609" ht="13.5" customHeight="1" s="196">
      <c r="A609" s="136" t="n"/>
      <c r="B609" s="136" t="n"/>
      <c r="C609" s="136" t="n"/>
      <c r="D609" s="141" t="n"/>
      <c r="E609" s="141" t="n"/>
      <c r="F609" s="141" t="n"/>
      <c r="G609" s="141" t="n"/>
      <c r="H609" s="141" t="n"/>
      <c r="I609" s="141" t="n"/>
      <c r="J609" s="141" t="n"/>
      <c r="K609" s="141" t="n"/>
      <c r="L609" s="141" t="n"/>
      <c r="M609" s="141" t="n"/>
      <c r="N609" s="141" t="n"/>
      <c r="O609" s="141" t="n"/>
      <c r="P609" s="141" t="n"/>
      <c r="Q609" s="141" t="n"/>
      <c r="R609" s="141" t="n"/>
      <c r="S609" s="141" t="n"/>
      <c r="T609" s="141" t="n"/>
      <c r="U609" s="141" t="n"/>
      <c r="V609" s="141" t="n"/>
      <c r="W609" s="141" t="n"/>
      <c r="X609" s="141" t="n"/>
      <c r="Y609" s="136" t="n"/>
      <c r="Z609" s="136" t="n"/>
      <c r="AA609" s="136" t="n"/>
      <c r="AB609" s="136" t="n"/>
      <c r="AC609" s="136" t="n"/>
      <c r="AD609" s="136" t="n"/>
      <c r="AE609" s="136" t="n"/>
      <c r="AF609" s="136" t="n"/>
      <c r="AG609" s="136" t="n"/>
      <c r="AH609" s="136" t="n"/>
      <c r="AI609" s="136" t="n"/>
      <c r="AJ609" s="136" t="n"/>
      <c r="AK609" s="136" t="n"/>
      <c r="AL609" s="136" t="n"/>
      <c r="AM609" s="136" t="n"/>
      <c r="AN609" s="136" t="n"/>
      <c r="AO609" s="136" t="n"/>
      <c r="AP609" s="136" t="n"/>
      <c r="AQ609" s="136" t="n"/>
      <c r="AR609" s="136" t="n"/>
    </row>
    <row r="610" ht="13.5" customHeight="1" s="196">
      <c r="A610" s="136" t="n"/>
      <c r="B610" s="136" t="n"/>
      <c r="C610" s="136" t="n"/>
      <c r="D610" s="141" t="n"/>
      <c r="E610" s="141" t="n"/>
      <c r="F610" s="141" t="n"/>
      <c r="G610" s="141" t="n"/>
      <c r="H610" s="141" t="n"/>
      <c r="I610" s="141" t="n"/>
      <c r="J610" s="141" t="n"/>
      <c r="K610" s="141" t="n"/>
      <c r="L610" s="141" t="n"/>
      <c r="M610" s="141" t="n"/>
      <c r="N610" s="141" t="n"/>
      <c r="O610" s="141" t="n"/>
      <c r="P610" s="141" t="n"/>
      <c r="Q610" s="141" t="n"/>
      <c r="R610" s="141" t="n"/>
      <c r="S610" s="141" t="n"/>
      <c r="T610" s="141" t="n"/>
      <c r="U610" s="141" t="n"/>
      <c r="V610" s="141" t="n"/>
      <c r="W610" s="141" t="n"/>
      <c r="X610" s="141" t="n"/>
      <c r="Y610" s="136" t="n"/>
      <c r="Z610" s="136" t="n"/>
      <c r="AA610" s="136" t="n"/>
      <c r="AB610" s="136" t="n"/>
      <c r="AC610" s="136" t="n"/>
      <c r="AD610" s="136" t="n"/>
      <c r="AE610" s="136" t="n"/>
      <c r="AF610" s="136" t="n"/>
      <c r="AG610" s="136" t="n"/>
      <c r="AH610" s="136" t="n"/>
      <c r="AI610" s="136" t="n"/>
      <c r="AJ610" s="136" t="n"/>
      <c r="AK610" s="136" t="n"/>
      <c r="AL610" s="136" t="n"/>
      <c r="AM610" s="136" t="n"/>
      <c r="AN610" s="136" t="n"/>
      <c r="AO610" s="136" t="n"/>
      <c r="AP610" s="136" t="n"/>
      <c r="AQ610" s="136" t="n"/>
      <c r="AR610" s="136" t="n"/>
    </row>
    <row r="611" ht="13.5" customHeight="1" s="196">
      <c r="A611" s="136" t="n"/>
      <c r="B611" s="136" t="n"/>
      <c r="C611" s="136" t="n"/>
      <c r="D611" s="141" t="n"/>
      <c r="E611" s="141" t="n"/>
      <c r="F611" s="141" t="n"/>
      <c r="G611" s="141" t="n"/>
      <c r="H611" s="141" t="n"/>
      <c r="I611" s="141" t="n"/>
      <c r="J611" s="141" t="n"/>
      <c r="K611" s="141" t="n"/>
      <c r="L611" s="141" t="n"/>
      <c r="M611" s="141" t="n"/>
      <c r="N611" s="141" t="n"/>
      <c r="O611" s="141" t="n"/>
      <c r="P611" s="141" t="n"/>
      <c r="Q611" s="141" t="n"/>
      <c r="R611" s="141" t="n"/>
      <c r="S611" s="141" t="n"/>
      <c r="T611" s="141" t="n"/>
      <c r="U611" s="141" t="n"/>
      <c r="V611" s="141" t="n"/>
      <c r="W611" s="141" t="n"/>
      <c r="X611" s="141" t="n"/>
      <c r="Y611" s="136" t="n"/>
      <c r="Z611" s="136" t="n"/>
      <c r="AA611" s="136" t="n"/>
      <c r="AB611" s="136" t="n"/>
      <c r="AC611" s="136" t="n"/>
      <c r="AD611" s="136" t="n"/>
      <c r="AE611" s="136" t="n"/>
      <c r="AF611" s="136" t="n"/>
      <c r="AG611" s="136" t="n"/>
      <c r="AH611" s="136" t="n"/>
      <c r="AI611" s="136" t="n"/>
      <c r="AJ611" s="136" t="n"/>
      <c r="AK611" s="136" t="n"/>
      <c r="AL611" s="136" t="n"/>
      <c r="AM611" s="136" t="n"/>
      <c r="AN611" s="136" t="n"/>
      <c r="AO611" s="136" t="n"/>
      <c r="AP611" s="136" t="n"/>
      <c r="AQ611" s="136" t="n"/>
      <c r="AR611" s="136" t="n"/>
    </row>
    <row r="612" ht="13.5" customHeight="1" s="196">
      <c r="A612" s="136" t="n"/>
      <c r="B612" s="136" t="n"/>
      <c r="C612" s="136" t="n"/>
      <c r="D612" s="141" t="n"/>
      <c r="E612" s="141" t="n"/>
      <c r="F612" s="141" t="n"/>
      <c r="G612" s="141" t="n"/>
      <c r="H612" s="141" t="n"/>
      <c r="I612" s="141" t="n"/>
      <c r="J612" s="141" t="n"/>
      <c r="K612" s="141" t="n"/>
      <c r="L612" s="141" t="n"/>
      <c r="M612" s="141" t="n"/>
      <c r="N612" s="141" t="n"/>
      <c r="O612" s="141" t="n"/>
      <c r="P612" s="141" t="n"/>
      <c r="Q612" s="141" t="n"/>
      <c r="R612" s="141" t="n"/>
      <c r="S612" s="141" t="n"/>
      <c r="T612" s="141" t="n"/>
      <c r="U612" s="141" t="n"/>
      <c r="V612" s="141" t="n"/>
      <c r="W612" s="141" t="n"/>
      <c r="X612" s="141" t="n"/>
      <c r="Y612" s="136" t="n"/>
      <c r="Z612" s="136" t="n"/>
      <c r="AA612" s="136" t="n"/>
      <c r="AB612" s="136" t="n"/>
      <c r="AC612" s="136" t="n"/>
      <c r="AD612" s="136" t="n"/>
      <c r="AE612" s="136" t="n"/>
      <c r="AF612" s="136" t="n"/>
      <c r="AG612" s="136" t="n"/>
      <c r="AH612" s="136" t="n"/>
      <c r="AI612" s="136" t="n"/>
      <c r="AJ612" s="136" t="n"/>
      <c r="AK612" s="136" t="n"/>
      <c r="AL612" s="136" t="n"/>
      <c r="AM612" s="136" t="n"/>
      <c r="AN612" s="136" t="n"/>
      <c r="AO612" s="136" t="n"/>
      <c r="AP612" s="136" t="n"/>
      <c r="AQ612" s="136" t="n"/>
      <c r="AR612" s="136" t="n"/>
    </row>
    <row r="613" ht="13.5" customHeight="1" s="196">
      <c r="A613" s="136" t="n"/>
      <c r="B613" s="136" t="n"/>
      <c r="C613" s="136" t="n"/>
      <c r="D613" s="141" t="n"/>
      <c r="E613" s="141" t="n"/>
      <c r="F613" s="141" t="n"/>
      <c r="G613" s="141" t="n"/>
      <c r="H613" s="141" t="n"/>
      <c r="I613" s="141" t="n"/>
      <c r="J613" s="141" t="n"/>
      <c r="K613" s="141" t="n"/>
      <c r="L613" s="141" t="n"/>
      <c r="M613" s="141" t="n"/>
      <c r="N613" s="141" t="n"/>
      <c r="O613" s="141" t="n"/>
      <c r="P613" s="141" t="n"/>
      <c r="Q613" s="141" t="n"/>
      <c r="R613" s="141" t="n"/>
      <c r="S613" s="141" t="n"/>
      <c r="T613" s="141" t="n"/>
      <c r="U613" s="141" t="n"/>
      <c r="V613" s="141" t="n"/>
      <c r="W613" s="141" t="n"/>
      <c r="X613" s="141" t="n"/>
      <c r="Y613" s="136" t="n"/>
      <c r="Z613" s="136" t="n"/>
      <c r="AA613" s="136" t="n"/>
      <c r="AB613" s="136" t="n"/>
      <c r="AC613" s="136" t="n"/>
      <c r="AD613" s="136" t="n"/>
      <c r="AE613" s="136" t="n"/>
      <c r="AF613" s="136" t="n"/>
      <c r="AG613" s="136" t="n"/>
      <c r="AH613" s="136" t="n"/>
      <c r="AI613" s="136" t="n"/>
      <c r="AJ613" s="136" t="n"/>
      <c r="AK613" s="136" t="n"/>
      <c r="AL613" s="136" t="n"/>
      <c r="AM613" s="136" t="n"/>
      <c r="AN613" s="136" t="n"/>
      <c r="AO613" s="136" t="n"/>
      <c r="AP613" s="136" t="n"/>
      <c r="AQ613" s="136" t="n"/>
      <c r="AR613" s="136" t="n"/>
    </row>
    <row r="614" ht="13.5" customHeight="1" s="196">
      <c r="A614" s="136" t="n"/>
      <c r="B614" s="136" t="n"/>
      <c r="C614" s="136" t="n"/>
      <c r="D614" s="141" t="n"/>
      <c r="E614" s="141" t="n"/>
      <c r="F614" s="141" t="n"/>
      <c r="G614" s="141" t="n"/>
      <c r="H614" s="141" t="n"/>
      <c r="I614" s="141" t="n"/>
      <c r="J614" s="141" t="n"/>
      <c r="K614" s="141" t="n"/>
      <c r="L614" s="141" t="n"/>
      <c r="M614" s="141" t="n"/>
      <c r="N614" s="141" t="n"/>
      <c r="O614" s="141" t="n"/>
      <c r="P614" s="141" t="n"/>
      <c r="Q614" s="141" t="n"/>
      <c r="R614" s="141" t="n"/>
      <c r="S614" s="141" t="n"/>
      <c r="T614" s="141" t="n"/>
      <c r="U614" s="141" t="n"/>
      <c r="V614" s="141" t="n"/>
      <c r="W614" s="141" t="n"/>
      <c r="X614" s="141" t="n"/>
      <c r="Y614" s="136" t="n"/>
      <c r="Z614" s="136" t="n"/>
      <c r="AA614" s="136" t="n"/>
      <c r="AB614" s="136" t="n"/>
      <c r="AC614" s="136" t="n"/>
      <c r="AD614" s="136" t="n"/>
      <c r="AE614" s="136" t="n"/>
      <c r="AF614" s="136" t="n"/>
      <c r="AG614" s="136" t="n"/>
      <c r="AH614" s="136" t="n"/>
      <c r="AI614" s="136" t="n"/>
      <c r="AJ614" s="136" t="n"/>
      <c r="AK614" s="136" t="n"/>
      <c r="AL614" s="136" t="n"/>
      <c r="AM614" s="136" t="n"/>
      <c r="AN614" s="136" t="n"/>
      <c r="AO614" s="136" t="n"/>
      <c r="AP614" s="136" t="n"/>
      <c r="AQ614" s="136" t="n"/>
      <c r="AR614" s="136" t="n"/>
    </row>
    <row r="615" ht="13.5" customHeight="1" s="196">
      <c r="A615" s="136" t="n"/>
      <c r="B615" s="136" t="n"/>
      <c r="C615" s="136" t="n"/>
      <c r="D615" s="141" t="n"/>
      <c r="E615" s="141" t="n"/>
      <c r="F615" s="141" t="n"/>
      <c r="G615" s="141" t="n"/>
      <c r="H615" s="141" t="n"/>
      <c r="I615" s="141" t="n"/>
      <c r="J615" s="141" t="n"/>
      <c r="K615" s="141" t="n"/>
      <c r="L615" s="141" t="n"/>
      <c r="M615" s="141" t="n"/>
      <c r="N615" s="141" t="n"/>
      <c r="O615" s="141" t="n"/>
      <c r="P615" s="141" t="n"/>
      <c r="Q615" s="141" t="n"/>
      <c r="R615" s="141" t="n"/>
      <c r="S615" s="141" t="n"/>
      <c r="T615" s="141" t="n"/>
      <c r="U615" s="141" t="n"/>
      <c r="V615" s="141" t="n"/>
      <c r="W615" s="141" t="n"/>
      <c r="X615" s="141" t="n"/>
      <c r="Y615" s="136" t="n"/>
      <c r="Z615" s="136" t="n"/>
      <c r="AA615" s="136" t="n"/>
      <c r="AB615" s="136" t="n"/>
      <c r="AC615" s="136" t="n"/>
      <c r="AD615" s="136" t="n"/>
      <c r="AE615" s="136" t="n"/>
      <c r="AF615" s="136" t="n"/>
      <c r="AG615" s="136" t="n"/>
      <c r="AH615" s="136" t="n"/>
      <c r="AI615" s="136" t="n"/>
      <c r="AJ615" s="136" t="n"/>
      <c r="AK615" s="136" t="n"/>
      <c r="AL615" s="136" t="n"/>
      <c r="AM615" s="136" t="n"/>
      <c r="AN615" s="136" t="n"/>
      <c r="AO615" s="136" t="n"/>
      <c r="AP615" s="136" t="n"/>
      <c r="AQ615" s="136" t="n"/>
      <c r="AR615" s="136" t="n"/>
    </row>
    <row r="616" ht="13.5" customHeight="1" s="196">
      <c r="A616" s="136" t="n"/>
      <c r="B616" s="136" t="n"/>
      <c r="C616" s="136" t="n"/>
      <c r="D616" s="141" t="n"/>
      <c r="E616" s="141" t="n"/>
      <c r="F616" s="141" t="n"/>
      <c r="G616" s="141" t="n"/>
      <c r="H616" s="141" t="n"/>
      <c r="I616" s="141" t="n"/>
      <c r="J616" s="141" t="n"/>
      <c r="K616" s="141" t="n"/>
      <c r="L616" s="141" t="n"/>
      <c r="M616" s="141" t="n"/>
      <c r="N616" s="141" t="n"/>
      <c r="O616" s="141" t="n"/>
      <c r="P616" s="141" t="n"/>
      <c r="Q616" s="141" t="n"/>
      <c r="R616" s="141" t="n"/>
      <c r="S616" s="141" t="n"/>
      <c r="T616" s="141" t="n"/>
      <c r="U616" s="141" t="n"/>
      <c r="V616" s="141" t="n"/>
      <c r="W616" s="141" t="n"/>
      <c r="X616" s="141" t="n"/>
      <c r="Y616" s="136" t="n"/>
      <c r="Z616" s="136" t="n"/>
      <c r="AA616" s="136" t="n"/>
      <c r="AB616" s="136" t="n"/>
      <c r="AC616" s="136" t="n"/>
      <c r="AD616" s="136" t="n"/>
      <c r="AE616" s="136" t="n"/>
      <c r="AF616" s="136" t="n"/>
      <c r="AG616" s="136" t="n"/>
      <c r="AH616" s="136" t="n"/>
      <c r="AI616" s="136" t="n"/>
      <c r="AJ616" s="136" t="n"/>
      <c r="AK616" s="136" t="n"/>
      <c r="AL616" s="136" t="n"/>
      <c r="AM616" s="136" t="n"/>
      <c r="AN616" s="136" t="n"/>
      <c r="AO616" s="136" t="n"/>
      <c r="AP616" s="136" t="n"/>
      <c r="AQ616" s="136" t="n"/>
      <c r="AR616" s="136" t="n"/>
    </row>
    <row r="617" ht="13.5" customHeight="1" s="196">
      <c r="A617" s="136" t="n"/>
      <c r="B617" s="136" t="n"/>
      <c r="C617" s="136" t="n"/>
      <c r="D617" s="141" t="n"/>
      <c r="E617" s="141" t="n"/>
      <c r="F617" s="141" t="n"/>
      <c r="G617" s="141" t="n"/>
      <c r="H617" s="141" t="n"/>
      <c r="I617" s="141" t="n"/>
      <c r="J617" s="141" t="n"/>
      <c r="K617" s="141" t="n"/>
      <c r="L617" s="141" t="n"/>
      <c r="M617" s="141" t="n"/>
      <c r="N617" s="141" t="n"/>
      <c r="O617" s="141" t="n"/>
      <c r="P617" s="141" t="n"/>
      <c r="Q617" s="141" t="n"/>
      <c r="R617" s="141" t="n"/>
      <c r="S617" s="141" t="n"/>
      <c r="T617" s="141" t="n"/>
      <c r="U617" s="141" t="n"/>
      <c r="V617" s="141" t="n"/>
      <c r="W617" s="141" t="n"/>
      <c r="X617" s="141" t="n"/>
      <c r="Y617" s="136" t="n"/>
      <c r="Z617" s="136" t="n"/>
      <c r="AA617" s="136" t="n"/>
      <c r="AB617" s="136" t="n"/>
      <c r="AC617" s="136" t="n"/>
      <c r="AD617" s="136" t="n"/>
      <c r="AE617" s="136" t="n"/>
      <c r="AF617" s="136" t="n"/>
      <c r="AG617" s="136" t="n"/>
      <c r="AH617" s="136" t="n"/>
      <c r="AI617" s="136" t="n"/>
      <c r="AJ617" s="136" t="n"/>
      <c r="AK617" s="136" t="n"/>
      <c r="AL617" s="136" t="n"/>
      <c r="AM617" s="136" t="n"/>
      <c r="AN617" s="136" t="n"/>
      <c r="AO617" s="136" t="n"/>
      <c r="AP617" s="136" t="n"/>
      <c r="AQ617" s="136" t="n"/>
      <c r="AR617" s="136" t="n"/>
    </row>
    <row r="618" ht="13.5" customHeight="1" s="196">
      <c r="A618" s="136" t="n"/>
      <c r="B618" s="136" t="n"/>
      <c r="C618" s="136" t="n"/>
      <c r="D618" s="141" t="n"/>
      <c r="E618" s="141" t="n"/>
      <c r="F618" s="141" t="n"/>
      <c r="G618" s="141" t="n"/>
      <c r="H618" s="141" t="n"/>
      <c r="I618" s="141" t="n"/>
      <c r="J618" s="141" t="n"/>
      <c r="K618" s="141" t="n"/>
      <c r="L618" s="141" t="n"/>
      <c r="M618" s="141" t="n"/>
      <c r="N618" s="141" t="n"/>
      <c r="O618" s="141" t="n"/>
      <c r="P618" s="141" t="n"/>
      <c r="Q618" s="141" t="n"/>
      <c r="R618" s="141" t="n"/>
      <c r="S618" s="141" t="n"/>
      <c r="T618" s="141" t="n"/>
      <c r="U618" s="141" t="n"/>
      <c r="V618" s="141" t="n"/>
      <c r="W618" s="141" t="n"/>
      <c r="X618" s="141" t="n"/>
      <c r="Y618" s="136" t="n"/>
      <c r="Z618" s="136" t="n"/>
      <c r="AA618" s="136" t="n"/>
      <c r="AB618" s="136" t="n"/>
      <c r="AC618" s="136" t="n"/>
      <c r="AD618" s="136" t="n"/>
      <c r="AE618" s="136" t="n"/>
      <c r="AF618" s="136" t="n"/>
      <c r="AG618" s="136" t="n"/>
      <c r="AH618" s="136" t="n"/>
      <c r="AI618" s="136" t="n"/>
      <c r="AJ618" s="136" t="n"/>
      <c r="AK618" s="136" t="n"/>
      <c r="AL618" s="136" t="n"/>
      <c r="AM618" s="136" t="n"/>
      <c r="AN618" s="136" t="n"/>
      <c r="AO618" s="136" t="n"/>
      <c r="AP618" s="136" t="n"/>
      <c r="AQ618" s="136" t="n"/>
      <c r="AR618" s="136" t="n"/>
    </row>
    <row r="619" ht="13.5" customHeight="1" s="196">
      <c r="A619" s="136" t="n"/>
      <c r="B619" s="136" t="n"/>
      <c r="C619" s="136" t="n"/>
      <c r="D619" s="141" t="n"/>
      <c r="E619" s="141" t="n"/>
      <c r="F619" s="141" t="n"/>
      <c r="G619" s="141" t="n"/>
      <c r="H619" s="141" t="n"/>
      <c r="I619" s="141" t="n"/>
      <c r="J619" s="141" t="n"/>
      <c r="K619" s="141" t="n"/>
      <c r="L619" s="141" t="n"/>
      <c r="M619" s="141" t="n"/>
      <c r="N619" s="141" t="n"/>
      <c r="O619" s="141" t="n"/>
      <c r="P619" s="141" t="n"/>
      <c r="Q619" s="141" t="n"/>
      <c r="R619" s="141" t="n"/>
      <c r="S619" s="141" t="n"/>
      <c r="T619" s="141" t="n"/>
      <c r="U619" s="141" t="n"/>
      <c r="V619" s="141" t="n"/>
      <c r="W619" s="141" t="n"/>
      <c r="X619" s="141" t="n"/>
      <c r="Y619" s="136" t="n"/>
      <c r="Z619" s="136" t="n"/>
      <c r="AA619" s="136" t="n"/>
      <c r="AB619" s="136" t="n"/>
      <c r="AC619" s="136" t="n"/>
      <c r="AD619" s="136" t="n"/>
      <c r="AE619" s="136" t="n"/>
      <c r="AF619" s="136" t="n"/>
      <c r="AG619" s="136" t="n"/>
      <c r="AH619" s="136" t="n"/>
      <c r="AI619" s="136" t="n"/>
      <c r="AJ619" s="136" t="n"/>
      <c r="AK619" s="136" t="n"/>
      <c r="AL619" s="136" t="n"/>
      <c r="AM619" s="136" t="n"/>
      <c r="AN619" s="136" t="n"/>
      <c r="AO619" s="136" t="n"/>
      <c r="AP619" s="136" t="n"/>
      <c r="AQ619" s="136" t="n"/>
      <c r="AR619" s="136" t="n"/>
    </row>
    <row r="620" ht="13.5" customHeight="1" s="196">
      <c r="A620" s="136" t="n"/>
      <c r="B620" s="136" t="n"/>
      <c r="C620" s="136" t="n"/>
      <c r="D620" s="141" t="n"/>
      <c r="E620" s="141" t="n"/>
      <c r="F620" s="141" t="n"/>
      <c r="G620" s="141" t="n"/>
      <c r="H620" s="141" t="n"/>
      <c r="I620" s="141" t="n"/>
      <c r="J620" s="141" t="n"/>
      <c r="K620" s="141" t="n"/>
      <c r="L620" s="141" t="n"/>
      <c r="M620" s="141" t="n"/>
      <c r="N620" s="141" t="n"/>
      <c r="O620" s="141" t="n"/>
      <c r="P620" s="141" t="n"/>
      <c r="Q620" s="141" t="n"/>
      <c r="R620" s="141" t="n"/>
      <c r="S620" s="141" t="n"/>
      <c r="T620" s="141" t="n"/>
      <c r="U620" s="141" t="n"/>
      <c r="V620" s="141" t="n"/>
      <c r="W620" s="141" t="n"/>
      <c r="X620" s="141" t="n"/>
      <c r="Y620" s="136" t="n"/>
      <c r="Z620" s="136" t="n"/>
      <c r="AA620" s="136" t="n"/>
      <c r="AB620" s="136" t="n"/>
      <c r="AC620" s="136" t="n"/>
      <c r="AD620" s="136" t="n"/>
      <c r="AE620" s="136" t="n"/>
      <c r="AF620" s="136" t="n"/>
      <c r="AG620" s="136" t="n"/>
      <c r="AH620" s="136" t="n"/>
      <c r="AI620" s="136" t="n"/>
      <c r="AJ620" s="136" t="n"/>
      <c r="AK620" s="136" t="n"/>
      <c r="AL620" s="136" t="n"/>
      <c r="AM620" s="136" t="n"/>
      <c r="AN620" s="136" t="n"/>
      <c r="AO620" s="136" t="n"/>
      <c r="AP620" s="136" t="n"/>
      <c r="AQ620" s="136" t="n"/>
      <c r="AR620" s="136" t="n"/>
    </row>
    <row r="621" ht="13.5" customHeight="1" s="196">
      <c r="A621" s="136" t="n"/>
      <c r="B621" s="136" t="n"/>
      <c r="C621" s="136" t="n"/>
      <c r="D621" s="141" t="n"/>
      <c r="E621" s="141" t="n"/>
      <c r="F621" s="141" t="n"/>
      <c r="G621" s="141" t="n"/>
      <c r="H621" s="141" t="n"/>
      <c r="I621" s="141" t="n"/>
      <c r="J621" s="141" t="n"/>
      <c r="K621" s="141" t="n"/>
      <c r="L621" s="141" t="n"/>
      <c r="M621" s="141" t="n"/>
      <c r="N621" s="141" t="n"/>
      <c r="O621" s="141" t="n"/>
      <c r="P621" s="141" t="n"/>
      <c r="Q621" s="141" t="n"/>
      <c r="R621" s="141" t="n"/>
      <c r="S621" s="141" t="n"/>
      <c r="T621" s="141" t="n"/>
      <c r="U621" s="141" t="n"/>
      <c r="V621" s="141" t="n"/>
      <c r="W621" s="141" t="n"/>
      <c r="X621" s="141" t="n"/>
      <c r="Y621" s="136" t="n"/>
      <c r="Z621" s="136" t="n"/>
      <c r="AA621" s="136" t="n"/>
      <c r="AB621" s="136" t="n"/>
      <c r="AC621" s="136" t="n"/>
      <c r="AD621" s="136" t="n"/>
      <c r="AE621" s="136" t="n"/>
      <c r="AF621" s="136" t="n"/>
      <c r="AG621" s="136" t="n"/>
      <c r="AH621" s="136" t="n"/>
      <c r="AI621" s="136" t="n"/>
      <c r="AJ621" s="136" t="n"/>
      <c r="AK621" s="136" t="n"/>
      <c r="AL621" s="136" t="n"/>
      <c r="AM621" s="136" t="n"/>
      <c r="AN621" s="136" t="n"/>
      <c r="AO621" s="136" t="n"/>
      <c r="AP621" s="136" t="n"/>
      <c r="AQ621" s="136" t="n"/>
      <c r="AR621" s="136" t="n"/>
    </row>
    <row r="622" ht="13.5" customHeight="1" s="196">
      <c r="A622" s="136" t="n"/>
      <c r="B622" s="136" t="n"/>
      <c r="C622" s="136" t="n"/>
      <c r="D622" s="141" t="n"/>
      <c r="E622" s="141" t="n"/>
      <c r="F622" s="141" t="n"/>
      <c r="G622" s="141" t="n"/>
      <c r="H622" s="141" t="n"/>
      <c r="I622" s="141" t="n"/>
      <c r="J622" s="141" t="n"/>
      <c r="K622" s="141" t="n"/>
      <c r="L622" s="141" t="n"/>
      <c r="M622" s="141" t="n"/>
      <c r="N622" s="141" t="n"/>
      <c r="O622" s="141" t="n"/>
      <c r="P622" s="141" t="n"/>
      <c r="Q622" s="141" t="n"/>
      <c r="R622" s="141" t="n"/>
      <c r="S622" s="141" t="n"/>
      <c r="T622" s="141" t="n"/>
      <c r="U622" s="141" t="n"/>
      <c r="V622" s="141" t="n"/>
      <c r="W622" s="141" t="n"/>
      <c r="X622" s="141" t="n"/>
      <c r="Y622" s="136" t="n"/>
      <c r="Z622" s="136" t="n"/>
      <c r="AA622" s="136" t="n"/>
      <c r="AB622" s="136" t="n"/>
      <c r="AC622" s="136" t="n"/>
      <c r="AD622" s="136" t="n"/>
      <c r="AE622" s="136" t="n"/>
      <c r="AF622" s="136" t="n"/>
      <c r="AG622" s="136" t="n"/>
      <c r="AH622" s="136" t="n"/>
      <c r="AI622" s="136" t="n"/>
      <c r="AJ622" s="136" t="n"/>
      <c r="AK622" s="136" t="n"/>
      <c r="AL622" s="136" t="n"/>
      <c r="AM622" s="136" t="n"/>
      <c r="AN622" s="136" t="n"/>
      <c r="AO622" s="136" t="n"/>
      <c r="AP622" s="136" t="n"/>
      <c r="AQ622" s="136" t="n"/>
      <c r="AR622" s="136" t="n"/>
    </row>
    <row r="623" ht="13.5" customHeight="1" s="196">
      <c r="A623" s="136" t="n"/>
      <c r="B623" s="136" t="n"/>
      <c r="C623" s="136" t="n"/>
      <c r="D623" s="141" t="n"/>
      <c r="E623" s="141" t="n"/>
      <c r="F623" s="141" t="n"/>
      <c r="G623" s="141" t="n"/>
      <c r="H623" s="141" t="n"/>
      <c r="I623" s="141" t="n"/>
      <c r="J623" s="141" t="n"/>
      <c r="K623" s="141" t="n"/>
      <c r="L623" s="141" t="n"/>
      <c r="M623" s="141" t="n"/>
      <c r="N623" s="141" t="n"/>
      <c r="O623" s="141" t="n"/>
      <c r="P623" s="141" t="n"/>
      <c r="Q623" s="141" t="n"/>
      <c r="R623" s="141" t="n"/>
      <c r="S623" s="141" t="n"/>
      <c r="T623" s="141" t="n"/>
      <c r="U623" s="141" t="n"/>
      <c r="V623" s="141" t="n"/>
      <c r="W623" s="141" t="n"/>
      <c r="X623" s="141" t="n"/>
      <c r="Y623" s="136" t="n"/>
      <c r="Z623" s="136" t="n"/>
      <c r="AA623" s="136" t="n"/>
      <c r="AB623" s="136" t="n"/>
      <c r="AC623" s="136" t="n"/>
      <c r="AD623" s="136" t="n"/>
      <c r="AE623" s="136" t="n"/>
      <c r="AF623" s="136" t="n"/>
      <c r="AG623" s="136" t="n"/>
      <c r="AH623" s="136" t="n"/>
      <c r="AI623" s="136" t="n"/>
      <c r="AJ623" s="136" t="n"/>
      <c r="AK623" s="136" t="n"/>
      <c r="AL623" s="136" t="n"/>
      <c r="AM623" s="136" t="n"/>
      <c r="AN623" s="136" t="n"/>
      <c r="AO623" s="136" t="n"/>
      <c r="AP623" s="136" t="n"/>
      <c r="AQ623" s="136" t="n"/>
      <c r="AR623" s="136" t="n"/>
    </row>
    <row r="624" ht="13.5" customHeight="1" s="196">
      <c r="A624" s="136" t="n"/>
      <c r="B624" s="136" t="n"/>
      <c r="C624" s="136" t="n"/>
      <c r="D624" s="141" t="n"/>
      <c r="E624" s="141" t="n"/>
      <c r="F624" s="141" t="n"/>
      <c r="G624" s="141" t="n"/>
      <c r="H624" s="141" t="n"/>
      <c r="I624" s="141" t="n"/>
      <c r="J624" s="141" t="n"/>
      <c r="K624" s="141" t="n"/>
      <c r="L624" s="141" t="n"/>
      <c r="M624" s="141" t="n"/>
      <c r="N624" s="141" t="n"/>
      <c r="O624" s="141" t="n"/>
      <c r="P624" s="141" t="n"/>
      <c r="Q624" s="141" t="n"/>
      <c r="R624" s="141" t="n"/>
      <c r="S624" s="141" t="n"/>
      <c r="T624" s="141" t="n"/>
      <c r="U624" s="141" t="n"/>
      <c r="V624" s="141" t="n"/>
      <c r="W624" s="141" t="n"/>
      <c r="X624" s="141" t="n"/>
      <c r="Y624" s="136" t="n"/>
      <c r="Z624" s="136" t="n"/>
      <c r="AA624" s="136" t="n"/>
      <c r="AB624" s="136" t="n"/>
      <c r="AC624" s="136" t="n"/>
      <c r="AD624" s="136" t="n"/>
      <c r="AE624" s="136" t="n"/>
      <c r="AF624" s="136" t="n"/>
      <c r="AG624" s="136" t="n"/>
      <c r="AH624" s="136" t="n"/>
      <c r="AI624" s="136" t="n"/>
      <c r="AJ624" s="136" t="n"/>
      <c r="AK624" s="136" t="n"/>
      <c r="AL624" s="136" t="n"/>
      <c r="AM624" s="136" t="n"/>
      <c r="AN624" s="136" t="n"/>
      <c r="AO624" s="136" t="n"/>
      <c r="AP624" s="136" t="n"/>
      <c r="AQ624" s="136" t="n"/>
      <c r="AR624" s="136" t="n"/>
    </row>
    <row r="625" ht="13.5" customHeight="1" s="196">
      <c r="A625" s="136" t="n"/>
      <c r="B625" s="136" t="n"/>
      <c r="C625" s="136" t="n"/>
      <c r="D625" s="141" t="n"/>
      <c r="E625" s="141" t="n"/>
      <c r="F625" s="141" t="n"/>
      <c r="G625" s="141" t="n"/>
      <c r="H625" s="141" t="n"/>
      <c r="I625" s="141" t="n"/>
      <c r="J625" s="141" t="n"/>
      <c r="K625" s="141" t="n"/>
      <c r="L625" s="141" t="n"/>
      <c r="M625" s="141" t="n"/>
      <c r="N625" s="141" t="n"/>
      <c r="O625" s="141" t="n"/>
      <c r="P625" s="141" t="n"/>
      <c r="Q625" s="141" t="n"/>
      <c r="R625" s="141" t="n"/>
      <c r="S625" s="141" t="n"/>
      <c r="T625" s="141" t="n"/>
      <c r="U625" s="141" t="n"/>
      <c r="V625" s="141" t="n"/>
      <c r="W625" s="141" t="n"/>
      <c r="X625" s="141" t="n"/>
      <c r="Y625" s="136" t="n"/>
      <c r="Z625" s="136" t="n"/>
      <c r="AA625" s="136" t="n"/>
      <c r="AB625" s="136" t="n"/>
      <c r="AC625" s="136" t="n"/>
      <c r="AD625" s="136" t="n"/>
      <c r="AE625" s="136" t="n"/>
      <c r="AF625" s="136" t="n"/>
      <c r="AG625" s="136" t="n"/>
      <c r="AH625" s="136" t="n"/>
      <c r="AI625" s="136" t="n"/>
      <c r="AJ625" s="136" t="n"/>
      <c r="AK625" s="136" t="n"/>
      <c r="AL625" s="136" t="n"/>
      <c r="AM625" s="136" t="n"/>
      <c r="AN625" s="136" t="n"/>
      <c r="AO625" s="136" t="n"/>
      <c r="AP625" s="136" t="n"/>
      <c r="AQ625" s="136" t="n"/>
      <c r="AR625" s="136" t="n"/>
    </row>
    <row r="626" ht="13.5" customHeight="1" s="196">
      <c r="A626" s="136" t="n"/>
      <c r="B626" s="136" t="n"/>
      <c r="C626" s="136" t="n"/>
      <c r="D626" s="141" t="n"/>
      <c r="E626" s="141" t="n"/>
      <c r="F626" s="141" t="n"/>
      <c r="G626" s="141" t="n"/>
      <c r="H626" s="141" t="n"/>
      <c r="I626" s="141" t="n"/>
      <c r="J626" s="141" t="n"/>
      <c r="K626" s="141" t="n"/>
      <c r="L626" s="141" t="n"/>
      <c r="M626" s="141" t="n"/>
      <c r="N626" s="141" t="n"/>
      <c r="O626" s="141" t="n"/>
      <c r="P626" s="141" t="n"/>
      <c r="Q626" s="141" t="n"/>
      <c r="R626" s="141" t="n"/>
      <c r="S626" s="141" t="n"/>
      <c r="T626" s="141" t="n"/>
      <c r="U626" s="141" t="n"/>
      <c r="V626" s="141" t="n"/>
      <c r="W626" s="141" t="n"/>
      <c r="X626" s="141" t="n"/>
      <c r="Y626" s="136" t="n"/>
      <c r="Z626" s="136" t="n"/>
      <c r="AA626" s="136" t="n"/>
      <c r="AB626" s="136" t="n"/>
      <c r="AC626" s="136" t="n"/>
      <c r="AD626" s="136" t="n"/>
      <c r="AE626" s="136" t="n"/>
      <c r="AF626" s="136" t="n"/>
      <c r="AG626" s="136" t="n"/>
      <c r="AH626" s="136" t="n"/>
      <c r="AI626" s="136" t="n"/>
      <c r="AJ626" s="136" t="n"/>
      <c r="AK626" s="136" t="n"/>
      <c r="AL626" s="136" t="n"/>
      <c r="AM626" s="136" t="n"/>
      <c r="AN626" s="136" t="n"/>
      <c r="AO626" s="136" t="n"/>
      <c r="AP626" s="136" t="n"/>
      <c r="AQ626" s="136" t="n"/>
      <c r="AR626" s="136" t="n"/>
    </row>
    <row r="627" ht="13.5" customHeight="1" s="196">
      <c r="A627" s="136" t="n"/>
      <c r="B627" s="136" t="n"/>
      <c r="C627" s="136" t="n"/>
      <c r="D627" s="141" t="n"/>
      <c r="E627" s="141" t="n"/>
      <c r="F627" s="141" t="n"/>
      <c r="G627" s="141" t="n"/>
      <c r="H627" s="141" t="n"/>
      <c r="I627" s="141" t="n"/>
      <c r="J627" s="141" t="n"/>
      <c r="K627" s="141" t="n"/>
      <c r="L627" s="141" t="n"/>
      <c r="M627" s="141" t="n"/>
      <c r="N627" s="141" t="n"/>
      <c r="O627" s="141" t="n"/>
      <c r="P627" s="141" t="n"/>
      <c r="Q627" s="141" t="n"/>
      <c r="R627" s="141" t="n"/>
      <c r="S627" s="141" t="n"/>
      <c r="T627" s="141" t="n"/>
      <c r="U627" s="141" t="n"/>
      <c r="V627" s="141" t="n"/>
      <c r="W627" s="141" t="n"/>
      <c r="X627" s="141" t="n"/>
      <c r="Y627" s="136" t="n"/>
      <c r="Z627" s="136" t="n"/>
      <c r="AA627" s="136" t="n"/>
      <c r="AB627" s="136" t="n"/>
      <c r="AC627" s="136" t="n"/>
      <c r="AD627" s="136" t="n"/>
      <c r="AE627" s="136" t="n"/>
      <c r="AF627" s="136" t="n"/>
      <c r="AG627" s="136" t="n"/>
      <c r="AH627" s="136" t="n"/>
      <c r="AI627" s="136" t="n"/>
      <c r="AJ627" s="136" t="n"/>
      <c r="AK627" s="136" t="n"/>
      <c r="AL627" s="136" t="n"/>
      <c r="AM627" s="136" t="n"/>
      <c r="AN627" s="136" t="n"/>
      <c r="AO627" s="136" t="n"/>
      <c r="AP627" s="136" t="n"/>
      <c r="AQ627" s="136" t="n"/>
      <c r="AR627" s="136" t="n"/>
    </row>
    <row r="628" ht="13.5" customHeight="1" s="196">
      <c r="A628" s="136" t="n"/>
      <c r="B628" s="136" t="n"/>
      <c r="C628" s="136" t="n"/>
      <c r="D628" s="141" t="n"/>
      <c r="E628" s="141" t="n"/>
      <c r="F628" s="141" t="n"/>
      <c r="G628" s="141" t="n"/>
      <c r="H628" s="141" t="n"/>
      <c r="I628" s="141" t="n"/>
      <c r="J628" s="141" t="n"/>
      <c r="K628" s="141" t="n"/>
      <c r="L628" s="141" t="n"/>
      <c r="M628" s="141" t="n"/>
      <c r="N628" s="141" t="n"/>
      <c r="O628" s="141" t="n"/>
      <c r="P628" s="141" t="n"/>
      <c r="Q628" s="141" t="n"/>
      <c r="R628" s="141" t="n"/>
      <c r="S628" s="141" t="n"/>
      <c r="T628" s="141" t="n"/>
      <c r="U628" s="141" t="n"/>
      <c r="V628" s="141" t="n"/>
      <c r="W628" s="141" t="n"/>
      <c r="X628" s="141" t="n"/>
      <c r="Y628" s="136" t="n"/>
      <c r="Z628" s="136" t="n"/>
      <c r="AA628" s="136" t="n"/>
      <c r="AB628" s="136" t="n"/>
      <c r="AC628" s="136" t="n"/>
      <c r="AD628" s="136" t="n"/>
      <c r="AE628" s="136" t="n"/>
      <c r="AF628" s="136" t="n"/>
      <c r="AG628" s="136" t="n"/>
      <c r="AH628" s="136" t="n"/>
      <c r="AI628" s="136" t="n"/>
      <c r="AJ628" s="136" t="n"/>
      <c r="AK628" s="136" t="n"/>
      <c r="AL628" s="136" t="n"/>
      <c r="AM628" s="136" t="n"/>
      <c r="AN628" s="136" t="n"/>
      <c r="AO628" s="136" t="n"/>
      <c r="AP628" s="136" t="n"/>
      <c r="AQ628" s="136" t="n"/>
      <c r="AR628" s="136" t="n"/>
    </row>
    <row r="629" ht="13.5" customHeight="1" s="196">
      <c r="A629" s="136" t="n"/>
      <c r="B629" s="136" t="n"/>
      <c r="C629" s="136" t="n"/>
      <c r="D629" s="141" t="n"/>
      <c r="E629" s="141" t="n"/>
      <c r="F629" s="141" t="n"/>
      <c r="G629" s="141" t="n"/>
      <c r="H629" s="141" t="n"/>
      <c r="I629" s="141" t="n"/>
      <c r="J629" s="141" t="n"/>
      <c r="K629" s="141" t="n"/>
      <c r="L629" s="141" t="n"/>
      <c r="M629" s="141" t="n"/>
      <c r="N629" s="141" t="n"/>
      <c r="O629" s="141" t="n"/>
      <c r="P629" s="141" t="n"/>
      <c r="Q629" s="141" t="n"/>
      <c r="R629" s="141" t="n"/>
      <c r="S629" s="141" t="n"/>
      <c r="T629" s="141" t="n"/>
      <c r="U629" s="141" t="n"/>
      <c r="V629" s="141" t="n"/>
      <c r="W629" s="141" t="n"/>
      <c r="X629" s="141" t="n"/>
      <c r="Y629" s="136" t="n"/>
      <c r="Z629" s="136" t="n"/>
      <c r="AA629" s="136" t="n"/>
      <c r="AB629" s="136" t="n"/>
      <c r="AC629" s="136" t="n"/>
      <c r="AD629" s="136" t="n"/>
      <c r="AE629" s="136" t="n"/>
      <c r="AF629" s="136" t="n"/>
      <c r="AG629" s="136" t="n"/>
      <c r="AH629" s="136" t="n"/>
      <c r="AI629" s="136" t="n"/>
      <c r="AJ629" s="136" t="n"/>
      <c r="AK629" s="136" t="n"/>
      <c r="AL629" s="136" t="n"/>
      <c r="AM629" s="136" t="n"/>
      <c r="AN629" s="136" t="n"/>
      <c r="AO629" s="136" t="n"/>
      <c r="AP629" s="136" t="n"/>
      <c r="AQ629" s="136" t="n"/>
      <c r="AR629" s="136" t="n"/>
    </row>
    <row r="630" ht="13.5" customHeight="1" s="196">
      <c r="A630" s="136" t="n"/>
      <c r="B630" s="136" t="n"/>
      <c r="C630" s="136" t="n"/>
      <c r="D630" s="141" t="n"/>
      <c r="E630" s="141" t="n"/>
      <c r="F630" s="141" t="n"/>
      <c r="G630" s="141" t="n"/>
      <c r="H630" s="141" t="n"/>
      <c r="I630" s="141" t="n"/>
      <c r="J630" s="141" t="n"/>
      <c r="K630" s="141" t="n"/>
      <c r="L630" s="141" t="n"/>
      <c r="M630" s="141" t="n"/>
      <c r="N630" s="141" t="n"/>
      <c r="O630" s="141" t="n"/>
      <c r="P630" s="141" t="n"/>
      <c r="Q630" s="141" t="n"/>
      <c r="R630" s="141" t="n"/>
      <c r="S630" s="141" t="n"/>
      <c r="T630" s="141" t="n"/>
      <c r="U630" s="141" t="n"/>
      <c r="V630" s="141" t="n"/>
      <c r="W630" s="141" t="n"/>
      <c r="X630" s="141" t="n"/>
      <c r="Y630" s="136" t="n"/>
      <c r="Z630" s="136" t="n"/>
      <c r="AA630" s="136" t="n"/>
      <c r="AB630" s="136" t="n"/>
      <c r="AC630" s="136" t="n"/>
      <c r="AD630" s="136" t="n"/>
      <c r="AE630" s="136" t="n"/>
      <c r="AF630" s="136" t="n"/>
      <c r="AG630" s="136" t="n"/>
      <c r="AH630" s="136" t="n"/>
      <c r="AI630" s="136" t="n"/>
      <c r="AJ630" s="136" t="n"/>
      <c r="AK630" s="136" t="n"/>
      <c r="AL630" s="136" t="n"/>
      <c r="AM630" s="136" t="n"/>
      <c r="AN630" s="136" t="n"/>
      <c r="AO630" s="136" t="n"/>
      <c r="AP630" s="136" t="n"/>
      <c r="AQ630" s="136" t="n"/>
      <c r="AR630" s="136" t="n"/>
    </row>
    <row r="631" ht="13.5" customHeight="1" s="196">
      <c r="A631" s="136" t="n"/>
      <c r="B631" s="136" t="n"/>
      <c r="C631" s="136" t="n"/>
      <c r="D631" s="141" t="n"/>
      <c r="E631" s="141" t="n"/>
      <c r="F631" s="141" t="n"/>
      <c r="G631" s="141" t="n"/>
      <c r="H631" s="141" t="n"/>
      <c r="I631" s="141" t="n"/>
      <c r="J631" s="141" t="n"/>
      <c r="K631" s="141" t="n"/>
      <c r="L631" s="141" t="n"/>
      <c r="M631" s="141" t="n"/>
      <c r="N631" s="141" t="n"/>
      <c r="O631" s="141" t="n"/>
      <c r="P631" s="141" t="n"/>
      <c r="Q631" s="141" t="n"/>
      <c r="R631" s="141" t="n"/>
      <c r="S631" s="141" t="n"/>
      <c r="T631" s="141" t="n"/>
      <c r="U631" s="141" t="n"/>
      <c r="V631" s="141" t="n"/>
      <c r="W631" s="141" t="n"/>
      <c r="X631" s="141" t="n"/>
      <c r="Y631" s="136" t="n"/>
      <c r="Z631" s="136" t="n"/>
      <c r="AA631" s="136" t="n"/>
      <c r="AB631" s="136" t="n"/>
      <c r="AC631" s="136" t="n"/>
      <c r="AD631" s="136" t="n"/>
      <c r="AE631" s="136" t="n"/>
      <c r="AF631" s="136" t="n"/>
      <c r="AG631" s="136" t="n"/>
      <c r="AH631" s="136" t="n"/>
      <c r="AI631" s="136" t="n"/>
      <c r="AJ631" s="136" t="n"/>
      <c r="AK631" s="136" t="n"/>
      <c r="AL631" s="136" t="n"/>
      <c r="AM631" s="136" t="n"/>
      <c r="AN631" s="136" t="n"/>
      <c r="AO631" s="136" t="n"/>
      <c r="AP631" s="136" t="n"/>
      <c r="AQ631" s="136" t="n"/>
      <c r="AR631" s="136" t="n"/>
    </row>
    <row r="632" ht="13.5" customHeight="1" s="196">
      <c r="A632" s="136" t="n"/>
      <c r="B632" s="136" t="n"/>
      <c r="C632" s="136" t="n"/>
      <c r="D632" s="141" t="n"/>
      <c r="E632" s="141" t="n"/>
      <c r="F632" s="141" t="n"/>
      <c r="G632" s="141" t="n"/>
      <c r="H632" s="141" t="n"/>
      <c r="I632" s="141" t="n"/>
      <c r="J632" s="141" t="n"/>
      <c r="K632" s="141" t="n"/>
      <c r="L632" s="141" t="n"/>
      <c r="M632" s="141" t="n"/>
      <c r="N632" s="141" t="n"/>
      <c r="O632" s="141" t="n"/>
      <c r="P632" s="141" t="n"/>
      <c r="Q632" s="141" t="n"/>
      <c r="R632" s="141" t="n"/>
      <c r="S632" s="141" t="n"/>
      <c r="T632" s="141" t="n"/>
      <c r="U632" s="141" t="n"/>
      <c r="V632" s="141" t="n"/>
      <c r="W632" s="141" t="n"/>
      <c r="X632" s="141" t="n"/>
      <c r="Y632" s="136" t="n"/>
      <c r="Z632" s="136" t="n"/>
      <c r="AA632" s="136" t="n"/>
      <c r="AB632" s="136" t="n"/>
      <c r="AC632" s="136" t="n"/>
      <c r="AD632" s="136" t="n"/>
      <c r="AE632" s="136" t="n"/>
      <c r="AF632" s="136" t="n"/>
      <c r="AG632" s="136" t="n"/>
      <c r="AH632" s="136" t="n"/>
      <c r="AI632" s="136" t="n"/>
      <c r="AJ632" s="136" t="n"/>
      <c r="AK632" s="136" t="n"/>
      <c r="AL632" s="136" t="n"/>
      <c r="AM632" s="136" t="n"/>
      <c r="AN632" s="136" t="n"/>
      <c r="AO632" s="136" t="n"/>
      <c r="AP632" s="136" t="n"/>
      <c r="AQ632" s="136" t="n"/>
      <c r="AR632" s="136" t="n"/>
    </row>
    <row r="633" ht="13.5" customHeight="1" s="196">
      <c r="A633" s="136" t="n"/>
      <c r="B633" s="136" t="n"/>
      <c r="C633" s="136" t="n"/>
      <c r="D633" s="141" t="n"/>
      <c r="E633" s="141" t="n"/>
      <c r="F633" s="141" t="n"/>
      <c r="G633" s="141" t="n"/>
      <c r="H633" s="141" t="n"/>
      <c r="I633" s="141" t="n"/>
      <c r="J633" s="141" t="n"/>
      <c r="K633" s="141" t="n"/>
      <c r="L633" s="141" t="n"/>
      <c r="M633" s="141" t="n"/>
      <c r="N633" s="141" t="n"/>
      <c r="O633" s="141" t="n"/>
      <c r="P633" s="141" t="n"/>
      <c r="Q633" s="141" t="n"/>
      <c r="R633" s="141" t="n"/>
      <c r="S633" s="141" t="n"/>
      <c r="T633" s="141" t="n"/>
      <c r="U633" s="141" t="n"/>
      <c r="V633" s="141" t="n"/>
      <c r="W633" s="141" t="n"/>
      <c r="X633" s="141" t="n"/>
      <c r="Y633" s="136" t="n"/>
      <c r="Z633" s="136" t="n"/>
      <c r="AA633" s="136" t="n"/>
      <c r="AB633" s="136" t="n"/>
      <c r="AC633" s="136" t="n"/>
      <c r="AD633" s="136" t="n"/>
      <c r="AE633" s="136" t="n"/>
      <c r="AF633" s="136" t="n"/>
      <c r="AG633" s="136" t="n"/>
      <c r="AH633" s="136" t="n"/>
      <c r="AI633" s="136" t="n"/>
      <c r="AJ633" s="136" t="n"/>
      <c r="AK633" s="136" t="n"/>
      <c r="AL633" s="136" t="n"/>
      <c r="AM633" s="136" t="n"/>
      <c r="AN633" s="136" t="n"/>
      <c r="AO633" s="136" t="n"/>
      <c r="AP633" s="136" t="n"/>
      <c r="AQ633" s="136" t="n"/>
      <c r="AR633" s="136" t="n"/>
    </row>
    <row r="634" ht="13.5" customHeight="1" s="196">
      <c r="A634" s="136" t="n"/>
      <c r="B634" s="136" t="n"/>
      <c r="C634" s="136" t="n"/>
      <c r="D634" s="141" t="n"/>
      <c r="E634" s="141" t="n"/>
      <c r="F634" s="141" t="n"/>
      <c r="G634" s="141" t="n"/>
      <c r="H634" s="141" t="n"/>
      <c r="I634" s="141" t="n"/>
      <c r="J634" s="141" t="n"/>
      <c r="K634" s="141" t="n"/>
      <c r="L634" s="141" t="n"/>
      <c r="M634" s="141" t="n"/>
      <c r="N634" s="141" t="n"/>
      <c r="O634" s="141" t="n"/>
      <c r="P634" s="141" t="n"/>
      <c r="Q634" s="141" t="n"/>
      <c r="R634" s="141" t="n"/>
      <c r="S634" s="141" t="n"/>
      <c r="T634" s="141" t="n"/>
      <c r="U634" s="141" t="n"/>
      <c r="V634" s="141" t="n"/>
      <c r="W634" s="141" t="n"/>
      <c r="X634" s="141" t="n"/>
      <c r="Y634" s="136" t="n"/>
      <c r="Z634" s="136" t="n"/>
      <c r="AA634" s="136" t="n"/>
      <c r="AB634" s="136" t="n"/>
      <c r="AC634" s="136" t="n"/>
      <c r="AD634" s="136" t="n"/>
      <c r="AE634" s="136" t="n"/>
      <c r="AF634" s="136" t="n"/>
      <c r="AG634" s="136" t="n"/>
      <c r="AH634" s="136" t="n"/>
      <c r="AI634" s="136" t="n"/>
      <c r="AJ634" s="136" t="n"/>
      <c r="AK634" s="136" t="n"/>
      <c r="AL634" s="136" t="n"/>
      <c r="AM634" s="136" t="n"/>
      <c r="AN634" s="136" t="n"/>
      <c r="AO634" s="136" t="n"/>
      <c r="AP634" s="136" t="n"/>
      <c r="AQ634" s="136" t="n"/>
      <c r="AR634" s="136" t="n"/>
    </row>
    <row r="635" ht="13.5" customHeight="1" s="196">
      <c r="A635" s="136" t="n"/>
      <c r="B635" s="136" t="n"/>
      <c r="C635" s="136" t="n"/>
      <c r="D635" s="141" t="n"/>
      <c r="E635" s="141" t="n"/>
      <c r="F635" s="141" t="n"/>
      <c r="G635" s="141" t="n"/>
      <c r="H635" s="141" t="n"/>
      <c r="I635" s="141" t="n"/>
      <c r="J635" s="141" t="n"/>
      <c r="K635" s="141" t="n"/>
      <c r="L635" s="141" t="n"/>
      <c r="M635" s="141" t="n"/>
      <c r="N635" s="141" t="n"/>
      <c r="O635" s="141" t="n"/>
      <c r="P635" s="141" t="n"/>
      <c r="Q635" s="141" t="n"/>
      <c r="R635" s="141" t="n"/>
      <c r="S635" s="141" t="n"/>
      <c r="T635" s="141" t="n"/>
      <c r="U635" s="141" t="n"/>
      <c r="V635" s="141" t="n"/>
      <c r="W635" s="141" t="n"/>
      <c r="X635" s="141" t="n"/>
      <c r="Y635" s="136" t="n"/>
      <c r="Z635" s="136" t="n"/>
      <c r="AA635" s="136" t="n"/>
      <c r="AB635" s="136" t="n"/>
      <c r="AC635" s="136" t="n"/>
      <c r="AD635" s="136" t="n"/>
      <c r="AE635" s="136" t="n"/>
      <c r="AF635" s="136" t="n"/>
      <c r="AG635" s="136" t="n"/>
      <c r="AH635" s="136" t="n"/>
      <c r="AI635" s="136" t="n"/>
      <c r="AJ635" s="136" t="n"/>
      <c r="AK635" s="136" t="n"/>
      <c r="AL635" s="136" t="n"/>
      <c r="AM635" s="136" t="n"/>
      <c r="AN635" s="136" t="n"/>
      <c r="AO635" s="136" t="n"/>
      <c r="AP635" s="136" t="n"/>
      <c r="AQ635" s="136" t="n"/>
      <c r="AR635" s="136" t="n"/>
    </row>
    <row r="636" ht="13.5" customHeight="1" s="196">
      <c r="A636" s="136" t="n"/>
      <c r="B636" s="136" t="n"/>
      <c r="C636" s="136" t="n"/>
      <c r="D636" s="141" t="n"/>
      <c r="E636" s="141" t="n"/>
      <c r="F636" s="141" t="n"/>
      <c r="G636" s="141" t="n"/>
      <c r="H636" s="141" t="n"/>
      <c r="I636" s="141" t="n"/>
      <c r="J636" s="141" t="n"/>
      <c r="K636" s="141" t="n"/>
      <c r="L636" s="141" t="n"/>
      <c r="M636" s="141" t="n"/>
      <c r="N636" s="141" t="n"/>
      <c r="O636" s="141" t="n"/>
      <c r="P636" s="141" t="n"/>
      <c r="Q636" s="141" t="n"/>
      <c r="R636" s="141" t="n"/>
      <c r="S636" s="141" t="n"/>
      <c r="T636" s="141" t="n"/>
      <c r="U636" s="141" t="n"/>
      <c r="V636" s="141" t="n"/>
      <c r="W636" s="141" t="n"/>
      <c r="X636" s="141" t="n"/>
      <c r="Y636" s="136" t="n"/>
      <c r="Z636" s="136" t="n"/>
      <c r="AA636" s="136" t="n"/>
      <c r="AB636" s="136" t="n"/>
      <c r="AC636" s="136" t="n"/>
      <c r="AD636" s="136" t="n"/>
      <c r="AE636" s="136" t="n"/>
      <c r="AF636" s="136" t="n"/>
      <c r="AG636" s="136" t="n"/>
      <c r="AH636" s="136" t="n"/>
      <c r="AI636" s="136" t="n"/>
      <c r="AJ636" s="136" t="n"/>
      <c r="AK636" s="136" t="n"/>
      <c r="AL636" s="136" t="n"/>
      <c r="AM636" s="136" t="n"/>
      <c r="AN636" s="136" t="n"/>
      <c r="AO636" s="136" t="n"/>
      <c r="AP636" s="136" t="n"/>
      <c r="AQ636" s="136" t="n"/>
      <c r="AR636" s="136" t="n"/>
    </row>
    <row r="637" ht="13.5" customHeight="1" s="196">
      <c r="A637" s="136" t="n"/>
      <c r="B637" s="136" t="n"/>
      <c r="C637" s="136" t="n"/>
      <c r="D637" s="141" t="n"/>
      <c r="E637" s="141" t="n"/>
      <c r="F637" s="141" t="n"/>
      <c r="G637" s="141" t="n"/>
      <c r="H637" s="141" t="n"/>
      <c r="I637" s="141" t="n"/>
      <c r="J637" s="141" t="n"/>
      <c r="K637" s="141" t="n"/>
      <c r="L637" s="141" t="n"/>
      <c r="M637" s="141" t="n"/>
      <c r="N637" s="141" t="n"/>
      <c r="O637" s="141" t="n"/>
      <c r="P637" s="141" t="n"/>
      <c r="Q637" s="141" t="n"/>
      <c r="R637" s="141" t="n"/>
      <c r="S637" s="141" t="n"/>
      <c r="T637" s="141" t="n"/>
      <c r="U637" s="141" t="n"/>
      <c r="V637" s="141" t="n"/>
      <c r="W637" s="141" t="n"/>
      <c r="X637" s="141" t="n"/>
      <c r="Y637" s="136" t="n"/>
      <c r="Z637" s="136" t="n"/>
      <c r="AA637" s="136" t="n"/>
      <c r="AB637" s="136" t="n"/>
      <c r="AC637" s="136" t="n"/>
      <c r="AD637" s="136" t="n"/>
      <c r="AE637" s="136" t="n"/>
      <c r="AF637" s="136" t="n"/>
      <c r="AG637" s="136" t="n"/>
      <c r="AH637" s="136" t="n"/>
      <c r="AI637" s="136" t="n"/>
      <c r="AJ637" s="136" t="n"/>
      <c r="AK637" s="136" t="n"/>
      <c r="AL637" s="136" t="n"/>
      <c r="AM637" s="136" t="n"/>
      <c r="AN637" s="136" t="n"/>
      <c r="AO637" s="136" t="n"/>
      <c r="AP637" s="136" t="n"/>
      <c r="AQ637" s="136" t="n"/>
      <c r="AR637" s="136" t="n"/>
    </row>
    <row r="638" ht="13.5" customHeight="1" s="196">
      <c r="A638" s="136" t="n"/>
      <c r="B638" s="136" t="n"/>
      <c r="C638" s="136" t="n"/>
      <c r="D638" s="141" t="n"/>
      <c r="E638" s="141" t="n"/>
      <c r="F638" s="141" t="n"/>
      <c r="G638" s="141" t="n"/>
      <c r="H638" s="141" t="n"/>
      <c r="I638" s="141" t="n"/>
      <c r="J638" s="141" t="n"/>
      <c r="K638" s="141" t="n"/>
      <c r="L638" s="141" t="n"/>
      <c r="M638" s="141" t="n"/>
      <c r="N638" s="141" t="n"/>
      <c r="O638" s="141" t="n"/>
      <c r="P638" s="141" t="n"/>
      <c r="Q638" s="141" t="n"/>
      <c r="R638" s="141" t="n"/>
      <c r="S638" s="141" t="n"/>
      <c r="T638" s="141" t="n"/>
      <c r="U638" s="141" t="n"/>
      <c r="V638" s="141" t="n"/>
      <c r="W638" s="141" t="n"/>
      <c r="X638" s="141" t="n"/>
      <c r="Y638" s="136" t="n"/>
      <c r="Z638" s="136" t="n"/>
      <c r="AA638" s="136" t="n"/>
      <c r="AB638" s="136" t="n"/>
      <c r="AC638" s="136" t="n"/>
      <c r="AD638" s="136" t="n"/>
      <c r="AE638" s="136" t="n"/>
      <c r="AF638" s="136" t="n"/>
      <c r="AG638" s="136" t="n"/>
      <c r="AH638" s="136" t="n"/>
      <c r="AI638" s="136" t="n"/>
      <c r="AJ638" s="136" t="n"/>
      <c r="AK638" s="136" t="n"/>
      <c r="AL638" s="136" t="n"/>
      <c r="AM638" s="136" t="n"/>
      <c r="AN638" s="136" t="n"/>
      <c r="AO638" s="136" t="n"/>
      <c r="AP638" s="136" t="n"/>
      <c r="AQ638" s="136" t="n"/>
      <c r="AR638" s="136" t="n"/>
    </row>
    <row r="639" ht="13.5" customHeight="1" s="196">
      <c r="A639" s="136" t="n"/>
      <c r="B639" s="136" t="n"/>
      <c r="C639" s="136" t="n"/>
      <c r="D639" s="141" t="n"/>
      <c r="E639" s="141" t="n"/>
      <c r="F639" s="141" t="n"/>
      <c r="G639" s="141" t="n"/>
      <c r="H639" s="141" t="n"/>
      <c r="I639" s="141" t="n"/>
      <c r="J639" s="141" t="n"/>
      <c r="K639" s="141" t="n"/>
      <c r="L639" s="141" t="n"/>
      <c r="M639" s="141" t="n"/>
      <c r="N639" s="141" t="n"/>
      <c r="O639" s="141" t="n"/>
      <c r="P639" s="141" t="n"/>
      <c r="Q639" s="141" t="n"/>
      <c r="R639" s="141" t="n"/>
      <c r="S639" s="141" t="n"/>
      <c r="T639" s="141" t="n"/>
      <c r="U639" s="141" t="n"/>
      <c r="V639" s="141" t="n"/>
      <c r="W639" s="141" t="n"/>
      <c r="X639" s="141" t="n"/>
      <c r="Y639" s="136" t="n"/>
      <c r="Z639" s="136" t="n"/>
      <c r="AA639" s="136" t="n"/>
      <c r="AB639" s="136" t="n"/>
      <c r="AC639" s="136" t="n"/>
      <c r="AD639" s="136" t="n"/>
      <c r="AE639" s="136" t="n"/>
      <c r="AF639" s="136" t="n"/>
      <c r="AG639" s="136" t="n"/>
      <c r="AH639" s="136" t="n"/>
      <c r="AI639" s="136" t="n"/>
      <c r="AJ639" s="136" t="n"/>
      <c r="AK639" s="136" t="n"/>
      <c r="AL639" s="136" t="n"/>
      <c r="AM639" s="136" t="n"/>
      <c r="AN639" s="136" t="n"/>
      <c r="AO639" s="136" t="n"/>
      <c r="AP639" s="136" t="n"/>
      <c r="AQ639" s="136" t="n"/>
      <c r="AR639" s="136" t="n"/>
    </row>
    <row r="640" ht="13.5" customHeight="1" s="196">
      <c r="A640" s="136" t="n"/>
      <c r="B640" s="136" t="n"/>
      <c r="C640" s="136" t="n"/>
      <c r="D640" s="141" t="n"/>
      <c r="E640" s="141" t="n"/>
      <c r="F640" s="141" t="n"/>
      <c r="G640" s="141" t="n"/>
      <c r="H640" s="141" t="n"/>
      <c r="I640" s="141" t="n"/>
      <c r="J640" s="141" t="n"/>
      <c r="K640" s="141" t="n"/>
      <c r="L640" s="141" t="n"/>
      <c r="M640" s="141" t="n"/>
      <c r="N640" s="141" t="n"/>
      <c r="O640" s="141" t="n"/>
      <c r="P640" s="141" t="n"/>
      <c r="Q640" s="141" t="n"/>
      <c r="R640" s="141" t="n"/>
      <c r="S640" s="141" t="n"/>
      <c r="T640" s="141" t="n"/>
      <c r="U640" s="141" t="n"/>
      <c r="V640" s="141" t="n"/>
      <c r="W640" s="141" t="n"/>
      <c r="X640" s="141" t="n"/>
      <c r="Y640" s="136" t="n"/>
      <c r="Z640" s="136" t="n"/>
      <c r="AA640" s="136" t="n"/>
      <c r="AB640" s="136" t="n"/>
      <c r="AC640" s="136" t="n"/>
      <c r="AD640" s="136" t="n"/>
      <c r="AE640" s="136" t="n"/>
      <c r="AF640" s="136" t="n"/>
      <c r="AG640" s="136" t="n"/>
      <c r="AH640" s="136" t="n"/>
      <c r="AI640" s="136" t="n"/>
      <c r="AJ640" s="136" t="n"/>
      <c r="AK640" s="136" t="n"/>
      <c r="AL640" s="136" t="n"/>
      <c r="AM640" s="136" t="n"/>
      <c r="AN640" s="136" t="n"/>
      <c r="AO640" s="136" t="n"/>
      <c r="AP640" s="136" t="n"/>
      <c r="AQ640" s="136" t="n"/>
      <c r="AR640" s="136" t="n"/>
    </row>
    <row r="641" ht="13.5" customHeight="1" s="196">
      <c r="A641" s="136" t="n"/>
      <c r="B641" s="136" t="n"/>
      <c r="C641" s="136" t="n"/>
      <c r="D641" s="141" t="n"/>
      <c r="E641" s="141" t="n"/>
      <c r="F641" s="141" t="n"/>
      <c r="G641" s="141" t="n"/>
      <c r="H641" s="141" t="n"/>
      <c r="I641" s="141" t="n"/>
      <c r="J641" s="141" t="n"/>
      <c r="K641" s="141" t="n"/>
      <c r="L641" s="141" t="n"/>
      <c r="M641" s="141" t="n"/>
      <c r="N641" s="141" t="n"/>
      <c r="O641" s="141" t="n"/>
      <c r="P641" s="141" t="n"/>
      <c r="Q641" s="141" t="n"/>
      <c r="R641" s="141" t="n"/>
      <c r="S641" s="141" t="n"/>
      <c r="T641" s="141" t="n"/>
      <c r="U641" s="141" t="n"/>
      <c r="V641" s="141" t="n"/>
      <c r="W641" s="141" t="n"/>
      <c r="X641" s="141" t="n"/>
      <c r="Y641" s="136" t="n"/>
      <c r="Z641" s="136" t="n"/>
      <c r="AA641" s="136" t="n"/>
      <c r="AB641" s="136" t="n"/>
      <c r="AC641" s="136" t="n"/>
      <c r="AD641" s="136" t="n"/>
      <c r="AE641" s="136" t="n"/>
      <c r="AF641" s="136" t="n"/>
      <c r="AG641" s="136" t="n"/>
      <c r="AH641" s="136" t="n"/>
      <c r="AI641" s="136" t="n"/>
      <c r="AJ641" s="136" t="n"/>
      <c r="AK641" s="136" t="n"/>
      <c r="AL641" s="136" t="n"/>
      <c r="AM641" s="136" t="n"/>
      <c r="AN641" s="136" t="n"/>
      <c r="AO641" s="136" t="n"/>
      <c r="AP641" s="136" t="n"/>
      <c r="AQ641" s="136" t="n"/>
      <c r="AR641" s="136" t="n"/>
    </row>
    <row r="642" ht="13.5" customHeight="1" s="196">
      <c r="A642" s="136" t="n"/>
      <c r="B642" s="136" t="n"/>
      <c r="C642" s="136" t="n"/>
      <c r="D642" s="141" t="n"/>
      <c r="E642" s="141" t="n"/>
      <c r="F642" s="141" t="n"/>
      <c r="G642" s="141" t="n"/>
      <c r="H642" s="141" t="n"/>
      <c r="I642" s="141" t="n"/>
      <c r="J642" s="141" t="n"/>
      <c r="K642" s="141" t="n"/>
      <c r="L642" s="141" t="n"/>
      <c r="M642" s="141" t="n"/>
      <c r="N642" s="141" t="n"/>
      <c r="O642" s="141" t="n"/>
      <c r="P642" s="141" t="n"/>
      <c r="Q642" s="141" t="n"/>
      <c r="R642" s="141" t="n"/>
      <c r="S642" s="141" t="n"/>
      <c r="T642" s="141" t="n"/>
      <c r="U642" s="141" t="n"/>
      <c r="V642" s="141" t="n"/>
      <c r="W642" s="141" t="n"/>
      <c r="X642" s="141" t="n"/>
      <c r="Y642" s="136" t="n"/>
      <c r="Z642" s="136" t="n"/>
      <c r="AA642" s="136" t="n"/>
      <c r="AB642" s="136" t="n"/>
      <c r="AC642" s="136" t="n"/>
      <c r="AD642" s="136" t="n"/>
      <c r="AE642" s="136" t="n"/>
      <c r="AF642" s="136" t="n"/>
      <c r="AG642" s="136" t="n"/>
      <c r="AH642" s="136" t="n"/>
      <c r="AI642" s="136" t="n"/>
      <c r="AJ642" s="136" t="n"/>
      <c r="AK642" s="136" t="n"/>
      <c r="AL642" s="136" t="n"/>
      <c r="AM642" s="136" t="n"/>
      <c r="AN642" s="136" t="n"/>
      <c r="AO642" s="136" t="n"/>
      <c r="AP642" s="136" t="n"/>
      <c r="AQ642" s="136" t="n"/>
      <c r="AR642" s="136" t="n"/>
    </row>
    <row r="643" ht="13.5" customHeight="1" s="196">
      <c r="A643" s="136" t="n"/>
      <c r="B643" s="136" t="n"/>
      <c r="C643" s="136" t="n"/>
      <c r="D643" s="141" t="n"/>
      <c r="E643" s="141" t="n"/>
      <c r="F643" s="141" t="n"/>
      <c r="G643" s="141" t="n"/>
      <c r="H643" s="141" t="n"/>
      <c r="I643" s="141" t="n"/>
      <c r="J643" s="141" t="n"/>
      <c r="K643" s="141" t="n"/>
      <c r="L643" s="141" t="n"/>
      <c r="M643" s="141" t="n"/>
      <c r="N643" s="141" t="n"/>
      <c r="O643" s="141" t="n"/>
      <c r="P643" s="141" t="n"/>
      <c r="Q643" s="141" t="n"/>
      <c r="R643" s="141" t="n"/>
      <c r="S643" s="141" t="n"/>
      <c r="T643" s="141" t="n"/>
      <c r="U643" s="141" t="n"/>
      <c r="V643" s="141" t="n"/>
      <c r="W643" s="141" t="n"/>
      <c r="X643" s="141" t="n"/>
      <c r="Y643" s="136" t="n"/>
      <c r="Z643" s="136" t="n"/>
      <c r="AA643" s="136" t="n"/>
      <c r="AB643" s="136" t="n"/>
      <c r="AC643" s="136" t="n"/>
      <c r="AD643" s="136" t="n"/>
      <c r="AE643" s="136" t="n"/>
      <c r="AF643" s="136" t="n"/>
      <c r="AG643" s="136" t="n"/>
      <c r="AH643" s="136" t="n"/>
      <c r="AI643" s="136" t="n"/>
      <c r="AJ643" s="136" t="n"/>
      <c r="AK643" s="136" t="n"/>
      <c r="AL643" s="136" t="n"/>
      <c r="AM643" s="136" t="n"/>
      <c r="AN643" s="136" t="n"/>
      <c r="AO643" s="136" t="n"/>
      <c r="AP643" s="136" t="n"/>
      <c r="AQ643" s="136" t="n"/>
      <c r="AR643" s="136" t="n"/>
    </row>
    <row r="644" ht="13.5" customHeight="1" s="196">
      <c r="A644" s="136" t="n"/>
      <c r="B644" s="136" t="n"/>
      <c r="C644" s="136" t="n"/>
      <c r="D644" s="141" t="n"/>
      <c r="E644" s="141" t="n"/>
      <c r="F644" s="141" t="n"/>
      <c r="G644" s="141" t="n"/>
      <c r="H644" s="141" t="n"/>
      <c r="I644" s="141" t="n"/>
      <c r="J644" s="141" t="n"/>
      <c r="K644" s="141" t="n"/>
      <c r="L644" s="141" t="n"/>
      <c r="M644" s="141" t="n"/>
      <c r="N644" s="141" t="n"/>
      <c r="O644" s="141" t="n"/>
      <c r="P644" s="141" t="n"/>
      <c r="Q644" s="141" t="n"/>
      <c r="R644" s="141" t="n"/>
      <c r="S644" s="141" t="n"/>
      <c r="T644" s="141" t="n"/>
      <c r="U644" s="141" t="n"/>
      <c r="V644" s="141" t="n"/>
      <c r="W644" s="141" t="n"/>
      <c r="X644" s="141" t="n"/>
      <c r="Y644" s="136" t="n"/>
      <c r="Z644" s="136" t="n"/>
      <c r="AA644" s="136" t="n"/>
      <c r="AB644" s="136" t="n"/>
      <c r="AC644" s="136" t="n"/>
      <c r="AD644" s="136" t="n"/>
      <c r="AE644" s="136" t="n"/>
      <c r="AF644" s="136" t="n"/>
      <c r="AG644" s="136" t="n"/>
      <c r="AH644" s="136" t="n"/>
      <c r="AI644" s="136" t="n"/>
      <c r="AJ644" s="136" t="n"/>
      <c r="AK644" s="136" t="n"/>
      <c r="AL644" s="136" t="n"/>
      <c r="AM644" s="136" t="n"/>
      <c r="AN644" s="136" t="n"/>
      <c r="AO644" s="136" t="n"/>
      <c r="AP644" s="136" t="n"/>
      <c r="AQ644" s="136" t="n"/>
      <c r="AR644" s="136" t="n"/>
    </row>
    <row r="645" ht="13.5" customHeight="1" s="196">
      <c r="A645" s="136" t="n"/>
      <c r="B645" s="136" t="n"/>
      <c r="C645" s="136" t="n"/>
      <c r="D645" s="141" t="n"/>
      <c r="E645" s="141" t="n"/>
      <c r="F645" s="141" t="n"/>
      <c r="G645" s="141" t="n"/>
      <c r="H645" s="141" t="n"/>
      <c r="I645" s="141" t="n"/>
      <c r="J645" s="141" t="n"/>
      <c r="K645" s="141" t="n"/>
      <c r="L645" s="141" t="n"/>
      <c r="M645" s="141" t="n"/>
      <c r="N645" s="141" t="n"/>
      <c r="O645" s="141" t="n"/>
      <c r="P645" s="141" t="n"/>
      <c r="Q645" s="141" t="n"/>
      <c r="R645" s="141" t="n"/>
      <c r="S645" s="141" t="n"/>
      <c r="T645" s="141" t="n"/>
      <c r="U645" s="141" t="n"/>
      <c r="V645" s="141" t="n"/>
      <c r="W645" s="141" t="n"/>
      <c r="X645" s="141" t="n"/>
      <c r="Y645" s="136" t="n"/>
      <c r="Z645" s="136" t="n"/>
      <c r="AA645" s="136" t="n"/>
      <c r="AB645" s="136" t="n"/>
      <c r="AC645" s="136" t="n"/>
      <c r="AD645" s="136" t="n"/>
      <c r="AE645" s="136" t="n"/>
      <c r="AF645" s="136" t="n"/>
      <c r="AG645" s="136" t="n"/>
      <c r="AH645" s="136" t="n"/>
      <c r="AI645" s="136" t="n"/>
      <c r="AJ645" s="136" t="n"/>
      <c r="AK645" s="136" t="n"/>
      <c r="AL645" s="136" t="n"/>
      <c r="AM645" s="136" t="n"/>
      <c r="AN645" s="136" t="n"/>
      <c r="AO645" s="136" t="n"/>
      <c r="AP645" s="136" t="n"/>
      <c r="AQ645" s="136" t="n"/>
      <c r="AR645" s="136" t="n"/>
    </row>
    <row r="646" ht="13.5" customHeight="1" s="196">
      <c r="A646" s="136" t="n"/>
      <c r="B646" s="136" t="n"/>
      <c r="C646" s="136" t="n"/>
      <c r="D646" s="141" t="n"/>
      <c r="E646" s="141" t="n"/>
      <c r="F646" s="141" t="n"/>
      <c r="G646" s="141" t="n"/>
      <c r="H646" s="141" t="n"/>
      <c r="I646" s="141" t="n"/>
      <c r="J646" s="141" t="n"/>
      <c r="K646" s="141" t="n"/>
      <c r="L646" s="141" t="n"/>
      <c r="M646" s="141" t="n"/>
      <c r="N646" s="141" t="n"/>
      <c r="O646" s="141" t="n"/>
      <c r="P646" s="141" t="n"/>
      <c r="Q646" s="141" t="n"/>
      <c r="R646" s="141" t="n"/>
      <c r="S646" s="141" t="n"/>
      <c r="T646" s="141" t="n"/>
      <c r="U646" s="141" t="n"/>
      <c r="V646" s="141" t="n"/>
      <c r="W646" s="141" t="n"/>
      <c r="X646" s="141" t="n"/>
      <c r="Y646" s="136" t="n"/>
      <c r="Z646" s="136" t="n"/>
      <c r="AA646" s="136" t="n"/>
      <c r="AB646" s="136" t="n"/>
      <c r="AC646" s="136" t="n"/>
      <c r="AD646" s="136" t="n"/>
      <c r="AE646" s="136" t="n"/>
      <c r="AF646" s="136" t="n"/>
      <c r="AG646" s="136" t="n"/>
      <c r="AH646" s="136" t="n"/>
      <c r="AI646" s="136" t="n"/>
      <c r="AJ646" s="136" t="n"/>
      <c r="AK646" s="136" t="n"/>
      <c r="AL646" s="136" t="n"/>
      <c r="AM646" s="136" t="n"/>
      <c r="AN646" s="136" t="n"/>
      <c r="AO646" s="136" t="n"/>
      <c r="AP646" s="136" t="n"/>
      <c r="AQ646" s="136" t="n"/>
      <c r="AR646" s="136" t="n"/>
    </row>
    <row r="647" ht="13.5" customHeight="1" s="196">
      <c r="A647" s="136" t="n"/>
      <c r="B647" s="136" t="n"/>
      <c r="C647" s="136" t="n"/>
      <c r="D647" s="141" t="n"/>
      <c r="E647" s="141" t="n"/>
      <c r="F647" s="141" t="n"/>
      <c r="G647" s="141" t="n"/>
      <c r="H647" s="141" t="n"/>
      <c r="I647" s="141" t="n"/>
      <c r="J647" s="141" t="n"/>
      <c r="K647" s="141" t="n"/>
      <c r="L647" s="141" t="n"/>
      <c r="M647" s="141" t="n"/>
      <c r="N647" s="141" t="n"/>
      <c r="O647" s="141" t="n"/>
      <c r="P647" s="141" t="n"/>
      <c r="Q647" s="141" t="n"/>
      <c r="R647" s="141" t="n"/>
      <c r="S647" s="141" t="n"/>
      <c r="T647" s="141" t="n"/>
      <c r="U647" s="141" t="n"/>
      <c r="V647" s="141" t="n"/>
      <c r="W647" s="141" t="n"/>
      <c r="X647" s="141" t="n"/>
      <c r="Y647" s="136" t="n"/>
      <c r="Z647" s="136" t="n"/>
      <c r="AA647" s="136" t="n"/>
      <c r="AB647" s="136" t="n"/>
      <c r="AC647" s="136" t="n"/>
      <c r="AD647" s="136" t="n"/>
      <c r="AE647" s="136" t="n"/>
      <c r="AF647" s="136" t="n"/>
      <c r="AG647" s="136" t="n"/>
      <c r="AH647" s="136" t="n"/>
      <c r="AI647" s="136" t="n"/>
      <c r="AJ647" s="136" t="n"/>
      <c r="AK647" s="136" t="n"/>
      <c r="AL647" s="136" t="n"/>
      <c r="AM647" s="136" t="n"/>
      <c r="AN647" s="136" t="n"/>
      <c r="AO647" s="136" t="n"/>
      <c r="AP647" s="136" t="n"/>
      <c r="AQ647" s="136" t="n"/>
      <c r="AR647" s="136" t="n"/>
    </row>
    <row r="648" ht="13.5" customHeight="1" s="196">
      <c r="A648" s="136" t="n"/>
      <c r="B648" s="136" t="n"/>
      <c r="C648" s="136" t="n"/>
      <c r="D648" s="141" t="n"/>
      <c r="E648" s="141" t="n"/>
      <c r="F648" s="141" t="n"/>
      <c r="G648" s="141" t="n"/>
      <c r="H648" s="141" t="n"/>
      <c r="I648" s="141" t="n"/>
      <c r="J648" s="141" t="n"/>
      <c r="K648" s="141" t="n"/>
      <c r="L648" s="141" t="n"/>
      <c r="M648" s="141" t="n"/>
      <c r="N648" s="141" t="n"/>
      <c r="O648" s="141" t="n"/>
      <c r="P648" s="141" t="n"/>
      <c r="Q648" s="141" t="n"/>
      <c r="R648" s="141" t="n"/>
      <c r="S648" s="141" t="n"/>
      <c r="T648" s="141" t="n"/>
      <c r="U648" s="141" t="n"/>
      <c r="V648" s="141" t="n"/>
      <c r="W648" s="141" t="n"/>
      <c r="X648" s="141" t="n"/>
      <c r="Y648" s="136" t="n"/>
      <c r="Z648" s="136" t="n"/>
      <c r="AA648" s="136" t="n"/>
      <c r="AB648" s="136" t="n"/>
      <c r="AC648" s="136" t="n"/>
      <c r="AD648" s="136" t="n"/>
      <c r="AE648" s="136" t="n"/>
      <c r="AF648" s="136" t="n"/>
      <c r="AG648" s="136" t="n"/>
      <c r="AH648" s="136" t="n"/>
      <c r="AI648" s="136" t="n"/>
      <c r="AJ648" s="136" t="n"/>
      <c r="AK648" s="136" t="n"/>
      <c r="AL648" s="136" t="n"/>
      <c r="AM648" s="136" t="n"/>
      <c r="AN648" s="136" t="n"/>
      <c r="AO648" s="136" t="n"/>
      <c r="AP648" s="136" t="n"/>
      <c r="AQ648" s="136" t="n"/>
      <c r="AR648" s="136" t="n"/>
    </row>
    <row r="649" ht="13.5" customHeight="1" s="196">
      <c r="A649" s="136" t="n"/>
      <c r="B649" s="136" t="n"/>
      <c r="C649" s="136" t="n"/>
      <c r="D649" s="141" t="n"/>
      <c r="E649" s="141" t="n"/>
      <c r="F649" s="141" t="n"/>
      <c r="G649" s="141" t="n"/>
      <c r="H649" s="141" t="n"/>
      <c r="I649" s="141" t="n"/>
      <c r="J649" s="141" t="n"/>
      <c r="K649" s="141" t="n"/>
      <c r="L649" s="141" t="n"/>
      <c r="M649" s="141" t="n"/>
      <c r="N649" s="141" t="n"/>
      <c r="O649" s="141" t="n"/>
      <c r="P649" s="141" t="n"/>
      <c r="Q649" s="141" t="n"/>
      <c r="R649" s="141" t="n"/>
      <c r="S649" s="141" t="n"/>
      <c r="T649" s="141" t="n"/>
      <c r="U649" s="141" t="n"/>
      <c r="V649" s="141" t="n"/>
      <c r="W649" s="141" t="n"/>
      <c r="X649" s="141" t="n"/>
      <c r="Y649" s="136" t="n"/>
      <c r="Z649" s="136" t="n"/>
      <c r="AA649" s="136" t="n"/>
      <c r="AB649" s="136" t="n"/>
      <c r="AC649" s="136" t="n"/>
      <c r="AD649" s="136" t="n"/>
      <c r="AE649" s="136" t="n"/>
      <c r="AF649" s="136" t="n"/>
      <c r="AG649" s="136" t="n"/>
      <c r="AH649" s="136" t="n"/>
      <c r="AI649" s="136" t="n"/>
      <c r="AJ649" s="136" t="n"/>
      <c r="AK649" s="136" t="n"/>
      <c r="AL649" s="136" t="n"/>
      <c r="AM649" s="136" t="n"/>
      <c r="AN649" s="136" t="n"/>
      <c r="AO649" s="136" t="n"/>
      <c r="AP649" s="136" t="n"/>
      <c r="AQ649" s="136" t="n"/>
      <c r="AR649" s="136" t="n"/>
    </row>
    <row r="650" ht="13.5" customHeight="1" s="196">
      <c r="A650" s="136" t="n"/>
      <c r="B650" s="136" t="n"/>
      <c r="C650" s="136" t="n"/>
      <c r="D650" s="141" t="n"/>
      <c r="E650" s="141" t="n"/>
      <c r="F650" s="141" t="n"/>
      <c r="G650" s="141" t="n"/>
      <c r="H650" s="141" t="n"/>
      <c r="I650" s="141" t="n"/>
      <c r="J650" s="141" t="n"/>
      <c r="K650" s="141" t="n"/>
      <c r="L650" s="141" t="n"/>
      <c r="M650" s="141" t="n"/>
      <c r="N650" s="141" t="n"/>
      <c r="O650" s="141" t="n"/>
      <c r="P650" s="141" t="n"/>
      <c r="Q650" s="141" t="n"/>
      <c r="R650" s="141" t="n"/>
      <c r="S650" s="141" t="n"/>
      <c r="T650" s="141" t="n"/>
      <c r="U650" s="141" t="n"/>
      <c r="V650" s="141" t="n"/>
      <c r="W650" s="141" t="n"/>
      <c r="X650" s="141" t="n"/>
      <c r="Y650" s="136" t="n"/>
      <c r="Z650" s="136" t="n"/>
      <c r="AA650" s="136" t="n"/>
      <c r="AB650" s="136" t="n"/>
      <c r="AC650" s="136" t="n"/>
      <c r="AD650" s="136" t="n"/>
      <c r="AE650" s="136" t="n"/>
      <c r="AF650" s="136" t="n"/>
      <c r="AG650" s="136" t="n"/>
      <c r="AH650" s="136" t="n"/>
      <c r="AI650" s="136" t="n"/>
      <c r="AJ650" s="136" t="n"/>
      <c r="AK650" s="136" t="n"/>
      <c r="AL650" s="136" t="n"/>
      <c r="AM650" s="136" t="n"/>
      <c r="AN650" s="136" t="n"/>
      <c r="AO650" s="136" t="n"/>
      <c r="AP650" s="136" t="n"/>
      <c r="AQ650" s="136" t="n"/>
      <c r="AR650" s="136" t="n"/>
    </row>
    <row r="651" ht="13.5" customHeight="1" s="196">
      <c r="A651" s="136" t="n"/>
      <c r="B651" s="136" t="n"/>
      <c r="C651" s="136" t="n"/>
      <c r="D651" s="141" t="n"/>
      <c r="E651" s="141" t="n"/>
      <c r="F651" s="141" t="n"/>
      <c r="G651" s="141" t="n"/>
      <c r="H651" s="141" t="n"/>
      <c r="I651" s="141" t="n"/>
      <c r="J651" s="141" t="n"/>
      <c r="K651" s="141" t="n"/>
      <c r="L651" s="141" t="n"/>
      <c r="M651" s="141" t="n"/>
      <c r="N651" s="141" t="n"/>
      <c r="O651" s="141" t="n"/>
      <c r="P651" s="141" t="n"/>
      <c r="Q651" s="141" t="n"/>
      <c r="R651" s="141" t="n"/>
      <c r="S651" s="141" t="n"/>
      <c r="T651" s="141" t="n"/>
      <c r="U651" s="141" t="n"/>
      <c r="V651" s="141" t="n"/>
      <c r="W651" s="141" t="n"/>
      <c r="X651" s="141" t="n"/>
      <c r="Y651" s="136" t="n"/>
      <c r="Z651" s="136" t="n"/>
      <c r="AA651" s="136" t="n"/>
      <c r="AB651" s="136" t="n"/>
      <c r="AC651" s="136" t="n"/>
      <c r="AD651" s="136" t="n"/>
      <c r="AE651" s="136" t="n"/>
      <c r="AF651" s="136" t="n"/>
      <c r="AG651" s="136" t="n"/>
      <c r="AH651" s="136" t="n"/>
      <c r="AI651" s="136" t="n"/>
      <c r="AJ651" s="136" t="n"/>
      <c r="AK651" s="136" t="n"/>
      <c r="AL651" s="136" t="n"/>
      <c r="AM651" s="136" t="n"/>
      <c r="AN651" s="136" t="n"/>
      <c r="AO651" s="136" t="n"/>
      <c r="AP651" s="136" t="n"/>
      <c r="AQ651" s="136" t="n"/>
      <c r="AR651" s="136" t="n"/>
    </row>
    <row r="652" ht="13.5" customHeight="1" s="196">
      <c r="A652" s="136" t="n"/>
      <c r="B652" s="136" t="n"/>
      <c r="C652" s="136" t="n"/>
      <c r="D652" s="141" t="n"/>
      <c r="E652" s="141" t="n"/>
      <c r="F652" s="141" t="n"/>
      <c r="G652" s="141" t="n"/>
      <c r="H652" s="141" t="n"/>
      <c r="I652" s="141" t="n"/>
      <c r="J652" s="141" t="n"/>
      <c r="K652" s="141" t="n"/>
      <c r="L652" s="141" t="n"/>
      <c r="M652" s="141" t="n"/>
      <c r="N652" s="141" t="n"/>
      <c r="O652" s="141" t="n"/>
      <c r="P652" s="141" t="n"/>
      <c r="Q652" s="141" t="n"/>
      <c r="R652" s="141" t="n"/>
      <c r="S652" s="141" t="n"/>
      <c r="T652" s="141" t="n"/>
      <c r="U652" s="141" t="n"/>
      <c r="V652" s="141" t="n"/>
      <c r="W652" s="141" t="n"/>
      <c r="X652" s="141" t="n"/>
      <c r="Y652" s="136" t="n"/>
      <c r="Z652" s="136" t="n"/>
      <c r="AA652" s="136" t="n"/>
      <c r="AB652" s="136" t="n"/>
      <c r="AC652" s="136" t="n"/>
      <c r="AD652" s="136" t="n"/>
      <c r="AE652" s="136" t="n"/>
      <c r="AF652" s="136" t="n"/>
      <c r="AG652" s="136" t="n"/>
      <c r="AH652" s="136" t="n"/>
      <c r="AI652" s="136" t="n"/>
      <c r="AJ652" s="136" t="n"/>
      <c r="AK652" s="136" t="n"/>
      <c r="AL652" s="136" t="n"/>
      <c r="AM652" s="136" t="n"/>
      <c r="AN652" s="136" t="n"/>
      <c r="AO652" s="136" t="n"/>
      <c r="AP652" s="136" t="n"/>
      <c r="AQ652" s="136" t="n"/>
      <c r="AR652" s="136" t="n"/>
    </row>
    <row r="653" ht="13.5" customHeight="1" s="196">
      <c r="A653" s="136" t="n"/>
      <c r="B653" s="136" t="n"/>
      <c r="C653" s="136" t="n"/>
      <c r="D653" s="141" t="n"/>
      <c r="E653" s="141" t="n"/>
      <c r="F653" s="141" t="n"/>
      <c r="G653" s="141" t="n"/>
      <c r="H653" s="141" t="n"/>
      <c r="I653" s="141" t="n"/>
      <c r="J653" s="141" t="n"/>
      <c r="K653" s="141" t="n"/>
      <c r="L653" s="141" t="n"/>
      <c r="M653" s="141" t="n"/>
      <c r="N653" s="141" t="n"/>
      <c r="O653" s="141" t="n"/>
      <c r="P653" s="141" t="n"/>
      <c r="Q653" s="141" t="n"/>
      <c r="R653" s="141" t="n"/>
      <c r="S653" s="141" t="n"/>
      <c r="T653" s="141" t="n"/>
      <c r="U653" s="141" t="n"/>
      <c r="V653" s="141" t="n"/>
      <c r="W653" s="141" t="n"/>
      <c r="X653" s="141" t="n"/>
      <c r="Y653" s="136" t="n"/>
      <c r="Z653" s="136" t="n"/>
      <c r="AA653" s="136" t="n"/>
      <c r="AB653" s="136" t="n"/>
      <c r="AC653" s="136" t="n"/>
      <c r="AD653" s="136" t="n"/>
      <c r="AE653" s="136" t="n"/>
      <c r="AF653" s="136" t="n"/>
      <c r="AG653" s="136" t="n"/>
      <c r="AH653" s="136" t="n"/>
      <c r="AI653" s="136" t="n"/>
      <c r="AJ653" s="136" t="n"/>
      <c r="AK653" s="136" t="n"/>
      <c r="AL653" s="136" t="n"/>
      <c r="AM653" s="136" t="n"/>
      <c r="AN653" s="136" t="n"/>
      <c r="AO653" s="136" t="n"/>
      <c r="AP653" s="136" t="n"/>
      <c r="AQ653" s="136" t="n"/>
      <c r="AR653" s="136" t="n"/>
    </row>
    <row r="654" ht="13.5" customHeight="1" s="196">
      <c r="A654" s="136" t="n"/>
      <c r="B654" s="136" t="n"/>
      <c r="C654" s="136" t="n"/>
      <c r="D654" s="141" t="n"/>
      <c r="E654" s="141" t="n"/>
      <c r="F654" s="141" t="n"/>
      <c r="G654" s="141" t="n"/>
      <c r="H654" s="141" t="n"/>
      <c r="I654" s="141" t="n"/>
      <c r="J654" s="141" t="n"/>
      <c r="K654" s="141" t="n"/>
      <c r="L654" s="141" t="n"/>
      <c r="M654" s="141" t="n"/>
      <c r="N654" s="141" t="n"/>
      <c r="O654" s="141" t="n"/>
      <c r="P654" s="141" t="n"/>
      <c r="Q654" s="141" t="n"/>
      <c r="R654" s="141" t="n"/>
      <c r="S654" s="141" t="n"/>
      <c r="T654" s="141" t="n"/>
      <c r="U654" s="141" t="n"/>
      <c r="V654" s="141" t="n"/>
      <c r="W654" s="141" t="n"/>
      <c r="X654" s="141" t="n"/>
      <c r="Y654" s="136" t="n"/>
      <c r="Z654" s="136" t="n"/>
      <c r="AA654" s="136" t="n"/>
      <c r="AB654" s="136" t="n"/>
      <c r="AC654" s="136" t="n"/>
      <c r="AD654" s="136" t="n"/>
      <c r="AE654" s="136" t="n"/>
      <c r="AF654" s="136" t="n"/>
      <c r="AG654" s="136" t="n"/>
      <c r="AH654" s="136" t="n"/>
      <c r="AI654" s="136" t="n"/>
      <c r="AJ654" s="136" t="n"/>
      <c r="AK654" s="136" t="n"/>
      <c r="AL654" s="136" t="n"/>
      <c r="AM654" s="136" t="n"/>
      <c r="AN654" s="136" t="n"/>
      <c r="AO654" s="136" t="n"/>
      <c r="AP654" s="136" t="n"/>
      <c r="AQ654" s="136" t="n"/>
      <c r="AR654" s="136" t="n"/>
    </row>
    <row r="655" ht="13.5" customHeight="1" s="196">
      <c r="A655" s="136" t="n"/>
      <c r="B655" s="136" t="n"/>
      <c r="C655" s="136" t="n"/>
      <c r="D655" s="141" t="n"/>
      <c r="E655" s="141" t="n"/>
      <c r="F655" s="141" t="n"/>
      <c r="G655" s="141" t="n"/>
      <c r="H655" s="141" t="n"/>
      <c r="I655" s="141" t="n"/>
      <c r="J655" s="141" t="n"/>
      <c r="K655" s="141" t="n"/>
      <c r="L655" s="141" t="n"/>
      <c r="M655" s="141" t="n"/>
      <c r="N655" s="141" t="n"/>
      <c r="O655" s="141" t="n"/>
      <c r="P655" s="141" t="n"/>
      <c r="Q655" s="141" t="n"/>
      <c r="R655" s="141" t="n"/>
      <c r="S655" s="141" t="n"/>
      <c r="T655" s="141" t="n"/>
      <c r="U655" s="141" t="n"/>
      <c r="V655" s="141" t="n"/>
      <c r="W655" s="141" t="n"/>
      <c r="X655" s="141" t="n"/>
      <c r="Y655" s="136" t="n"/>
      <c r="Z655" s="136" t="n"/>
      <c r="AA655" s="136" t="n"/>
      <c r="AB655" s="136" t="n"/>
      <c r="AC655" s="136" t="n"/>
      <c r="AD655" s="136" t="n"/>
      <c r="AE655" s="136" t="n"/>
      <c r="AF655" s="136" t="n"/>
      <c r="AG655" s="136" t="n"/>
      <c r="AH655" s="136" t="n"/>
      <c r="AI655" s="136" t="n"/>
      <c r="AJ655" s="136" t="n"/>
      <c r="AK655" s="136" t="n"/>
      <c r="AL655" s="136" t="n"/>
      <c r="AM655" s="136" t="n"/>
      <c r="AN655" s="136" t="n"/>
      <c r="AO655" s="136" t="n"/>
      <c r="AP655" s="136" t="n"/>
      <c r="AQ655" s="136" t="n"/>
      <c r="AR655" s="136" t="n"/>
    </row>
    <row r="656" ht="13.5" customHeight="1" s="196">
      <c r="A656" s="136" t="n"/>
      <c r="B656" s="136" t="n"/>
      <c r="C656" s="136" t="n"/>
      <c r="D656" s="141" t="n"/>
      <c r="E656" s="141" t="n"/>
      <c r="F656" s="141" t="n"/>
      <c r="G656" s="141" t="n"/>
      <c r="H656" s="141" t="n"/>
      <c r="I656" s="141" t="n"/>
      <c r="J656" s="141" t="n"/>
      <c r="K656" s="141" t="n"/>
      <c r="L656" s="141" t="n"/>
      <c r="M656" s="141" t="n"/>
      <c r="N656" s="141" t="n"/>
      <c r="O656" s="141" t="n"/>
      <c r="P656" s="141" t="n"/>
      <c r="Q656" s="141" t="n"/>
      <c r="R656" s="141" t="n"/>
      <c r="S656" s="141" t="n"/>
      <c r="T656" s="141" t="n"/>
      <c r="U656" s="141" t="n"/>
      <c r="V656" s="141" t="n"/>
      <c r="W656" s="141" t="n"/>
      <c r="X656" s="141" t="n"/>
      <c r="Y656" s="136" t="n"/>
      <c r="Z656" s="136" t="n"/>
      <c r="AA656" s="136" t="n"/>
      <c r="AB656" s="136" t="n"/>
      <c r="AC656" s="136" t="n"/>
      <c r="AD656" s="136" t="n"/>
      <c r="AE656" s="136" t="n"/>
      <c r="AF656" s="136" t="n"/>
      <c r="AG656" s="136" t="n"/>
      <c r="AH656" s="136" t="n"/>
      <c r="AI656" s="136" t="n"/>
      <c r="AJ656" s="136" t="n"/>
      <c r="AK656" s="136" t="n"/>
      <c r="AL656" s="136" t="n"/>
      <c r="AM656" s="136" t="n"/>
      <c r="AN656" s="136" t="n"/>
      <c r="AO656" s="136" t="n"/>
      <c r="AP656" s="136" t="n"/>
      <c r="AQ656" s="136" t="n"/>
      <c r="AR656" s="136" t="n"/>
    </row>
    <row r="657" ht="13.5" customHeight="1" s="196">
      <c r="A657" s="136" t="n"/>
      <c r="B657" s="136" t="n"/>
      <c r="C657" s="136" t="n"/>
      <c r="D657" s="141" t="n"/>
      <c r="E657" s="141" t="n"/>
      <c r="F657" s="141" t="n"/>
      <c r="G657" s="141" t="n"/>
      <c r="H657" s="141" t="n"/>
      <c r="I657" s="141" t="n"/>
      <c r="J657" s="141" t="n"/>
      <c r="K657" s="141" t="n"/>
      <c r="L657" s="141" t="n"/>
      <c r="M657" s="141" t="n"/>
      <c r="N657" s="141" t="n"/>
      <c r="O657" s="141" t="n"/>
      <c r="P657" s="141" t="n"/>
      <c r="Q657" s="141" t="n"/>
      <c r="R657" s="141" t="n"/>
      <c r="S657" s="141" t="n"/>
      <c r="T657" s="141" t="n"/>
      <c r="U657" s="141" t="n"/>
      <c r="V657" s="141" t="n"/>
      <c r="W657" s="141" t="n"/>
      <c r="X657" s="141" t="n"/>
      <c r="Y657" s="136" t="n"/>
      <c r="Z657" s="136" t="n"/>
      <c r="AA657" s="136" t="n"/>
      <c r="AB657" s="136" t="n"/>
      <c r="AC657" s="136" t="n"/>
      <c r="AD657" s="136" t="n"/>
      <c r="AE657" s="136" t="n"/>
      <c r="AF657" s="136" t="n"/>
      <c r="AG657" s="136" t="n"/>
      <c r="AH657" s="136" t="n"/>
      <c r="AI657" s="136" t="n"/>
      <c r="AJ657" s="136" t="n"/>
      <c r="AK657" s="136" t="n"/>
      <c r="AL657" s="136" t="n"/>
      <c r="AM657" s="136" t="n"/>
      <c r="AN657" s="136" t="n"/>
      <c r="AO657" s="136" t="n"/>
      <c r="AP657" s="136" t="n"/>
      <c r="AQ657" s="136" t="n"/>
      <c r="AR657" s="136" t="n"/>
    </row>
    <row r="658" ht="13.5" customHeight="1" s="196">
      <c r="A658" s="136" t="n"/>
      <c r="B658" s="136" t="n"/>
      <c r="C658" s="136" t="n"/>
      <c r="D658" s="141" t="n"/>
      <c r="E658" s="141" t="n"/>
      <c r="F658" s="141" t="n"/>
      <c r="G658" s="141" t="n"/>
      <c r="H658" s="141" t="n"/>
      <c r="I658" s="141" t="n"/>
      <c r="J658" s="141" t="n"/>
      <c r="K658" s="141" t="n"/>
      <c r="L658" s="141" t="n"/>
      <c r="M658" s="141" t="n"/>
      <c r="N658" s="141" t="n"/>
      <c r="O658" s="141" t="n"/>
      <c r="P658" s="141" t="n"/>
      <c r="Q658" s="141" t="n"/>
      <c r="R658" s="141" t="n"/>
      <c r="S658" s="141" t="n"/>
      <c r="T658" s="141" t="n"/>
      <c r="U658" s="141" t="n"/>
      <c r="V658" s="141" t="n"/>
      <c r="W658" s="141" t="n"/>
      <c r="X658" s="141" t="n"/>
      <c r="Y658" s="136" t="n"/>
      <c r="Z658" s="136" t="n"/>
      <c r="AA658" s="136" t="n"/>
      <c r="AB658" s="136" t="n"/>
      <c r="AC658" s="136" t="n"/>
      <c r="AD658" s="136" t="n"/>
      <c r="AE658" s="136" t="n"/>
      <c r="AF658" s="136" t="n"/>
      <c r="AG658" s="136" t="n"/>
      <c r="AH658" s="136" t="n"/>
      <c r="AI658" s="136" t="n"/>
      <c r="AJ658" s="136" t="n"/>
      <c r="AK658" s="136" t="n"/>
      <c r="AL658" s="136" t="n"/>
      <c r="AM658" s="136" t="n"/>
      <c r="AN658" s="136" t="n"/>
      <c r="AO658" s="136" t="n"/>
      <c r="AP658" s="136" t="n"/>
      <c r="AQ658" s="136" t="n"/>
      <c r="AR658" s="136" t="n"/>
    </row>
    <row r="659" ht="13.5" customHeight="1" s="196">
      <c r="A659" s="136" t="n"/>
      <c r="B659" s="136" t="n"/>
      <c r="C659" s="136" t="n"/>
      <c r="D659" s="141" t="n"/>
      <c r="E659" s="141" t="n"/>
      <c r="F659" s="141" t="n"/>
      <c r="G659" s="141" t="n"/>
      <c r="H659" s="141" t="n"/>
      <c r="I659" s="141" t="n"/>
      <c r="J659" s="141" t="n"/>
      <c r="K659" s="141" t="n"/>
      <c r="L659" s="141" t="n"/>
      <c r="M659" s="141" t="n"/>
      <c r="N659" s="141" t="n"/>
      <c r="O659" s="141" t="n"/>
      <c r="P659" s="141" t="n"/>
      <c r="Q659" s="141" t="n"/>
      <c r="R659" s="141" t="n"/>
      <c r="S659" s="141" t="n"/>
      <c r="T659" s="141" t="n"/>
      <c r="U659" s="141" t="n"/>
      <c r="V659" s="141" t="n"/>
      <c r="W659" s="141" t="n"/>
      <c r="X659" s="141" t="n"/>
      <c r="Y659" s="136" t="n"/>
      <c r="Z659" s="136" t="n"/>
      <c r="AA659" s="136" t="n"/>
      <c r="AB659" s="136" t="n"/>
      <c r="AC659" s="136" t="n"/>
      <c r="AD659" s="136" t="n"/>
      <c r="AE659" s="136" t="n"/>
      <c r="AF659" s="136" t="n"/>
      <c r="AG659" s="136" t="n"/>
      <c r="AH659" s="136" t="n"/>
      <c r="AI659" s="136" t="n"/>
      <c r="AJ659" s="136" t="n"/>
      <c r="AK659" s="136" t="n"/>
      <c r="AL659" s="136" t="n"/>
      <c r="AM659" s="136" t="n"/>
      <c r="AN659" s="136" t="n"/>
      <c r="AO659" s="136" t="n"/>
      <c r="AP659" s="136" t="n"/>
      <c r="AQ659" s="136" t="n"/>
      <c r="AR659" s="136" t="n"/>
    </row>
    <row r="660" ht="13.5" customHeight="1" s="196">
      <c r="A660" s="136" t="n"/>
      <c r="B660" s="136" t="n"/>
      <c r="C660" s="136" t="n"/>
      <c r="D660" s="141" t="n"/>
      <c r="E660" s="141" t="n"/>
      <c r="F660" s="141" t="n"/>
      <c r="G660" s="141" t="n"/>
      <c r="H660" s="141" t="n"/>
      <c r="I660" s="141" t="n"/>
      <c r="J660" s="141" t="n"/>
      <c r="K660" s="141" t="n"/>
      <c r="L660" s="141" t="n"/>
      <c r="M660" s="141" t="n"/>
      <c r="N660" s="141" t="n"/>
      <c r="O660" s="141" t="n"/>
      <c r="P660" s="141" t="n"/>
      <c r="Q660" s="141" t="n"/>
      <c r="R660" s="141" t="n"/>
      <c r="S660" s="141" t="n"/>
      <c r="T660" s="141" t="n"/>
      <c r="U660" s="141" t="n"/>
      <c r="V660" s="141" t="n"/>
      <c r="W660" s="141" t="n"/>
      <c r="X660" s="141" t="n"/>
      <c r="Y660" s="136" t="n"/>
      <c r="Z660" s="136" t="n"/>
      <c r="AA660" s="136" t="n"/>
      <c r="AB660" s="136" t="n"/>
      <c r="AC660" s="136" t="n"/>
      <c r="AD660" s="136" t="n"/>
      <c r="AE660" s="136" t="n"/>
      <c r="AF660" s="136" t="n"/>
      <c r="AG660" s="136" t="n"/>
      <c r="AH660" s="136" t="n"/>
      <c r="AI660" s="136" t="n"/>
      <c r="AJ660" s="136" t="n"/>
      <c r="AK660" s="136" t="n"/>
      <c r="AL660" s="136" t="n"/>
      <c r="AM660" s="136" t="n"/>
      <c r="AN660" s="136" t="n"/>
      <c r="AO660" s="136" t="n"/>
      <c r="AP660" s="136" t="n"/>
      <c r="AQ660" s="136" t="n"/>
      <c r="AR660" s="136" t="n"/>
    </row>
    <row r="661" ht="13.5" customHeight="1" s="196">
      <c r="A661" s="136" t="n"/>
      <c r="B661" s="136" t="n"/>
      <c r="C661" s="136" t="n"/>
      <c r="D661" s="141" t="n"/>
      <c r="E661" s="141" t="n"/>
      <c r="F661" s="141" t="n"/>
      <c r="G661" s="141" t="n"/>
      <c r="H661" s="141" t="n"/>
      <c r="I661" s="141" t="n"/>
      <c r="J661" s="141" t="n"/>
      <c r="K661" s="141" t="n"/>
      <c r="L661" s="141" t="n"/>
      <c r="M661" s="141" t="n"/>
      <c r="N661" s="141" t="n"/>
      <c r="O661" s="141" t="n"/>
      <c r="P661" s="141" t="n"/>
      <c r="Q661" s="141" t="n"/>
      <c r="R661" s="141" t="n"/>
      <c r="S661" s="141" t="n"/>
      <c r="T661" s="141" t="n"/>
      <c r="U661" s="141" t="n"/>
      <c r="V661" s="141" t="n"/>
      <c r="W661" s="141" t="n"/>
      <c r="X661" s="141" t="n"/>
      <c r="Y661" s="136" t="n"/>
      <c r="Z661" s="136" t="n"/>
      <c r="AA661" s="136" t="n"/>
      <c r="AB661" s="136" t="n"/>
      <c r="AC661" s="136" t="n"/>
      <c r="AD661" s="136" t="n"/>
      <c r="AE661" s="136" t="n"/>
      <c r="AF661" s="136" t="n"/>
      <c r="AG661" s="136" t="n"/>
      <c r="AH661" s="136" t="n"/>
      <c r="AI661" s="136" t="n"/>
      <c r="AJ661" s="136" t="n"/>
      <c r="AK661" s="136" t="n"/>
      <c r="AL661" s="136" t="n"/>
      <c r="AM661" s="136" t="n"/>
      <c r="AN661" s="136" t="n"/>
      <c r="AO661" s="136" t="n"/>
      <c r="AP661" s="136" t="n"/>
      <c r="AQ661" s="136" t="n"/>
      <c r="AR661" s="136" t="n"/>
    </row>
    <row r="662" ht="13.5" customHeight="1" s="196">
      <c r="A662" s="136" t="n"/>
      <c r="B662" s="136" t="n"/>
      <c r="C662" s="136" t="n"/>
      <c r="D662" s="141" t="n"/>
      <c r="E662" s="141" t="n"/>
      <c r="F662" s="141" t="n"/>
      <c r="G662" s="141" t="n"/>
      <c r="H662" s="141" t="n"/>
      <c r="I662" s="141" t="n"/>
      <c r="J662" s="141" t="n"/>
      <c r="K662" s="141" t="n"/>
      <c r="L662" s="141" t="n"/>
      <c r="M662" s="141" t="n"/>
      <c r="N662" s="141" t="n"/>
      <c r="O662" s="141" t="n"/>
      <c r="P662" s="141" t="n"/>
      <c r="Q662" s="141" t="n"/>
      <c r="R662" s="141" t="n"/>
      <c r="S662" s="141" t="n"/>
      <c r="T662" s="141" t="n"/>
      <c r="U662" s="141" t="n"/>
      <c r="V662" s="141" t="n"/>
      <c r="W662" s="141" t="n"/>
      <c r="X662" s="141" t="n"/>
      <c r="Y662" s="136" t="n"/>
      <c r="Z662" s="136" t="n"/>
      <c r="AA662" s="136" t="n"/>
      <c r="AB662" s="136" t="n"/>
      <c r="AC662" s="136" t="n"/>
      <c r="AD662" s="136" t="n"/>
      <c r="AE662" s="136" t="n"/>
      <c r="AF662" s="136" t="n"/>
      <c r="AG662" s="136" t="n"/>
      <c r="AH662" s="136" t="n"/>
      <c r="AI662" s="136" t="n"/>
      <c r="AJ662" s="136" t="n"/>
      <c r="AK662" s="136" t="n"/>
      <c r="AL662" s="136" t="n"/>
      <c r="AM662" s="136" t="n"/>
      <c r="AN662" s="136" t="n"/>
      <c r="AO662" s="136" t="n"/>
      <c r="AP662" s="136" t="n"/>
      <c r="AQ662" s="136" t="n"/>
      <c r="AR662" s="136" t="n"/>
    </row>
    <row r="663" ht="13.5" customHeight="1" s="196">
      <c r="A663" s="136" t="n"/>
      <c r="B663" s="136" t="n"/>
      <c r="C663" s="136" t="n"/>
      <c r="D663" s="141" t="n"/>
      <c r="E663" s="141" t="n"/>
      <c r="F663" s="141" t="n"/>
      <c r="G663" s="141" t="n"/>
      <c r="H663" s="141" t="n"/>
      <c r="I663" s="141" t="n"/>
      <c r="J663" s="141" t="n"/>
      <c r="K663" s="141" t="n"/>
      <c r="L663" s="141" t="n"/>
      <c r="M663" s="141" t="n"/>
      <c r="N663" s="141" t="n"/>
      <c r="O663" s="141" t="n"/>
      <c r="P663" s="141" t="n"/>
      <c r="Q663" s="141" t="n"/>
      <c r="R663" s="141" t="n"/>
      <c r="S663" s="141" t="n"/>
      <c r="T663" s="141" t="n"/>
      <c r="U663" s="141" t="n"/>
      <c r="V663" s="141" t="n"/>
      <c r="W663" s="141" t="n"/>
      <c r="X663" s="141" t="n"/>
      <c r="Y663" s="136" t="n"/>
      <c r="Z663" s="136" t="n"/>
      <c r="AA663" s="136" t="n"/>
      <c r="AB663" s="136" t="n"/>
      <c r="AC663" s="136" t="n"/>
      <c r="AD663" s="136" t="n"/>
      <c r="AE663" s="136" t="n"/>
      <c r="AF663" s="136" t="n"/>
      <c r="AG663" s="136" t="n"/>
      <c r="AH663" s="136" t="n"/>
      <c r="AI663" s="136" t="n"/>
      <c r="AJ663" s="136" t="n"/>
      <c r="AK663" s="136" t="n"/>
      <c r="AL663" s="136" t="n"/>
      <c r="AM663" s="136" t="n"/>
      <c r="AN663" s="136" t="n"/>
      <c r="AO663" s="136" t="n"/>
      <c r="AP663" s="136" t="n"/>
      <c r="AQ663" s="136" t="n"/>
      <c r="AR663" s="136" t="n"/>
    </row>
    <row r="664" ht="13.5" customHeight="1" s="196">
      <c r="A664" s="136" t="n"/>
      <c r="B664" s="136" t="n"/>
      <c r="C664" s="136" t="n"/>
      <c r="D664" s="141" t="n"/>
      <c r="E664" s="141" t="n"/>
      <c r="F664" s="141" t="n"/>
      <c r="G664" s="141" t="n"/>
      <c r="H664" s="141" t="n"/>
      <c r="I664" s="141" t="n"/>
      <c r="J664" s="141" t="n"/>
      <c r="K664" s="141" t="n"/>
      <c r="L664" s="141" t="n"/>
      <c r="M664" s="141" t="n"/>
      <c r="N664" s="141" t="n"/>
      <c r="O664" s="141" t="n"/>
      <c r="P664" s="141" t="n"/>
      <c r="Q664" s="141" t="n"/>
      <c r="R664" s="141" t="n"/>
      <c r="S664" s="141" t="n"/>
      <c r="T664" s="141" t="n"/>
      <c r="U664" s="141" t="n"/>
      <c r="V664" s="141" t="n"/>
      <c r="W664" s="141" t="n"/>
      <c r="X664" s="141" t="n"/>
      <c r="Y664" s="136" t="n"/>
      <c r="Z664" s="136" t="n"/>
      <c r="AA664" s="136" t="n"/>
      <c r="AB664" s="136" t="n"/>
      <c r="AC664" s="136" t="n"/>
      <c r="AD664" s="136" t="n"/>
      <c r="AE664" s="136" t="n"/>
      <c r="AF664" s="136" t="n"/>
      <c r="AG664" s="136" t="n"/>
      <c r="AH664" s="136" t="n"/>
      <c r="AI664" s="136" t="n"/>
      <c r="AJ664" s="136" t="n"/>
      <c r="AK664" s="136" t="n"/>
      <c r="AL664" s="136" t="n"/>
      <c r="AM664" s="136" t="n"/>
      <c r="AN664" s="136" t="n"/>
      <c r="AO664" s="136" t="n"/>
      <c r="AP664" s="136" t="n"/>
      <c r="AQ664" s="136" t="n"/>
      <c r="AR664" s="136" t="n"/>
    </row>
    <row r="665" ht="13.5" customHeight="1" s="196">
      <c r="A665" s="136" t="n"/>
      <c r="B665" s="136" t="n"/>
      <c r="C665" s="136" t="n"/>
      <c r="D665" s="141" t="n"/>
      <c r="E665" s="141" t="n"/>
      <c r="F665" s="141" t="n"/>
      <c r="G665" s="141" t="n"/>
      <c r="H665" s="141" t="n"/>
      <c r="I665" s="141" t="n"/>
      <c r="J665" s="141" t="n"/>
      <c r="K665" s="141" t="n"/>
      <c r="L665" s="141" t="n"/>
      <c r="M665" s="141" t="n"/>
      <c r="N665" s="141" t="n"/>
      <c r="O665" s="141" t="n"/>
      <c r="P665" s="141" t="n"/>
      <c r="Q665" s="141" t="n"/>
      <c r="R665" s="141" t="n"/>
      <c r="S665" s="141" t="n"/>
      <c r="T665" s="141" t="n"/>
      <c r="U665" s="141" t="n"/>
      <c r="V665" s="141" t="n"/>
      <c r="W665" s="141" t="n"/>
      <c r="X665" s="141" t="n"/>
      <c r="Y665" s="136" t="n"/>
      <c r="Z665" s="136" t="n"/>
      <c r="AA665" s="136" t="n"/>
      <c r="AB665" s="136" t="n"/>
      <c r="AC665" s="136" t="n"/>
      <c r="AD665" s="136" t="n"/>
      <c r="AE665" s="136" t="n"/>
      <c r="AF665" s="136" t="n"/>
      <c r="AG665" s="136" t="n"/>
      <c r="AH665" s="136" t="n"/>
      <c r="AI665" s="136" t="n"/>
      <c r="AJ665" s="136" t="n"/>
      <c r="AK665" s="136" t="n"/>
      <c r="AL665" s="136" t="n"/>
      <c r="AM665" s="136" t="n"/>
      <c r="AN665" s="136" t="n"/>
      <c r="AO665" s="136" t="n"/>
      <c r="AP665" s="136" t="n"/>
      <c r="AQ665" s="136" t="n"/>
      <c r="AR665" s="136" t="n"/>
    </row>
    <row r="666" ht="13.5" customHeight="1" s="196">
      <c r="A666" s="136" t="n"/>
      <c r="B666" s="136" t="n"/>
      <c r="C666" s="136" t="n"/>
      <c r="D666" s="141" t="n"/>
      <c r="E666" s="141" t="n"/>
      <c r="F666" s="141" t="n"/>
      <c r="G666" s="141" t="n"/>
      <c r="H666" s="141" t="n"/>
      <c r="I666" s="141" t="n"/>
      <c r="J666" s="141" t="n"/>
      <c r="K666" s="141" t="n"/>
      <c r="L666" s="141" t="n"/>
      <c r="M666" s="141" t="n"/>
      <c r="N666" s="141" t="n"/>
      <c r="O666" s="141" t="n"/>
      <c r="P666" s="141" t="n"/>
      <c r="Q666" s="141" t="n"/>
      <c r="R666" s="141" t="n"/>
      <c r="S666" s="141" t="n"/>
      <c r="T666" s="141" t="n"/>
      <c r="U666" s="141" t="n"/>
      <c r="V666" s="141" t="n"/>
      <c r="W666" s="141" t="n"/>
      <c r="X666" s="141" t="n"/>
      <c r="Y666" s="136" t="n"/>
      <c r="Z666" s="136" t="n"/>
      <c r="AA666" s="136" t="n"/>
      <c r="AB666" s="136" t="n"/>
      <c r="AC666" s="136" t="n"/>
      <c r="AD666" s="136" t="n"/>
      <c r="AE666" s="136" t="n"/>
      <c r="AF666" s="136" t="n"/>
      <c r="AG666" s="136" t="n"/>
      <c r="AH666" s="136" t="n"/>
      <c r="AI666" s="136" t="n"/>
      <c r="AJ666" s="136" t="n"/>
      <c r="AK666" s="136" t="n"/>
      <c r="AL666" s="136" t="n"/>
      <c r="AM666" s="136" t="n"/>
      <c r="AN666" s="136" t="n"/>
      <c r="AO666" s="136" t="n"/>
      <c r="AP666" s="136" t="n"/>
      <c r="AQ666" s="136" t="n"/>
      <c r="AR666" s="136" t="n"/>
    </row>
    <row r="667" ht="13.5" customHeight="1" s="196">
      <c r="A667" s="136" t="n"/>
      <c r="B667" s="136" t="n"/>
      <c r="C667" s="136" t="n"/>
      <c r="D667" s="141" t="n"/>
      <c r="E667" s="141" t="n"/>
      <c r="F667" s="141" t="n"/>
      <c r="G667" s="141" t="n"/>
      <c r="H667" s="141" t="n"/>
      <c r="I667" s="141" t="n"/>
      <c r="J667" s="141" t="n"/>
      <c r="K667" s="141" t="n"/>
      <c r="L667" s="141" t="n"/>
      <c r="M667" s="141" t="n"/>
      <c r="N667" s="141" t="n"/>
      <c r="O667" s="141" t="n"/>
      <c r="P667" s="141" t="n"/>
      <c r="Q667" s="141" t="n"/>
      <c r="R667" s="141" t="n"/>
      <c r="S667" s="141" t="n"/>
      <c r="T667" s="141" t="n"/>
      <c r="U667" s="141" t="n"/>
      <c r="V667" s="141" t="n"/>
      <c r="W667" s="141" t="n"/>
      <c r="X667" s="141" t="n"/>
      <c r="Y667" s="136" t="n"/>
      <c r="Z667" s="136" t="n"/>
      <c r="AA667" s="136" t="n"/>
      <c r="AB667" s="136" t="n"/>
      <c r="AC667" s="136" t="n"/>
      <c r="AD667" s="136" t="n"/>
      <c r="AE667" s="136" t="n"/>
      <c r="AF667" s="136" t="n"/>
      <c r="AG667" s="136" t="n"/>
      <c r="AH667" s="136" t="n"/>
      <c r="AI667" s="136" t="n"/>
      <c r="AJ667" s="136" t="n"/>
      <c r="AK667" s="136" t="n"/>
      <c r="AL667" s="136" t="n"/>
      <c r="AM667" s="136" t="n"/>
      <c r="AN667" s="136" t="n"/>
      <c r="AO667" s="136" t="n"/>
      <c r="AP667" s="136" t="n"/>
      <c r="AQ667" s="136" t="n"/>
      <c r="AR667" s="136" t="n"/>
    </row>
    <row r="668" ht="13.5" customHeight="1" s="196">
      <c r="A668" s="136" t="n"/>
      <c r="B668" s="136" t="n"/>
      <c r="C668" s="136" t="n"/>
      <c r="D668" s="141" t="n"/>
      <c r="E668" s="141" t="n"/>
      <c r="F668" s="141" t="n"/>
      <c r="G668" s="141" t="n"/>
      <c r="H668" s="141" t="n"/>
      <c r="I668" s="141" t="n"/>
      <c r="J668" s="141" t="n"/>
      <c r="K668" s="141" t="n"/>
      <c r="L668" s="141" t="n"/>
      <c r="M668" s="141" t="n"/>
      <c r="N668" s="141" t="n"/>
      <c r="O668" s="141" t="n"/>
      <c r="P668" s="141" t="n"/>
      <c r="Q668" s="141" t="n"/>
      <c r="R668" s="141" t="n"/>
      <c r="S668" s="141" t="n"/>
      <c r="T668" s="141" t="n"/>
      <c r="U668" s="141" t="n"/>
      <c r="V668" s="141" t="n"/>
      <c r="W668" s="141" t="n"/>
      <c r="X668" s="141" t="n"/>
      <c r="Y668" s="136" t="n"/>
      <c r="Z668" s="136" t="n"/>
      <c r="AA668" s="136" t="n"/>
      <c r="AB668" s="136" t="n"/>
      <c r="AC668" s="136" t="n"/>
      <c r="AD668" s="136" t="n"/>
      <c r="AE668" s="136" t="n"/>
      <c r="AF668" s="136" t="n"/>
      <c r="AG668" s="136" t="n"/>
      <c r="AH668" s="136" t="n"/>
      <c r="AI668" s="136" t="n"/>
      <c r="AJ668" s="136" t="n"/>
      <c r="AK668" s="136" t="n"/>
      <c r="AL668" s="136" t="n"/>
      <c r="AM668" s="136" t="n"/>
      <c r="AN668" s="136" t="n"/>
      <c r="AO668" s="136" t="n"/>
      <c r="AP668" s="136" t="n"/>
      <c r="AQ668" s="136" t="n"/>
      <c r="AR668" s="136" t="n"/>
    </row>
    <row r="669" ht="13.5" customHeight="1" s="196">
      <c r="A669" s="136" t="n"/>
      <c r="B669" s="136" t="n"/>
      <c r="C669" s="136" t="n"/>
      <c r="D669" s="141" t="n"/>
      <c r="E669" s="141" t="n"/>
      <c r="F669" s="141" t="n"/>
      <c r="G669" s="141" t="n"/>
      <c r="H669" s="141" t="n"/>
      <c r="I669" s="141" t="n"/>
      <c r="J669" s="141" t="n"/>
      <c r="K669" s="141" t="n"/>
      <c r="L669" s="141" t="n"/>
      <c r="M669" s="141" t="n"/>
      <c r="N669" s="141" t="n"/>
      <c r="O669" s="141" t="n"/>
      <c r="P669" s="141" t="n"/>
      <c r="Q669" s="141" t="n"/>
      <c r="R669" s="141" t="n"/>
      <c r="S669" s="141" t="n"/>
      <c r="T669" s="141" t="n"/>
      <c r="U669" s="141" t="n"/>
      <c r="V669" s="141" t="n"/>
      <c r="W669" s="141" t="n"/>
      <c r="X669" s="141" t="n"/>
      <c r="Y669" s="136" t="n"/>
      <c r="Z669" s="136" t="n"/>
      <c r="AA669" s="136" t="n"/>
      <c r="AB669" s="136" t="n"/>
      <c r="AC669" s="136" t="n"/>
      <c r="AD669" s="136" t="n"/>
      <c r="AE669" s="136" t="n"/>
      <c r="AF669" s="136" t="n"/>
      <c r="AG669" s="136" t="n"/>
      <c r="AH669" s="136" t="n"/>
      <c r="AI669" s="136" t="n"/>
      <c r="AJ669" s="136" t="n"/>
      <c r="AK669" s="136" t="n"/>
      <c r="AL669" s="136" t="n"/>
      <c r="AM669" s="136" t="n"/>
      <c r="AN669" s="136" t="n"/>
      <c r="AO669" s="136" t="n"/>
      <c r="AP669" s="136" t="n"/>
      <c r="AQ669" s="136" t="n"/>
      <c r="AR669" s="136" t="n"/>
    </row>
    <row r="670" ht="13.5" customHeight="1" s="196">
      <c r="A670" s="136" t="n"/>
      <c r="B670" s="136" t="n"/>
      <c r="C670" s="136" t="n"/>
      <c r="D670" s="141" t="n"/>
      <c r="E670" s="141" t="n"/>
      <c r="F670" s="141" t="n"/>
      <c r="G670" s="141" t="n"/>
      <c r="H670" s="141" t="n"/>
      <c r="I670" s="141" t="n"/>
      <c r="J670" s="141" t="n"/>
      <c r="K670" s="141" t="n"/>
      <c r="L670" s="141" t="n"/>
      <c r="M670" s="141" t="n"/>
      <c r="N670" s="141" t="n"/>
      <c r="O670" s="141" t="n"/>
      <c r="P670" s="141" t="n"/>
      <c r="Q670" s="141" t="n"/>
      <c r="R670" s="141" t="n"/>
      <c r="S670" s="141" t="n"/>
      <c r="T670" s="141" t="n"/>
      <c r="U670" s="141" t="n"/>
      <c r="V670" s="141" t="n"/>
      <c r="W670" s="141" t="n"/>
      <c r="X670" s="141" t="n"/>
      <c r="Y670" s="136" t="n"/>
      <c r="Z670" s="136" t="n"/>
      <c r="AA670" s="136" t="n"/>
      <c r="AB670" s="136" t="n"/>
      <c r="AC670" s="136" t="n"/>
      <c r="AD670" s="136" t="n"/>
      <c r="AE670" s="136" t="n"/>
      <c r="AF670" s="136" t="n"/>
      <c r="AG670" s="136" t="n"/>
      <c r="AH670" s="136" t="n"/>
      <c r="AI670" s="136" t="n"/>
      <c r="AJ670" s="136" t="n"/>
      <c r="AK670" s="136" t="n"/>
      <c r="AL670" s="136" t="n"/>
      <c r="AM670" s="136" t="n"/>
      <c r="AN670" s="136" t="n"/>
      <c r="AO670" s="136" t="n"/>
      <c r="AP670" s="136" t="n"/>
      <c r="AQ670" s="136" t="n"/>
      <c r="AR670" s="136" t="n"/>
    </row>
    <row r="671" ht="13.5" customHeight="1" s="196">
      <c r="A671" s="136" t="n"/>
      <c r="B671" s="136" t="n"/>
      <c r="C671" s="136" t="n"/>
      <c r="D671" s="141" t="n"/>
      <c r="E671" s="141" t="n"/>
      <c r="F671" s="141" t="n"/>
      <c r="G671" s="141" t="n"/>
      <c r="H671" s="141" t="n"/>
      <c r="I671" s="141" t="n"/>
      <c r="J671" s="141" t="n"/>
      <c r="K671" s="141" t="n"/>
      <c r="L671" s="141" t="n"/>
      <c r="M671" s="141" t="n"/>
      <c r="N671" s="141" t="n"/>
      <c r="O671" s="141" t="n"/>
      <c r="P671" s="141" t="n"/>
      <c r="Q671" s="141" t="n"/>
      <c r="R671" s="141" t="n"/>
      <c r="S671" s="141" t="n"/>
      <c r="T671" s="141" t="n"/>
      <c r="U671" s="141" t="n"/>
      <c r="V671" s="141" t="n"/>
      <c r="W671" s="141" t="n"/>
      <c r="X671" s="141" t="n"/>
      <c r="Y671" s="136" t="n"/>
      <c r="Z671" s="136" t="n"/>
      <c r="AA671" s="136" t="n"/>
      <c r="AB671" s="136" t="n"/>
      <c r="AC671" s="136" t="n"/>
      <c r="AD671" s="136" t="n"/>
      <c r="AE671" s="136" t="n"/>
      <c r="AF671" s="136" t="n"/>
      <c r="AG671" s="136" t="n"/>
      <c r="AH671" s="136" t="n"/>
      <c r="AI671" s="136" t="n"/>
      <c r="AJ671" s="136" t="n"/>
      <c r="AK671" s="136" t="n"/>
      <c r="AL671" s="136" t="n"/>
      <c r="AM671" s="136" t="n"/>
      <c r="AN671" s="136" t="n"/>
      <c r="AO671" s="136" t="n"/>
      <c r="AP671" s="136" t="n"/>
      <c r="AQ671" s="136" t="n"/>
      <c r="AR671" s="136" t="n"/>
    </row>
    <row r="672" ht="13.5" customHeight="1" s="196">
      <c r="A672" s="136" t="n"/>
      <c r="B672" s="136" t="n"/>
      <c r="C672" s="136" t="n"/>
      <c r="D672" s="141" t="n"/>
      <c r="E672" s="141" t="n"/>
      <c r="F672" s="141" t="n"/>
      <c r="G672" s="141" t="n"/>
      <c r="H672" s="141" t="n"/>
      <c r="I672" s="141" t="n"/>
      <c r="J672" s="141" t="n"/>
      <c r="K672" s="141" t="n"/>
      <c r="L672" s="141" t="n"/>
      <c r="M672" s="141" t="n"/>
      <c r="N672" s="141" t="n"/>
      <c r="O672" s="141" t="n"/>
      <c r="P672" s="141" t="n"/>
      <c r="Q672" s="141" t="n"/>
      <c r="R672" s="141" t="n"/>
      <c r="S672" s="141" t="n"/>
      <c r="T672" s="141" t="n"/>
      <c r="U672" s="141" t="n"/>
      <c r="V672" s="141" t="n"/>
      <c r="W672" s="141" t="n"/>
      <c r="X672" s="141" t="n"/>
      <c r="Y672" s="136" t="n"/>
      <c r="Z672" s="136" t="n"/>
      <c r="AA672" s="136" t="n"/>
      <c r="AB672" s="136" t="n"/>
      <c r="AC672" s="136" t="n"/>
      <c r="AD672" s="136" t="n"/>
      <c r="AE672" s="136" t="n"/>
      <c r="AF672" s="136" t="n"/>
      <c r="AG672" s="136" t="n"/>
      <c r="AH672" s="136" t="n"/>
      <c r="AI672" s="136" t="n"/>
      <c r="AJ672" s="136" t="n"/>
      <c r="AK672" s="136" t="n"/>
      <c r="AL672" s="136" t="n"/>
      <c r="AM672" s="136" t="n"/>
      <c r="AN672" s="136" t="n"/>
      <c r="AO672" s="136" t="n"/>
      <c r="AP672" s="136" t="n"/>
      <c r="AQ672" s="136" t="n"/>
      <c r="AR672" s="136" t="n"/>
    </row>
    <row r="673" ht="13.5" customHeight="1" s="196">
      <c r="A673" s="136" t="n"/>
      <c r="B673" s="136" t="n"/>
      <c r="C673" s="136" t="n"/>
      <c r="D673" s="141" t="n"/>
      <c r="E673" s="141" t="n"/>
      <c r="F673" s="141" t="n"/>
      <c r="G673" s="141" t="n"/>
      <c r="H673" s="141" t="n"/>
      <c r="I673" s="141" t="n"/>
      <c r="J673" s="141" t="n"/>
      <c r="K673" s="141" t="n"/>
      <c r="L673" s="141" t="n"/>
      <c r="M673" s="141" t="n"/>
      <c r="N673" s="141" t="n"/>
      <c r="O673" s="141" t="n"/>
      <c r="P673" s="141" t="n"/>
      <c r="Q673" s="141" t="n"/>
      <c r="R673" s="141" t="n"/>
      <c r="S673" s="141" t="n"/>
      <c r="T673" s="141" t="n"/>
      <c r="U673" s="141" t="n"/>
      <c r="V673" s="141" t="n"/>
      <c r="W673" s="141" t="n"/>
      <c r="X673" s="141" t="n"/>
      <c r="Y673" s="136" t="n"/>
      <c r="Z673" s="136" t="n"/>
      <c r="AA673" s="136" t="n"/>
      <c r="AB673" s="136" t="n"/>
      <c r="AC673" s="136" t="n"/>
      <c r="AD673" s="136" t="n"/>
      <c r="AE673" s="136" t="n"/>
      <c r="AF673" s="136" t="n"/>
      <c r="AG673" s="136" t="n"/>
      <c r="AH673" s="136" t="n"/>
      <c r="AI673" s="136" t="n"/>
      <c r="AJ673" s="136" t="n"/>
      <c r="AK673" s="136" t="n"/>
      <c r="AL673" s="136" t="n"/>
      <c r="AM673" s="136" t="n"/>
      <c r="AN673" s="136" t="n"/>
      <c r="AO673" s="136" t="n"/>
      <c r="AP673" s="136" t="n"/>
      <c r="AQ673" s="136" t="n"/>
      <c r="AR673" s="136" t="n"/>
    </row>
    <row r="674" ht="13.5" customHeight="1" s="196">
      <c r="A674" s="136" t="n"/>
      <c r="B674" s="136" t="n"/>
      <c r="C674" s="136" t="n"/>
      <c r="D674" s="141" t="n"/>
      <c r="E674" s="141" t="n"/>
      <c r="F674" s="141" t="n"/>
      <c r="G674" s="141" t="n"/>
      <c r="H674" s="141" t="n"/>
      <c r="I674" s="141" t="n"/>
      <c r="J674" s="141" t="n"/>
      <c r="K674" s="141" t="n"/>
      <c r="L674" s="141" t="n"/>
      <c r="M674" s="141" t="n"/>
      <c r="N674" s="141" t="n"/>
      <c r="O674" s="141" t="n"/>
      <c r="P674" s="141" t="n"/>
      <c r="Q674" s="141" t="n"/>
      <c r="R674" s="141" t="n"/>
      <c r="S674" s="141" t="n"/>
      <c r="T674" s="141" t="n"/>
      <c r="U674" s="141" t="n"/>
      <c r="V674" s="141" t="n"/>
      <c r="W674" s="141" t="n"/>
      <c r="X674" s="141" t="n"/>
      <c r="Y674" s="136" t="n"/>
      <c r="Z674" s="136" t="n"/>
      <c r="AA674" s="136" t="n"/>
      <c r="AB674" s="136" t="n"/>
      <c r="AC674" s="136" t="n"/>
      <c r="AD674" s="136" t="n"/>
      <c r="AE674" s="136" t="n"/>
      <c r="AF674" s="136" t="n"/>
      <c r="AG674" s="136" t="n"/>
      <c r="AH674" s="136" t="n"/>
      <c r="AI674" s="136" t="n"/>
      <c r="AJ674" s="136" t="n"/>
      <c r="AK674" s="136" t="n"/>
      <c r="AL674" s="136" t="n"/>
      <c r="AM674" s="136" t="n"/>
      <c r="AN674" s="136" t="n"/>
      <c r="AO674" s="136" t="n"/>
      <c r="AP674" s="136" t="n"/>
      <c r="AQ674" s="136" t="n"/>
      <c r="AR674" s="136" t="n"/>
    </row>
    <row r="675" ht="13.5" customHeight="1" s="196">
      <c r="A675" s="136" t="n"/>
      <c r="B675" s="136" t="n"/>
      <c r="C675" s="136" t="n"/>
      <c r="D675" s="141" t="n"/>
      <c r="E675" s="141" t="n"/>
      <c r="F675" s="141" t="n"/>
      <c r="G675" s="141" t="n"/>
      <c r="H675" s="141" t="n"/>
      <c r="I675" s="141" t="n"/>
      <c r="J675" s="141" t="n"/>
      <c r="K675" s="141" t="n"/>
      <c r="L675" s="141" t="n"/>
      <c r="M675" s="141" t="n"/>
      <c r="N675" s="141" t="n"/>
      <c r="O675" s="141" t="n"/>
      <c r="P675" s="141" t="n"/>
      <c r="Q675" s="141" t="n"/>
      <c r="R675" s="141" t="n"/>
      <c r="S675" s="141" t="n"/>
      <c r="T675" s="141" t="n"/>
      <c r="U675" s="141" t="n"/>
      <c r="V675" s="141" t="n"/>
      <c r="W675" s="141" t="n"/>
      <c r="X675" s="141" t="n"/>
      <c r="Y675" s="136" t="n"/>
      <c r="Z675" s="136" t="n"/>
      <c r="AA675" s="136" t="n"/>
      <c r="AB675" s="136" t="n"/>
      <c r="AC675" s="136" t="n"/>
      <c r="AD675" s="136" t="n"/>
      <c r="AE675" s="136" t="n"/>
      <c r="AF675" s="136" t="n"/>
      <c r="AG675" s="136" t="n"/>
      <c r="AH675" s="136" t="n"/>
      <c r="AI675" s="136" t="n"/>
      <c r="AJ675" s="136" t="n"/>
      <c r="AK675" s="136" t="n"/>
      <c r="AL675" s="136" t="n"/>
      <c r="AM675" s="136" t="n"/>
      <c r="AN675" s="136" t="n"/>
      <c r="AO675" s="136" t="n"/>
      <c r="AP675" s="136" t="n"/>
      <c r="AQ675" s="136" t="n"/>
      <c r="AR675" s="136" t="n"/>
    </row>
    <row r="676" ht="13.5" customHeight="1" s="196">
      <c r="A676" s="136" t="n"/>
      <c r="B676" s="136" t="n"/>
      <c r="C676" s="136" t="n"/>
      <c r="D676" s="141" t="n"/>
      <c r="E676" s="141" t="n"/>
      <c r="F676" s="141" t="n"/>
      <c r="G676" s="141" t="n"/>
      <c r="H676" s="141" t="n"/>
      <c r="I676" s="141" t="n"/>
      <c r="J676" s="141" t="n"/>
      <c r="K676" s="141" t="n"/>
      <c r="L676" s="141" t="n"/>
      <c r="M676" s="141" t="n"/>
      <c r="N676" s="141" t="n"/>
      <c r="O676" s="141" t="n"/>
      <c r="P676" s="141" t="n"/>
      <c r="Q676" s="141" t="n"/>
      <c r="R676" s="141" t="n"/>
      <c r="S676" s="141" t="n"/>
      <c r="T676" s="141" t="n"/>
      <c r="U676" s="141" t="n"/>
      <c r="V676" s="141" t="n"/>
      <c r="W676" s="141" t="n"/>
      <c r="X676" s="141" t="n"/>
      <c r="Y676" s="136" t="n"/>
      <c r="Z676" s="136" t="n"/>
      <c r="AA676" s="136" t="n"/>
      <c r="AB676" s="136" t="n"/>
      <c r="AC676" s="136" t="n"/>
      <c r="AD676" s="136" t="n"/>
      <c r="AE676" s="136" t="n"/>
      <c r="AF676" s="136" t="n"/>
      <c r="AG676" s="136" t="n"/>
      <c r="AH676" s="136" t="n"/>
      <c r="AI676" s="136" t="n"/>
      <c r="AJ676" s="136" t="n"/>
      <c r="AK676" s="136" t="n"/>
      <c r="AL676" s="136" t="n"/>
      <c r="AM676" s="136" t="n"/>
      <c r="AN676" s="136" t="n"/>
      <c r="AO676" s="136" t="n"/>
      <c r="AP676" s="136" t="n"/>
      <c r="AQ676" s="136" t="n"/>
      <c r="AR676" s="136" t="n"/>
    </row>
    <row r="677" ht="13.5" customHeight="1" s="196">
      <c r="A677" s="136" t="n"/>
      <c r="B677" s="136" t="n"/>
      <c r="C677" s="136" t="n"/>
      <c r="D677" s="141" t="n"/>
      <c r="E677" s="141" t="n"/>
      <c r="F677" s="141" t="n"/>
      <c r="G677" s="141" t="n"/>
      <c r="H677" s="141" t="n"/>
      <c r="I677" s="141" t="n"/>
      <c r="J677" s="141" t="n"/>
      <c r="K677" s="141" t="n"/>
      <c r="L677" s="141" t="n"/>
      <c r="M677" s="141" t="n"/>
      <c r="N677" s="141" t="n"/>
      <c r="O677" s="141" t="n"/>
      <c r="P677" s="141" t="n"/>
      <c r="Q677" s="141" t="n"/>
      <c r="R677" s="141" t="n"/>
      <c r="S677" s="141" t="n"/>
      <c r="T677" s="141" t="n"/>
      <c r="U677" s="141" t="n"/>
      <c r="V677" s="141" t="n"/>
      <c r="W677" s="141" t="n"/>
      <c r="X677" s="141" t="n"/>
      <c r="Y677" s="136" t="n"/>
      <c r="Z677" s="136" t="n"/>
      <c r="AA677" s="136" t="n"/>
      <c r="AB677" s="136" t="n"/>
      <c r="AC677" s="136" t="n"/>
      <c r="AD677" s="136" t="n"/>
      <c r="AE677" s="136" t="n"/>
      <c r="AF677" s="136" t="n"/>
      <c r="AG677" s="136" t="n"/>
      <c r="AH677" s="136" t="n"/>
      <c r="AI677" s="136" t="n"/>
      <c r="AJ677" s="136" t="n"/>
      <c r="AK677" s="136" t="n"/>
      <c r="AL677" s="136" t="n"/>
      <c r="AM677" s="136" t="n"/>
      <c r="AN677" s="136" t="n"/>
      <c r="AO677" s="136" t="n"/>
      <c r="AP677" s="136" t="n"/>
      <c r="AQ677" s="136" t="n"/>
      <c r="AR677" s="136" t="n"/>
    </row>
    <row r="678" ht="13.5" customHeight="1" s="196">
      <c r="A678" s="136" t="n"/>
      <c r="B678" s="136" t="n"/>
      <c r="C678" s="136" t="n"/>
      <c r="D678" s="141" t="n"/>
      <c r="E678" s="141" t="n"/>
      <c r="F678" s="141" t="n"/>
      <c r="G678" s="141" t="n"/>
      <c r="H678" s="141" t="n"/>
      <c r="I678" s="141" t="n"/>
      <c r="J678" s="141" t="n"/>
      <c r="K678" s="141" t="n"/>
      <c r="L678" s="141" t="n"/>
      <c r="M678" s="141" t="n"/>
      <c r="N678" s="141" t="n"/>
      <c r="O678" s="141" t="n"/>
      <c r="P678" s="141" t="n"/>
      <c r="Q678" s="141" t="n"/>
      <c r="R678" s="141" t="n"/>
      <c r="S678" s="141" t="n"/>
      <c r="T678" s="141" t="n"/>
      <c r="U678" s="141" t="n"/>
      <c r="V678" s="141" t="n"/>
      <c r="W678" s="141" t="n"/>
      <c r="X678" s="141" t="n"/>
      <c r="Y678" s="136" t="n"/>
      <c r="Z678" s="136" t="n"/>
      <c r="AA678" s="136" t="n"/>
      <c r="AB678" s="136" t="n"/>
      <c r="AC678" s="136" t="n"/>
      <c r="AD678" s="136" t="n"/>
      <c r="AE678" s="136" t="n"/>
      <c r="AF678" s="136" t="n"/>
      <c r="AG678" s="136" t="n"/>
      <c r="AH678" s="136" t="n"/>
      <c r="AI678" s="136" t="n"/>
      <c r="AJ678" s="136" t="n"/>
      <c r="AK678" s="136" t="n"/>
      <c r="AL678" s="136" t="n"/>
      <c r="AM678" s="136" t="n"/>
      <c r="AN678" s="136" t="n"/>
      <c r="AO678" s="136" t="n"/>
      <c r="AP678" s="136" t="n"/>
      <c r="AQ678" s="136" t="n"/>
      <c r="AR678" s="136" t="n"/>
    </row>
    <row r="679" ht="13.5" customHeight="1" s="196">
      <c r="A679" s="136" t="n"/>
      <c r="B679" s="136" t="n"/>
      <c r="C679" s="136" t="n"/>
      <c r="D679" s="141" t="n"/>
      <c r="E679" s="141" t="n"/>
      <c r="F679" s="141" t="n"/>
      <c r="G679" s="141" t="n"/>
      <c r="H679" s="141" t="n"/>
      <c r="I679" s="141" t="n"/>
      <c r="J679" s="141" t="n"/>
      <c r="K679" s="141" t="n"/>
      <c r="L679" s="141" t="n"/>
      <c r="M679" s="141" t="n"/>
      <c r="N679" s="141" t="n"/>
      <c r="O679" s="141" t="n"/>
      <c r="P679" s="141" t="n"/>
      <c r="Q679" s="141" t="n"/>
      <c r="R679" s="141" t="n"/>
      <c r="S679" s="141" t="n"/>
      <c r="T679" s="141" t="n"/>
      <c r="U679" s="141" t="n"/>
      <c r="V679" s="141" t="n"/>
      <c r="W679" s="141" t="n"/>
      <c r="X679" s="141" t="n"/>
      <c r="Y679" s="136" t="n"/>
      <c r="Z679" s="136" t="n"/>
      <c r="AA679" s="136" t="n"/>
      <c r="AB679" s="136" t="n"/>
      <c r="AC679" s="136" t="n"/>
      <c r="AD679" s="136" t="n"/>
      <c r="AE679" s="136" t="n"/>
      <c r="AF679" s="136" t="n"/>
      <c r="AG679" s="136" t="n"/>
      <c r="AH679" s="136" t="n"/>
      <c r="AI679" s="136" t="n"/>
      <c r="AJ679" s="136" t="n"/>
      <c r="AK679" s="136" t="n"/>
      <c r="AL679" s="136" t="n"/>
      <c r="AM679" s="136" t="n"/>
      <c r="AN679" s="136" t="n"/>
      <c r="AO679" s="136" t="n"/>
      <c r="AP679" s="136" t="n"/>
      <c r="AQ679" s="136" t="n"/>
      <c r="AR679" s="136" t="n"/>
    </row>
    <row r="680" ht="13.5" customHeight="1" s="196">
      <c r="A680" s="136" t="n"/>
      <c r="B680" s="136" t="n"/>
      <c r="C680" s="136" t="n"/>
      <c r="D680" s="141" t="n"/>
      <c r="E680" s="141" t="n"/>
      <c r="F680" s="141" t="n"/>
      <c r="G680" s="141" t="n"/>
      <c r="H680" s="141" t="n"/>
      <c r="I680" s="141" t="n"/>
      <c r="J680" s="141" t="n"/>
      <c r="K680" s="141" t="n"/>
      <c r="L680" s="141" t="n"/>
      <c r="M680" s="141" t="n"/>
      <c r="N680" s="141" t="n"/>
      <c r="O680" s="141" t="n"/>
      <c r="P680" s="141" t="n"/>
      <c r="Q680" s="141" t="n"/>
      <c r="R680" s="141" t="n"/>
      <c r="S680" s="141" t="n"/>
      <c r="T680" s="141" t="n"/>
      <c r="U680" s="141" t="n"/>
      <c r="V680" s="141" t="n"/>
      <c r="W680" s="141" t="n"/>
      <c r="X680" s="141" t="n"/>
      <c r="Y680" s="136" t="n"/>
      <c r="Z680" s="136" t="n"/>
      <c r="AA680" s="136" t="n"/>
      <c r="AB680" s="136" t="n"/>
      <c r="AC680" s="136" t="n"/>
      <c r="AD680" s="136" t="n"/>
      <c r="AE680" s="136" t="n"/>
      <c r="AF680" s="136" t="n"/>
      <c r="AG680" s="136" t="n"/>
      <c r="AH680" s="136" t="n"/>
      <c r="AI680" s="136" t="n"/>
      <c r="AJ680" s="136" t="n"/>
      <c r="AK680" s="136" t="n"/>
      <c r="AL680" s="136" t="n"/>
      <c r="AM680" s="136" t="n"/>
      <c r="AN680" s="136" t="n"/>
      <c r="AO680" s="136" t="n"/>
      <c r="AP680" s="136" t="n"/>
      <c r="AQ680" s="136" t="n"/>
      <c r="AR680" s="136" t="n"/>
    </row>
    <row r="681" ht="13.5" customHeight="1" s="196">
      <c r="A681" s="136" t="n"/>
      <c r="B681" s="136" t="n"/>
      <c r="C681" s="136" t="n"/>
      <c r="D681" s="141" t="n"/>
      <c r="E681" s="141" t="n"/>
      <c r="F681" s="141" t="n"/>
      <c r="G681" s="141" t="n"/>
      <c r="H681" s="141" t="n"/>
      <c r="I681" s="141" t="n"/>
      <c r="J681" s="141" t="n"/>
      <c r="K681" s="141" t="n"/>
      <c r="L681" s="141" t="n"/>
      <c r="M681" s="141" t="n"/>
      <c r="N681" s="141" t="n"/>
      <c r="O681" s="141" t="n"/>
      <c r="P681" s="141" t="n"/>
      <c r="Q681" s="141" t="n"/>
      <c r="R681" s="141" t="n"/>
      <c r="S681" s="141" t="n"/>
      <c r="T681" s="141" t="n"/>
      <c r="U681" s="141" t="n"/>
      <c r="V681" s="141" t="n"/>
      <c r="W681" s="141" t="n"/>
      <c r="X681" s="141" t="n"/>
      <c r="Y681" s="136" t="n"/>
      <c r="Z681" s="136" t="n"/>
      <c r="AA681" s="136" t="n"/>
      <c r="AB681" s="136" t="n"/>
      <c r="AC681" s="136" t="n"/>
      <c r="AD681" s="136" t="n"/>
      <c r="AE681" s="136" t="n"/>
      <c r="AF681" s="136" t="n"/>
      <c r="AG681" s="136" t="n"/>
      <c r="AH681" s="136" t="n"/>
      <c r="AI681" s="136" t="n"/>
      <c r="AJ681" s="136" t="n"/>
      <c r="AK681" s="136" t="n"/>
      <c r="AL681" s="136" t="n"/>
      <c r="AM681" s="136" t="n"/>
      <c r="AN681" s="136" t="n"/>
      <c r="AO681" s="136" t="n"/>
      <c r="AP681" s="136" t="n"/>
      <c r="AQ681" s="136" t="n"/>
      <c r="AR681" s="136" t="n"/>
    </row>
    <row r="682" ht="13.5" customHeight="1" s="196">
      <c r="A682" s="136" t="n"/>
      <c r="B682" s="136" t="n"/>
      <c r="C682" s="136" t="n"/>
      <c r="D682" s="141" t="n"/>
      <c r="E682" s="141" t="n"/>
      <c r="F682" s="141" t="n"/>
      <c r="G682" s="141" t="n"/>
      <c r="H682" s="141" t="n"/>
      <c r="I682" s="141" t="n"/>
      <c r="J682" s="141" t="n"/>
      <c r="K682" s="141" t="n"/>
      <c r="L682" s="141" t="n"/>
      <c r="M682" s="141" t="n"/>
      <c r="N682" s="141" t="n"/>
      <c r="O682" s="141" t="n"/>
      <c r="P682" s="141" t="n"/>
      <c r="Q682" s="141" t="n"/>
      <c r="R682" s="141" t="n"/>
      <c r="S682" s="141" t="n"/>
      <c r="T682" s="141" t="n"/>
      <c r="U682" s="141" t="n"/>
      <c r="V682" s="141" t="n"/>
      <c r="W682" s="141" t="n"/>
      <c r="X682" s="141" t="n"/>
      <c r="Y682" s="136" t="n"/>
      <c r="Z682" s="136" t="n"/>
      <c r="AA682" s="136" t="n"/>
      <c r="AB682" s="136" t="n"/>
      <c r="AC682" s="136" t="n"/>
      <c r="AD682" s="136" t="n"/>
      <c r="AE682" s="136" t="n"/>
      <c r="AF682" s="136" t="n"/>
      <c r="AG682" s="136" t="n"/>
      <c r="AH682" s="136" t="n"/>
      <c r="AI682" s="136" t="n"/>
      <c r="AJ682" s="136" t="n"/>
      <c r="AK682" s="136" t="n"/>
      <c r="AL682" s="136" t="n"/>
      <c r="AM682" s="136" t="n"/>
      <c r="AN682" s="136" t="n"/>
      <c r="AO682" s="136" t="n"/>
      <c r="AP682" s="136" t="n"/>
      <c r="AQ682" s="136" t="n"/>
      <c r="AR682" s="136" t="n"/>
    </row>
    <row r="683" ht="13.5" customHeight="1" s="196">
      <c r="A683" s="136" t="n"/>
      <c r="B683" s="136" t="n"/>
      <c r="C683" s="136" t="n"/>
      <c r="D683" s="141" t="n"/>
      <c r="E683" s="141" t="n"/>
      <c r="F683" s="141" t="n"/>
      <c r="G683" s="141" t="n"/>
      <c r="H683" s="141" t="n"/>
      <c r="I683" s="141" t="n"/>
      <c r="J683" s="141" t="n"/>
      <c r="K683" s="141" t="n"/>
      <c r="L683" s="141" t="n"/>
      <c r="M683" s="141" t="n"/>
      <c r="N683" s="141" t="n"/>
      <c r="O683" s="141" t="n"/>
      <c r="P683" s="141" t="n"/>
      <c r="Q683" s="141" t="n"/>
      <c r="R683" s="141" t="n"/>
      <c r="S683" s="141" t="n"/>
      <c r="T683" s="141" t="n"/>
      <c r="U683" s="141" t="n"/>
      <c r="V683" s="141" t="n"/>
      <c r="W683" s="141" t="n"/>
      <c r="X683" s="141" t="n"/>
      <c r="Y683" s="136" t="n"/>
      <c r="Z683" s="136" t="n"/>
      <c r="AA683" s="136" t="n"/>
      <c r="AB683" s="136" t="n"/>
      <c r="AC683" s="136" t="n"/>
      <c r="AD683" s="136" t="n"/>
      <c r="AE683" s="136" t="n"/>
      <c r="AF683" s="136" t="n"/>
      <c r="AG683" s="136" t="n"/>
      <c r="AH683" s="136" t="n"/>
      <c r="AI683" s="136" t="n"/>
      <c r="AJ683" s="136" t="n"/>
      <c r="AK683" s="136" t="n"/>
      <c r="AL683" s="136" t="n"/>
      <c r="AM683" s="136" t="n"/>
      <c r="AN683" s="136" t="n"/>
      <c r="AO683" s="136" t="n"/>
      <c r="AP683" s="136" t="n"/>
      <c r="AQ683" s="136" t="n"/>
      <c r="AR683" s="136" t="n"/>
    </row>
    <row r="684" ht="13.5" customHeight="1" s="196">
      <c r="A684" s="136" t="n"/>
      <c r="B684" s="136" t="n"/>
      <c r="C684" s="136" t="n"/>
      <c r="D684" s="141" t="n"/>
      <c r="E684" s="141" t="n"/>
      <c r="F684" s="141" t="n"/>
      <c r="G684" s="141" t="n"/>
      <c r="H684" s="141" t="n"/>
      <c r="I684" s="141" t="n"/>
      <c r="J684" s="141" t="n"/>
      <c r="K684" s="141" t="n"/>
      <c r="L684" s="141" t="n"/>
      <c r="M684" s="141" t="n"/>
      <c r="N684" s="141" t="n"/>
      <c r="O684" s="141" t="n"/>
      <c r="P684" s="141" t="n"/>
      <c r="Q684" s="141" t="n"/>
      <c r="R684" s="141" t="n"/>
      <c r="S684" s="141" t="n"/>
      <c r="T684" s="141" t="n"/>
      <c r="U684" s="141" t="n"/>
      <c r="V684" s="141" t="n"/>
      <c r="W684" s="141" t="n"/>
      <c r="X684" s="141" t="n"/>
      <c r="Y684" s="136" t="n"/>
      <c r="Z684" s="136" t="n"/>
      <c r="AA684" s="136" t="n"/>
      <c r="AB684" s="136" t="n"/>
      <c r="AC684" s="136" t="n"/>
      <c r="AD684" s="136" t="n"/>
      <c r="AE684" s="136" t="n"/>
      <c r="AF684" s="136" t="n"/>
      <c r="AG684" s="136" t="n"/>
      <c r="AH684" s="136" t="n"/>
      <c r="AI684" s="136" t="n"/>
      <c r="AJ684" s="136" t="n"/>
      <c r="AK684" s="136" t="n"/>
      <c r="AL684" s="136" t="n"/>
      <c r="AM684" s="136" t="n"/>
      <c r="AN684" s="136" t="n"/>
      <c r="AO684" s="136" t="n"/>
      <c r="AP684" s="136" t="n"/>
      <c r="AQ684" s="136" t="n"/>
      <c r="AR684" s="136" t="n"/>
    </row>
    <row r="685" ht="13.5" customHeight="1" s="196">
      <c r="A685" s="136" t="n"/>
      <c r="B685" s="136" t="n"/>
      <c r="C685" s="136" t="n"/>
      <c r="D685" s="141" t="n"/>
      <c r="E685" s="141" t="n"/>
      <c r="F685" s="141" t="n"/>
      <c r="G685" s="141" t="n"/>
      <c r="H685" s="141" t="n"/>
      <c r="I685" s="141" t="n"/>
      <c r="J685" s="141" t="n"/>
      <c r="K685" s="141" t="n"/>
      <c r="L685" s="141" t="n"/>
      <c r="M685" s="141" t="n"/>
      <c r="N685" s="141" t="n"/>
      <c r="O685" s="141" t="n"/>
      <c r="P685" s="141" t="n"/>
      <c r="Q685" s="141" t="n"/>
      <c r="R685" s="141" t="n"/>
      <c r="S685" s="141" t="n"/>
      <c r="T685" s="141" t="n"/>
      <c r="U685" s="141" t="n"/>
      <c r="V685" s="141" t="n"/>
      <c r="W685" s="141" t="n"/>
      <c r="X685" s="141" t="n"/>
      <c r="Y685" s="136" t="n"/>
      <c r="Z685" s="136" t="n"/>
      <c r="AA685" s="136" t="n"/>
      <c r="AB685" s="136" t="n"/>
      <c r="AC685" s="136" t="n"/>
      <c r="AD685" s="136" t="n"/>
      <c r="AE685" s="136" t="n"/>
      <c r="AF685" s="136" t="n"/>
      <c r="AG685" s="136" t="n"/>
      <c r="AH685" s="136" t="n"/>
      <c r="AI685" s="136" t="n"/>
      <c r="AJ685" s="136" t="n"/>
      <c r="AK685" s="136" t="n"/>
      <c r="AL685" s="136" t="n"/>
      <c r="AM685" s="136" t="n"/>
      <c r="AN685" s="136" t="n"/>
      <c r="AO685" s="136" t="n"/>
      <c r="AP685" s="136" t="n"/>
      <c r="AQ685" s="136" t="n"/>
      <c r="AR685" s="136" t="n"/>
    </row>
    <row r="686" ht="13.5" customHeight="1" s="196">
      <c r="A686" s="136" t="n"/>
      <c r="B686" s="136" t="n"/>
      <c r="C686" s="136" t="n"/>
      <c r="D686" s="141" t="n"/>
      <c r="E686" s="141" t="n"/>
      <c r="F686" s="141" t="n"/>
      <c r="G686" s="141" t="n"/>
      <c r="H686" s="141" t="n"/>
      <c r="I686" s="141" t="n"/>
      <c r="J686" s="141" t="n"/>
      <c r="K686" s="141" t="n"/>
      <c r="L686" s="141" t="n"/>
      <c r="M686" s="141" t="n"/>
      <c r="N686" s="141" t="n"/>
      <c r="O686" s="141" t="n"/>
      <c r="P686" s="141" t="n"/>
      <c r="Q686" s="141" t="n"/>
      <c r="R686" s="141" t="n"/>
      <c r="S686" s="141" t="n"/>
      <c r="T686" s="141" t="n"/>
      <c r="U686" s="141" t="n"/>
      <c r="V686" s="141" t="n"/>
      <c r="W686" s="141" t="n"/>
      <c r="X686" s="141" t="n"/>
      <c r="Y686" s="136" t="n"/>
      <c r="Z686" s="136" t="n"/>
      <c r="AA686" s="136" t="n"/>
      <c r="AB686" s="136" t="n"/>
      <c r="AC686" s="136" t="n"/>
      <c r="AD686" s="136" t="n"/>
      <c r="AE686" s="136" t="n"/>
      <c r="AF686" s="136" t="n"/>
      <c r="AG686" s="136" t="n"/>
      <c r="AH686" s="136" t="n"/>
      <c r="AI686" s="136" t="n"/>
      <c r="AJ686" s="136" t="n"/>
      <c r="AK686" s="136" t="n"/>
      <c r="AL686" s="136" t="n"/>
      <c r="AM686" s="136" t="n"/>
      <c r="AN686" s="136" t="n"/>
      <c r="AO686" s="136" t="n"/>
      <c r="AP686" s="136" t="n"/>
      <c r="AQ686" s="136" t="n"/>
      <c r="AR686" s="136" t="n"/>
    </row>
    <row r="687" ht="13.5" customHeight="1" s="196">
      <c r="A687" s="136" t="n"/>
      <c r="B687" s="136" t="n"/>
      <c r="C687" s="136" t="n"/>
      <c r="D687" s="141" t="n"/>
      <c r="E687" s="141" t="n"/>
      <c r="F687" s="141" t="n"/>
      <c r="G687" s="141" t="n"/>
      <c r="H687" s="141" t="n"/>
      <c r="I687" s="141" t="n"/>
      <c r="J687" s="141" t="n"/>
      <c r="K687" s="141" t="n"/>
      <c r="L687" s="141" t="n"/>
      <c r="M687" s="141" t="n"/>
      <c r="N687" s="141" t="n"/>
      <c r="O687" s="141" t="n"/>
      <c r="P687" s="141" t="n"/>
      <c r="Q687" s="141" t="n"/>
      <c r="R687" s="141" t="n"/>
      <c r="S687" s="141" t="n"/>
      <c r="T687" s="141" t="n"/>
      <c r="U687" s="141" t="n"/>
      <c r="V687" s="141" t="n"/>
      <c r="W687" s="141" t="n"/>
      <c r="X687" s="141" t="n"/>
      <c r="Y687" s="136" t="n"/>
      <c r="Z687" s="136" t="n"/>
      <c r="AA687" s="136" t="n"/>
      <c r="AB687" s="136" t="n"/>
      <c r="AC687" s="136" t="n"/>
      <c r="AD687" s="136" t="n"/>
      <c r="AE687" s="136" t="n"/>
      <c r="AF687" s="136" t="n"/>
      <c r="AG687" s="136" t="n"/>
      <c r="AH687" s="136" t="n"/>
      <c r="AI687" s="136" t="n"/>
      <c r="AJ687" s="136" t="n"/>
      <c r="AK687" s="136" t="n"/>
      <c r="AL687" s="136" t="n"/>
      <c r="AM687" s="136" t="n"/>
      <c r="AN687" s="136" t="n"/>
      <c r="AO687" s="136" t="n"/>
      <c r="AP687" s="136" t="n"/>
      <c r="AQ687" s="136" t="n"/>
      <c r="AR687" s="136" t="n"/>
    </row>
    <row r="688" ht="13.5" customHeight="1" s="196">
      <c r="A688" s="136" t="n"/>
      <c r="B688" s="136" t="n"/>
      <c r="C688" s="136" t="n"/>
      <c r="D688" s="141" t="n"/>
      <c r="E688" s="141" t="n"/>
      <c r="F688" s="141" t="n"/>
      <c r="G688" s="141" t="n"/>
      <c r="H688" s="141" t="n"/>
      <c r="I688" s="141" t="n"/>
      <c r="J688" s="141" t="n"/>
      <c r="K688" s="141" t="n"/>
      <c r="L688" s="141" t="n"/>
      <c r="M688" s="141" t="n"/>
      <c r="N688" s="141" t="n"/>
      <c r="O688" s="141" t="n"/>
      <c r="P688" s="141" t="n"/>
      <c r="Q688" s="141" t="n"/>
      <c r="R688" s="141" t="n"/>
      <c r="S688" s="141" t="n"/>
      <c r="T688" s="141" t="n"/>
      <c r="U688" s="141" t="n"/>
      <c r="V688" s="141" t="n"/>
      <c r="W688" s="141" t="n"/>
      <c r="X688" s="141" t="n"/>
      <c r="Y688" s="136" t="n"/>
      <c r="Z688" s="136" t="n"/>
      <c r="AA688" s="136" t="n"/>
      <c r="AB688" s="136" t="n"/>
      <c r="AC688" s="136" t="n"/>
      <c r="AD688" s="136" t="n"/>
      <c r="AE688" s="136" t="n"/>
      <c r="AF688" s="136" t="n"/>
      <c r="AG688" s="136" t="n"/>
      <c r="AH688" s="136" t="n"/>
      <c r="AI688" s="136" t="n"/>
      <c r="AJ688" s="136" t="n"/>
      <c r="AK688" s="136" t="n"/>
      <c r="AL688" s="136" t="n"/>
      <c r="AM688" s="136" t="n"/>
      <c r="AN688" s="136" t="n"/>
      <c r="AO688" s="136" t="n"/>
      <c r="AP688" s="136" t="n"/>
      <c r="AQ688" s="136" t="n"/>
      <c r="AR688" s="136" t="n"/>
    </row>
    <row r="689" ht="13.5" customHeight="1" s="196">
      <c r="A689" s="136" t="n"/>
      <c r="B689" s="136" t="n"/>
      <c r="C689" s="136" t="n"/>
      <c r="D689" s="141" t="n"/>
      <c r="E689" s="141" t="n"/>
      <c r="F689" s="141" t="n"/>
      <c r="G689" s="141" t="n"/>
      <c r="H689" s="141" t="n"/>
      <c r="I689" s="141" t="n"/>
      <c r="J689" s="141" t="n"/>
      <c r="K689" s="141" t="n"/>
      <c r="L689" s="141" t="n"/>
      <c r="M689" s="141" t="n"/>
      <c r="N689" s="141" t="n"/>
      <c r="O689" s="141" t="n"/>
      <c r="P689" s="141" t="n"/>
      <c r="Q689" s="141" t="n"/>
      <c r="R689" s="141" t="n"/>
      <c r="S689" s="141" t="n"/>
      <c r="T689" s="141" t="n"/>
      <c r="U689" s="141" t="n"/>
      <c r="V689" s="141" t="n"/>
      <c r="W689" s="141" t="n"/>
      <c r="X689" s="141" t="n"/>
      <c r="Y689" s="136" t="n"/>
      <c r="Z689" s="136" t="n"/>
      <c r="AA689" s="136" t="n"/>
      <c r="AB689" s="136" t="n"/>
      <c r="AC689" s="136" t="n"/>
      <c r="AD689" s="136" t="n"/>
      <c r="AE689" s="136" t="n"/>
      <c r="AF689" s="136" t="n"/>
      <c r="AG689" s="136" t="n"/>
      <c r="AH689" s="136" t="n"/>
      <c r="AI689" s="136" t="n"/>
      <c r="AJ689" s="136" t="n"/>
      <c r="AK689" s="136" t="n"/>
      <c r="AL689" s="136" t="n"/>
      <c r="AM689" s="136" t="n"/>
      <c r="AN689" s="136" t="n"/>
      <c r="AO689" s="136" t="n"/>
      <c r="AP689" s="136" t="n"/>
      <c r="AQ689" s="136" t="n"/>
      <c r="AR689" s="136" t="n"/>
    </row>
    <row r="690" ht="13.5" customHeight="1" s="196">
      <c r="A690" s="136" t="n"/>
      <c r="B690" s="136" t="n"/>
      <c r="C690" s="136" t="n"/>
      <c r="D690" s="141" t="n"/>
      <c r="E690" s="141" t="n"/>
      <c r="F690" s="141" t="n"/>
      <c r="G690" s="141" t="n"/>
      <c r="H690" s="141" t="n"/>
      <c r="I690" s="141" t="n"/>
      <c r="J690" s="141" t="n"/>
      <c r="K690" s="141" t="n"/>
      <c r="L690" s="141" t="n"/>
      <c r="M690" s="141" t="n"/>
      <c r="N690" s="141" t="n"/>
      <c r="O690" s="141" t="n"/>
      <c r="P690" s="141" t="n"/>
      <c r="Q690" s="141" t="n"/>
      <c r="R690" s="141" t="n"/>
      <c r="S690" s="141" t="n"/>
      <c r="T690" s="141" t="n"/>
      <c r="U690" s="141" t="n"/>
      <c r="V690" s="141" t="n"/>
      <c r="W690" s="141" t="n"/>
      <c r="X690" s="141" t="n"/>
      <c r="Y690" s="136" t="n"/>
      <c r="Z690" s="136" t="n"/>
      <c r="AA690" s="136" t="n"/>
      <c r="AB690" s="136" t="n"/>
      <c r="AC690" s="136" t="n"/>
      <c r="AD690" s="136" t="n"/>
      <c r="AE690" s="136" t="n"/>
      <c r="AF690" s="136" t="n"/>
      <c r="AG690" s="136" t="n"/>
      <c r="AH690" s="136" t="n"/>
      <c r="AI690" s="136" t="n"/>
      <c r="AJ690" s="136" t="n"/>
      <c r="AK690" s="136" t="n"/>
      <c r="AL690" s="136" t="n"/>
      <c r="AM690" s="136" t="n"/>
      <c r="AN690" s="136" t="n"/>
      <c r="AO690" s="136" t="n"/>
      <c r="AP690" s="136" t="n"/>
      <c r="AQ690" s="136" t="n"/>
      <c r="AR690" s="136" t="n"/>
    </row>
    <row r="691" ht="13.5" customHeight="1" s="196">
      <c r="A691" s="136" t="n"/>
      <c r="B691" s="136" t="n"/>
      <c r="C691" s="136" t="n"/>
      <c r="D691" s="141" t="n"/>
      <c r="E691" s="141" t="n"/>
      <c r="F691" s="141" t="n"/>
      <c r="G691" s="141" t="n"/>
      <c r="H691" s="141" t="n"/>
      <c r="I691" s="141" t="n"/>
      <c r="J691" s="141" t="n"/>
      <c r="K691" s="141" t="n"/>
      <c r="L691" s="141" t="n"/>
      <c r="M691" s="141" t="n"/>
      <c r="N691" s="141" t="n"/>
      <c r="O691" s="141" t="n"/>
      <c r="P691" s="141" t="n"/>
      <c r="Q691" s="141" t="n"/>
      <c r="R691" s="141" t="n"/>
      <c r="S691" s="141" t="n"/>
      <c r="T691" s="141" t="n"/>
      <c r="U691" s="141" t="n"/>
      <c r="V691" s="141" t="n"/>
      <c r="W691" s="141" t="n"/>
      <c r="X691" s="141" t="n"/>
      <c r="Y691" s="136" t="n"/>
      <c r="Z691" s="136" t="n"/>
      <c r="AA691" s="136" t="n"/>
      <c r="AB691" s="136" t="n"/>
      <c r="AC691" s="136" t="n"/>
      <c r="AD691" s="136" t="n"/>
      <c r="AE691" s="136" t="n"/>
      <c r="AF691" s="136" t="n"/>
      <c r="AG691" s="136" t="n"/>
      <c r="AH691" s="136" t="n"/>
      <c r="AI691" s="136" t="n"/>
      <c r="AJ691" s="136" t="n"/>
      <c r="AK691" s="136" t="n"/>
      <c r="AL691" s="136" t="n"/>
      <c r="AM691" s="136" t="n"/>
      <c r="AN691" s="136" t="n"/>
      <c r="AO691" s="136" t="n"/>
      <c r="AP691" s="136" t="n"/>
      <c r="AQ691" s="136" t="n"/>
      <c r="AR691" s="136" t="n"/>
    </row>
    <row r="692" ht="13.5" customHeight="1" s="196">
      <c r="A692" s="136" t="n"/>
      <c r="B692" s="136" t="n"/>
      <c r="C692" s="136" t="n"/>
      <c r="D692" s="141" t="n"/>
      <c r="E692" s="141" t="n"/>
      <c r="F692" s="141" t="n"/>
      <c r="G692" s="141" t="n"/>
      <c r="H692" s="141" t="n"/>
      <c r="I692" s="141" t="n"/>
      <c r="J692" s="141" t="n"/>
      <c r="K692" s="141" t="n"/>
      <c r="L692" s="141" t="n"/>
      <c r="M692" s="141" t="n"/>
      <c r="N692" s="141" t="n"/>
      <c r="O692" s="141" t="n"/>
      <c r="P692" s="141" t="n"/>
      <c r="Q692" s="141" t="n"/>
      <c r="R692" s="141" t="n"/>
      <c r="S692" s="141" t="n"/>
      <c r="T692" s="141" t="n"/>
      <c r="U692" s="141" t="n"/>
      <c r="V692" s="141" t="n"/>
      <c r="W692" s="141" t="n"/>
      <c r="X692" s="141" t="n"/>
      <c r="Y692" s="136" t="n"/>
      <c r="Z692" s="136" t="n"/>
      <c r="AA692" s="136" t="n"/>
      <c r="AB692" s="136" t="n"/>
      <c r="AC692" s="136" t="n"/>
      <c r="AD692" s="136" t="n"/>
      <c r="AE692" s="136" t="n"/>
      <c r="AF692" s="136" t="n"/>
      <c r="AG692" s="136" t="n"/>
      <c r="AH692" s="136" t="n"/>
      <c r="AI692" s="136" t="n"/>
      <c r="AJ692" s="136" t="n"/>
      <c r="AK692" s="136" t="n"/>
      <c r="AL692" s="136" t="n"/>
      <c r="AM692" s="136" t="n"/>
      <c r="AN692" s="136" t="n"/>
      <c r="AO692" s="136" t="n"/>
      <c r="AP692" s="136" t="n"/>
      <c r="AQ692" s="136" t="n"/>
      <c r="AR692" s="136" t="n"/>
    </row>
    <row r="693" ht="13.5" customHeight="1" s="196">
      <c r="A693" s="136" t="n"/>
      <c r="B693" s="136" t="n"/>
      <c r="C693" s="136" t="n"/>
      <c r="D693" s="141" t="n"/>
      <c r="E693" s="141" t="n"/>
      <c r="F693" s="141" t="n"/>
      <c r="G693" s="141" t="n"/>
      <c r="H693" s="141" t="n"/>
      <c r="I693" s="141" t="n"/>
      <c r="J693" s="141" t="n"/>
      <c r="K693" s="141" t="n"/>
      <c r="L693" s="141" t="n"/>
      <c r="M693" s="141" t="n"/>
      <c r="N693" s="141" t="n"/>
      <c r="O693" s="141" t="n"/>
      <c r="P693" s="141" t="n"/>
      <c r="Q693" s="141" t="n"/>
      <c r="R693" s="141" t="n"/>
      <c r="S693" s="141" t="n"/>
      <c r="T693" s="141" t="n"/>
      <c r="U693" s="141" t="n"/>
      <c r="V693" s="141" t="n"/>
      <c r="W693" s="141" t="n"/>
      <c r="X693" s="141" t="n"/>
      <c r="Y693" s="136" t="n"/>
      <c r="Z693" s="136" t="n"/>
      <c r="AA693" s="136" t="n"/>
      <c r="AB693" s="136" t="n"/>
      <c r="AC693" s="136" t="n"/>
      <c r="AD693" s="136" t="n"/>
      <c r="AE693" s="136" t="n"/>
      <c r="AF693" s="136" t="n"/>
      <c r="AG693" s="136" t="n"/>
      <c r="AH693" s="136" t="n"/>
      <c r="AI693" s="136" t="n"/>
      <c r="AJ693" s="136" t="n"/>
      <c r="AK693" s="136" t="n"/>
      <c r="AL693" s="136" t="n"/>
      <c r="AM693" s="136" t="n"/>
      <c r="AN693" s="136" t="n"/>
      <c r="AO693" s="136" t="n"/>
      <c r="AP693" s="136" t="n"/>
      <c r="AQ693" s="136" t="n"/>
      <c r="AR693" s="136" t="n"/>
    </row>
    <row r="694" ht="13.5" customHeight="1" s="196">
      <c r="A694" s="136" t="n"/>
      <c r="B694" s="136" t="n"/>
      <c r="C694" s="136" t="n"/>
      <c r="D694" s="141" t="n"/>
      <c r="E694" s="141" t="n"/>
      <c r="F694" s="141" t="n"/>
      <c r="G694" s="141" t="n"/>
      <c r="H694" s="141" t="n"/>
      <c r="I694" s="141" t="n"/>
      <c r="J694" s="141" t="n"/>
      <c r="K694" s="141" t="n"/>
      <c r="L694" s="141" t="n"/>
      <c r="M694" s="141" t="n"/>
      <c r="N694" s="141" t="n"/>
      <c r="O694" s="141" t="n"/>
      <c r="P694" s="141" t="n"/>
      <c r="Q694" s="141" t="n"/>
      <c r="R694" s="141" t="n"/>
      <c r="S694" s="141" t="n"/>
      <c r="T694" s="141" t="n"/>
      <c r="U694" s="141" t="n"/>
      <c r="V694" s="141" t="n"/>
      <c r="W694" s="141" t="n"/>
      <c r="X694" s="141" t="n"/>
      <c r="Y694" s="136" t="n"/>
      <c r="Z694" s="136" t="n"/>
      <c r="AA694" s="136" t="n"/>
      <c r="AB694" s="136" t="n"/>
      <c r="AC694" s="136" t="n"/>
      <c r="AD694" s="136" t="n"/>
      <c r="AE694" s="136" t="n"/>
      <c r="AF694" s="136" t="n"/>
      <c r="AG694" s="136" t="n"/>
      <c r="AH694" s="136" t="n"/>
      <c r="AI694" s="136" t="n"/>
      <c r="AJ694" s="136" t="n"/>
      <c r="AK694" s="136" t="n"/>
      <c r="AL694" s="136" t="n"/>
      <c r="AM694" s="136" t="n"/>
      <c r="AN694" s="136" t="n"/>
      <c r="AO694" s="136" t="n"/>
      <c r="AP694" s="136" t="n"/>
      <c r="AQ694" s="136" t="n"/>
      <c r="AR694" s="136" t="n"/>
    </row>
    <row r="695" ht="13.5" customHeight="1" s="196">
      <c r="A695" s="136" t="n"/>
      <c r="B695" s="136" t="n"/>
      <c r="C695" s="136" t="n"/>
      <c r="D695" s="141" t="n"/>
      <c r="E695" s="141" t="n"/>
      <c r="F695" s="141" t="n"/>
      <c r="G695" s="141" t="n"/>
      <c r="H695" s="141" t="n"/>
      <c r="I695" s="141" t="n"/>
      <c r="J695" s="141" t="n"/>
      <c r="K695" s="141" t="n"/>
      <c r="L695" s="141" t="n"/>
      <c r="M695" s="141" t="n"/>
      <c r="N695" s="141" t="n"/>
      <c r="O695" s="141" t="n"/>
      <c r="P695" s="141" t="n"/>
      <c r="Q695" s="141" t="n"/>
      <c r="R695" s="141" t="n"/>
      <c r="S695" s="141" t="n"/>
      <c r="T695" s="141" t="n"/>
      <c r="U695" s="141" t="n"/>
      <c r="V695" s="141" t="n"/>
      <c r="W695" s="141" t="n"/>
      <c r="X695" s="141" t="n"/>
      <c r="Y695" s="136" t="n"/>
      <c r="Z695" s="136" t="n"/>
      <c r="AA695" s="136" t="n"/>
      <c r="AB695" s="136" t="n"/>
      <c r="AC695" s="136" t="n"/>
      <c r="AD695" s="136" t="n"/>
      <c r="AE695" s="136" t="n"/>
      <c r="AF695" s="136" t="n"/>
      <c r="AG695" s="136" t="n"/>
      <c r="AH695" s="136" t="n"/>
      <c r="AI695" s="136" t="n"/>
      <c r="AJ695" s="136" t="n"/>
      <c r="AK695" s="136" t="n"/>
      <c r="AL695" s="136" t="n"/>
      <c r="AM695" s="136" t="n"/>
      <c r="AN695" s="136" t="n"/>
      <c r="AO695" s="136" t="n"/>
      <c r="AP695" s="136" t="n"/>
      <c r="AQ695" s="136" t="n"/>
      <c r="AR695" s="136" t="n"/>
    </row>
    <row r="696" ht="13.5" customHeight="1" s="196">
      <c r="A696" s="136" t="n"/>
      <c r="B696" s="136" t="n"/>
      <c r="C696" s="136" t="n"/>
      <c r="D696" s="141" t="n"/>
      <c r="E696" s="141" t="n"/>
      <c r="F696" s="141" t="n"/>
      <c r="G696" s="141" t="n"/>
      <c r="H696" s="141" t="n"/>
      <c r="I696" s="141" t="n"/>
      <c r="J696" s="141" t="n"/>
      <c r="K696" s="141" t="n"/>
      <c r="L696" s="141" t="n"/>
      <c r="M696" s="141" t="n"/>
      <c r="N696" s="141" t="n"/>
      <c r="O696" s="141" t="n"/>
      <c r="P696" s="141" t="n"/>
      <c r="Q696" s="141" t="n"/>
      <c r="R696" s="141" t="n"/>
      <c r="S696" s="141" t="n"/>
      <c r="T696" s="141" t="n"/>
      <c r="U696" s="141" t="n"/>
      <c r="V696" s="141" t="n"/>
      <c r="W696" s="141" t="n"/>
      <c r="X696" s="141" t="n"/>
      <c r="Y696" s="136" t="n"/>
      <c r="Z696" s="136" t="n"/>
      <c r="AA696" s="136" t="n"/>
      <c r="AB696" s="136" t="n"/>
      <c r="AC696" s="136" t="n"/>
      <c r="AD696" s="136" t="n"/>
      <c r="AE696" s="136" t="n"/>
      <c r="AF696" s="136" t="n"/>
      <c r="AG696" s="136" t="n"/>
      <c r="AH696" s="136" t="n"/>
      <c r="AI696" s="136" t="n"/>
      <c r="AJ696" s="136" t="n"/>
      <c r="AK696" s="136" t="n"/>
      <c r="AL696" s="136" t="n"/>
      <c r="AM696" s="136" t="n"/>
      <c r="AN696" s="136" t="n"/>
      <c r="AO696" s="136" t="n"/>
      <c r="AP696" s="136" t="n"/>
      <c r="AQ696" s="136" t="n"/>
      <c r="AR696" s="136" t="n"/>
    </row>
    <row r="697" ht="13.5" customHeight="1" s="196">
      <c r="A697" s="136" t="n"/>
      <c r="B697" s="136" t="n"/>
      <c r="C697" s="136" t="n"/>
      <c r="D697" s="141" t="n"/>
      <c r="E697" s="141" t="n"/>
      <c r="F697" s="141" t="n"/>
      <c r="G697" s="141" t="n"/>
      <c r="H697" s="141" t="n"/>
      <c r="I697" s="141" t="n"/>
      <c r="J697" s="141" t="n"/>
      <c r="K697" s="141" t="n"/>
      <c r="L697" s="141" t="n"/>
      <c r="M697" s="141" t="n"/>
      <c r="N697" s="141" t="n"/>
      <c r="O697" s="141" t="n"/>
      <c r="P697" s="141" t="n"/>
      <c r="Q697" s="141" t="n"/>
      <c r="R697" s="141" t="n"/>
      <c r="S697" s="141" t="n"/>
      <c r="T697" s="141" t="n"/>
      <c r="U697" s="141" t="n"/>
      <c r="V697" s="141" t="n"/>
      <c r="W697" s="141" t="n"/>
      <c r="X697" s="141" t="n"/>
      <c r="Y697" s="136" t="n"/>
      <c r="Z697" s="136" t="n"/>
      <c r="AA697" s="136" t="n"/>
      <c r="AB697" s="136" t="n"/>
      <c r="AC697" s="136" t="n"/>
      <c r="AD697" s="136" t="n"/>
      <c r="AE697" s="136" t="n"/>
      <c r="AF697" s="136" t="n"/>
      <c r="AG697" s="136" t="n"/>
      <c r="AH697" s="136" t="n"/>
      <c r="AI697" s="136" t="n"/>
      <c r="AJ697" s="136" t="n"/>
      <c r="AK697" s="136" t="n"/>
      <c r="AL697" s="136" t="n"/>
      <c r="AM697" s="136" t="n"/>
      <c r="AN697" s="136" t="n"/>
      <c r="AO697" s="136" t="n"/>
      <c r="AP697" s="136" t="n"/>
      <c r="AQ697" s="136" t="n"/>
      <c r="AR697" s="136" t="n"/>
    </row>
    <row r="698" ht="13.5" customHeight="1" s="196">
      <c r="A698" s="136" t="n"/>
      <c r="B698" s="136" t="n"/>
      <c r="C698" s="136" t="n"/>
      <c r="D698" s="141" t="n"/>
      <c r="E698" s="141" t="n"/>
      <c r="F698" s="141" t="n"/>
      <c r="G698" s="141" t="n"/>
      <c r="H698" s="141" t="n"/>
      <c r="I698" s="141" t="n"/>
      <c r="J698" s="141" t="n"/>
      <c r="K698" s="141" t="n"/>
      <c r="L698" s="141" t="n"/>
      <c r="M698" s="141" t="n"/>
      <c r="N698" s="141" t="n"/>
      <c r="O698" s="141" t="n"/>
      <c r="P698" s="141" t="n"/>
      <c r="Q698" s="141" t="n"/>
      <c r="R698" s="141" t="n"/>
      <c r="S698" s="141" t="n"/>
      <c r="T698" s="141" t="n"/>
      <c r="U698" s="141" t="n"/>
      <c r="V698" s="141" t="n"/>
      <c r="W698" s="141" t="n"/>
      <c r="X698" s="141" t="n"/>
      <c r="Y698" s="136" t="n"/>
      <c r="Z698" s="136" t="n"/>
      <c r="AA698" s="136" t="n"/>
      <c r="AB698" s="136" t="n"/>
      <c r="AC698" s="136" t="n"/>
      <c r="AD698" s="136" t="n"/>
      <c r="AE698" s="136" t="n"/>
      <c r="AF698" s="136" t="n"/>
      <c r="AG698" s="136" t="n"/>
      <c r="AH698" s="136" t="n"/>
      <c r="AI698" s="136" t="n"/>
      <c r="AJ698" s="136" t="n"/>
      <c r="AK698" s="136" t="n"/>
      <c r="AL698" s="136" t="n"/>
      <c r="AM698" s="136" t="n"/>
      <c r="AN698" s="136" t="n"/>
      <c r="AO698" s="136" t="n"/>
      <c r="AP698" s="136" t="n"/>
      <c r="AQ698" s="136" t="n"/>
      <c r="AR698" s="136" t="n"/>
    </row>
    <row r="699" ht="13.5" customHeight="1" s="196">
      <c r="A699" s="136" t="n"/>
      <c r="B699" s="136" t="n"/>
      <c r="C699" s="136" t="n"/>
      <c r="D699" s="141" t="n"/>
      <c r="E699" s="141" t="n"/>
      <c r="F699" s="141" t="n"/>
      <c r="G699" s="141" t="n"/>
      <c r="H699" s="141" t="n"/>
      <c r="I699" s="141" t="n"/>
      <c r="J699" s="141" t="n"/>
      <c r="K699" s="141" t="n"/>
      <c r="L699" s="141" t="n"/>
      <c r="M699" s="141" t="n"/>
      <c r="N699" s="141" t="n"/>
      <c r="O699" s="141" t="n"/>
      <c r="P699" s="141" t="n"/>
      <c r="Q699" s="141" t="n"/>
      <c r="R699" s="141" t="n"/>
      <c r="S699" s="141" t="n"/>
      <c r="T699" s="141" t="n"/>
      <c r="U699" s="141" t="n"/>
      <c r="V699" s="141" t="n"/>
      <c r="W699" s="141" t="n"/>
      <c r="X699" s="141" t="n"/>
      <c r="Y699" s="136" t="n"/>
      <c r="Z699" s="136" t="n"/>
      <c r="AA699" s="136" t="n"/>
      <c r="AB699" s="136" t="n"/>
      <c r="AC699" s="136" t="n"/>
      <c r="AD699" s="136" t="n"/>
      <c r="AE699" s="136" t="n"/>
      <c r="AF699" s="136" t="n"/>
      <c r="AG699" s="136" t="n"/>
      <c r="AH699" s="136" t="n"/>
      <c r="AI699" s="136" t="n"/>
      <c r="AJ699" s="136" t="n"/>
      <c r="AK699" s="136" t="n"/>
      <c r="AL699" s="136" t="n"/>
      <c r="AM699" s="136" t="n"/>
      <c r="AN699" s="136" t="n"/>
      <c r="AO699" s="136" t="n"/>
      <c r="AP699" s="136" t="n"/>
      <c r="AQ699" s="136" t="n"/>
      <c r="AR699" s="136" t="n"/>
    </row>
    <row r="700" ht="13.5" customHeight="1" s="196">
      <c r="A700" s="136" t="n"/>
      <c r="B700" s="136" t="n"/>
      <c r="C700" s="136" t="n"/>
      <c r="D700" s="141" t="n"/>
      <c r="E700" s="141" t="n"/>
      <c r="F700" s="141" t="n"/>
      <c r="G700" s="141" t="n"/>
      <c r="H700" s="141" t="n"/>
      <c r="I700" s="141" t="n"/>
      <c r="J700" s="141" t="n"/>
      <c r="K700" s="141" t="n"/>
      <c r="L700" s="141" t="n"/>
      <c r="M700" s="141" t="n"/>
      <c r="N700" s="141" t="n"/>
      <c r="O700" s="141" t="n"/>
      <c r="P700" s="141" t="n"/>
      <c r="Q700" s="141" t="n"/>
      <c r="R700" s="141" t="n"/>
      <c r="S700" s="141" t="n"/>
      <c r="T700" s="141" t="n"/>
      <c r="U700" s="141" t="n"/>
      <c r="V700" s="141" t="n"/>
      <c r="W700" s="141" t="n"/>
      <c r="X700" s="141" t="n"/>
      <c r="Y700" s="136" t="n"/>
      <c r="Z700" s="136" t="n"/>
      <c r="AA700" s="136" t="n"/>
      <c r="AB700" s="136" t="n"/>
      <c r="AC700" s="136" t="n"/>
      <c r="AD700" s="136" t="n"/>
      <c r="AE700" s="136" t="n"/>
      <c r="AF700" s="136" t="n"/>
      <c r="AG700" s="136" t="n"/>
      <c r="AH700" s="136" t="n"/>
      <c r="AI700" s="136" t="n"/>
      <c r="AJ700" s="136" t="n"/>
      <c r="AK700" s="136" t="n"/>
      <c r="AL700" s="136" t="n"/>
      <c r="AM700" s="136" t="n"/>
      <c r="AN700" s="136" t="n"/>
      <c r="AO700" s="136" t="n"/>
      <c r="AP700" s="136" t="n"/>
      <c r="AQ700" s="136" t="n"/>
      <c r="AR700" s="136" t="n"/>
    </row>
    <row r="701" ht="13.5" customHeight="1" s="196">
      <c r="A701" s="136" t="n"/>
      <c r="B701" s="136" t="n"/>
      <c r="C701" s="136" t="n"/>
      <c r="D701" s="141" t="n"/>
      <c r="E701" s="141" t="n"/>
      <c r="F701" s="141" t="n"/>
      <c r="G701" s="141" t="n"/>
      <c r="H701" s="141" t="n"/>
      <c r="I701" s="141" t="n"/>
      <c r="J701" s="141" t="n"/>
      <c r="K701" s="141" t="n"/>
      <c r="L701" s="141" t="n"/>
      <c r="M701" s="141" t="n"/>
      <c r="N701" s="141" t="n"/>
      <c r="O701" s="141" t="n"/>
      <c r="P701" s="141" t="n"/>
      <c r="Q701" s="141" t="n"/>
      <c r="R701" s="141" t="n"/>
      <c r="S701" s="141" t="n"/>
      <c r="T701" s="141" t="n"/>
      <c r="U701" s="141" t="n"/>
      <c r="V701" s="141" t="n"/>
      <c r="W701" s="141" t="n"/>
      <c r="X701" s="141" t="n"/>
      <c r="Y701" s="136" t="n"/>
      <c r="Z701" s="136" t="n"/>
      <c r="AA701" s="136" t="n"/>
      <c r="AB701" s="136" t="n"/>
      <c r="AC701" s="136" t="n"/>
      <c r="AD701" s="136" t="n"/>
      <c r="AE701" s="136" t="n"/>
      <c r="AF701" s="136" t="n"/>
      <c r="AG701" s="136" t="n"/>
      <c r="AH701" s="136" t="n"/>
      <c r="AI701" s="136" t="n"/>
      <c r="AJ701" s="136" t="n"/>
      <c r="AK701" s="136" t="n"/>
      <c r="AL701" s="136" t="n"/>
      <c r="AM701" s="136" t="n"/>
      <c r="AN701" s="136" t="n"/>
      <c r="AO701" s="136" t="n"/>
      <c r="AP701" s="136" t="n"/>
      <c r="AQ701" s="136" t="n"/>
      <c r="AR701" s="136" t="n"/>
    </row>
    <row r="702" ht="13.5" customHeight="1" s="196">
      <c r="A702" s="136" t="n"/>
      <c r="B702" s="136" t="n"/>
      <c r="C702" s="136" t="n"/>
      <c r="D702" s="141" t="n"/>
      <c r="E702" s="141" t="n"/>
      <c r="F702" s="141" t="n"/>
      <c r="G702" s="141" t="n"/>
      <c r="H702" s="141" t="n"/>
      <c r="I702" s="141" t="n"/>
      <c r="J702" s="141" t="n"/>
      <c r="K702" s="141" t="n"/>
      <c r="L702" s="141" t="n"/>
      <c r="M702" s="141" t="n"/>
      <c r="N702" s="141" t="n"/>
      <c r="O702" s="141" t="n"/>
      <c r="P702" s="141" t="n"/>
      <c r="Q702" s="141" t="n"/>
      <c r="R702" s="141" t="n"/>
      <c r="S702" s="141" t="n"/>
      <c r="T702" s="141" t="n"/>
      <c r="U702" s="141" t="n"/>
      <c r="V702" s="141" t="n"/>
      <c r="W702" s="141" t="n"/>
      <c r="X702" s="141" t="n"/>
      <c r="Y702" s="136" t="n"/>
      <c r="Z702" s="136" t="n"/>
      <c r="AA702" s="136" t="n"/>
      <c r="AB702" s="136" t="n"/>
      <c r="AC702" s="136" t="n"/>
      <c r="AD702" s="136" t="n"/>
      <c r="AE702" s="136" t="n"/>
      <c r="AF702" s="136" t="n"/>
      <c r="AG702" s="136" t="n"/>
      <c r="AH702" s="136" t="n"/>
      <c r="AI702" s="136" t="n"/>
      <c r="AJ702" s="136" t="n"/>
      <c r="AK702" s="136" t="n"/>
      <c r="AL702" s="136" t="n"/>
      <c r="AM702" s="136" t="n"/>
      <c r="AN702" s="136" t="n"/>
      <c r="AO702" s="136" t="n"/>
      <c r="AP702" s="136" t="n"/>
      <c r="AQ702" s="136" t="n"/>
      <c r="AR702" s="136" t="n"/>
    </row>
    <row r="703" ht="13.5" customHeight="1" s="196">
      <c r="A703" s="136" t="n"/>
      <c r="B703" s="136" t="n"/>
      <c r="C703" s="136" t="n"/>
      <c r="D703" s="141" t="n"/>
      <c r="E703" s="141" t="n"/>
      <c r="F703" s="141" t="n"/>
      <c r="G703" s="141" t="n"/>
      <c r="H703" s="141" t="n"/>
      <c r="I703" s="141" t="n"/>
      <c r="J703" s="141" t="n"/>
      <c r="K703" s="141" t="n"/>
      <c r="L703" s="141" t="n"/>
      <c r="M703" s="141" t="n"/>
      <c r="N703" s="141" t="n"/>
      <c r="O703" s="141" t="n"/>
      <c r="P703" s="141" t="n"/>
      <c r="Q703" s="141" t="n"/>
      <c r="R703" s="141" t="n"/>
      <c r="S703" s="141" t="n"/>
      <c r="T703" s="141" t="n"/>
      <c r="U703" s="141" t="n"/>
      <c r="V703" s="141" t="n"/>
      <c r="W703" s="141" t="n"/>
      <c r="X703" s="141" t="n"/>
      <c r="Y703" s="136" t="n"/>
      <c r="Z703" s="136" t="n"/>
      <c r="AA703" s="136" t="n"/>
      <c r="AB703" s="136" t="n"/>
      <c r="AC703" s="136" t="n"/>
      <c r="AD703" s="136" t="n"/>
      <c r="AE703" s="136" t="n"/>
      <c r="AF703" s="136" t="n"/>
      <c r="AG703" s="136" t="n"/>
      <c r="AH703" s="136" t="n"/>
      <c r="AI703" s="136" t="n"/>
      <c r="AJ703" s="136" t="n"/>
      <c r="AK703" s="136" t="n"/>
      <c r="AL703" s="136" t="n"/>
      <c r="AM703" s="136" t="n"/>
      <c r="AN703" s="136" t="n"/>
      <c r="AO703" s="136" t="n"/>
      <c r="AP703" s="136" t="n"/>
      <c r="AQ703" s="136" t="n"/>
      <c r="AR703" s="136" t="n"/>
    </row>
    <row r="704" ht="13.5" customHeight="1" s="196">
      <c r="A704" s="136" t="n"/>
      <c r="B704" s="136" t="n"/>
      <c r="C704" s="136" t="n"/>
      <c r="D704" s="141" t="n"/>
      <c r="E704" s="141" t="n"/>
      <c r="F704" s="141" t="n"/>
      <c r="G704" s="141" t="n"/>
      <c r="H704" s="141" t="n"/>
      <c r="I704" s="141" t="n"/>
      <c r="J704" s="141" t="n"/>
      <c r="K704" s="141" t="n"/>
      <c r="L704" s="141" t="n"/>
      <c r="M704" s="141" t="n"/>
      <c r="N704" s="141" t="n"/>
      <c r="O704" s="141" t="n"/>
      <c r="P704" s="141" t="n"/>
      <c r="Q704" s="141" t="n"/>
      <c r="R704" s="141" t="n"/>
      <c r="S704" s="141" t="n"/>
      <c r="T704" s="141" t="n"/>
      <c r="U704" s="141" t="n"/>
      <c r="V704" s="141" t="n"/>
      <c r="W704" s="141" t="n"/>
      <c r="X704" s="141" t="n"/>
      <c r="Y704" s="136" t="n"/>
      <c r="Z704" s="136" t="n"/>
      <c r="AA704" s="136" t="n"/>
      <c r="AB704" s="136" t="n"/>
      <c r="AC704" s="136" t="n"/>
      <c r="AD704" s="136" t="n"/>
      <c r="AE704" s="136" t="n"/>
      <c r="AF704" s="136" t="n"/>
      <c r="AG704" s="136" t="n"/>
      <c r="AH704" s="136" t="n"/>
      <c r="AI704" s="136" t="n"/>
      <c r="AJ704" s="136" t="n"/>
      <c r="AK704" s="136" t="n"/>
      <c r="AL704" s="136" t="n"/>
      <c r="AM704" s="136" t="n"/>
      <c r="AN704" s="136" t="n"/>
      <c r="AO704" s="136" t="n"/>
      <c r="AP704" s="136" t="n"/>
      <c r="AQ704" s="136" t="n"/>
      <c r="AR704" s="136" t="n"/>
    </row>
    <row r="705" ht="13.5" customHeight="1" s="196">
      <c r="A705" s="136" t="n"/>
      <c r="B705" s="136" t="n"/>
      <c r="C705" s="136" t="n"/>
      <c r="D705" s="141" t="n"/>
      <c r="E705" s="141" t="n"/>
      <c r="F705" s="141" t="n"/>
      <c r="G705" s="141" t="n"/>
      <c r="H705" s="141" t="n"/>
      <c r="I705" s="141" t="n"/>
      <c r="J705" s="141" t="n"/>
      <c r="K705" s="141" t="n"/>
      <c r="L705" s="141" t="n"/>
      <c r="M705" s="141" t="n"/>
      <c r="N705" s="141" t="n"/>
      <c r="O705" s="141" t="n"/>
      <c r="P705" s="141" t="n"/>
      <c r="Q705" s="141" t="n"/>
      <c r="R705" s="141" t="n"/>
      <c r="S705" s="141" t="n"/>
      <c r="T705" s="141" t="n"/>
      <c r="U705" s="141" t="n"/>
      <c r="V705" s="141" t="n"/>
      <c r="W705" s="141" t="n"/>
      <c r="X705" s="141" t="n"/>
      <c r="Y705" s="136" t="n"/>
      <c r="Z705" s="136" t="n"/>
      <c r="AA705" s="136" t="n"/>
      <c r="AB705" s="136" t="n"/>
      <c r="AC705" s="136" t="n"/>
      <c r="AD705" s="136" t="n"/>
      <c r="AE705" s="136" t="n"/>
      <c r="AF705" s="136" t="n"/>
      <c r="AG705" s="136" t="n"/>
      <c r="AH705" s="136" t="n"/>
      <c r="AI705" s="136" t="n"/>
      <c r="AJ705" s="136" t="n"/>
      <c r="AK705" s="136" t="n"/>
      <c r="AL705" s="136" t="n"/>
      <c r="AM705" s="136" t="n"/>
      <c r="AN705" s="136" t="n"/>
      <c r="AO705" s="136" t="n"/>
      <c r="AP705" s="136" t="n"/>
      <c r="AQ705" s="136" t="n"/>
      <c r="AR705" s="136" t="n"/>
    </row>
    <row r="706" ht="13.5" customHeight="1" s="196">
      <c r="A706" s="136" t="n"/>
      <c r="B706" s="136" t="n"/>
      <c r="C706" s="136" t="n"/>
      <c r="D706" s="141" t="n"/>
      <c r="E706" s="141" t="n"/>
      <c r="F706" s="141" t="n"/>
      <c r="G706" s="141" t="n"/>
      <c r="H706" s="141" t="n"/>
      <c r="I706" s="141" t="n"/>
      <c r="J706" s="141" t="n"/>
      <c r="K706" s="141" t="n"/>
      <c r="L706" s="141" t="n"/>
      <c r="M706" s="141" t="n"/>
      <c r="N706" s="141" t="n"/>
      <c r="O706" s="141" t="n"/>
      <c r="P706" s="141" t="n"/>
      <c r="Q706" s="141" t="n"/>
      <c r="R706" s="141" t="n"/>
      <c r="S706" s="141" t="n"/>
      <c r="T706" s="141" t="n"/>
      <c r="U706" s="141" t="n"/>
      <c r="V706" s="141" t="n"/>
      <c r="W706" s="141" t="n"/>
      <c r="X706" s="141" t="n"/>
      <c r="Y706" s="136" t="n"/>
      <c r="Z706" s="136" t="n"/>
      <c r="AA706" s="136" t="n"/>
      <c r="AB706" s="136" t="n"/>
      <c r="AC706" s="136" t="n"/>
      <c r="AD706" s="136" t="n"/>
      <c r="AE706" s="136" t="n"/>
      <c r="AF706" s="136" t="n"/>
      <c r="AG706" s="136" t="n"/>
      <c r="AH706" s="136" t="n"/>
      <c r="AI706" s="136" t="n"/>
      <c r="AJ706" s="136" t="n"/>
      <c r="AK706" s="136" t="n"/>
      <c r="AL706" s="136" t="n"/>
      <c r="AM706" s="136" t="n"/>
      <c r="AN706" s="136" t="n"/>
      <c r="AO706" s="136" t="n"/>
      <c r="AP706" s="136" t="n"/>
      <c r="AQ706" s="136" t="n"/>
      <c r="AR706" s="136" t="n"/>
    </row>
    <row r="707" ht="13.5" customHeight="1" s="196">
      <c r="A707" s="136" t="n"/>
      <c r="B707" s="136" t="n"/>
      <c r="C707" s="136" t="n"/>
      <c r="D707" s="141" t="n"/>
      <c r="E707" s="141" t="n"/>
      <c r="F707" s="141" t="n"/>
      <c r="G707" s="141" t="n"/>
      <c r="H707" s="141" t="n"/>
      <c r="I707" s="141" t="n"/>
      <c r="J707" s="141" t="n"/>
      <c r="K707" s="141" t="n"/>
      <c r="L707" s="141" t="n"/>
      <c r="M707" s="141" t="n"/>
      <c r="N707" s="141" t="n"/>
      <c r="O707" s="141" t="n"/>
      <c r="P707" s="141" t="n"/>
      <c r="Q707" s="141" t="n"/>
      <c r="R707" s="141" t="n"/>
      <c r="S707" s="141" t="n"/>
      <c r="T707" s="141" t="n"/>
      <c r="U707" s="141" t="n"/>
      <c r="V707" s="141" t="n"/>
      <c r="W707" s="141" t="n"/>
      <c r="X707" s="141" t="n"/>
      <c r="Y707" s="136" t="n"/>
      <c r="Z707" s="136" t="n"/>
      <c r="AA707" s="136" t="n"/>
      <c r="AB707" s="136" t="n"/>
      <c r="AC707" s="136" t="n"/>
      <c r="AD707" s="136" t="n"/>
      <c r="AE707" s="136" t="n"/>
      <c r="AF707" s="136" t="n"/>
      <c r="AG707" s="136" t="n"/>
      <c r="AH707" s="136" t="n"/>
      <c r="AI707" s="136" t="n"/>
      <c r="AJ707" s="136" t="n"/>
      <c r="AK707" s="136" t="n"/>
      <c r="AL707" s="136" t="n"/>
      <c r="AM707" s="136" t="n"/>
      <c r="AN707" s="136" t="n"/>
      <c r="AO707" s="136" t="n"/>
      <c r="AP707" s="136" t="n"/>
      <c r="AQ707" s="136" t="n"/>
      <c r="AR707" s="136" t="n"/>
    </row>
    <row r="708" ht="13.5" customHeight="1" s="196">
      <c r="A708" s="136" t="n"/>
      <c r="B708" s="136" t="n"/>
      <c r="C708" s="136" t="n"/>
      <c r="D708" s="141" t="n"/>
      <c r="E708" s="141" t="n"/>
      <c r="F708" s="141" t="n"/>
      <c r="G708" s="141" t="n"/>
      <c r="H708" s="141" t="n"/>
      <c r="I708" s="141" t="n"/>
      <c r="J708" s="141" t="n"/>
      <c r="K708" s="141" t="n"/>
      <c r="L708" s="141" t="n"/>
      <c r="M708" s="141" t="n"/>
      <c r="N708" s="141" t="n"/>
      <c r="O708" s="141" t="n"/>
      <c r="P708" s="141" t="n"/>
      <c r="Q708" s="141" t="n"/>
      <c r="R708" s="141" t="n"/>
      <c r="S708" s="141" t="n"/>
      <c r="T708" s="141" t="n"/>
      <c r="U708" s="141" t="n"/>
      <c r="V708" s="141" t="n"/>
      <c r="W708" s="141" t="n"/>
      <c r="X708" s="141" t="n"/>
      <c r="Y708" s="136" t="n"/>
      <c r="Z708" s="136" t="n"/>
      <c r="AA708" s="136" t="n"/>
      <c r="AB708" s="136" t="n"/>
      <c r="AC708" s="136" t="n"/>
      <c r="AD708" s="136" t="n"/>
      <c r="AE708" s="136" t="n"/>
      <c r="AF708" s="136" t="n"/>
      <c r="AG708" s="136" t="n"/>
      <c r="AH708" s="136" t="n"/>
      <c r="AI708" s="136" t="n"/>
      <c r="AJ708" s="136" t="n"/>
      <c r="AK708" s="136" t="n"/>
      <c r="AL708" s="136" t="n"/>
      <c r="AM708" s="136" t="n"/>
      <c r="AN708" s="136" t="n"/>
      <c r="AO708" s="136" t="n"/>
      <c r="AP708" s="136" t="n"/>
      <c r="AQ708" s="136" t="n"/>
      <c r="AR708" s="136" t="n"/>
    </row>
    <row r="709" ht="13.5" customHeight="1" s="196">
      <c r="A709" s="136" t="n"/>
      <c r="B709" s="136" t="n"/>
      <c r="C709" s="136" t="n"/>
      <c r="D709" s="141" t="n"/>
      <c r="E709" s="141" t="n"/>
      <c r="F709" s="141" t="n"/>
      <c r="G709" s="141" t="n"/>
      <c r="H709" s="141" t="n"/>
      <c r="I709" s="141" t="n"/>
      <c r="J709" s="141" t="n"/>
      <c r="K709" s="141" t="n"/>
      <c r="L709" s="141" t="n"/>
      <c r="M709" s="141" t="n"/>
      <c r="N709" s="141" t="n"/>
      <c r="O709" s="141" t="n"/>
      <c r="P709" s="141" t="n"/>
      <c r="Q709" s="141" t="n"/>
      <c r="R709" s="141" t="n"/>
      <c r="S709" s="141" t="n"/>
      <c r="T709" s="141" t="n"/>
      <c r="U709" s="141" t="n"/>
      <c r="V709" s="141" t="n"/>
      <c r="W709" s="141" t="n"/>
      <c r="X709" s="141" t="n"/>
      <c r="Y709" s="136" t="n"/>
      <c r="Z709" s="136" t="n"/>
      <c r="AA709" s="136" t="n"/>
      <c r="AB709" s="136" t="n"/>
      <c r="AC709" s="136" t="n"/>
      <c r="AD709" s="136" t="n"/>
      <c r="AE709" s="136" t="n"/>
      <c r="AF709" s="136" t="n"/>
      <c r="AG709" s="136" t="n"/>
      <c r="AH709" s="136" t="n"/>
      <c r="AI709" s="136" t="n"/>
      <c r="AJ709" s="136" t="n"/>
      <c r="AK709" s="136" t="n"/>
      <c r="AL709" s="136" t="n"/>
      <c r="AM709" s="136" t="n"/>
      <c r="AN709" s="136" t="n"/>
      <c r="AO709" s="136" t="n"/>
      <c r="AP709" s="136" t="n"/>
      <c r="AQ709" s="136" t="n"/>
      <c r="AR709" s="136" t="n"/>
    </row>
    <row r="710" ht="13.5" customHeight="1" s="196">
      <c r="A710" s="136" t="n"/>
      <c r="B710" s="136" t="n"/>
      <c r="C710" s="136" t="n"/>
      <c r="D710" s="141" t="n"/>
      <c r="E710" s="141" t="n"/>
      <c r="F710" s="141" t="n"/>
      <c r="G710" s="141" t="n"/>
      <c r="H710" s="141" t="n"/>
      <c r="I710" s="141" t="n"/>
      <c r="J710" s="141" t="n"/>
      <c r="K710" s="141" t="n"/>
      <c r="L710" s="141" t="n"/>
      <c r="M710" s="141" t="n"/>
      <c r="N710" s="141" t="n"/>
      <c r="O710" s="141" t="n"/>
      <c r="P710" s="141" t="n"/>
      <c r="Q710" s="141" t="n"/>
      <c r="R710" s="141" t="n"/>
      <c r="S710" s="141" t="n"/>
      <c r="T710" s="141" t="n"/>
      <c r="U710" s="141" t="n"/>
      <c r="V710" s="141" t="n"/>
      <c r="W710" s="141" t="n"/>
      <c r="X710" s="141" t="n"/>
      <c r="Y710" s="136" t="n"/>
      <c r="Z710" s="136" t="n"/>
      <c r="AA710" s="136" t="n"/>
      <c r="AB710" s="136" t="n"/>
      <c r="AC710" s="136" t="n"/>
      <c r="AD710" s="136" t="n"/>
      <c r="AE710" s="136" t="n"/>
      <c r="AF710" s="136" t="n"/>
      <c r="AG710" s="136" t="n"/>
      <c r="AH710" s="136" t="n"/>
      <c r="AI710" s="136" t="n"/>
      <c r="AJ710" s="136" t="n"/>
      <c r="AK710" s="136" t="n"/>
      <c r="AL710" s="136" t="n"/>
      <c r="AM710" s="136" t="n"/>
      <c r="AN710" s="136" t="n"/>
      <c r="AO710" s="136" t="n"/>
      <c r="AP710" s="136" t="n"/>
      <c r="AQ710" s="136" t="n"/>
      <c r="AR710" s="136" t="n"/>
    </row>
    <row r="711" ht="13.5" customHeight="1" s="196">
      <c r="A711" s="136" t="n"/>
      <c r="B711" s="136" t="n"/>
      <c r="C711" s="136" t="n"/>
      <c r="D711" s="141" t="n"/>
      <c r="E711" s="141" t="n"/>
      <c r="F711" s="141" t="n"/>
      <c r="G711" s="141" t="n"/>
      <c r="H711" s="141" t="n"/>
      <c r="I711" s="141" t="n"/>
      <c r="J711" s="141" t="n"/>
      <c r="K711" s="141" t="n"/>
      <c r="L711" s="141" t="n"/>
      <c r="M711" s="141" t="n"/>
      <c r="N711" s="141" t="n"/>
      <c r="O711" s="141" t="n"/>
      <c r="P711" s="141" t="n"/>
      <c r="Q711" s="141" t="n"/>
      <c r="R711" s="141" t="n"/>
      <c r="S711" s="141" t="n"/>
      <c r="T711" s="141" t="n"/>
      <c r="U711" s="141" t="n"/>
      <c r="V711" s="141" t="n"/>
      <c r="W711" s="141" t="n"/>
      <c r="X711" s="141" t="n"/>
      <c r="Y711" s="136" t="n"/>
      <c r="Z711" s="136" t="n"/>
      <c r="AA711" s="136" t="n"/>
      <c r="AB711" s="136" t="n"/>
      <c r="AC711" s="136" t="n"/>
      <c r="AD711" s="136" t="n"/>
      <c r="AE711" s="136" t="n"/>
      <c r="AF711" s="136" t="n"/>
      <c r="AG711" s="136" t="n"/>
      <c r="AH711" s="136" t="n"/>
      <c r="AI711" s="136" t="n"/>
      <c r="AJ711" s="136" t="n"/>
      <c r="AK711" s="136" t="n"/>
      <c r="AL711" s="136" t="n"/>
      <c r="AM711" s="136" t="n"/>
      <c r="AN711" s="136" t="n"/>
      <c r="AO711" s="136" t="n"/>
      <c r="AP711" s="136" t="n"/>
      <c r="AQ711" s="136" t="n"/>
      <c r="AR711" s="136" t="n"/>
    </row>
    <row r="712" ht="13.5" customHeight="1" s="196">
      <c r="A712" s="136" t="n"/>
      <c r="B712" s="136" t="n"/>
      <c r="C712" s="136" t="n"/>
      <c r="D712" s="141" t="n"/>
      <c r="E712" s="141" t="n"/>
      <c r="F712" s="141" t="n"/>
      <c r="G712" s="141" t="n"/>
      <c r="H712" s="141" t="n"/>
      <c r="I712" s="141" t="n"/>
      <c r="J712" s="141" t="n"/>
      <c r="K712" s="141" t="n"/>
      <c r="L712" s="141" t="n"/>
      <c r="M712" s="141" t="n"/>
      <c r="N712" s="141" t="n"/>
      <c r="O712" s="141" t="n"/>
      <c r="P712" s="141" t="n"/>
      <c r="Q712" s="141" t="n"/>
      <c r="R712" s="141" t="n"/>
      <c r="S712" s="141" t="n"/>
      <c r="T712" s="141" t="n"/>
      <c r="U712" s="141" t="n"/>
      <c r="V712" s="141" t="n"/>
      <c r="W712" s="141" t="n"/>
      <c r="X712" s="141" t="n"/>
      <c r="Y712" s="136" t="n"/>
      <c r="Z712" s="136" t="n"/>
      <c r="AA712" s="136" t="n"/>
      <c r="AB712" s="136" t="n"/>
      <c r="AC712" s="136" t="n"/>
      <c r="AD712" s="136" t="n"/>
      <c r="AE712" s="136" t="n"/>
      <c r="AF712" s="136" t="n"/>
      <c r="AG712" s="136" t="n"/>
      <c r="AH712" s="136" t="n"/>
      <c r="AI712" s="136" t="n"/>
      <c r="AJ712" s="136" t="n"/>
      <c r="AK712" s="136" t="n"/>
      <c r="AL712" s="136" t="n"/>
      <c r="AM712" s="136" t="n"/>
      <c r="AN712" s="136" t="n"/>
      <c r="AO712" s="136" t="n"/>
      <c r="AP712" s="136" t="n"/>
      <c r="AQ712" s="136" t="n"/>
      <c r="AR712" s="136" t="n"/>
    </row>
    <row r="713" ht="13.5" customHeight="1" s="196">
      <c r="A713" s="136" t="n"/>
      <c r="B713" s="136" t="n"/>
      <c r="C713" s="136" t="n"/>
      <c r="D713" s="141" t="n"/>
      <c r="E713" s="141" t="n"/>
      <c r="F713" s="141" t="n"/>
      <c r="G713" s="141" t="n"/>
      <c r="H713" s="141" t="n"/>
      <c r="I713" s="141" t="n"/>
      <c r="J713" s="141" t="n"/>
      <c r="K713" s="141" t="n"/>
      <c r="L713" s="141" t="n"/>
      <c r="M713" s="141" t="n"/>
      <c r="N713" s="141" t="n"/>
      <c r="O713" s="141" t="n"/>
      <c r="P713" s="141" t="n"/>
      <c r="Q713" s="141" t="n"/>
      <c r="R713" s="141" t="n"/>
      <c r="S713" s="141" t="n"/>
      <c r="T713" s="141" t="n"/>
      <c r="U713" s="141" t="n"/>
      <c r="V713" s="141" t="n"/>
      <c r="W713" s="141" t="n"/>
      <c r="X713" s="141" t="n"/>
      <c r="Y713" s="136" t="n"/>
      <c r="Z713" s="136" t="n"/>
      <c r="AA713" s="136" t="n"/>
      <c r="AB713" s="136" t="n"/>
      <c r="AC713" s="136" t="n"/>
      <c r="AD713" s="136" t="n"/>
      <c r="AE713" s="136" t="n"/>
      <c r="AF713" s="136" t="n"/>
      <c r="AG713" s="136" t="n"/>
      <c r="AH713" s="136" t="n"/>
      <c r="AI713" s="136" t="n"/>
      <c r="AJ713" s="136" t="n"/>
      <c r="AK713" s="136" t="n"/>
      <c r="AL713" s="136" t="n"/>
      <c r="AM713" s="136" t="n"/>
      <c r="AN713" s="136" t="n"/>
      <c r="AO713" s="136" t="n"/>
      <c r="AP713" s="136" t="n"/>
      <c r="AQ713" s="136" t="n"/>
      <c r="AR713" s="136" t="n"/>
    </row>
    <row r="714" ht="13.5" customHeight="1" s="196">
      <c r="A714" s="136" t="n"/>
      <c r="B714" s="136" t="n"/>
      <c r="C714" s="136" t="n"/>
      <c r="D714" s="141" t="n"/>
      <c r="E714" s="141" t="n"/>
      <c r="F714" s="141" t="n"/>
      <c r="G714" s="141" t="n"/>
      <c r="H714" s="141" t="n"/>
      <c r="I714" s="141" t="n"/>
      <c r="J714" s="141" t="n"/>
      <c r="K714" s="141" t="n"/>
      <c r="L714" s="141" t="n"/>
      <c r="M714" s="141" t="n"/>
      <c r="N714" s="141" t="n"/>
      <c r="O714" s="141" t="n"/>
      <c r="P714" s="141" t="n"/>
      <c r="Q714" s="141" t="n"/>
      <c r="R714" s="141" t="n"/>
      <c r="S714" s="141" t="n"/>
      <c r="T714" s="141" t="n"/>
      <c r="U714" s="141" t="n"/>
      <c r="V714" s="141" t="n"/>
      <c r="W714" s="141" t="n"/>
      <c r="X714" s="141" t="n"/>
      <c r="Y714" s="136" t="n"/>
      <c r="Z714" s="136" t="n"/>
      <c r="AA714" s="136" t="n"/>
      <c r="AB714" s="136" t="n"/>
      <c r="AC714" s="136" t="n"/>
      <c r="AD714" s="136" t="n"/>
      <c r="AE714" s="136" t="n"/>
      <c r="AF714" s="136" t="n"/>
      <c r="AG714" s="136" t="n"/>
      <c r="AH714" s="136" t="n"/>
      <c r="AI714" s="136" t="n"/>
      <c r="AJ714" s="136" t="n"/>
      <c r="AK714" s="136" t="n"/>
      <c r="AL714" s="136" t="n"/>
      <c r="AM714" s="136" t="n"/>
      <c r="AN714" s="136" t="n"/>
      <c r="AO714" s="136" t="n"/>
      <c r="AP714" s="136" t="n"/>
      <c r="AQ714" s="136" t="n"/>
      <c r="AR714" s="136" t="n"/>
    </row>
    <row r="715" ht="13.5" customHeight="1" s="196">
      <c r="A715" s="136" t="n"/>
      <c r="B715" s="136" t="n"/>
      <c r="C715" s="136" t="n"/>
      <c r="D715" s="141" t="n"/>
      <c r="E715" s="141" t="n"/>
      <c r="F715" s="141" t="n"/>
      <c r="G715" s="141" t="n"/>
      <c r="H715" s="141" t="n"/>
      <c r="I715" s="141" t="n"/>
      <c r="J715" s="141" t="n"/>
      <c r="K715" s="141" t="n"/>
      <c r="L715" s="141" t="n"/>
      <c r="M715" s="141" t="n"/>
      <c r="N715" s="141" t="n"/>
      <c r="O715" s="141" t="n"/>
      <c r="P715" s="141" t="n"/>
      <c r="Q715" s="141" t="n"/>
      <c r="R715" s="141" t="n"/>
      <c r="S715" s="141" t="n"/>
      <c r="T715" s="141" t="n"/>
      <c r="U715" s="141" t="n"/>
      <c r="V715" s="141" t="n"/>
      <c r="W715" s="141" t="n"/>
      <c r="X715" s="141" t="n"/>
      <c r="Y715" s="136" t="n"/>
      <c r="Z715" s="136" t="n"/>
      <c r="AA715" s="136" t="n"/>
      <c r="AB715" s="136" t="n"/>
      <c r="AC715" s="136" t="n"/>
      <c r="AD715" s="136" t="n"/>
      <c r="AE715" s="136" t="n"/>
      <c r="AF715" s="136" t="n"/>
      <c r="AG715" s="136" t="n"/>
      <c r="AH715" s="136" t="n"/>
      <c r="AI715" s="136" t="n"/>
      <c r="AJ715" s="136" t="n"/>
      <c r="AK715" s="136" t="n"/>
      <c r="AL715" s="136" t="n"/>
      <c r="AM715" s="136" t="n"/>
      <c r="AN715" s="136" t="n"/>
      <c r="AO715" s="136" t="n"/>
      <c r="AP715" s="136" t="n"/>
      <c r="AQ715" s="136" t="n"/>
      <c r="AR715" s="136" t="n"/>
    </row>
    <row r="716" ht="13.5" customHeight="1" s="196">
      <c r="A716" s="136" t="n"/>
      <c r="B716" s="136" t="n"/>
      <c r="C716" s="136" t="n"/>
      <c r="D716" s="141" t="n"/>
      <c r="E716" s="141" t="n"/>
      <c r="F716" s="141" t="n"/>
      <c r="G716" s="141" t="n"/>
      <c r="H716" s="141" t="n"/>
      <c r="I716" s="141" t="n"/>
      <c r="J716" s="141" t="n"/>
      <c r="K716" s="141" t="n"/>
      <c r="L716" s="141" t="n"/>
      <c r="M716" s="141" t="n"/>
      <c r="N716" s="141" t="n"/>
      <c r="O716" s="141" t="n"/>
      <c r="P716" s="141" t="n"/>
      <c r="Q716" s="141" t="n"/>
      <c r="R716" s="141" t="n"/>
      <c r="S716" s="141" t="n"/>
      <c r="T716" s="141" t="n"/>
      <c r="U716" s="141" t="n"/>
      <c r="V716" s="141" t="n"/>
      <c r="W716" s="141" t="n"/>
      <c r="X716" s="141" t="n"/>
      <c r="Y716" s="136" t="n"/>
      <c r="Z716" s="136" t="n"/>
      <c r="AA716" s="136" t="n"/>
      <c r="AB716" s="136" t="n"/>
      <c r="AC716" s="136" t="n"/>
      <c r="AD716" s="136" t="n"/>
      <c r="AE716" s="136" t="n"/>
      <c r="AF716" s="136" t="n"/>
      <c r="AG716" s="136" t="n"/>
      <c r="AH716" s="136" t="n"/>
      <c r="AI716" s="136" t="n"/>
      <c r="AJ716" s="136" t="n"/>
      <c r="AK716" s="136" t="n"/>
      <c r="AL716" s="136" t="n"/>
      <c r="AM716" s="136" t="n"/>
      <c r="AN716" s="136" t="n"/>
      <c r="AO716" s="136" t="n"/>
      <c r="AP716" s="136" t="n"/>
      <c r="AQ716" s="136" t="n"/>
      <c r="AR716" s="136" t="n"/>
    </row>
    <row r="717" ht="13.5" customHeight="1" s="196">
      <c r="A717" s="136" t="n"/>
      <c r="B717" s="136" t="n"/>
      <c r="C717" s="136" t="n"/>
      <c r="D717" s="141" t="n"/>
      <c r="E717" s="141" t="n"/>
      <c r="F717" s="141" t="n"/>
      <c r="G717" s="141" t="n"/>
      <c r="H717" s="141" t="n"/>
      <c r="I717" s="141" t="n"/>
      <c r="J717" s="141" t="n"/>
      <c r="K717" s="141" t="n"/>
      <c r="L717" s="141" t="n"/>
      <c r="M717" s="141" t="n"/>
      <c r="N717" s="141" t="n"/>
      <c r="O717" s="141" t="n"/>
      <c r="P717" s="141" t="n"/>
      <c r="Q717" s="141" t="n"/>
      <c r="R717" s="141" t="n"/>
      <c r="S717" s="141" t="n"/>
      <c r="T717" s="141" t="n"/>
      <c r="U717" s="141" t="n"/>
      <c r="V717" s="141" t="n"/>
      <c r="W717" s="141" t="n"/>
      <c r="X717" s="141" t="n"/>
      <c r="Y717" s="136" t="n"/>
      <c r="Z717" s="136" t="n"/>
      <c r="AA717" s="136" t="n"/>
      <c r="AB717" s="136" t="n"/>
      <c r="AC717" s="136" t="n"/>
      <c r="AD717" s="136" t="n"/>
      <c r="AE717" s="136" t="n"/>
      <c r="AF717" s="136" t="n"/>
      <c r="AG717" s="136" t="n"/>
      <c r="AH717" s="136" t="n"/>
      <c r="AI717" s="136" t="n"/>
      <c r="AJ717" s="136" t="n"/>
      <c r="AK717" s="136" t="n"/>
      <c r="AL717" s="136" t="n"/>
      <c r="AM717" s="136" t="n"/>
      <c r="AN717" s="136" t="n"/>
      <c r="AO717" s="136" t="n"/>
      <c r="AP717" s="136" t="n"/>
      <c r="AQ717" s="136" t="n"/>
      <c r="AR717" s="136" t="n"/>
    </row>
    <row r="718" ht="13.5" customHeight="1" s="196">
      <c r="A718" s="136" t="n"/>
      <c r="B718" s="136" t="n"/>
      <c r="C718" s="136" t="n"/>
      <c r="D718" s="141" t="n"/>
      <c r="E718" s="141" t="n"/>
      <c r="F718" s="141" t="n"/>
      <c r="G718" s="141" t="n"/>
      <c r="H718" s="141" t="n"/>
      <c r="I718" s="141" t="n"/>
      <c r="J718" s="141" t="n"/>
      <c r="K718" s="141" t="n"/>
      <c r="L718" s="141" t="n"/>
      <c r="M718" s="141" t="n"/>
      <c r="N718" s="141" t="n"/>
      <c r="O718" s="141" t="n"/>
      <c r="P718" s="141" t="n"/>
      <c r="Q718" s="141" t="n"/>
      <c r="R718" s="141" t="n"/>
      <c r="S718" s="141" t="n"/>
      <c r="T718" s="141" t="n"/>
      <c r="U718" s="141" t="n"/>
      <c r="V718" s="141" t="n"/>
      <c r="W718" s="141" t="n"/>
      <c r="X718" s="141" t="n"/>
      <c r="Y718" s="136" t="n"/>
      <c r="Z718" s="136" t="n"/>
      <c r="AA718" s="136" t="n"/>
      <c r="AB718" s="136" t="n"/>
      <c r="AC718" s="136" t="n"/>
      <c r="AD718" s="136" t="n"/>
      <c r="AE718" s="136" t="n"/>
      <c r="AF718" s="136" t="n"/>
      <c r="AG718" s="136" t="n"/>
      <c r="AH718" s="136" t="n"/>
      <c r="AI718" s="136" t="n"/>
      <c r="AJ718" s="136" t="n"/>
      <c r="AK718" s="136" t="n"/>
      <c r="AL718" s="136" t="n"/>
      <c r="AM718" s="136" t="n"/>
      <c r="AN718" s="136" t="n"/>
      <c r="AO718" s="136" t="n"/>
      <c r="AP718" s="136" t="n"/>
      <c r="AQ718" s="136" t="n"/>
      <c r="AR718" s="136" t="n"/>
    </row>
    <row r="719" ht="13.5" customHeight="1" s="196">
      <c r="A719" s="136" t="n"/>
      <c r="B719" s="136" t="n"/>
      <c r="C719" s="136" t="n"/>
      <c r="D719" s="141" t="n"/>
      <c r="E719" s="141" t="n"/>
      <c r="F719" s="141" t="n"/>
      <c r="G719" s="141" t="n"/>
      <c r="H719" s="141" t="n"/>
      <c r="I719" s="141" t="n"/>
      <c r="J719" s="141" t="n"/>
      <c r="K719" s="141" t="n"/>
      <c r="L719" s="141" t="n"/>
      <c r="M719" s="141" t="n"/>
      <c r="N719" s="141" t="n"/>
      <c r="O719" s="141" t="n"/>
      <c r="P719" s="141" t="n"/>
      <c r="Q719" s="141" t="n"/>
      <c r="R719" s="141" t="n"/>
      <c r="S719" s="141" t="n"/>
      <c r="T719" s="141" t="n"/>
      <c r="U719" s="141" t="n"/>
      <c r="V719" s="141" t="n"/>
      <c r="W719" s="141" t="n"/>
      <c r="X719" s="141" t="n"/>
      <c r="Y719" s="136" t="n"/>
      <c r="Z719" s="136" t="n"/>
      <c r="AA719" s="136" t="n"/>
      <c r="AB719" s="136" t="n"/>
      <c r="AC719" s="136" t="n"/>
      <c r="AD719" s="136" t="n"/>
      <c r="AE719" s="136" t="n"/>
      <c r="AF719" s="136" t="n"/>
      <c r="AG719" s="136" t="n"/>
      <c r="AH719" s="136" t="n"/>
      <c r="AI719" s="136" t="n"/>
      <c r="AJ719" s="136" t="n"/>
      <c r="AK719" s="136" t="n"/>
      <c r="AL719" s="136" t="n"/>
      <c r="AM719" s="136" t="n"/>
      <c r="AN719" s="136" t="n"/>
      <c r="AO719" s="136" t="n"/>
      <c r="AP719" s="136" t="n"/>
      <c r="AQ719" s="136" t="n"/>
      <c r="AR719" s="136" t="n"/>
    </row>
    <row r="720" ht="13.5" customHeight="1" s="196">
      <c r="A720" s="136" t="n"/>
      <c r="B720" s="136" t="n"/>
      <c r="C720" s="136" t="n"/>
      <c r="D720" s="141" t="n"/>
      <c r="E720" s="141" t="n"/>
      <c r="F720" s="141" t="n"/>
      <c r="G720" s="141" t="n"/>
      <c r="H720" s="141" t="n"/>
      <c r="I720" s="141" t="n"/>
      <c r="J720" s="141" t="n"/>
      <c r="K720" s="141" t="n"/>
      <c r="L720" s="141" t="n"/>
      <c r="M720" s="141" t="n"/>
      <c r="N720" s="141" t="n"/>
      <c r="O720" s="141" t="n"/>
      <c r="P720" s="141" t="n"/>
      <c r="Q720" s="141" t="n"/>
      <c r="R720" s="141" t="n"/>
      <c r="S720" s="141" t="n"/>
      <c r="T720" s="141" t="n"/>
      <c r="U720" s="141" t="n"/>
      <c r="V720" s="141" t="n"/>
      <c r="W720" s="141" t="n"/>
      <c r="X720" s="141" t="n"/>
      <c r="Y720" s="136" t="n"/>
      <c r="Z720" s="136" t="n"/>
      <c r="AA720" s="136" t="n"/>
      <c r="AB720" s="136" t="n"/>
      <c r="AC720" s="136" t="n"/>
      <c r="AD720" s="136" t="n"/>
      <c r="AE720" s="136" t="n"/>
      <c r="AF720" s="136" t="n"/>
      <c r="AG720" s="136" t="n"/>
      <c r="AH720" s="136" t="n"/>
      <c r="AI720" s="136" t="n"/>
      <c r="AJ720" s="136" t="n"/>
      <c r="AK720" s="136" t="n"/>
      <c r="AL720" s="136" t="n"/>
      <c r="AM720" s="136" t="n"/>
      <c r="AN720" s="136" t="n"/>
      <c r="AO720" s="136" t="n"/>
      <c r="AP720" s="136" t="n"/>
      <c r="AQ720" s="136" t="n"/>
      <c r="AR720" s="136" t="n"/>
    </row>
    <row r="721" ht="13.5" customHeight="1" s="196">
      <c r="A721" s="136" t="n"/>
      <c r="B721" s="136" t="n"/>
      <c r="C721" s="136" t="n"/>
      <c r="D721" s="141" t="n"/>
      <c r="E721" s="141" t="n"/>
      <c r="F721" s="141" t="n"/>
      <c r="G721" s="141" t="n"/>
      <c r="H721" s="141" t="n"/>
      <c r="I721" s="141" t="n"/>
      <c r="J721" s="141" t="n"/>
      <c r="K721" s="141" t="n"/>
      <c r="L721" s="141" t="n"/>
      <c r="M721" s="141" t="n"/>
      <c r="N721" s="141" t="n"/>
      <c r="O721" s="141" t="n"/>
      <c r="P721" s="141" t="n"/>
      <c r="Q721" s="141" t="n"/>
      <c r="R721" s="141" t="n"/>
      <c r="S721" s="141" t="n"/>
      <c r="T721" s="141" t="n"/>
      <c r="U721" s="141" t="n"/>
      <c r="V721" s="141" t="n"/>
      <c r="W721" s="141" t="n"/>
      <c r="X721" s="141" t="n"/>
      <c r="Y721" s="136" t="n"/>
      <c r="Z721" s="136" t="n"/>
      <c r="AA721" s="136" t="n"/>
      <c r="AB721" s="136" t="n"/>
      <c r="AC721" s="136" t="n"/>
      <c r="AD721" s="136" t="n"/>
      <c r="AE721" s="136" t="n"/>
      <c r="AF721" s="136" t="n"/>
      <c r="AG721" s="136" t="n"/>
      <c r="AH721" s="136" t="n"/>
      <c r="AI721" s="136" t="n"/>
      <c r="AJ721" s="136" t="n"/>
      <c r="AK721" s="136" t="n"/>
      <c r="AL721" s="136" t="n"/>
      <c r="AM721" s="136" t="n"/>
      <c r="AN721" s="136" t="n"/>
      <c r="AO721" s="136" t="n"/>
      <c r="AP721" s="136" t="n"/>
      <c r="AQ721" s="136" t="n"/>
      <c r="AR721" s="136" t="n"/>
    </row>
    <row r="722" ht="13.5" customHeight="1" s="196">
      <c r="A722" s="136" t="n"/>
      <c r="B722" s="136" t="n"/>
      <c r="C722" s="136" t="n"/>
      <c r="D722" s="141" t="n"/>
      <c r="E722" s="141" t="n"/>
      <c r="F722" s="141" t="n"/>
      <c r="G722" s="141" t="n"/>
      <c r="H722" s="141" t="n"/>
      <c r="I722" s="141" t="n"/>
      <c r="J722" s="141" t="n"/>
      <c r="K722" s="141" t="n"/>
      <c r="L722" s="141" t="n"/>
      <c r="M722" s="141" t="n"/>
      <c r="N722" s="141" t="n"/>
      <c r="O722" s="141" t="n"/>
      <c r="P722" s="141" t="n"/>
      <c r="Q722" s="141" t="n"/>
      <c r="R722" s="141" t="n"/>
      <c r="S722" s="141" t="n"/>
      <c r="T722" s="141" t="n"/>
      <c r="U722" s="141" t="n"/>
      <c r="V722" s="141" t="n"/>
      <c r="W722" s="141" t="n"/>
      <c r="X722" s="141" t="n"/>
      <c r="Y722" s="136" t="n"/>
      <c r="Z722" s="136" t="n"/>
      <c r="AA722" s="136" t="n"/>
      <c r="AB722" s="136" t="n"/>
      <c r="AC722" s="136" t="n"/>
      <c r="AD722" s="136" t="n"/>
      <c r="AE722" s="136" t="n"/>
      <c r="AF722" s="136" t="n"/>
      <c r="AG722" s="136" t="n"/>
      <c r="AH722" s="136" t="n"/>
      <c r="AI722" s="136" t="n"/>
      <c r="AJ722" s="136" t="n"/>
      <c r="AK722" s="136" t="n"/>
      <c r="AL722" s="136" t="n"/>
      <c r="AM722" s="136" t="n"/>
      <c r="AN722" s="136" t="n"/>
      <c r="AO722" s="136" t="n"/>
      <c r="AP722" s="136" t="n"/>
      <c r="AQ722" s="136" t="n"/>
      <c r="AR722" s="136" t="n"/>
    </row>
    <row r="723" ht="13.5" customHeight="1" s="196">
      <c r="A723" s="136" t="n"/>
      <c r="B723" s="136" t="n"/>
      <c r="C723" s="136" t="n"/>
      <c r="D723" s="141" t="n"/>
      <c r="E723" s="141" t="n"/>
      <c r="F723" s="141" t="n"/>
      <c r="G723" s="141" t="n"/>
      <c r="H723" s="141" t="n"/>
      <c r="I723" s="141" t="n"/>
      <c r="J723" s="141" t="n"/>
      <c r="K723" s="141" t="n"/>
      <c r="L723" s="141" t="n"/>
      <c r="M723" s="141" t="n"/>
      <c r="N723" s="141" t="n"/>
      <c r="O723" s="141" t="n"/>
      <c r="P723" s="141" t="n"/>
      <c r="Q723" s="141" t="n"/>
      <c r="R723" s="141" t="n"/>
      <c r="S723" s="141" t="n"/>
      <c r="T723" s="141" t="n"/>
      <c r="U723" s="141" t="n"/>
      <c r="V723" s="141" t="n"/>
      <c r="W723" s="141" t="n"/>
      <c r="X723" s="141" t="n"/>
      <c r="Y723" s="136" t="n"/>
      <c r="Z723" s="136" t="n"/>
      <c r="AA723" s="136" t="n"/>
      <c r="AB723" s="136" t="n"/>
      <c r="AC723" s="136" t="n"/>
      <c r="AD723" s="136" t="n"/>
      <c r="AE723" s="136" t="n"/>
      <c r="AF723" s="136" t="n"/>
      <c r="AG723" s="136" t="n"/>
      <c r="AH723" s="136" t="n"/>
      <c r="AI723" s="136" t="n"/>
      <c r="AJ723" s="136" t="n"/>
      <c r="AK723" s="136" t="n"/>
      <c r="AL723" s="136" t="n"/>
      <c r="AM723" s="136" t="n"/>
      <c r="AN723" s="136" t="n"/>
      <c r="AO723" s="136" t="n"/>
      <c r="AP723" s="136" t="n"/>
      <c r="AQ723" s="136" t="n"/>
      <c r="AR723" s="136" t="n"/>
    </row>
    <row r="724" ht="13.5" customHeight="1" s="196">
      <c r="A724" s="136" t="n"/>
      <c r="B724" s="136" t="n"/>
      <c r="C724" s="136" t="n"/>
      <c r="D724" s="141" t="n"/>
      <c r="E724" s="141" t="n"/>
      <c r="F724" s="141" t="n"/>
      <c r="G724" s="141" t="n"/>
      <c r="H724" s="141" t="n"/>
      <c r="I724" s="141" t="n"/>
      <c r="J724" s="141" t="n"/>
      <c r="K724" s="141" t="n"/>
      <c r="L724" s="141" t="n"/>
      <c r="M724" s="141" t="n"/>
      <c r="N724" s="141" t="n"/>
      <c r="O724" s="141" t="n"/>
      <c r="P724" s="141" t="n"/>
      <c r="Q724" s="141" t="n"/>
      <c r="R724" s="141" t="n"/>
      <c r="S724" s="141" t="n"/>
      <c r="T724" s="141" t="n"/>
      <c r="U724" s="141" t="n"/>
      <c r="V724" s="141" t="n"/>
      <c r="W724" s="141" t="n"/>
      <c r="X724" s="141" t="n"/>
      <c r="Y724" s="136" t="n"/>
      <c r="Z724" s="136" t="n"/>
      <c r="AA724" s="136" t="n"/>
      <c r="AB724" s="136" t="n"/>
      <c r="AC724" s="136" t="n"/>
      <c r="AD724" s="136" t="n"/>
      <c r="AE724" s="136" t="n"/>
      <c r="AF724" s="136" t="n"/>
      <c r="AG724" s="136" t="n"/>
      <c r="AH724" s="136" t="n"/>
      <c r="AI724" s="136" t="n"/>
      <c r="AJ724" s="136" t="n"/>
      <c r="AK724" s="136" t="n"/>
      <c r="AL724" s="136" t="n"/>
      <c r="AM724" s="136" t="n"/>
      <c r="AN724" s="136" t="n"/>
      <c r="AO724" s="136" t="n"/>
      <c r="AP724" s="136" t="n"/>
      <c r="AQ724" s="136" t="n"/>
      <c r="AR724" s="136" t="n"/>
    </row>
    <row r="725" ht="13.5" customHeight="1" s="196">
      <c r="A725" s="136" t="n"/>
      <c r="B725" s="136" t="n"/>
      <c r="C725" s="136" t="n"/>
      <c r="D725" s="141" t="n"/>
      <c r="E725" s="141" t="n"/>
      <c r="F725" s="141" t="n"/>
      <c r="G725" s="141" t="n"/>
      <c r="H725" s="141" t="n"/>
      <c r="I725" s="141" t="n"/>
      <c r="J725" s="141" t="n"/>
      <c r="K725" s="141" t="n"/>
      <c r="L725" s="141" t="n"/>
      <c r="M725" s="141" t="n"/>
      <c r="N725" s="141" t="n"/>
      <c r="O725" s="141" t="n"/>
      <c r="P725" s="141" t="n"/>
      <c r="Q725" s="141" t="n"/>
      <c r="R725" s="141" t="n"/>
      <c r="S725" s="141" t="n"/>
      <c r="T725" s="141" t="n"/>
      <c r="U725" s="141" t="n"/>
      <c r="V725" s="141" t="n"/>
      <c r="W725" s="141" t="n"/>
      <c r="X725" s="141" t="n"/>
      <c r="Y725" s="136" t="n"/>
      <c r="Z725" s="136" t="n"/>
      <c r="AA725" s="136" t="n"/>
      <c r="AB725" s="136" t="n"/>
      <c r="AC725" s="136" t="n"/>
      <c r="AD725" s="136" t="n"/>
      <c r="AE725" s="136" t="n"/>
      <c r="AF725" s="136" t="n"/>
      <c r="AG725" s="136" t="n"/>
      <c r="AH725" s="136" t="n"/>
      <c r="AI725" s="136" t="n"/>
      <c r="AJ725" s="136" t="n"/>
      <c r="AK725" s="136" t="n"/>
      <c r="AL725" s="136" t="n"/>
      <c r="AM725" s="136" t="n"/>
      <c r="AN725" s="136" t="n"/>
      <c r="AO725" s="136" t="n"/>
      <c r="AP725" s="136" t="n"/>
      <c r="AQ725" s="136" t="n"/>
      <c r="AR725" s="136" t="n"/>
    </row>
    <row r="726" ht="13.5" customHeight="1" s="196">
      <c r="A726" s="136" t="n"/>
      <c r="B726" s="136" t="n"/>
      <c r="C726" s="136" t="n"/>
      <c r="D726" s="141" t="n"/>
      <c r="E726" s="141" t="n"/>
      <c r="F726" s="141" t="n"/>
      <c r="G726" s="141" t="n"/>
      <c r="H726" s="141" t="n"/>
      <c r="I726" s="141" t="n"/>
      <c r="J726" s="141" t="n"/>
      <c r="K726" s="141" t="n"/>
      <c r="L726" s="141" t="n"/>
      <c r="M726" s="141" t="n"/>
      <c r="N726" s="141" t="n"/>
      <c r="O726" s="141" t="n"/>
      <c r="P726" s="141" t="n"/>
      <c r="Q726" s="141" t="n"/>
      <c r="R726" s="141" t="n"/>
      <c r="S726" s="141" t="n"/>
      <c r="T726" s="141" t="n"/>
      <c r="U726" s="141" t="n"/>
      <c r="V726" s="141" t="n"/>
      <c r="W726" s="141" t="n"/>
      <c r="X726" s="141" t="n"/>
      <c r="Y726" s="136" t="n"/>
      <c r="Z726" s="136" t="n"/>
      <c r="AA726" s="136" t="n"/>
      <c r="AB726" s="136" t="n"/>
      <c r="AC726" s="136" t="n"/>
      <c r="AD726" s="136" t="n"/>
      <c r="AE726" s="136" t="n"/>
      <c r="AF726" s="136" t="n"/>
      <c r="AG726" s="136" t="n"/>
      <c r="AH726" s="136" t="n"/>
      <c r="AI726" s="136" t="n"/>
      <c r="AJ726" s="136" t="n"/>
      <c r="AK726" s="136" t="n"/>
      <c r="AL726" s="136" t="n"/>
      <c r="AM726" s="136" t="n"/>
      <c r="AN726" s="136" t="n"/>
      <c r="AO726" s="136" t="n"/>
      <c r="AP726" s="136" t="n"/>
      <c r="AQ726" s="136" t="n"/>
      <c r="AR726" s="136" t="n"/>
    </row>
    <row r="727" ht="13.5" customHeight="1" s="196">
      <c r="A727" s="136" t="n"/>
      <c r="B727" s="136" t="n"/>
      <c r="C727" s="136" t="n"/>
      <c r="D727" s="141" t="n"/>
      <c r="E727" s="141" t="n"/>
      <c r="F727" s="141" t="n"/>
      <c r="G727" s="141" t="n"/>
      <c r="H727" s="141" t="n"/>
      <c r="I727" s="141" t="n"/>
      <c r="J727" s="141" t="n"/>
      <c r="K727" s="141" t="n"/>
      <c r="L727" s="141" t="n"/>
      <c r="M727" s="141" t="n"/>
      <c r="N727" s="141" t="n"/>
      <c r="O727" s="141" t="n"/>
      <c r="P727" s="141" t="n"/>
      <c r="Q727" s="141" t="n"/>
      <c r="R727" s="141" t="n"/>
      <c r="S727" s="141" t="n"/>
      <c r="T727" s="141" t="n"/>
      <c r="U727" s="141" t="n"/>
      <c r="V727" s="141" t="n"/>
      <c r="W727" s="141" t="n"/>
      <c r="X727" s="141" t="n"/>
      <c r="Y727" s="136" t="n"/>
      <c r="Z727" s="136" t="n"/>
      <c r="AA727" s="136" t="n"/>
      <c r="AB727" s="136" t="n"/>
      <c r="AC727" s="136" t="n"/>
      <c r="AD727" s="136" t="n"/>
      <c r="AE727" s="136" t="n"/>
      <c r="AF727" s="136" t="n"/>
      <c r="AG727" s="136" t="n"/>
      <c r="AH727" s="136" t="n"/>
      <c r="AI727" s="136" t="n"/>
      <c r="AJ727" s="136" t="n"/>
      <c r="AK727" s="136" t="n"/>
      <c r="AL727" s="136" t="n"/>
      <c r="AM727" s="136" t="n"/>
      <c r="AN727" s="136" t="n"/>
      <c r="AO727" s="136" t="n"/>
      <c r="AP727" s="136" t="n"/>
      <c r="AQ727" s="136" t="n"/>
      <c r="AR727" s="136" t="n"/>
    </row>
    <row r="728" ht="13.5" customHeight="1" s="196">
      <c r="A728" s="136" t="n"/>
      <c r="B728" s="136" t="n"/>
      <c r="C728" s="136" t="n"/>
      <c r="D728" s="141" t="n"/>
      <c r="E728" s="141" t="n"/>
      <c r="F728" s="141" t="n"/>
      <c r="G728" s="141" t="n"/>
      <c r="H728" s="141" t="n"/>
      <c r="I728" s="141" t="n"/>
      <c r="J728" s="141" t="n"/>
      <c r="K728" s="141" t="n"/>
      <c r="L728" s="141" t="n"/>
      <c r="M728" s="141" t="n"/>
      <c r="N728" s="141" t="n"/>
      <c r="O728" s="141" t="n"/>
      <c r="P728" s="141" t="n"/>
      <c r="Q728" s="141" t="n"/>
      <c r="R728" s="141" t="n"/>
      <c r="S728" s="141" t="n"/>
      <c r="T728" s="141" t="n"/>
      <c r="U728" s="141" t="n"/>
      <c r="V728" s="141" t="n"/>
      <c r="W728" s="141" t="n"/>
      <c r="X728" s="141" t="n"/>
      <c r="Y728" s="136" t="n"/>
      <c r="Z728" s="136" t="n"/>
      <c r="AA728" s="136" t="n"/>
      <c r="AB728" s="136" t="n"/>
      <c r="AC728" s="136" t="n"/>
      <c r="AD728" s="136" t="n"/>
      <c r="AE728" s="136" t="n"/>
      <c r="AF728" s="136" t="n"/>
      <c r="AG728" s="136" t="n"/>
      <c r="AH728" s="136" t="n"/>
      <c r="AI728" s="136" t="n"/>
      <c r="AJ728" s="136" t="n"/>
      <c r="AK728" s="136" t="n"/>
      <c r="AL728" s="136" t="n"/>
      <c r="AM728" s="136" t="n"/>
      <c r="AN728" s="136" t="n"/>
      <c r="AO728" s="136" t="n"/>
      <c r="AP728" s="136" t="n"/>
      <c r="AQ728" s="136" t="n"/>
      <c r="AR728" s="136" t="n"/>
    </row>
    <row r="729" ht="13.5" customHeight="1" s="196">
      <c r="A729" s="136" t="n"/>
      <c r="B729" s="136" t="n"/>
      <c r="C729" s="136" t="n"/>
      <c r="D729" s="141" t="n"/>
      <c r="E729" s="141" t="n"/>
      <c r="F729" s="141" t="n"/>
      <c r="G729" s="141" t="n"/>
      <c r="H729" s="141" t="n"/>
      <c r="I729" s="141" t="n"/>
      <c r="J729" s="141" t="n"/>
      <c r="K729" s="141" t="n"/>
      <c r="L729" s="141" t="n"/>
      <c r="M729" s="141" t="n"/>
      <c r="N729" s="141" t="n"/>
      <c r="O729" s="141" t="n"/>
      <c r="P729" s="141" t="n"/>
      <c r="Q729" s="141" t="n"/>
      <c r="R729" s="141" t="n"/>
      <c r="S729" s="141" t="n"/>
      <c r="T729" s="141" t="n"/>
      <c r="U729" s="141" t="n"/>
      <c r="V729" s="141" t="n"/>
      <c r="W729" s="141" t="n"/>
      <c r="X729" s="141" t="n"/>
      <c r="Y729" s="136" t="n"/>
      <c r="Z729" s="136" t="n"/>
      <c r="AA729" s="136" t="n"/>
      <c r="AB729" s="136" t="n"/>
      <c r="AC729" s="136" t="n"/>
      <c r="AD729" s="136" t="n"/>
      <c r="AE729" s="136" t="n"/>
      <c r="AF729" s="136" t="n"/>
      <c r="AG729" s="136" t="n"/>
      <c r="AH729" s="136" t="n"/>
      <c r="AI729" s="136" t="n"/>
      <c r="AJ729" s="136" t="n"/>
      <c r="AK729" s="136" t="n"/>
      <c r="AL729" s="136" t="n"/>
      <c r="AM729" s="136" t="n"/>
      <c r="AN729" s="136" t="n"/>
      <c r="AO729" s="136" t="n"/>
      <c r="AP729" s="136" t="n"/>
      <c r="AQ729" s="136" t="n"/>
      <c r="AR729" s="136" t="n"/>
    </row>
    <row r="730" ht="13.5" customHeight="1" s="196">
      <c r="A730" s="136" t="n"/>
      <c r="B730" s="136" t="n"/>
      <c r="C730" s="136" t="n"/>
      <c r="D730" s="141" t="n"/>
      <c r="E730" s="141" t="n"/>
      <c r="F730" s="141" t="n"/>
      <c r="G730" s="141" t="n"/>
      <c r="H730" s="141" t="n"/>
      <c r="I730" s="141" t="n"/>
      <c r="J730" s="141" t="n"/>
      <c r="K730" s="141" t="n"/>
      <c r="L730" s="141" t="n"/>
      <c r="M730" s="141" t="n"/>
      <c r="N730" s="141" t="n"/>
      <c r="O730" s="141" t="n"/>
      <c r="P730" s="141" t="n"/>
      <c r="Q730" s="141" t="n"/>
      <c r="R730" s="141" t="n"/>
      <c r="S730" s="141" t="n"/>
      <c r="T730" s="141" t="n"/>
      <c r="U730" s="141" t="n"/>
      <c r="V730" s="141" t="n"/>
      <c r="W730" s="141" t="n"/>
      <c r="X730" s="141" t="n"/>
      <c r="Y730" s="136" t="n"/>
      <c r="Z730" s="136" t="n"/>
      <c r="AA730" s="136" t="n"/>
      <c r="AB730" s="136" t="n"/>
      <c r="AC730" s="136" t="n"/>
      <c r="AD730" s="136" t="n"/>
      <c r="AE730" s="136" t="n"/>
      <c r="AF730" s="136" t="n"/>
      <c r="AG730" s="136" t="n"/>
      <c r="AH730" s="136" t="n"/>
      <c r="AI730" s="136" t="n"/>
      <c r="AJ730" s="136" t="n"/>
      <c r="AK730" s="136" t="n"/>
      <c r="AL730" s="136" t="n"/>
      <c r="AM730" s="136" t="n"/>
      <c r="AN730" s="136" t="n"/>
      <c r="AO730" s="136" t="n"/>
      <c r="AP730" s="136" t="n"/>
      <c r="AQ730" s="136" t="n"/>
      <c r="AR730" s="136" t="n"/>
    </row>
    <row r="731" ht="13.5" customHeight="1" s="196">
      <c r="A731" s="136" t="n"/>
      <c r="B731" s="136" t="n"/>
      <c r="C731" s="136" t="n"/>
      <c r="D731" s="141" t="n"/>
      <c r="E731" s="141" t="n"/>
      <c r="F731" s="141" t="n"/>
      <c r="G731" s="141" t="n"/>
      <c r="H731" s="141" t="n"/>
      <c r="I731" s="141" t="n"/>
      <c r="J731" s="141" t="n"/>
      <c r="K731" s="141" t="n"/>
      <c r="L731" s="141" t="n"/>
      <c r="M731" s="141" t="n"/>
      <c r="N731" s="141" t="n"/>
      <c r="O731" s="141" t="n"/>
      <c r="P731" s="141" t="n"/>
      <c r="Q731" s="141" t="n"/>
      <c r="R731" s="141" t="n"/>
      <c r="S731" s="141" t="n"/>
      <c r="T731" s="141" t="n"/>
      <c r="U731" s="141" t="n"/>
      <c r="V731" s="141" t="n"/>
      <c r="W731" s="141" t="n"/>
      <c r="X731" s="141" t="n"/>
      <c r="Y731" s="136" t="n"/>
      <c r="Z731" s="136" t="n"/>
      <c r="AA731" s="136" t="n"/>
      <c r="AB731" s="136" t="n"/>
      <c r="AC731" s="136" t="n"/>
      <c r="AD731" s="136" t="n"/>
      <c r="AE731" s="136" t="n"/>
      <c r="AF731" s="136" t="n"/>
      <c r="AG731" s="136" t="n"/>
      <c r="AH731" s="136" t="n"/>
      <c r="AI731" s="136" t="n"/>
      <c r="AJ731" s="136" t="n"/>
      <c r="AK731" s="136" t="n"/>
      <c r="AL731" s="136" t="n"/>
      <c r="AM731" s="136" t="n"/>
      <c r="AN731" s="136" t="n"/>
      <c r="AO731" s="136" t="n"/>
      <c r="AP731" s="136" t="n"/>
      <c r="AQ731" s="136" t="n"/>
      <c r="AR731" s="136" t="n"/>
    </row>
    <row r="732" ht="13.5" customHeight="1" s="196">
      <c r="A732" s="136" t="n"/>
      <c r="B732" s="136" t="n"/>
      <c r="C732" s="136" t="n"/>
      <c r="D732" s="141" t="n"/>
      <c r="E732" s="141" t="n"/>
      <c r="F732" s="141" t="n"/>
      <c r="G732" s="141" t="n"/>
      <c r="H732" s="141" t="n"/>
      <c r="I732" s="141" t="n"/>
      <c r="J732" s="141" t="n"/>
      <c r="K732" s="141" t="n"/>
      <c r="L732" s="141" t="n"/>
      <c r="M732" s="141" t="n"/>
      <c r="N732" s="141" t="n"/>
      <c r="O732" s="141" t="n"/>
      <c r="P732" s="141" t="n"/>
      <c r="Q732" s="141" t="n"/>
      <c r="R732" s="141" t="n"/>
      <c r="S732" s="141" t="n"/>
      <c r="T732" s="141" t="n"/>
      <c r="U732" s="141" t="n"/>
      <c r="V732" s="141" t="n"/>
      <c r="W732" s="141" t="n"/>
      <c r="X732" s="141" t="n"/>
      <c r="Y732" s="136" t="n"/>
      <c r="Z732" s="136" t="n"/>
      <c r="AA732" s="136" t="n"/>
      <c r="AB732" s="136" t="n"/>
      <c r="AC732" s="136" t="n"/>
      <c r="AD732" s="136" t="n"/>
      <c r="AE732" s="136" t="n"/>
      <c r="AF732" s="136" t="n"/>
      <c r="AG732" s="136" t="n"/>
      <c r="AH732" s="136" t="n"/>
      <c r="AI732" s="136" t="n"/>
      <c r="AJ732" s="136" t="n"/>
      <c r="AK732" s="136" t="n"/>
      <c r="AL732" s="136" t="n"/>
      <c r="AM732" s="136" t="n"/>
      <c r="AN732" s="136" t="n"/>
      <c r="AO732" s="136" t="n"/>
      <c r="AP732" s="136" t="n"/>
      <c r="AQ732" s="136" t="n"/>
      <c r="AR732" s="136" t="n"/>
    </row>
    <row r="733" ht="13.5" customHeight="1" s="196">
      <c r="A733" s="136" t="n"/>
      <c r="B733" s="136" t="n"/>
      <c r="C733" s="136" t="n"/>
      <c r="D733" s="141" t="n"/>
      <c r="E733" s="141" t="n"/>
      <c r="F733" s="141" t="n"/>
      <c r="G733" s="141" t="n"/>
      <c r="H733" s="141" t="n"/>
      <c r="I733" s="141" t="n"/>
      <c r="J733" s="141" t="n"/>
      <c r="K733" s="141" t="n"/>
      <c r="L733" s="141" t="n"/>
      <c r="M733" s="141" t="n"/>
      <c r="N733" s="141" t="n"/>
      <c r="O733" s="141" t="n"/>
      <c r="P733" s="141" t="n"/>
      <c r="Q733" s="141" t="n"/>
      <c r="R733" s="141" t="n"/>
      <c r="S733" s="141" t="n"/>
      <c r="T733" s="141" t="n"/>
      <c r="U733" s="141" t="n"/>
      <c r="V733" s="141" t="n"/>
      <c r="W733" s="141" t="n"/>
      <c r="X733" s="141" t="n"/>
      <c r="Y733" s="136" t="n"/>
      <c r="Z733" s="136" t="n"/>
      <c r="AA733" s="136" t="n"/>
      <c r="AB733" s="136" t="n"/>
      <c r="AC733" s="136" t="n"/>
      <c r="AD733" s="136" t="n"/>
      <c r="AE733" s="136" t="n"/>
      <c r="AF733" s="136" t="n"/>
      <c r="AG733" s="136" t="n"/>
      <c r="AH733" s="136" t="n"/>
      <c r="AI733" s="136" t="n"/>
      <c r="AJ733" s="136" t="n"/>
      <c r="AK733" s="136" t="n"/>
      <c r="AL733" s="136" t="n"/>
      <c r="AM733" s="136" t="n"/>
      <c r="AN733" s="136" t="n"/>
      <c r="AO733" s="136" t="n"/>
      <c r="AP733" s="136" t="n"/>
      <c r="AQ733" s="136" t="n"/>
      <c r="AR733" s="136" t="n"/>
    </row>
    <row r="734" ht="13.5" customHeight="1" s="196">
      <c r="A734" s="136" t="n"/>
      <c r="B734" s="136" t="n"/>
      <c r="C734" s="136" t="n"/>
      <c r="D734" s="141" t="n"/>
      <c r="E734" s="141" t="n"/>
      <c r="F734" s="141" t="n"/>
      <c r="G734" s="141" t="n"/>
      <c r="H734" s="141" t="n"/>
      <c r="I734" s="141" t="n"/>
      <c r="J734" s="141" t="n"/>
      <c r="K734" s="141" t="n"/>
      <c r="L734" s="141" t="n"/>
      <c r="M734" s="141" t="n"/>
      <c r="N734" s="141" t="n"/>
      <c r="O734" s="141" t="n"/>
      <c r="P734" s="141" t="n"/>
      <c r="Q734" s="141" t="n"/>
      <c r="R734" s="141" t="n"/>
      <c r="S734" s="141" t="n"/>
      <c r="T734" s="141" t="n"/>
      <c r="U734" s="141" t="n"/>
      <c r="V734" s="141" t="n"/>
      <c r="W734" s="141" t="n"/>
      <c r="X734" s="141" t="n"/>
      <c r="Y734" s="136" t="n"/>
      <c r="Z734" s="136" t="n"/>
      <c r="AA734" s="136" t="n"/>
      <c r="AB734" s="136" t="n"/>
      <c r="AC734" s="136" t="n"/>
      <c r="AD734" s="136" t="n"/>
      <c r="AE734" s="136" t="n"/>
      <c r="AF734" s="136" t="n"/>
      <c r="AG734" s="136" t="n"/>
      <c r="AH734" s="136" t="n"/>
      <c r="AI734" s="136" t="n"/>
      <c r="AJ734" s="136" t="n"/>
      <c r="AK734" s="136" t="n"/>
      <c r="AL734" s="136" t="n"/>
      <c r="AM734" s="136" t="n"/>
      <c r="AN734" s="136" t="n"/>
      <c r="AO734" s="136" t="n"/>
      <c r="AP734" s="136" t="n"/>
      <c r="AQ734" s="136" t="n"/>
      <c r="AR734" s="136" t="n"/>
    </row>
    <row r="735" ht="13.5" customHeight="1" s="196">
      <c r="A735" s="136" t="n"/>
      <c r="B735" s="136" t="n"/>
      <c r="C735" s="136" t="n"/>
      <c r="D735" s="141" t="n"/>
      <c r="E735" s="141" t="n"/>
      <c r="F735" s="141" t="n"/>
      <c r="G735" s="141" t="n"/>
      <c r="H735" s="141" t="n"/>
      <c r="I735" s="141" t="n"/>
      <c r="J735" s="141" t="n"/>
      <c r="K735" s="141" t="n"/>
      <c r="L735" s="141" t="n"/>
      <c r="M735" s="141" t="n"/>
      <c r="N735" s="141" t="n"/>
      <c r="O735" s="141" t="n"/>
      <c r="P735" s="141" t="n"/>
      <c r="Q735" s="141" t="n"/>
      <c r="R735" s="141" t="n"/>
      <c r="S735" s="141" t="n"/>
      <c r="T735" s="141" t="n"/>
      <c r="U735" s="141" t="n"/>
      <c r="V735" s="141" t="n"/>
      <c r="W735" s="141" t="n"/>
      <c r="X735" s="141" t="n"/>
      <c r="Y735" s="136" t="n"/>
      <c r="Z735" s="136" t="n"/>
      <c r="AA735" s="136" t="n"/>
      <c r="AB735" s="136" t="n"/>
      <c r="AC735" s="136" t="n"/>
      <c r="AD735" s="136" t="n"/>
      <c r="AE735" s="136" t="n"/>
      <c r="AF735" s="136" t="n"/>
      <c r="AG735" s="136" t="n"/>
      <c r="AH735" s="136" t="n"/>
      <c r="AI735" s="136" t="n"/>
      <c r="AJ735" s="136" t="n"/>
      <c r="AK735" s="136" t="n"/>
      <c r="AL735" s="136" t="n"/>
      <c r="AM735" s="136" t="n"/>
      <c r="AN735" s="136" t="n"/>
      <c r="AO735" s="136" t="n"/>
      <c r="AP735" s="136" t="n"/>
      <c r="AQ735" s="136" t="n"/>
      <c r="AR735" s="136" t="n"/>
    </row>
    <row r="736" ht="13.5" customHeight="1" s="196">
      <c r="A736" s="136" t="n"/>
      <c r="B736" s="136" t="n"/>
      <c r="C736" s="136" t="n"/>
      <c r="D736" s="141" t="n"/>
      <c r="E736" s="141" t="n"/>
      <c r="F736" s="141" t="n"/>
      <c r="G736" s="141" t="n"/>
      <c r="H736" s="141" t="n"/>
      <c r="I736" s="141" t="n"/>
      <c r="J736" s="141" t="n"/>
      <c r="K736" s="141" t="n"/>
      <c r="L736" s="141" t="n"/>
      <c r="M736" s="141" t="n"/>
      <c r="N736" s="141" t="n"/>
      <c r="O736" s="141" t="n"/>
      <c r="P736" s="141" t="n"/>
      <c r="Q736" s="141" t="n"/>
      <c r="R736" s="141" t="n"/>
      <c r="S736" s="141" t="n"/>
      <c r="T736" s="141" t="n"/>
      <c r="U736" s="141" t="n"/>
      <c r="V736" s="141" t="n"/>
      <c r="W736" s="141" t="n"/>
      <c r="X736" s="141" t="n"/>
      <c r="Y736" s="136" t="n"/>
      <c r="Z736" s="136" t="n"/>
      <c r="AA736" s="136" t="n"/>
      <c r="AB736" s="136" t="n"/>
      <c r="AC736" s="136" t="n"/>
      <c r="AD736" s="136" t="n"/>
      <c r="AE736" s="136" t="n"/>
      <c r="AF736" s="136" t="n"/>
      <c r="AG736" s="136" t="n"/>
      <c r="AH736" s="136" t="n"/>
      <c r="AI736" s="136" t="n"/>
      <c r="AJ736" s="136" t="n"/>
      <c r="AK736" s="136" t="n"/>
      <c r="AL736" s="136" t="n"/>
      <c r="AM736" s="136" t="n"/>
      <c r="AN736" s="136" t="n"/>
      <c r="AO736" s="136" t="n"/>
      <c r="AP736" s="136" t="n"/>
      <c r="AQ736" s="136" t="n"/>
      <c r="AR736" s="136" t="n"/>
    </row>
    <row r="737" ht="13.5" customHeight="1" s="196">
      <c r="A737" s="136" t="n"/>
      <c r="B737" s="136" t="n"/>
      <c r="C737" s="136" t="n"/>
      <c r="D737" s="141" t="n"/>
      <c r="E737" s="141" t="n"/>
      <c r="F737" s="141" t="n"/>
      <c r="G737" s="141" t="n"/>
      <c r="H737" s="141" t="n"/>
      <c r="I737" s="141" t="n"/>
      <c r="J737" s="141" t="n"/>
      <c r="K737" s="141" t="n"/>
      <c r="L737" s="141" t="n"/>
      <c r="M737" s="141" t="n"/>
      <c r="N737" s="141" t="n"/>
      <c r="O737" s="141" t="n"/>
      <c r="P737" s="141" t="n"/>
      <c r="Q737" s="141" t="n"/>
      <c r="R737" s="141" t="n"/>
      <c r="S737" s="141" t="n"/>
      <c r="T737" s="141" t="n"/>
      <c r="U737" s="141" t="n"/>
      <c r="V737" s="141" t="n"/>
      <c r="W737" s="141" t="n"/>
      <c r="X737" s="141" t="n"/>
      <c r="Y737" s="136" t="n"/>
      <c r="Z737" s="136" t="n"/>
      <c r="AA737" s="136" t="n"/>
      <c r="AB737" s="136" t="n"/>
      <c r="AC737" s="136" t="n"/>
      <c r="AD737" s="136" t="n"/>
      <c r="AE737" s="136" t="n"/>
      <c r="AF737" s="136" t="n"/>
      <c r="AG737" s="136" t="n"/>
      <c r="AH737" s="136" t="n"/>
      <c r="AI737" s="136" t="n"/>
      <c r="AJ737" s="136" t="n"/>
      <c r="AK737" s="136" t="n"/>
      <c r="AL737" s="136" t="n"/>
      <c r="AM737" s="136" t="n"/>
      <c r="AN737" s="136" t="n"/>
      <c r="AO737" s="136" t="n"/>
      <c r="AP737" s="136" t="n"/>
      <c r="AQ737" s="136" t="n"/>
      <c r="AR737" s="136" t="n"/>
    </row>
    <row r="738" ht="13.5" customHeight="1" s="196">
      <c r="A738" s="136" t="n"/>
      <c r="B738" s="136" t="n"/>
      <c r="C738" s="136" t="n"/>
      <c r="D738" s="141" t="n"/>
      <c r="E738" s="141" t="n"/>
      <c r="F738" s="141" t="n"/>
      <c r="G738" s="141" t="n"/>
      <c r="H738" s="141" t="n"/>
      <c r="I738" s="141" t="n"/>
      <c r="J738" s="141" t="n"/>
      <c r="K738" s="141" t="n"/>
      <c r="L738" s="141" t="n"/>
      <c r="M738" s="141" t="n"/>
      <c r="N738" s="141" t="n"/>
      <c r="O738" s="141" t="n"/>
      <c r="P738" s="141" t="n"/>
      <c r="Q738" s="141" t="n"/>
      <c r="R738" s="141" t="n"/>
      <c r="S738" s="141" t="n"/>
      <c r="T738" s="141" t="n"/>
      <c r="U738" s="141" t="n"/>
      <c r="V738" s="141" t="n"/>
      <c r="W738" s="141" t="n"/>
      <c r="X738" s="141" t="n"/>
      <c r="Y738" s="136" t="n"/>
      <c r="Z738" s="136" t="n"/>
      <c r="AA738" s="136" t="n"/>
      <c r="AB738" s="136" t="n"/>
      <c r="AC738" s="136" t="n"/>
      <c r="AD738" s="136" t="n"/>
      <c r="AE738" s="136" t="n"/>
      <c r="AF738" s="136" t="n"/>
      <c r="AG738" s="136" t="n"/>
      <c r="AH738" s="136" t="n"/>
      <c r="AI738" s="136" t="n"/>
      <c r="AJ738" s="136" t="n"/>
      <c r="AK738" s="136" t="n"/>
      <c r="AL738" s="136" t="n"/>
      <c r="AM738" s="136" t="n"/>
      <c r="AN738" s="136" t="n"/>
      <c r="AO738" s="136" t="n"/>
      <c r="AP738" s="136" t="n"/>
      <c r="AQ738" s="136" t="n"/>
      <c r="AR738" s="136" t="n"/>
    </row>
    <row r="739" ht="13.5" customHeight="1" s="196">
      <c r="A739" s="136" t="n"/>
      <c r="B739" s="136" t="n"/>
      <c r="C739" s="136" t="n"/>
      <c r="D739" s="141" t="n"/>
      <c r="E739" s="141" t="n"/>
      <c r="F739" s="141" t="n"/>
      <c r="G739" s="141" t="n"/>
      <c r="H739" s="141" t="n"/>
      <c r="I739" s="141" t="n"/>
      <c r="J739" s="141" t="n"/>
      <c r="K739" s="141" t="n"/>
      <c r="L739" s="141" t="n"/>
      <c r="M739" s="141" t="n"/>
      <c r="N739" s="141" t="n"/>
      <c r="O739" s="141" t="n"/>
      <c r="P739" s="141" t="n"/>
      <c r="Q739" s="141" t="n"/>
      <c r="R739" s="141" t="n"/>
      <c r="S739" s="141" t="n"/>
      <c r="T739" s="141" t="n"/>
      <c r="U739" s="141" t="n"/>
      <c r="V739" s="141" t="n"/>
      <c r="W739" s="141" t="n"/>
      <c r="X739" s="141" t="n"/>
      <c r="Y739" s="136" t="n"/>
      <c r="Z739" s="136" t="n"/>
      <c r="AA739" s="136" t="n"/>
      <c r="AB739" s="136" t="n"/>
      <c r="AC739" s="136" t="n"/>
      <c r="AD739" s="136" t="n"/>
      <c r="AE739" s="136" t="n"/>
      <c r="AF739" s="136" t="n"/>
      <c r="AG739" s="136" t="n"/>
      <c r="AH739" s="136" t="n"/>
      <c r="AI739" s="136" t="n"/>
      <c r="AJ739" s="136" t="n"/>
      <c r="AK739" s="136" t="n"/>
      <c r="AL739" s="136" t="n"/>
      <c r="AM739" s="136" t="n"/>
      <c r="AN739" s="136" t="n"/>
      <c r="AO739" s="136" t="n"/>
      <c r="AP739" s="136" t="n"/>
      <c r="AQ739" s="136" t="n"/>
      <c r="AR739" s="136" t="n"/>
    </row>
    <row r="740" ht="13.5" customHeight="1" s="196">
      <c r="A740" s="136" t="n"/>
      <c r="B740" s="136" t="n"/>
      <c r="C740" s="136" t="n"/>
      <c r="D740" s="141" t="n"/>
      <c r="E740" s="141" t="n"/>
      <c r="F740" s="141" t="n"/>
      <c r="G740" s="141" t="n"/>
      <c r="H740" s="141" t="n"/>
      <c r="I740" s="141" t="n"/>
      <c r="J740" s="141" t="n"/>
      <c r="K740" s="141" t="n"/>
      <c r="L740" s="141" t="n"/>
      <c r="M740" s="141" t="n"/>
      <c r="N740" s="141" t="n"/>
      <c r="O740" s="141" t="n"/>
      <c r="P740" s="141" t="n"/>
      <c r="Q740" s="141" t="n"/>
      <c r="R740" s="141" t="n"/>
      <c r="S740" s="141" t="n"/>
      <c r="T740" s="141" t="n"/>
      <c r="U740" s="141" t="n"/>
      <c r="V740" s="141" t="n"/>
      <c r="W740" s="141" t="n"/>
      <c r="X740" s="141" t="n"/>
      <c r="Y740" s="136" t="n"/>
      <c r="Z740" s="136" t="n"/>
      <c r="AA740" s="136" t="n"/>
      <c r="AB740" s="136" t="n"/>
      <c r="AC740" s="136" t="n"/>
      <c r="AD740" s="136" t="n"/>
      <c r="AE740" s="136" t="n"/>
      <c r="AF740" s="136" t="n"/>
      <c r="AG740" s="136" t="n"/>
      <c r="AH740" s="136" t="n"/>
      <c r="AI740" s="136" t="n"/>
      <c r="AJ740" s="136" t="n"/>
      <c r="AK740" s="136" t="n"/>
      <c r="AL740" s="136" t="n"/>
      <c r="AM740" s="136" t="n"/>
      <c r="AN740" s="136" t="n"/>
      <c r="AO740" s="136" t="n"/>
      <c r="AP740" s="136" t="n"/>
      <c r="AQ740" s="136" t="n"/>
      <c r="AR740" s="136" t="n"/>
    </row>
    <row r="741" ht="13.5" customHeight="1" s="196">
      <c r="A741" s="136" t="n"/>
      <c r="B741" s="136" t="n"/>
      <c r="C741" s="136" t="n"/>
      <c r="D741" s="141" t="n"/>
      <c r="E741" s="141" t="n"/>
      <c r="F741" s="141" t="n"/>
      <c r="G741" s="141" t="n"/>
      <c r="H741" s="141" t="n"/>
      <c r="I741" s="141" t="n"/>
      <c r="J741" s="141" t="n"/>
      <c r="K741" s="141" t="n"/>
      <c r="L741" s="141" t="n"/>
      <c r="M741" s="141" t="n"/>
      <c r="N741" s="141" t="n"/>
      <c r="O741" s="141" t="n"/>
      <c r="P741" s="141" t="n"/>
      <c r="Q741" s="141" t="n"/>
      <c r="R741" s="141" t="n"/>
      <c r="S741" s="141" t="n"/>
      <c r="T741" s="141" t="n"/>
      <c r="U741" s="141" t="n"/>
      <c r="V741" s="141" t="n"/>
      <c r="W741" s="141" t="n"/>
      <c r="X741" s="141" t="n"/>
      <c r="Y741" s="136" t="n"/>
      <c r="Z741" s="136" t="n"/>
      <c r="AA741" s="136" t="n"/>
      <c r="AB741" s="136" t="n"/>
      <c r="AC741" s="136" t="n"/>
      <c r="AD741" s="136" t="n"/>
      <c r="AE741" s="136" t="n"/>
      <c r="AF741" s="136" t="n"/>
      <c r="AG741" s="136" t="n"/>
      <c r="AH741" s="136" t="n"/>
      <c r="AI741" s="136" t="n"/>
      <c r="AJ741" s="136" t="n"/>
      <c r="AK741" s="136" t="n"/>
      <c r="AL741" s="136" t="n"/>
      <c r="AM741" s="136" t="n"/>
      <c r="AN741" s="136" t="n"/>
      <c r="AO741" s="136" t="n"/>
      <c r="AP741" s="136" t="n"/>
      <c r="AQ741" s="136" t="n"/>
      <c r="AR741" s="136" t="n"/>
    </row>
    <row r="742" ht="13.5" customHeight="1" s="196">
      <c r="A742" s="136" t="n"/>
      <c r="B742" s="136" t="n"/>
      <c r="C742" s="136" t="n"/>
      <c r="D742" s="141" t="n"/>
      <c r="E742" s="141" t="n"/>
      <c r="F742" s="141" t="n"/>
      <c r="G742" s="141" t="n"/>
      <c r="H742" s="141" t="n"/>
      <c r="I742" s="141" t="n"/>
      <c r="J742" s="141" t="n"/>
      <c r="K742" s="141" t="n"/>
      <c r="L742" s="141" t="n"/>
      <c r="M742" s="141" t="n"/>
      <c r="N742" s="141" t="n"/>
      <c r="O742" s="141" t="n"/>
      <c r="P742" s="141" t="n"/>
      <c r="Q742" s="141" t="n"/>
      <c r="R742" s="141" t="n"/>
      <c r="S742" s="141" t="n"/>
      <c r="T742" s="141" t="n"/>
      <c r="U742" s="141" t="n"/>
      <c r="V742" s="141" t="n"/>
      <c r="W742" s="141" t="n"/>
      <c r="X742" s="141" t="n"/>
      <c r="Y742" s="136" t="n"/>
      <c r="Z742" s="136" t="n"/>
      <c r="AA742" s="136" t="n"/>
      <c r="AB742" s="136" t="n"/>
      <c r="AC742" s="136" t="n"/>
      <c r="AD742" s="136" t="n"/>
      <c r="AE742" s="136" t="n"/>
      <c r="AF742" s="136" t="n"/>
      <c r="AG742" s="136" t="n"/>
      <c r="AH742" s="136" t="n"/>
      <c r="AI742" s="136" t="n"/>
      <c r="AJ742" s="136" t="n"/>
      <c r="AK742" s="136" t="n"/>
      <c r="AL742" s="136" t="n"/>
      <c r="AM742" s="136" t="n"/>
      <c r="AN742" s="136" t="n"/>
      <c r="AO742" s="136" t="n"/>
      <c r="AP742" s="136" t="n"/>
      <c r="AQ742" s="136" t="n"/>
      <c r="AR742" s="136" t="n"/>
    </row>
    <row r="743" ht="13.5" customHeight="1" s="196">
      <c r="A743" s="136" t="n"/>
      <c r="B743" s="136" t="n"/>
      <c r="C743" s="136" t="n"/>
      <c r="D743" s="141" t="n"/>
      <c r="E743" s="141" t="n"/>
      <c r="F743" s="141" t="n"/>
      <c r="G743" s="141" t="n"/>
      <c r="H743" s="141" t="n"/>
      <c r="I743" s="141" t="n"/>
      <c r="J743" s="141" t="n"/>
      <c r="K743" s="141" t="n"/>
      <c r="L743" s="141" t="n"/>
      <c r="M743" s="141" t="n"/>
      <c r="N743" s="141" t="n"/>
      <c r="O743" s="141" t="n"/>
      <c r="P743" s="141" t="n"/>
      <c r="Q743" s="141" t="n"/>
      <c r="R743" s="141" t="n"/>
      <c r="S743" s="141" t="n"/>
      <c r="T743" s="141" t="n"/>
      <c r="U743" s="141" t="n"/>
      <c r="V743" s="141" t="n"/>
      <c r="W743" s="141" t="n"/>
      <c r="X743" s="141" t="n"/>
      <c r="Y743" s="136" t="n"/>
      <c r="Z743" s="136" t="n"/>
      <c r="AA743" s="136" t="n"/>
      <c r="AB743" s="136" t="n"/>
      <c r="AC743" s="136" t="n"/>
      <c r="AD743" s="136" t="n"/>
      <c r="AE743" s="136" t="n"/>
      <c r="AF743" s="136" t="n"/>
      <c r="AG743" s="136" t="n"/>
      <c r="AH743" s="136" t="n"/>
      <c r="AI743" s="136" t="n"/>
      <c r="AJ743" s="136" t="n"/>
      <c r="AK743" s="136" t="n"/>
      <c r="AL743" s="136" t="n"/>
      <c r="AM743" s="136" t="n"/>
      <c r="AN743" s="136" t="n"/>
      <c r="AO743" s="136" t="n"/>
      <c r="AP743" s="136" t="n"/>
      <c r="AQ743" s="136" t="n"/>
      <c r="AR743" s="136" t="n"/>
    </row>
    <row r="744" ht="13.5" customHeight="1" s="196">
      <c r="A744" s="136" t="n"/>
      <c r="B744" s="136" t="n"/>
      <c r="C744" s="136" t="n"/>
      <c r="D744" s="141" t="n"/>
      <c r="E744" s="141" t="n"/>
      <c r="F744" s="141" t="n"/>
      <c r="G744" s="141" t="n"/>
      <c r="H744" s="141" t="n"/>
      <c r="I744" s="141" t="n"/>
      <c r="J744" s="141" t="n"/>
      <c r="K744" s="141" t="n"/>
      <c r="L744" s="141" t="n"/>
      <c r="M744" s="141" t="n"/>
      <c r="N744" s="141" t="n"/>
      <c r="O744" s="141" t="n"/>
      <c r="P744" s="141" t="n"/>
      <c r="Q744" s="141" t="n"/>
      <c r="R744" s="141" t="n"/>
      <c r="S744" s="141" t="n"/>
      <c r="T744" s="141" t="n"/>
      <c r="U744" s="141" t="n"/>
      <c r="V744" s="141" t="n"/>
      <c r="W744" s="141" t="n"/>
      <c r="X744" s="141" t="n"/>
      <c r="Y744" s="136" t="n"/>
      <c r="Z744" s="136" t="n"/>
      <c r="AA744" s="136" t="n"/>
      <c r="AB744" s="136" t="n"/>
      <c r="AC744" s="136" t="n"/>
      <c r="AD744" s="136" t="n"/>
      <c r="AE744" s="136" t="n"/>
      <c r="AF744" s="136" t="n"/>
      <c r="AG744" s="136" t="n"/>
      <c r="AH744" s="136" t="n"/>
      <c r="AI744" s="136" t="n"/>
      <c r="AJ744" s="136" t="n"/>
      <c r="AK744" s="136" t="n"/>
      <c r="AL744" s="136" t="n"/>
      <c r="AM744" s="136" t="n"/>
      <c r="AN744" s="136" t="n"/>
      <c r="AO744" s="136" t="n"/>
      <c r="AP744" s="136" t="n"/>
      <c r="AQ744" s="136" t="n"/>
      <c r="AR744" s="136" t="n"/>
    </row>
    <row r="745" ht="13.5" customHeight="1" s="196">
      <c r="A745" s="136" t="n"/>
      <c r="B745" s="136" t="n"/>
      <c r="C745" s="136" t="n"/>
      <c r="D745" s="141" t="n"/>
      <c r="E745" s="141" t="n"/>
      <c r="F745" s="141" t="n"/>
      <c r="G745" s="141" t="n"/>
      <c r="H745" s="141" t="n"/>
      <c r="I745" s="141" t="n"/>
      <c r="J745" s="141" t="n"/>
      <c r="K745" s="141" t="n"/>
      <c r="L745" s="141" t="n"/>
      <c r="M745" s="141" t="n"/>
      <c r="N745" s="141" t="n"/>
      <c r="O745" s="141" t="n"/>
      <c r="P745" s="141" t="n"/>
      <c r="Q745" s="141" t="n"/>
      <c r="R745" s="141" t="n"/>
      <c r="S745" s="141" t="n"/>
      <c r="T745" s="141" t="n"/>
      <c r="U745" s="141" t="n"/>
      <c r="V745" s="141" t="n"/>
      <c r="W745" s="141" t="n"/>
      <c r="X745" s="141" t="n"/>
      <c r="Y745" s="136" t="n"/>
      <c r="Z745" s="136" t="n"/>
      <c r="AA745" s="136" t="n"/>
      <c r="AB745" s="136" t="n"/>
      <c r="AC745" s="136" t="n"/>
      <c r="AD745" s="136" t="n"/>
      <c r="AE745" s="136" t="n"/>
      <c r="AF745" s="136" t="n"/>
      <c r="AG745" s="136" t="n"/>
      <c r="AH745" s="136" t="n"/>
      <c r="AI745" s="136" t="n"/>
      <c r="AJ745" s="136" t="n"/>
      <c r="AK745" s="136" t="n"/>
      <c r="AL745" s="136" t="n"/>
      <c r="AM745" s="136" t="n"/>
      <c r="AN745" s="136" t="n"/>
      <c r="AO745" s="136" t="n"/>
      <c r="AP745" s="136" t="n"/>
      <c r="AQ745" s="136" t="n"/>
      <c r="AR745" s="136" t="n"/>
    </row>
    <row r="746" ht="13.5" customHeight="1" s="196">
      <c r="A746" s="136" t="n"/>
      <c r="B746" s="136" t="n"/>
      <c r="C746" s="136" t="n"/>
      <c r="D746" s="141" t="n"/>
      <c r="E746" s="141" t="n"/>
      <c r="F746" s="141" t="n"/>
      <c r="G746" s="141" t="n"/>
      <c r="H746" s="141" t="n"/>
      <c r="I746" s="141" t="n"/>
      <c r="J746" s="141" t="n"/>
      <c r="K746" s="141" t="n"/>
      <c r="L746" s="141" t="n"/>
      <c r="M746" s="141" t="n"/>
      <c r="N746" s="141" t="n"/>
      <c r="O746" s="141" t="n"/>
      <c r="P746" s="141" t="n"/>
      <c r="Q746" s="141" t="n"/>
      <c r="R746" s="141" t="n"/>
      <c r="S746" s="141" t="n"/>
      <c r="T746" s="141" t="n"/>
      <c r="U746" s="141" t="n"/>
      <c r="V746" s="141" t="n"/>
      <c r="W746" s="141" t="n"/>
      <c r="X746" s="141" t="n"/>
      <c r="Y746" s="136" t="n"/>
      <c r="Z746" s="136" t="n"/>
      <c r="AA746" s="136" t="n"/>
      <c r="AB746" s="136" t="n"/>
      <c r="AC746" s="136" t="n"/>
      <c r="AD746" s="136" t="n"/>
      <c r="AE746" s="136" t="n"/>
      <c r="AF746" s="136" t="n"/>
      <c r="AG746" s="136" t="n"/>
      <c r="AH746" s="136" t="n"/>
      <c r="AI746" s="136" t="n"/>
      <c r="AJ746" s="136" t="n"/>
      <c r="AK746" s="136" t="n"/>
      <c r="AL746" s="136" t="n"/>
      <c r="AM746" s="136" t="n"/>
      <c r="AN746" s="136" t="n"/>
      <c r="AO746" s="136" t="n"/>
      <c r="AP746" s="136" t="n"/>
      <c r="AQ746" s="136" t="n"/>
      <c r="AR746" s="136" t="n"/>
    </row>
    <row r="747" ht="13.5" customHeight="1" s="196">
      <c r="A747" s="136" t="n"/>
      <c r="B747" s="136" t="n"/>
      <c r="C747" s="136" t="n"/>
      <c r="D747" s="141" t="n"/>
      <c r="E747" s="141" t="n"/>
      <c r="F747" s="141" t="n"/>
      <c r="G747" s="141" t="n"/>
      <c r="H747" s="141" t="n"/>
      <c r="I747" s="141" t="n"/>
      <c r="J747" s="141" t="n"/>
      <c r="K747" s="141" t="n"/>
      <c r="L747" s="141" t="n"/>
      <c r="M747" s="141" t="n"/>
      <c r="N747" s="141" t="n"/>
      <c r="O747" s="141" t="n"/>
      <c r="P747" s="141" t="n"/>
      <c r="Q747" s="141" t="n"/>
      <c r="R747" s="141" t="n"/>
      <c r="S747" s="141" t="n"/>
      <c r="T747" s="141" t="n"/>
      <c r="U747" s="141" t="n"/>
      <c r="V747" s="141" t="n"/>
      <c r="W747" s="141" t="n"/>
      <c r="X747" s="141" t="n"/>
      <c r="Y747" s="136" t="n"/>
      <c r="Z747" s="136" t="n"/>
      <c r="AA747" s="136" t="n"/>
      <c r="AB747" s="136" t="n"/>
      <c r="AC747" s="136" t="n"/>
      <c r="AD747" s="136" t="n"/>
      <c r="AE747" s="136" t="n"/>
      <c r="AF747" s="136" t="n"/>
      <c r="AG747" s="136" t="n"/>
      <c r="AH747" s="136" t="n"/>
      <c r="AI747" s="136" t="n"/>
      <c r="AJ747" s="136" t="n"/>
      <c r="AK747" s="136" t="n"/>
      <c r="AL747" s="136" t="n"/>
      <c r="AM747" s="136" t="n"/>
      <c r="AN747" s="136" t="n"/>
      <c r="AO747" s="136" t="n"/>
      <c r="AP747" s="136" t="n"/>
      <c r="AQ747" s="136" t="n"/>
      <c r="AR747" s="136" t="n"/>
    </row>
    <row r="748" ht="13.5" customHeight="1" s="196">
      <c r="A748" s="136" t="n"/>
      <c r="B748" s="136" t="n"/>
      <c r="C748" s="136" t="n"/>
      <c r="D748" s="141" t="n"/>
      <c r="E748" s="141" t="n"/>
      <c r="F748" s="141" t="n"/>
      <c r="G748" s="141" t="n"/>
      <c r="H748" s="141" t="n"/>
      <c r="I748" s="141" t="n"/>
      <c r="J748" s="141" t="n"/>
      <c r="K748" s="141" t="n"/>
      <c r="L748" s="141" t="n"/>
      <c r="M748" s="141" t="n"/>
      <c r="N748" s="141" t="n"/>
      <c r="O748" s="141" t="n"/>
      <c r="P748" s="141" t="n"/>
      <c r="Q748" s="141" t="n"/>
      <c r="R748" s="141" t="n"/>
      <c r="S748" s="141" t="n"/>
      <c r="T748" s="141" t="n"/>
      <c r="U748" s="141" t="n"/>
      <c r="V748" s="141" t="n"/>
      <c r="W748" s="141" t="n"/>
      <c r="X748" s="141" t="n"/>
      <c r="Y748" s="136" t="n"/>
      <c r="Z748" s="136" t="n"/>
      <c r="AA748" s="136" t="n"/>
      <c r="AB748" s="136" t="n"/>
      <c r="AC748" s="136" t="n"/>
      <c r="AD748" s="136" t="n"/>
      <c r="AE748" s="136" t="n"/>
      <c r="AF748" s="136" t="n"/>
      <c r="AG748" s="136" t="n"/>
      <c r="AH748" s="136" t="n"/>
      <c r="AI748" s="136" t="n"/>
      <c r="AJ748" s="136" t="n"/>
      <c r="AK748" s="136" t="n"/>
      <c r="AL748" s="136" t="n"/>
      <c r="AM748" s="136" t="n"/>
      <c r="AN748" s="136" t="n"/>
      <c r="AO748" s="136" t="n"/>
      <c r="AP748" s="136" t="n"/>
      <c r="AQ748" s="136" t="n"/>
      <c r="AR748" s="136" t="n"/>
    </row>
    <row r="749" ht="13.5" customHeight="1" s="196">
      <c r="A749" s="136" t="n"/>
      <c r="B749" s="136" t="n"/>
      <c r="C749" s="136" t="n"/>
      <c r="D749" s="141" t="n"/>
      <c r="E749" s="141" t="n"/>
      <c r="F749" s="141" t="n"/>
      <c r="G749" s="141" t="n"/>
      <c r="H749" s="141" t="n"/>
      <c r="I749" s="141" t="n"/>
      <c r="J749" s="141" t="n"/>
      <c r="K749" s="141" t="n"/>
      <c r="L749" s="141" t="n"/>
      <c r="M749" s="141" t="n"/>
      <c r="N749" s="141" t="n"/>
      <c r="O749" s="141" t="n"/>
      <c r="P749" s="141" t="n"/>
      <c r="Q749" s="141" t="n"/>
      <c r="R749" s="141" t="n"/>
      <c r="S749" s="141" t="n"/>
      <c r="T749" s="141" t="n"/>
      <c r="U749" s="141" t="n"/>
      <c r="V749" s="141" t="n"/>
      <c r="W749" s="141" t="n"/>
      <c r="X749" s="141" t="n"/>
      <c r="Y749" s="136" t="n"/>
      <c r="Z749" s="136" t="n"/>
      <c r="AA749" s="136" t="n"/>
      <c r="AB749" s="136" t="n"/>
      <c r="AC749" s="136" t="n"/>
      <c r="AD749" s="136" t="n"/>
      <c r="AE749" s="136" t="n"/>
      <c r="AF749" s="136" t="n"/>
      <c r="AG749" s="136" t="n"/>
      <c r="AH749" s="136" t="n"/>
      <c r="AI749" s="136" t="n"/>
      <c r="AJ749" s="136" t="n"/>
      <c r="AK749" s="136" t="n"/>
      <c r="AL749" s="136" t="n"/>
      <c r="AM749" s="136" t="n"/>
      <c r="AN749" s="136" t="n"/>
      <c r="AO749" s="136" t="n"/>
      <c r="AP749" s="136" t="n"/>
      <c r="AQ749" s="136" t="n"/>
      <c r="AR749" s="136" t="n"/>
    </row>
    <row r="750" ht="13.5" customHeight="1" s="196">
      <c r="A750" s="136" t="n"/>
      <c r="B750" s="136" t="n"/>
      <c r="C750" s="136" t="n"/>
      <c r="D750" s="141" t="n"/>
      <c r="E750" s="141" t="n"/>
      <c r="F750" s="141" t="n"/>
      <c r="G750" s="141" t="n"/>
      <c r="H750" s="141" t="n"/>
      <c r="I750" s="141" t="n"/>
      <c r="J750" s="141" t="n"/>
      <c r="K750" s="141" t="n"/>
      <c r="L750" s="141" t="n"/>
      <c r="M750" s="141" t="n"/>
      <c r="N750" s="141" t="n"/>
      <c r="O750" s="141" t="n"/>
      <c r="P750" s="141" t="n"/>
      <c r="Q750" s="141" t="n"/>
      <c r="R750" s="141" t="n"/>
      <c r="S750" s="141" t="n"/>
      <c r="T750" s="141" t="n"/>
      <c r="U750" s="141" t="n"/>
      <c r="V750" s="141" t="n"/>
      <c r="W750" s="141" t="n"/>
      <c r="X750" s="141" t="n"/>
      <c r="Y750" s="136" t="n"/>
      <c r="Z750" s="136" t="n"/>
      <c r="AA750" s="136" t="n"/>
      <c r="AB750" s="136" t="n"/>
      <c r="AC750" s="136" t="n"/>
      <c r="AD750" s="136" t="n"/>
      <c r="AE750" s="136" t="n"/>
      <c r="AF750" s="136" t="n"/>
      <c r="AG750" s="136" t="n"/>
      <c r="AH750" s="136" t="n"/>
      <c r="AI750" s="136" t="n"/>
      <c r="AJ750" s="136" t="n"/>
      <c r="AK750" s="136" t="n"/>
      <c r="AL750" s="136" t="n"/>
      <c r="AM750" s="136" t="n"/>
      <c r="AN750" s="136" t="n"/>
      <c r="AO750" s="136" t="n"/>
      <c r="AP750" s="136" t="n"/>
      <c r="AQ750" s="136" t="n"/>
      <c r="AR750" s="136" t="n"/>
    </row>
    <row r="751" ht="13.5" customHeight="1" s="196">
      <c r="A751" s="136" t="n"/>
      <c r="B751" s="136" t="n"/>
      <c r="C751" s="136" t="n"/>
      <c r="D751" s="141" t="n"/>
      <c r="E751" s="141" t="n"/>
      <c r="F751" s="141" t="n"/>
      <c r="G751" s="141" t="n"/>
      <c r="H751" s="141" t="n"/>
      <c r="I751" s="141" t="n"/>
      <c r="J751" s="141" t="n"/>
      <c r="K751" s="141" t="n"/>
      <c r="L751" s="141" t="n"/>
      <c r="M751" s="141" t="n"/>
      <c r="N751" s="141" t="n"/>
      <c r="O751" s="141" t="n"/>
      <c r="P751" s="141" t="n"/>
      <c r="Q751" s="141" t="n"/>
      <c r="R751" s="141" t="n"/>
      <c r="S751" s="141" t="n"/>
      <c r="T751" s="141" t="n"/>
      <c r="U751" s="141" t="n"/>
      <c r="V751" s="141" t="n"/>
      <c r="W751" s="141" t="n"/>
      <c r="X751" s="141" t="n"/>
      <c r="Y751" s="136" t="n"/>
      <c r="Z751" s="136" t="n"/>
      <c r="AA751" s="136" t="n"/>
      <c r="AB751" s="136" t="n"/>
      <c r="AC751" s="136" t="n"/>
      <c r="AD751" s="136" t="n"/>
      <c r="AE751" s="136" t="n"/>
      <c r="AF751" s="136" t="n"/>
      <c r="AG751" s="136" t="n"/>
      <c r="AH751" s="136" t="n"/>
      <c r="AI751" s="136" t="n"/>
      <c r="AJ751" s="136" t="n"/>
      <c r="AK751" s="136" t="n"/>
      <c r="AL751" s="136" t="n"/>
      <c r="AM751" s="136" t="n"/>
      <c r="AN751" s="136" t="n"/>
      <c r="AO751" s="136" t="n"/>
      <c r="AP751" s="136" t="n"/>
      <c r="AQ751" s="136" t="n"/>
      <c r="AR751" s="136" t="n"/>
    </row>
    <row r="752" ht="13.5" customHeight="1" s="196">
      <c r="A752" s="136" t="n"/>
      <c r="B752" s="136" t="n"/>
      <c r="C752" s="136" t="n"/>
      <c r="D752" s="141" t="n"/>
      <c r="E752" s="141" t="n"/>
      <c r="F752" s="141" t="n"/>
      <c r="G752" s="141" t="n"/>
      <c r="H752" s="141" t="n"/>
      <c r="I752" s="141" t="n"/>
      <c r="J752" s="141" t="n"/>
      <c r="K752" s="141" t="n"/>
      <c r="L752" s="141" t="n"/>
      <c r="M752" s="141" t="n"/>
      <c r="N752" s="141" t="n"/>
      <c r="O752" s="141" t="n"/>
      <c r="P752" s="141" t="n"/>
      <c r="Q752" s="141" t="n"/>
      <c r="R752" s="141" t="n"/>
      <c r="S752" s="141" t="n"/>
      <c r="T752" s="141" t="n"/>
      <c r="U752" s="141" t="n"/>
      <c r="V752" s="141" t="n"/>
      <c r="W752" s="141" t="n"/>
      <c r="X752" s="141" t="n"/>
      <c r="Y752" s="136" t="n"/>
      <c r="Z752" s="136" t="n"/>
      <c r="AA752" s="136" t="n"/>
      <c r="AB752" s="136" t="n"/>
      <c r="AC752" s="136" t="n"/>
      <c r="AD752" s="136" t="n"/>
      <c r="AE752" s="136" t="n"/>
      <c r="AF752" s="136" t="n"/>
      <c r="AG752" s="136" t="n"/>
      <c r="AH752" s="136" t="n"/>
      <c r="AI752" s="136" t="n"/>
      <c r="AJ752" s="136" t="n"/>
      <c r="AK752" s="136" t="n"/>
      <c r="AL752" s="136" t="n"/>
      <c r="AM752" s="136" t="n"/>
      <c r="AN752" s="136" t="n"/>
      <c r="AO752" s="136" t="n"/>
      <c r="AP752" s="136" t="n"/>
      <c r="AQ752" s="136" t="n"/>
      <c r="AR752" s="136" t="n"/>
    </row>
    <row r="753" ht="13.5" customHeight="1" s="196">
      <c r="A753" s="136" t="n"/>
      <c r="B753" s="136" t="n"/>
      <c r="C753" s="136" t="n"/>
      <c r="D753" s="141" t="n"/>
      <c r="E753" s="141" t="n"/>
      <c r="F753" s="141" t="n"/>
      <c r="G753" s="141" t="n"/>
      <c r="H753" s="141" t="n"/>
      <c r="I753" s="141" t="n"/>
      <c r="J753" s="141" t="n"/>
      <c r="K753" s="141" t="n"/>
      <c r="L753" s="141" t="n"/>
      <c r="M753" s="141" t="n"/>
      <c r="N753" s="141" t="n"/>
      <c r="O753" s="141" t="n"/>
      <c r="P753" s="141" t="n"/>
      <c r="Q753" s="141" t="n"/>
      <c r="R753" s="141" t="n"/>
      <c r="S753" s="141" t="n"/>
      <c r="T753" s="141" t="n"/>
      <c r="U753" s="141" t="n"/>
      <c r="V753" s="141" t="n"/>
      <c r="W753" s="141" t="n"/>
      <c r="X753" s="141" t="n"/>
      <c r="Y753" s="136" t="n"/>
      <c r="Z753" s="136" t="n"/>
      <c r="AA753" s="136" t="n"/>
      <c r="AB753" s="136" t="n"/>
      <c r="AC753" s="136" t="n"/>
      <c r="AD753" s="136" t="n"/>
      <c r="AE753" s="136" t="n"/>
      <c r="AF753" s="136" t="n"/>
      <c r="AG753" s="136" t="n"/>
      <c r="AH753" s="136" t="n"/>
      <c r="AI753" s="136" t="n"/>
      <c r="AJ753" s="136" t="n"/>
      <c r="AK753" s="136" t="n"/>
      <c r="AL753" s="136" t="n"/>
      <c r="AM753" s="136" t="n"/>
      <c r="AN753" s="136" t="n"/>
      <c r="AO753" s="136" t="n"/>
      <c r="AP753" s="136" t="n"/>
      <c r="AQ753" s="136" t="n"/>
      <c r="AR753" s="136" t="n"/>
    </row>
    <row r="754" ht="13.5" customHeight="1" s="196">
      <c r="A754" s="136" t="n"/>
      <c r="B754" s="136" t="n"/>
      <c r="C754" s="136" t="n"/>
      <c r="D754" s="141" t="n"/>
      <c r="E754" s="141" t="n"/>
      <c r="F754" s="141" t="n"/>
      <c r="G754" s="141" t="n"/>
      <c r="H754" s="141" t="n"/>
      <c r="I754" s="141" t="n"/>
      <c r="J754" s="141" t="n"/>
      <c r="K754" s="141" t="n"/>
      <c r="L754" s="141" t="n"/>
      <c r="M754" s="141" t="n"/>
      <c r="N754" s="141" t="n"/>
      <c r="O754" s="141" t="n"/>
      <c r="P754" s="141" t="n"/>
      <c r="Q754" s="141" t="n"/>
      <c r="R754" s="141" t="n"/>
      <c r="S754" s="141" t="n"/>
      <c r="T754" s="141" t="n"/>
      <c r="U754" s="141" t="n"/>
      <c r="V754" s="141" t="n"/>
      <c r="W754" s="141" t="n"/>
      <c r="X754" s="141" t="n"/>
      <c r="Y754" s="136" t="n"/>
      <c r="Z754" s="136" t="n"/>
      <c r="AA754" s="136" t="n"/>
      <c r="AB754" s="136" t="n"/>
      <c r="AC754" s="136" t="n"/>
      <c r="AD754" s="136" t="n"/>
      <c r="AE754" s="136" t="n"/>
      <c r="AF754" s="136" t="n"/>
      <c r="AG754" s="136" t="n"/>
      <c r="AH754" s="136" t="n"/>
      <c r="AI754" s="136" t="n"/>
      <c r="AJ754" s="136" t="n"/>
      <c r="AK754" s="136" t="n"/>
      <c r="AL754" s="136" t="n"/>
      <c r="AM754" s="136" t="n"/>
      <c r="AN754" s="136" t="n"/>
      <c r="AO754" s="136" t="n"/>
      <c r="AP754" s="136" t="n"/>
      <c r="AQ754" s="136" t="n"/>
      <c r="AR754" s="136" t="n"/>
    </row>
    <row r="755" ht="13.5" customHeight="1" s="196">
      <c r="A755" s="136" t="n"/>
      <c r="B755" s="136" t="n"/>
      <c r="C755" s="136" t="n"/>
      <c r="D755" s="141" t="n"/>
      <c r="E755" s="141" t="n"/>
      <c r="F755" s="141" t="n"/>
      <c r="G755" s="141" t="n"/>
      <c r="H755" s="141" t="n"/>
      <c r="I755" s="141" t="n"/>
      <c r="J755" s="141" t="n"/>
      <c r="K755" s="141" t="n"/>
      <c r="L755" s="141" t="n"/>
      <c r="M755" s="141" t="n"/>
      <c r="N755" s="141" t="n"/>
      <c r="O755" s="141" t="n"/>
      <c r="P755" s="141" t="n"/>
      <c r="Q755" s="141" t="n"/>
      <c r="R755" s="141" t="n"/>
      <c r="S755" s="141" t="n"/>
      <c r="T755" s="141" t="n"/>
      <c r="U755" s="141" t="n"/>
      <c r="V755" s="141" t="n"/>
      <c r="W755" s="141" t="n"/>
      <c r="X755" s="141" t="n"/>
      <c r="Y755" s="136" t="n"/>
      <c r="Z755" s="136" t="n"/>
      <c r="AA755" s="136" t="n"/>
      <c r="AB755" s="136" t="n"/>
      <c r="AC755" s="136" t="n"/>
      <c r="AD755" s="136" t="n"/>
      <c r="AE755" s="136" t="n"/>
      <c r="AF755" s="136" t="n"/>
      <c r="AG755" s="136" t="n"/>
      <c r="AH755" s="136" t="n"/>
      <c r="AI755" s="136" t="n"/>
      <c r="AJ755" s="136" t="n"/>
      <c r="AK755" s="136" t="n"/>
      <c r="AL755" s="136" t="n"/>
      <c r="AM755" s="136" t="n"/>
      <c r="AN755" s="136" t="n"/>
      <c r="AO755" s="136" t="n"/>
      <c r="AP755" s="136" t="n"/>
      <c r="AQ755" s="136" t="n"/>
      <c r="AR755" s="136" t="n"/>
    </row>
    <row r="756" ht="13.5" customHeight="1" s="196">
      <c r="A756" s="136" t="n"/>
      <c r="B756" s="136" t="n"/>
      <c r="C756" s="136" t="n"/>
      <c r="D756" s="141" t="n"/>
      <c r="E756" s="141" t="n"/>
      <c r="F756" s="141" t="n"/>
      <c r="G756" s="141" t="n"/>
      <c r="H756" s="141" t="n"/>
      <c r="I756" s="141" t="n"/>
      <c r="J756" s="141" t="n"/>
      <c r="K756" s="141" t="n"/>
      <c r="L756" s="141" t="n"/>
      <c r="M756" s="141" t="n"/>
      <c r="N756" s="141" t="n"/>
      <c r="O756" s="141" t="n"/>
      <c r="P756" s="141" t="n"/>
      <c r="Q756" s="141" t="n"/>
      <c r="R756" s="141" t="n"/>
      <c r="S756" s="141" t="n"/>
      <c r="T756" s="141" t="n"/>
      <c r="U756" s="141" t="n"/>
      <c r="V756" s="141" t="n"/>
      <c r="W756" s="141" t="n"/>
      <c r="X756" s="141" t="n"/>
      <c r="Y756" s="136" t="n"/>
      <c r="Z756" s="136" t="n"/>
      <c r="AA756" s="136" t="n"/>
      <c r="AB756" s="136" t="n"/>
      <c r="AC756" s="136" t="n"/>
      <c r="AD756" s="136" t="n"/>
      <c r="AE756" s="136" t="n"/>
      <c r="AF756" s="136" t="n"/>
      <c r="AG756" s="136" t="n"/>
      <c r="AH756" s="136" t="n"/>
      <c r="AI756" s="136" t="n"/>
      <c r="AJ756" s="136" t="n"/>
      <c r="AK756" s="136" t="n"/>
      <c r="AL756" s="136" t="n"/>
      <c r="AM756" s="136" t="n"/>
      <c r="AN756" s="136" t="n"/>
      <c r="AO756" s="136" t="n"/>
      <c r="AP756" s="136" t="n"/>
      <c r="AQ756" s="136" t="n"/>
      <c r="AR756" s="136" t="n"/>
    </row>
    <row r="757" ht="13.5" customHeight="1" s="196">
      <c r="A757" s="136" t="n"/>
      <c r="B757" s="136" t="n"/>
      <c r="C757" s="136" t="n"/>
      <c r="D757" s="141" t="n"/>
      <c r="E757" s="141" t="n"/>
      <c r="F757" s="141" t="n"/>
      <c r="G757" s="141" t="n"/>
      <c r="H757" s="141" t="n"/>
      <c r="I757" s="141" t="n"/>
      <c r="J757" s="141" t="n"/>
      <c r="K757" s="141" t="n"/>
      <c r="L757" s="141" t="n"/>
      <c r="M757" s="141" t="n"/>
      <c r="N757" s="141" t="n"/>
      <c r="O757" s="141" t="n"/>
      <c r="P757" s="141" t="n"/>
      <c r="Q757" s="141" t="n"/>
      <c r="R757" s="141" t="n"/>
      <c r="S757" s="141" t="n"/>
      <c r="T757" s="141" t="n"/>
      <c r="U757" s="141" t="n"/>
      <c r="V757" s="141" t="n"/>
      <c r="W757" s="141" t="n"/>
      <c r="X757" s="141" t="n"/>
      <c r="Y757" s="136" t="n"/>
      <c r="Z757" s="136" t="n"/>
      <c r="AA757" s="136" t="n"/>
      <c r="AB757" s="136" t="n"/>
      <c r="AC757" s="136" t="n"/>
      <c r="AD757" s="136" t="n"/>
      <c r="AE757" s="136" t="n"/>
      <c r="AF757" s="136" t="n"/>
      <c r="AG757" s="136" t="n"/>
      <c r="AH757" s="136" t="n"/>
      <c r="AI757" s="136" t="n"/>
      <c r="AJ757" s="136" t="n"/>
      <c r="AK757" s="136" t="n"/>
      <c r="AL757" s="136" t="n"/>
      <c r="AM757" s="136" t="n"/>
      <c r="AN757" s="136" t="n"/>
      <c r="AO757" s="136" t="n"/>
      <c r="AP757" s="136" t="n"/>
      <c r="AQ757" s="136" t="n"/>
      <c r="AR757" s="136" t="n"/>
    </row>
    <row r="758" ht="13.5" customHeight="1" s="196">
      <c r="A758" s="136" t="n"/>
      <c r="B758" s="136" t="n"/>
      <c r="C758" s="136" t="n"/>
      <c r="D758" s="141" t="n"/>
      <c r="E758" s="141" t="n"/>
      <c r="F758" s="141" t="n"/>
      <c r="G758" s="141" t="n"/>
      <c r="H758" s="141" t="n"/>
      <c r="I758" s="141" t="n"/>
      <c r="J758" s="141" t="n"/>
      <c r="K758" s="141" t="n"/>
      <c r="L758" s="141" t="n"/>
      <c r="M758" s="141" t="n"/>
      <c r="N758" s="141" t="n"/>
      <c r="O758" s="141" t="n"/>
      <c r="P758" s="141" t="n"/>
      <c r="Q758" s="141" t="n"/>
      <c r="R758" s="141" t="n"/>
      <c r="S758" s="141" t="n"/>
      <c r="T758" s="141" t="n"/>
      <c r="U758" s="141" t="n"/>
      <c r="V758" s="141" t="n"/>
      <c r="W758" s="141" t="n"/>
      <c r="X758" s="141" t="n"/>
      <c r="Y758" s="136" t="n"/>
      <c r="Z758" s="136" t="n"/>
      <c r="AA758" s="136" t="n"/>
      <c r="AB758" s="136" t="n"/>
      <c r="AC758" s="136" t="n"/>
      <c r="AD758" s="136" t="n"/>
      <c r="AE758" s="136" t="n"/>
      <c r="AF758" s="136" t="n"/>
      <c r="AG758" s="136" t="n"/>
      <c r="AH758" s="136" t="n"/>
      <c r="AI758" s="136" t="n"/>
      <c r="AJ758" s="136" t="n"/>
      <c r="AK758" s="136" t="n"/>
      <c r="AL758" s="136" t="n"/>
      <c r="AM758" s="136" t="n"/>
      <c r="AN758" s="136" t="n"/>
      <c r="AO758" s="136" t="n"/>
      <c r="AP758" s="136" t="n"/>
      <c r="AQ758" s="136" t="n"/>
      <c r="AR758" s="136" t="n"/>
    </row>
    <row r="759" ht="13.5" customHeight="1" s="196">
      <c r="A759" s="136" t="n"/>
      <c r="B759" s="136" t="n"/>
      <c r="C759" s="136" t="n"/>
      <c r="D759" s="141" t="n"/>
      <c r="E759" s="141" t="n"/>
      <c r="F759" s="141" t="n"/>
      <c r="G759" s="141" t="n"/>
      <c r="H759" s="141" t="n"/>
      <c r="I759" s="141" t="n"/>
      <c r="J759" s="141" t="n"/>
      <c r="K759" s="141" t="n"/>
      <c r="L759" s="141" t="n"/>
      <c r="M759" s="141" t="n"/>
      <c r="N759" s="141" t="n"/>
      <c r="O759" s="141" t="n"/>
      <c r="P759" s="141" t="n"/>
      <c r="Q759" s="141" t="n"/>
      <c r="R759" s="141" t="n"/>
      <c r="S759" s="141" t="n"/>
      <c r="T759" s="141" t="n"/>
      <c r="U759" s="141" t="n"/>
      <c r="V759" s="141" t="n"/>
      <c r="W759" s="141" t="n"/>
      <c r="X759" s="141" t="n"/>
      <c r="Y759" s="136" t="n"/>
      <c r="Z759" s="136" t="n"/>
      <c r="AA759" s="136" t="n"/>
      <c r="AB759" s="136" t="n"/>
      <c r="AC759" s="136" t="n"/>
      <c r="AD759" s="136" t="n"/>
      <c r="AE759" s="136" t="n"/>
      <c r="AF759" s="136" t="n"/>
      <c r="AG759" s="136" t="n"/>
      <c r="AH759" s="136" t="n"/>
      <c r="AI759" s="136" t="n"/>
      <c r="AJ759" s="136" t="n"/>
      <c r="AK759" s="136" t="n"/>
      <c r="AL759" s="136" t="n"/>
      <c r="AM759" s="136" t="n"/>
      <c r="AN759" s="136" t="n"/>
      <c r="AO759" s="136" t="n"/>
      <c r="AP759" s="136" t="n"/>
      <c r="AQ759" s="136" t="n"/>
      <c r="AR759" s="136" t="n"/>
    </row>
    <row r="760" ht="13.5" customHeight="1" s="196">
      <c r="A760" s="136" t="n"/>
      <c r="B760" s="136" t="n"/>
      <c r="C760" s="136" t="n"/>
      <c r="D760" s="141" t="n"/>
      <c r="E760" s="141" t="n"/>
      <c r="F760" s="141" t="n"/>
      <c r="G760" s="141" t="n"/>
      <c r="H760" s="141" t="n"/>
      <c r="I760" s="141" t="n"/>
      <c r="J760" s="141" t="n"/>
      <c r="K760" s="141" t="n"/>
      <c r="L760" s="141" t="n"/>
      <c r="M760" s="141" t="n"/>
      <c r="N760" s="141" t="n"/>
      <c r="O760" s="141" t="n"/>
      <c r="P760" s="141" t="n"/>
      <c r="Q760" s="141" t="n"/>
      <c r="R760" s="141" t="n"/>
      <c r="S760" s="141" t="n"/>
      <c r="T760" s="141" t="n"/>
      <c r="U760" s="141" t="n"/>
      <c r="V760" s="141" t="n"/>
      <c r="W760" s="141" t="n"/>
      <c r="X760" s="141" t="n"/>
      <c r="Y760" s="136" t="n"/>
      <c r="Z760" s="136" t="n"/>
      <c r="AA760" s="136" t="n"/>
      <c r="AB760" s="136" t="n"/>
      <c r="AC760" s="136" t="n"/>
      <c r="AD760" s="136" t="n"/>
      <c r="AE760" s="136" t="n"/>
      <c r="AF760" s="136" t="n"/>
      <c r="AG760" s="136" t="n"/>
      <c r="AH760" s="136" t="n"/>
      <c r="AI760" s="136" t="n"/>
      <c r="AJ760" s="136" t="n"/>
      <c r="AK760" s="136" t="n"/>
      <c r="AL760" s="136" t="n"/>
      <c r="AM760" s="136" t="n"/>
      <c r="AN760" s="136" t="n"/>
      <c r="AO760" s="136" t="n"/>
      <c r="AP760" s="136" t="n"/>
      <c r="AQ760" s="136" t="n"/>
      <c r="AR760" s="136" t="n"/>
    </row>
    <row r="761" ht="13.5" customHeight="1" s="196">
      <c r="A761" s="136" t="n"/>
      <c r="B761" s="136" t="n"/>
      <c r="C761" s="136" t="n"/>
      <c r="D761" s="141" t="n"/>
      <c r="E761" s="141" t="n"/>
      <c r="F761" s="141" t="n"/>
      <c r="G761" s="141" t="n"/>
      <c r="H761" s="141" t="n"/>
      <c r="I761" s="141" t="n"/>
      <c r="J761" s="141" t="n"/>
      <c r="K761" s="141" t="n"/>
      <c r="L761" s="141" t="n"/>
      <c r="M761" s="141" t="n"/>
      <c r="N761" s="141" t="n"/>
      <c r="O761" s="141" t="n"/>
      <c r="P761" s="141" t="n"/>
      <c r="Q761" s="141" t="n"/>
      <c r="R761" s="141" t="n"/>
      <c r="S761" s="141" t="n"/>
      <c r="T761" s="141" t="n"/>
      <c r="U761" s="141" t="n"/>
      <c r="V761" s="141" t="n"/>
      <c r="W761" s="141" t="n"/>
      <c r="X761" s="141" t="n"/>
      <c r="Y761" s="136" t="n"/>
      <c r="Z761" s="136" t="n"/>
      <c r="AA761" s="136" t="n"/>
      <c r="AB761" s="136" t="n"/>
      <c r="AC761" s="136" t="n"/>
      <c r="AD761" s="136" t="n"/>
      <c r="AE761" s="136" t="n"/>
      <c r="AF761" s="136" t="n"/>
      <c r="AG761" s="136" t="n"/>
      <c r="AH761" s="136" t="n"/>
      <c r="AI761" s="136" t="n"/>
      <c r="AJ761" s="136" t="n"/>
      <c r="AK761" s="136" t="n"/>
      <c r="AL761" s="136" t="n"/>
      <c r="AM761" s="136" t="n"/>
      <c r="AN761" s="136" t="n"/>
      <c r="AO761" s="136" t="n"/>
      <c r="AP761" s="136" t="n"/>
      <c r="AQ761" s="136" t="n"/>
      <c r="AR761" s="136" t="n"/>
    </row>
    <row r="762" ht="13.5" customHeight="1" s="196">
      <c r="A762" s="136" t="n"/>
      <c r="B762" s="136" t="n"/>
      <c r="C762" s="136" t="n"/>
      <c r="D762" s="141" t="n"/>
      <c r="E762" s="141" t="n"/>
      <c r="F762" s="141" t="n"/>
      <c r="G762" s="141" t="n"/>
      <c r="H762" s="141" t="n"/>
      <c r="I762" s="141" t="n"/>
      <c r="J762" s="141" t="n"/>
      <c r="K762" s="141" t="n"/>
      <c r="L762" s="141" t="n"/>
      <c r="M762" s="141" t="n"/>
      <c r="N762" s="141" t="n"/>
      <c r="O762" s="141" t="n"/>
      <c r="P762" s="141" t="n"/>
      <c r="Q762" s="141" t="n"/>
      <c r="R762" s="141" t="n"/>
      <c r="S762" s="141" t="n"/>
      <c r="T762" s="141" t="n"/>
      <c r="U762" s="141" t="n"/>
      <c r="V762" s="141" t="n"/>
      <c r="W762" s="141" t="n"/>
      <c r="X762" s="141" t="n"/>
      <c r="Y762" s="136" t="n"/>
      <c r="Z762" s="136" t="n"/>
      <c r="AA762" s="136" t="n"/>
      <c r="AB762" s="136" t="n"/>
      <c r="AC762" s="136" t="n"/>
      <c r="AD762" s="136" t="n"/>
      <c r="AE762" s="136" t="n"/>
      <c r="AF762" s="136" t="n"/>
      <c r="AG762" s="136" t="n"/>
      <c r="AH762" s="136" t="n"/>
      <c r="AI762" s="136" t="n"/>
      <c r="AJ762" s="136" t="n"/>
      <c r="AK762" s="136" t="n"/>
      <c r="AL762" s="136" t="n"/>
      <c r="AM762" s="136" t="n"/>
      <c r="AN762" s="136" t="n"/>
      <c r="AO762" s="136" t="n"/>
      <c r="AP762" s="136" t="n"/>
      <c r="AQ762" s="136" t="n"/>
      <c r="AR762" s="136" t="n"/>
    </row>
    <row r="763" ht="13.5" customHeight="1" s="196">
      <c r="A763" s="136" t="n"/>
      <c r="B763" s="136" t="n"/>
      <c r="C763" s="136" t="n"/>
      <c r="D763" s="141" t="n"/>
      <c r="E763" s="141" t="n"/>
      <c r="F763" s="141" t="n"/>
      <c r="G763" s="141" t="n"/>
      <c r="H763" s="141" t="n"/>
      <c r="I763" s="141" t="n"/>
      <c r="J763" s="141" t="n"/>
      <c r="K763" s="141" t="n"/>
      <c r="L763" s="141" t="n"/>
      <c r="M763" s="141" t="n"/>
      <c r="N763" s="141" t="n"/>
      <c r="O763" s="141" t="n"/>
      <c r="P763" s="141" t="n"/>
      <c r="Q763" s="141" t="n"/>
      <c r="R763" s="141" t="n"/>
      <c r="S763" s="141" t="n"/>
      <c r="T763" s="141" t="n"/>
      <c r="U763" s="141" t="n"/>
      <c r="V763" s="141" t="n"/>
      <c r="W763" s="141" t="n"/>
      <c r="X763" s="141" t="n"/>
      <c r="Y763" s="136" t="n"/>
      <c r="Z763" s="136" t="n"/>
      <c r="AA763" s="136" t="n"/>
      <c r="AB763" s="136" t="n"/>
      <c r="AC763" s="136" t="n"/>
      <c r="AD763" s="136" t="n"/>
      <c r="AE763" s="136" t="n"/>
      <c r="AF763" s="136" t="n"/>
      <c r="AG763" s="136" t="n"/>
      <c r="AH763" s="136" t="n"/>
      <c r="AI763" s="136" t="n"/>
      <c r="AJ763" s="136" t="n"/>
      <c r="AK763" s="136" t="n"/>
      <c r="AL763" s="136" t="n"/>
      <c r="AM763" s="136" t="n"/>
      <c r="AN763" s="136" t="n"/>
      <c r="AO763" s="136" t="n"/>
      <c r="AP763" s="136" t="n"/>
      <c r="AQ763" s="136" t="n"/>
      <c r="AR763" s="136" t="n"/>
    </row>
    <row r="764" ht="13.5" customHeight="1" s="196">
      <c r="A764" s="136" t="n"/>
      <c r="B764" s="136" t="n"/>
      <c r="C764" s="136" t="n"/>
      <c r="D764" s="141" t="n"/>
      <c r="E764" s="141" t="n"/>
      <c r="F764" s="141" t="n"/>
      <c r="G764" s="141" t="n"/>
      <c r="H764" s="141" t="n"/>
      <c r="I764" s="141" t="n"/>
      <c r="J764" s="141" t="n"/>
      <c r="K764" s="141" t="n"/>
      <c r="L764" s="141" t="n"/>
      <c r="M764" s="141" t="n"/>
      <c r="N764" s="141" t="n"/>
      <c r="O764" s="141" t="n"/>
      <c r="P764" s="141" t="n"/>
      <c r="Q764" s="141" t="n"/>
      <c r="R764" s="141" t="n"/>
      <c r="S764" s="141" t="n"/>
      <c r="T764" s="141" t="n"/>
      <c r="U764" s="141" t="n"/>
      <c r="V764" s="141" t="n"/>
      <c r="W764" s="141" t="n"/>
      <c r="X764" s="141" t="n"/>
      <c r="Y764" s="136" t="n"/>
      <c r="Z764" s="136" t="n"/>
      <c r="AA764" s="136" t="n"/>
      <c r="AB764" s="136" t="n"/>
      <c r="AC764" s="136" t="n"/>
      <c r="AD764" s="136" t="n"/>
      <c r="AE764" s="136" t="n"/>
      <c r="AF764" s="136" t="n"/>
      <c r="AG764" s="136" t="n"/>
      <c r="AH764" s="136" t="n"/>
      <c r="AI764" s="136" t="n"/>
      <c r="AJ764" s="136" t="n"/>
      <c r="AK764" s="136" t="n"/>
      <c r="AL764" s="136" t="n"/>
      <c r="AM764" s="136" t="n"/>
      <c r="AN764" s="136" t="n"/>
      <c r="AO764" s="136" t="n"/>
      <c r="AP764" s="136" t="n"/>
      <c r="AQ764" s="136" t="n"/>
      <c r="AR764" s="136" t="n"/>
    </row>
    <row r="765" ht="13.5" customHeight="1" s="196">
      <c r="A765" s="136" t="n"/>
      <c r="B765" s="136" t="n"/>
      <c r="C765" s="136" t="n"/>
      <c r="D765" s="141" t="n"/>
      <c r="E765" s="141" t="n"/>
      <c r="F765" s="141" t="n"/>
      <c r="G765" s="141" t="n"/>
      <c r="H765" s="141" t="n"/>
      <c r="I765" s="141" t="n"/>
      <c r="J765" s="141" t="n"/>
      <c r="K765" s="141" t="n"/>
      <c r="L765" s="141" t="n"/>
      <c r="M765" s="141" t="n"/>
      <c r="N765" s="141" t="n"/>
      <c r="O765" s="141" t="n"/>
      <c r="P765" s="141" t="n"/>
      <c r="Q765" s="141" t="n"/>
      <c r="R765" s="141" t="n"/>
      <c r="S765" s="141" t="n"/>
      <c r="T765" s="141" t="n"/>
      <c r="U765" s="141" t="n"/>
      <c r="V765" s="141" t="n"/>
      <c r="W765" s="141" t="n"/>
      <c r="X765" s="141" t="n"/>
      <c r="Y765" s="136" t="n"/>
      <c r="Z765" s="136" t="n"/>
      <c r="AA765" s="136" t="n"/>
      <c r="AB765" s="136" t="n"/>
      <c r="AC765" s="136" t="n"/>
      <c r="AD765" s="136" t="n"/>
      <c r="AE765" s="136" t="n"/>
      <c r="AF765" s="136" t="n"/>
      <c r="AG765" s="136" t="n"/>
      <c r="AH765" s="136" t="n"/>
      <c r="AI765" s="136" t="n"/>
      <c r="AJ765" s="136" t="n"/>
      <c r="AK765" s="136" t="n"/>
      <c r="AL765" s="136" t="n"/>
      <c r="AM765" s="136" t="n"/>
      <c r="AN765" s="136" t="n"/>
      <c r="AO765" s="136" t="n"/>
      <c r="AP765" s="136" t="n"/>
      <c r="AQ765" s="136" t="n"/>
      <c r="AR765" s="136" t="n"/>
    </row>
    <row r="766" ht="13.5" customHeight="1" s="196">
      <c r="A766" s="136" t="n"/>
      <c r="B766" s="136" t="n"/>
      <c r="C766" s="136" t="n"/>
      <c r="D766" s="141" t="n"/>
      <c r="E766" s="141" t="n"/>
      <c r="F766" s="141" t="n"/>
      <c r="G766" s="141" t="n"/>
      <c r="H766" s="141" t="n"/>
      <c r="I766" s="141" t="n"/>
      <c r="J766" s="141" t="n"/>
      <c r="K766" s="141" t="n"/>
      <c r="L766" s="141" t="n"/>
      <c r="M766" s="141" t="n"/>
      <c r="N766" s="141" t="n"/>
      <c r="O766" s="141" t="n"/>
      <c r="P766" s="141" t="n"/>
      <c r="Q766" s="141" t="n"/>
      <c r="R766" s="141" t="n"/>
      <c r="S766" s="141" t="n"/>
      <c r="T766" s="141" t="n"/>
      <c r="U766" s="141" t="n"/>
      <c r="V766" s="141" t="n"/>
      <c r="W766" s="141" t="n"/>
      <c r="X766" s="141" t="n"/>
      <c r="Y766" s="136" t="n"/>
      <c r="Z766" s="136" t="n"/>
      <c r="AA766" s="136" t="n"/>
      <c r="AB766" s="136" t="n"/>
      <c r="AC766" s="136" t="n"/>
      <c r="AD766" s="136" t="n"/>
      <c r="AE766" s="136" t="n"/>
      <c r="AF766" s="136" t="n"/>
      <c r="AG766" s="136" t="n"/>
      <c r="AH766" s="136" t="n"/>
      <c r="AI766" s="136" t="n"/>
      <c r="AJ766" s="136" t="n"/>
      <c r="AK766" s="136" t="n"/>
      <c r="AL766" s="136" t="n"/>
      <c r="AM766" s="136" t="n"/>
      <c r="AN766" s="136" t="n"/>
      <c r="AO766" s="136" t="n"/>
      <c r="AP766" s="136" t="n"/>
      <c r="AQ766" s="136" t="n"/>
      <c r="AR766" s="136" t="n"/>
    </row>
    <row r="767" ht="13.5" customHeight="1" s="196">
      <c r="A767" s="136" t="n"/>
      <c r="B767" s="136" t="n"/>
      <c r="C767" s="136" t="n"/>
      <c r="D767" s="141" t="n"/>
      <c r="E767" s="141" t="n"/>
      <c r="F767" s="141" t="n"/>
      <c r="G767" s="141" t="n"/>
      <c r="H767" s="141" t="n"/>
      <c r="I767" s="141" t="n"/>
      <c r="J767" s="141" t="n"/>
      <c r="K767" s="141" t="n"/>
      <c r="L767" s="141" t="n"/>
      <c r="M767" s="141" t="n"/>
      <c r="N767" s="141" t="n"/>
      <c r="O767" s="141" t="n"/>
      <c r="P767" s="141" t="n"/>
      <c r="Q767" s="141" t="n"/>
      <c r="R767" s="141" t="n"/>
      <c r="S767" s="141" t="n"/>
      <c r="T767" s="141" t="n"/>
      <c r="U767" s="141" t="n"/>
      <c r="V767" s="141" t="n"/>
      <c r="W767" s="141" t="n"/>
      <c r="X767" s="141" t="n"/>
      <c r="Y767" s="136" t="n"/>
      <c r="Z767" s="136" t="n"/>
      <c r="AA767" s="136" t="n"/>
      <c r="AB767" s="136" t="n"/>
      <c r="AC767" s="136" t="n"/>
      <c r="AD767" s="136" t="n"/>
      <c r="AE767" s="136" t="n"/>
      <c r="AF767" s="136" t="n"/>
      <c r="AG767" s="136" t="n"/>
      <c r="AH767" s="136" t="n"/>
      <c r="AI767" s="136" t="n"/>
      <c r="AJ767" s="136" t="n"/>
      <c r="AK767" s="136" t="n"/>
      <c r="AL767" s="136" t="n"/>
      <c r="AM767" s="136" t="n"/>
      <c r="AN767" s="136" t="n"/>
      <c r="AO767" s="136" t="n"/>
      <c r="AP767" s="136" t="n"/>
      <c r="AQ767" s="136" t="n"/>
      <c r="AR767" s="136" t="n"/>
    </row>
    <row r="768" ht="13.5" customHeight="1" s="196">
      <c r="A768" s="136" t="n"/>
      <c r="B768" s="136" t="n"/>
      <c r="C768" s="136" t="n"/>
      <c r="D768" s="141" t="n"/>
      <c r="E768" s="141" t="n"/>
      <c r="F768" s="141" t="n"/>
      <c r="G768" s="141" t="n"/>
      <c r="H768" s="141" t="n"/>
      <c r="I768" s="141" t="n"/>
      <c r="J768" s="141" t="n"/>
      <c r="K768" s="141" t="n"/>
      <c r="L768" s="141" t="n"/>
      <c r="M768" s="141" t="n"/>
      <c r="N768" s="141" t="n"/>
      <c r="O768" s="141" t="n"/>
      <c r="P768" s="141" t="n"/>
      <c r="Q768" s="141" t="n"/>
      <c r="R768" s="141" t="n"/>
      <c r="S768" s="141" t="n"/>
      <c r="T768" s="141" t="n"/>
      <c r="U768" s="141" t="n"/>
      <c r="V768" s="141" t="n"/>
      <c r="W768" s="141" t="n"/>
      <c r="X768" s="141" t="n"/>
      <c r="Y768" s="136" t="n"/>
      <c r="Z768" s="136" t="n"/>
      <c r="AA768" s="136" t="n"/>
      <c r="AB768" s="136" t="n"/>
      <c r="AC768" s="136" t="n"/>
      <c r="AD768" s="136" t="n"/>
      <c r="AE768" s="136" t="n"/>
      <c r="AF768" s="136" t="n"/>
      <c r="AG768" s="136" t="n"/>
      <c r="AH768" s="136" t="n"/>
      <c r="AI768" s="136" t="n"/>
      <c r="AJ768" s="136" t="n"/>
      <c r="AK768" s="136" t="n"/>
      <c r="AL768" s="136" t="n"/>
      <c r="AM768" s="136" t="n"/>
      <c r="AN768" s="136" t="n"/>
      <c r="AO768" s="136" t="n"/>
      <c r="AP768" s="136" t="n"/>
      <c r="AQ768" s="136" t="n"/>
      <c r="AR768" s="136" t="n"/>
    </row>
    <row r="769" ht="13.5" customHeight="1" s="196">
      <c r="A769" s="136" t="n"/>
      <c r="B769" s="136" t="n"/>
      <c r="C769" s="136" t="n"/>
      <c r="D769" s="141" t="n"/>
      <c r="E769" s="141" t="n"/>
      <c r="F769" s="141" t="n"/>
      <c r="G769" s="141" t="n"/>
      <c r="H769" s="141" t="n"/>
      <c r="I769" s="141" t="n"/>
      <c r="J769" s="141" t="n"/>
      <c r="K769" s="141" t="n"/>
      <c r="L769" s="141" t="n"/>
      <c r="M769" s="141" t="n"/>
      <c r="N769" s="141" t="n"/>
      <c r="O769" s="141" t="n"/>
      <c r="P769" s="141" t="n"/>
      <c r="Q769" s="141" t="n"/>
      <c r="R769" s="141" t="n"/>
      <c r="S769" s="141" t="n"/>
      <c r="T769" s="141" t="n"/>
      <c r="U769" s="141" t="n"/>
      <c r="V769" s="141" t="n"/>
      <c r="W769" s="141" t="n"/>
      <c r="X769" s="141" t="n"/>
      <c r="Y769" s="136" t="n"/>
      <c r="Z769" s="136" t="n"/>
      <c r="AA769" s="136" t="n"/>
      <c r="AB769" s="136" t="n"/>
      <c r="AC769" s="136" t="n"/>
      <c r="AD769" s="136" t="n"/>
      <c r="AE769" s="136" t="n"/>
      <c r="AF769" s="136" t="n"/>
      <c r="AG769" s="136" t="n"/>
      <c r="AH769" s="136" t="n"/>
      <c r="AI769" s="136" t="n"/>
      <c r="AJ769" s="136" t="n"/>
      <c r="AK769" s="136" t="n"/>
      <c r="AL769" s="136" t="n"/>
      <c r="AM769" s="136" t="n"/>
      <c r="AN769" s="136" t="n"/>
      <c r="AO769" s="136" t="n"/>
      <c r="AP769" s="136" t="n"/>
      <c r="AQ769" s="136" t="n"/>
      <c r="AR769" s="136" t="n"/>
    </row>
    <row r="770" ht="13.5" customHeight="1" s="196">
      <c r="A770" s="136" t="n"/>
      <c r="B770" s="136" t="n"/>
      <c r="C770" s="136" t="n"/>
      <c r="D770" s="141" t="n"/>
      <c r="E770" s="141" t="n"/>
      <c r="F770" s="141" t="n"/>
      <c r="G770" s="141" t="n"/>
      <c r="H770" s="141" t="n"/>
      <c r="I770" s="141" t="n"/>
      <c r="J770" s="141" t="n"/>
      <c r="K770" s="141" t="n"/>
      <c r="L770" s="141" t="n"/>
      <c r="M770" s="141" t="n"/>
      <c r="N770" s="141" t="n"/>
      <c r="O770" s="141" t="n"/>
      <c r="P770" s="141" t="n"/>
      <c r="Q770" s="141" t="n"/>
      <c r="R770" s="141" t="n"/>
      <c r="S770" s="141" t="n"/>
      <c r="T770" s="141" t="n"/>
      <c r="U770" s="141" t="n"/>
      <c r="V770" s="141" t="n"/>
      <c r="W770" s="141" t="n"/>
      <c r="X770" s="141" t="n"/>
      <c r="Y770" s="136" t="n"/>
      <c r="Z770" s="136" t="n"/>
      <c r="AA770" s="136" t="n"/>
      <c r="AB770" s="136" t="n"/>
      <c r="AC770" s="136" t="n"/>
      <c r="AD770" s="136" t="n"/>
      <c r="AE770" s="136" t="n"/>
      <c r="AF770" s="136" t="n"/>
      <c r="AG770" s="136" t="n"/>
      <c r="AH770" s="136" t="n"/>
      <c r="AI770" s="136" t="n"/>
      <c r="AJ770" s="136" t="n"/>
      <c r="AK770" s="136" t="n"/>
      <c r="AL770" s="136" t="n"/>
      <c r="AM770" s="136" t="n"/>
      <c r="AN770" s="136" t="n"/>
      <c r="AO770" s="136" t="n"/>
      <c r="AP770" s="136" t="n"/>
      <c r="AQ770" s="136" t="n"/>
      <c r="AR770" s="136" t="n"/>
    </row>
    <row r="771" ht="13.5" customHeight="1" s="196">
      <c r="A771" s="136" t="n"/>
      <c r="B771" s="136" t="n"/>
      <c r="C771" s="136" t="n"/>
      <c r="D771" s="141" t="n"/>
      <c r="E771" s="141" t="n"/>
      <c r="F771" s="141" t="n"/>
      <c r="G771" s="141" t="n"/>
      <c r="H771" s="141" t="n"/>
      <c r="I771" s="141" t="n"/>
      <c r="J771" s="141" t="n"/>
      <c r="K771" s="141" t="n"/>
      <c r="L771" s="141" t="n"/>
      <c r="M771" s="141" t="n"/>
      <c r="N771" s="141" t="n"/>
      <c r="O771" s="141" t="n"/>
      <c r="P771" s="141" t="n"/>
      <c r="Q771" s="141" t="n"/>
      <c r="R771" s="141" t="n"/>
      <c r="S771" s="141" t="n"/>
      <c r="T771" s="141" t="n"/>
      <c r="U771" s="141" t="n"/>
      <c r="V771" s="141" t="n"/>
      <c r="W771" s="141" t="n"/>
      <c r="X771" s="141" t="n"/>
      <c r="Y771" s="136" t="n"/>
      <c r="Z771" s="136" t="n"/>
      <c r="AA771" s="136" t="n"/>
      <c r="AB771" s="136" t="n"/>
      <c r="AC771" s="136" t="n"/>
      <c r="AD771" s="136" t="n"/>
      <c r="AE771" s="136" t="n"/>
      <c r="AF771" s="136" t="n"/>
      <c r="AG771" s="136" t="n"/>
      <c r="AH771" s="136" t="n"/>
      <c r="AI771" s="136" t="n"/>
      <c r="AJ771" s="136" t="n"/>
      <c r="AK771" s="136" t="n"/>
      <c r="AL771" s="136" t="n"/>
      <c r="AM771" s="136" t="n"/>
      <c r="AN771" s="136" t="n"/>
      <c r="AO771" s="136" t="n"/>
      <c r="AP771" s="136" t="n"/>
      <c r="AQ771" s="136" t="n"/>
      <c r="AR771" s="136" t="n"/>
    </row>
    <row r="772" ht="13.5" customHeight="1" s="196">
      <c r="A772" s="136" t="n"/>
      <c r="B772" s="136" t="n"/>
      <c r="C772" s="136" t="n"/>
      <c r="D772" s="141" t="n"/>
      <c r="E772" s="141" t="n"/>
      <c r="F772" s="141" t="n"/>
      <c r="G772" s="141" t="n"/>
      <c r="H772" s="141" t="n"/>
      <c r="I772" s="141" t="n"/>
      <c r="J772" s="141" t="n"/>
      <c r="K772" s="141" t="n"/>
      <c r="L772" s="141" t="n"/>
      <c r="M772" s="141" t="n"/>
      <c r="N772" s="141" t="n"/>
      <c r="O772" s="141" t="n"/>
      <c r="P772" s="141" t="n"/>
      <c r="Q772" s="141" t="n"/>
      <c r="R772" s="141" t="n"/>
      <c r="S772" s="141" t="n"/>
      <c r="T772" s="141" t="n"/>
      <c r="U772" s="141" t="n"/>
      <c r="V772" s="141" t="n"/>
      <c r="W772" s="141" t="n"/>
      <c r="X772" s="141" t="n"/>
      <c r="Y772" s="136" t="n"/>
      <c r="Z772" s="136" t="n"/>
      <c r="AA772" s="136" t="n"/>
      <c r="AB772" s="136" t="n"/>
      <c r="AC772" s="136" t="n"/>
      <c r="AD772" s="136" t="n"/>
      <c r="AE772" s="136" t="n"/>
      <c r="AF772" s="136" t="n"/>
      <c r="AG772" s="136" t="n"/>
      <c r="AH772" s="136" t="n"/>
      <c r="AI772" s="136" t="n"/>
      <c r="AJ772" s="136" t="n"/>
      <c r="AK772" s="136" t="n"/>
      <c r="AL772" s="136" t="n"/>
      <c r="AM772" s="136" t="n"/>
      <c r="AN772" s="136" t="n"/>
      <c r="AO772" s="136" t="n"/>
      <c r="AP772" s="136" t="n"/>
      <c r="AQ772" s="136" t="n"/>
      <c r="AR772" s="136" t="n"/>
    </row>
    <row r="773" ht="13.5" customHeight="1" s="196">
      <c r="A773" s="136" t="n"/>
      <c r="B773" s="136" t="n"/>
      <c r="C773" s="136" t="n"/>
      <c r="D773" s="141" t="n"/>
      <c r="E773" s="141" t="n"/>
      <c r="F773" s="141" t="n"/>
      <c r="G773" s="141" t="n"/>
      <c r="H773" s="141" t="n"/>
      <c r="I773" s="141" t="n"/>
      <c r="J773" s="141" t="n"/>
      <c r="K773" s="141" t="n"/>
      <c r="L773" s="141" t="n"/>
      <c r="M773" s="141" t="n"/>
      <c r="N773" s="141" t="n"/>
      <c r="O773" s="141" t="n"/>
      <c r="P773" s="141" t="n"/>
      <c r="Q773" s="141" t="n"/>
      <c r="R773" s="141" t="n"/>
      <c r="S773" s="141" t="n"/>
      <c r="T773" s="141" t="n"/>
      <c r="U773" s="141" t="n"/>
      <c r="V773" s="141" t="n"/>
      <c r="W773" s="141" t="n"/>
      <c r="X773" s="141" t="n"/>
      <c r="Y773" s="136" t="n"/>
      <c r="Z773" s="136" t="n"/>
      <c r="AA773" s="136" t="n"/>
      <c r="AB773" s="136" t="n"/>
      <c r="AC773" s="136" t="n"/>
      <c r="AD773" s="136" t="n"/>
      <c r="AE773" s="136" t="n"/>
      <c r="AF773" s="136" t="n"/>
      <c r="AG773" s="136" t="n"/>
      <c r="AH773" s="136" t="n"/>
      <c r="AI773" s="136" t="n"/>
      <c r="AJ773" s="136" t="n"/>
      <c r="AK773" s="136" t="n"/>
      <c r="AL773" s="136" t="n"/>
      <c r="AM773" s="136" t="n"/>
      <c r="AN773" s="136" t="n"/>
      <c r="AO773" s="136" t="n"/>
      <c r="AP773" s="136" t="n"/>
      <c r="AQ773" s="136" t="n"/>
      <c r="AR773" s="136" t="n"/>
    </row>
    <row r="774" ht="13.5" customHeight="1" s="196">
      <c r="A774" s="136" t="n"/>
      <c r="B774" s="136" t="n"/>
      <c r="C774" s="136" t="n"/>
      <c r="D774" s="141" t="n"/>
      <c r="E774" s="141" t="n"/>
      <c r="F774" s="141" t="n"/>
      <c r="G774" s="141" t="n"/>
      <c r="H774" s="141" t="n"/>
      <c r="I774" s="141" t="n"/>
      <c r="J774" s="141" t="n"/>
      <c r="K774" s="141" t="n"/>
      <c r="L774" s="141" t="n"/>
      <c r="M774" s="141" t="n"/>
      <c r="N774" s="141" t="n"/>
      <c r="O774" s="141" t="n"/>
      <c r="P774" s="141" t="n"/>
      <c r="Q774" s="141" t="n"/>
      <c r="R774" s="141" t="n"/>
      <c r="S774" s="141" t="n"/>
      <c r="T774" s="141" t="n"/>
      <c r="U774" s="141" t="n"/>
      <c r="V774" s="141" t="n"/>
      <c r="W774" s="141" t="n"/>
      <c r="X774" s="141" t="n"/>
      <c r="Y774" s="136" t="n"/>
      <c r="Z774" s="136" t="n"/>
      <c r="AA774" s="136" t="n"/>
      <c r="AB774" s="136" t="n"/>
      <c r="AC774" s="136" t="n"/>
      <c r="AD774" s="136" t="n"/>
      <c r="AE774" s="136" t="n"/>
      <c r="AF774" s="136" t="n"/>
      <c r="AG774" s="136" t="n"/>
      <c r="AH774" s="136" t="n"/>
      <c r="AI774" s="136" t="n"/>
      <c r="AJ774" s="136" t="n"/>
      <c r="AK774" s="136" t="n"/>
      <c r="AL774" s="136" t="n"/>
      <c r="AM774" s="136" t="n"/>
      <c r="AN774" s="136" t="n"/>
      <c r="AO774" s="136" t="n"/>
      <c r="AP774" s="136" t="n"/>
      <c r="AQ774" s="136" t="n"/>
      <c r="AR774" s="136" t="n"/>
    </row>
    <row r="775" ht="13.5" customHeight="1" s="196">
      <c r="A775" s="136" t="n"/>
      <c r="B775" s="136" t="n"/>
      <c r="C775" s="136" t="n"/>
      <c r="D775" s="141" t="n"/>
      <c r="E775" s="141" t="n"/>
      <c r="F775" s="141" t="n"/>
      <c r="G775" s="141" t="n"/>
      <c r="H775" s="141" t="n"/>
      <c r="I775" s="141" t="n"/>
      <c r="J775" s="141" t="n"/>
      <c r="K775" s="141" t="n"/>
      <c r="L775" s="141" t="n"/>
      <c r="M775" s="141" t="n"/>
      <c r="N775" s="141" t="n"/>
      <c r="O775" s="141" t="n"/>
      <c r="P775" s="141" t="n"/>
      <c r="Q775" s="141" t="n"/>
      <c r="R775" s="141" t="n"/>
      <c r="S775" s="141" t="n"/>
      <c r="T775" s="141" t="n"/>
      <c r="U775" s="141" t="n"/>
      <c r="V775" s="141" t="n"/>
      <c r="W775" s="141" t="n"/>
      <c r="X775" s="141" t="n"/>
      <c r="Y775" s="136" t="n"/>
      <c r="Z775" s="136" t="n"/>
      <c r="AA775" s="136" t="n"/>
      <c r="AB775" s="136" t="n"/>
      <c r="AC775" s="136" t="n"/>
      <c r="AD775" s="136" t="n"/>
      <c r="AE775" s="136" t="n"/>
      <c r="AF775" s="136" t="n"/>
      <c r="AG775" s="136" t="n"/>
      <c r="AH775" s="136" t="n"/>
      <c r="AI775" s="136" t="n"/>
      <c r="AJ775" s="136" t="n"/>
      <c r="AK775" s="136" t="n"/>
      <c r="AL775" s="136" t="n"/>
      <c r="AM775" s="136" t="n"/>
      <c r="AN775" s="136" t="n"/>
      <c r="AO775" s="136" t="n"/>
      <c r="AP775" s="136" t="n"/>
      <c r="AQ775" s="136" t="n"/>
      <c r="AR775" s="136" t="n"/>
    </row>
    <row r="776" ht="13.5" customHeight="1" s="196">
      <c r="A776" s="136" t="n"/>
      <c r="B776" s="136" t="n"/>
      <c r="C776" s="136" t="n"/>
      <c r="D776" s="141" t="n"/>
      <c r="E776" s="141" t="n"/>
      <c r="F776" s="141" t="n"/>
      <c r="G776" s="141" t="n"/>
      <c r="H776" s="141" t="n"/>
      <c r="I776" s="141" t="n"/>
      <c r="J776" s="141" t="n"/>
      <c r="K776" s="141" t="n"/>
      <c r="L776" s="141" t="n"/>
      <c r="M776" s="141" t="n"/>
      <c r="N776" s="141" t="n"/>
      <c r="O776" s="141" t="n"/>
      <c r="P776" s="141" t="n"/>
      <c r="Q776" s="141" t="n"/>
      <c r="R776" s="141" t="n"/>
      <c r="S776" s="141" t="n"/>
      <c r="T776" s="141" t="n"/>
      <c r="U776" s="141" t="n"/>
      <c r="V776" s="141" t="n"/>
      <c r="W776" s="141" t="n"/>
      <c r="X776" s="141" t="n"/>
      <c r="Y776" s="136" t="n"/>
      <c r="Z776" s="136" t="n"/>
      <c r="AA776" s="136" t="n"/>
      <c r="AB776" s="136" t="n"/>
      <c r="AC776" s="136" t="n"/>
      <c r="AD776" s="136" t="n"/>
      <c r="AE776" s="136" t="n"/>
      <c r="AF776" s="136" t="n"/>
      <c r="AG776" s="136" t="n"/>
      <c r="AH776" s="136" t="n"/>
      <c r="AI776" s="136" t="n"/>
      <c r="AJ776" s="136" t="n"/>
      <c r="AK776" s="136" t="n"/>
      <c r="AL776" s="136" t="n"/>
      <c r="AM776" s="136" t="n"/>
      <c r="AN776" s="136" t="n"/>
      <c r="AO776" s="136" t="n"/>
      <c r="AP776" s="136" t="n"/>
      <c r="AQ776" s="136" t="n"/>
      <c r="AR776" s="136" t="n"/>
    </row>
    <row r="777" ht="13.5" customHeight="1" s="196">
      <c r="A777" s="136" t="n"/>
      <c r="B777" s="136" t="n"/>
      <c r="C777" s="136" t="n"/>
      <c r="D777" s="141" t="n"/>
      <c r="E777" s="141" t="n"/>
      <c r="F777" s="141" t="n"/>
      <c r="G777" s="141" t="n"/>
      <c r="H777" s="141" t="n"/>
      <c r="I777" s="141" t="n"/>
      <c r="J777" s="141" t="n"/>
      <c r="K777" s="141" t="n"/>
      <c r="L777" s="141" t="n"/>
      <c r="M777" s="141" t="n"/>
      <c r="N777" s="141" t="n"/>
      <c r="O777" s="141" t="n"/>
      <c r="P777" s="141" t="n"/>
      <c r="Q777" s="141" t="n"/>
      <c r="R777" s="141" t="n"/>
      <c r="S777" s="141" t="n"/>
      <c r="T777" s="141" t="n"/>
      <c r="U777" s="141" t="n"/>
      <c r="V777" s="141" t="n"/>
      <c r="W777" s="141" t="n"/>
      <c r="X777" s="141" t="n"/>
      <c r="Y777" s="136" t="n"/>
      <c r="Z777" s="136" t="n"/>
      <c r="AA777" s="136" t="n"/>
      <c r="AB777" s="136" t="n"/>
      <c r="AC777" s="136" t="n"/>
      <c r="AD777" s="136" t="n"/>
      <c r="AE777" s="136" t="n"/>
      <c r="AF777" s="136" t="n"/>
      <c r="AG777" s="136" t="n"/>
      <c r="AH777" s="136" t="n"/>
      <c r="AI777" s="136" t="n"/>
      <c r="AJ777" s="136" t="n"/>
      <c r="AK777" s="136" t="n"/>
      <c r="AL777" s="136" t="n"/>
      <c r="AM777" s="136" t="n"/>
      <c r="AN777" s="136" t="n"/>
      <c r="AO777" s="136" t="n"/>
      <c r="AP777" s="136" t="n"/>
      <c r="AQ777" s="136" t="n"/>
      <c r="AR777" s="136" t="n"/>
    </row>
    <row r="778" ht="13.5" customHeight="1" s="196">
      <c r="A778" s="136" t="n"/>
      <c r="B778" s="136" t="n"/>
      <c r="C778" s="136" t="n"/>
      <c r="D778" s="141" t="n"/>
      <c r="E778" s="141" t="n"/>
      <c r="F778" s="141" t="n"/>
      <c r="G778" s="141" t="n"/>
      <c r="H778" s="141" t="n"/>
      <c r="I778" s="141" t="n"/>
      <c r="J778" s="141" t="n"/>
      <c r="K778" s="141" t="n"/>
      <c r="L778" s="141" t="n"/>
      <c r="M778" s="141" t="n"/>
      <c r="N778" s="141" t="n"/>
      <c r="O778" s="141" t="n"/>
      <c r="P778" s="141" t="n"/>
      <c r="Q778" s="141" t="n"/>
      <c r="R778" s="141" t="n"/>
      <c r="S778" s="141" t="n"/>
      <c r="T778" s="141" t="n"/>
      <c r="U778" s="141" t="n"/>
      <c r="V778" s="141" t="n"/>
      <c r="W778" s="141" t="n"/>
      <c r="X778" s="141" t="n"/>
      <c r="Y778" s="136" t="n"/>
      <c r="Z778" s="136" t="n"/>
      <c r="AA778" s="136" t="n"/>
      <c r="AB778" s="136" t="n"/>
      <c r="AC778" s="136" t="n"/>
      <c r="AD778" s="136" t="n"/>
      <c r="AE778" s="136" t="n"/>
      <c r="AF778" s="136" t="n"/>
      <c r="AG778" s="136" t="n"/>
      <c r="AH778" s="136" t="n"/>
      <c r="AI778" s="136" t="n"/>
      <c r="AJ778" s="136" t="n"/>
      <c r="AK778" s="136" t="n"/>
      <c r="AL778" s="136" t="n"/>
      <c r="AM778" s="136" t="n"/>
      <c r="AN778" s="136" t="n"/>
      <c r="AO778" s="136" t="n"/>
      <c r="AP778" s="136" t="n"/>
      <c r="AQ778" s="136" t="n"/>
      <c r="AR778" s="136" t="n"/>
    </row>
    <row r="779" ht="13.5" customHeight="1" s="196">
      <c r="A779" s="136" t="n"/>
      <c r="B779" s="136" t="n"/>
      <c r="C779" s="136" t="n"/>
      <c r="D779" s="141" t="n"/>
      <c r="E779" s="141" t="n"/>
      <c r="F779" s="141" t="n"/>
      <c r="G779" s="141" t="n"/>
      <c r="H779" s="141" t="n"/>
      <c r="I779" s="141" t="n"/>
      <c r="J779" s="141" t="n"/>
      <c r="K779" s="141" t="n"/>
      <c r="L779" s="141" t="n"/>
      <c r="M779" s="141" t="n"/>
      <c r="N779" s="141" t="n"/>
      <c r="O779" s="141" t="n"/>
      <c r="P779" s="141" t="n"/>
      <c r="Q779" s="141" t="n"/>
      <c r="R779" s="141" t="n"/>
      <c r="S779" s="141" t="n"/>
      <c r="T779" s="141" t="n"/>
      <c r="U779" s="141" t="n"/>
      <c r="V779" s="141" t="n"/>
      <c r="W779" s="141" t="n"/>
      <c r="X779" s="141" t="n"/>
      <c r="Y779" s="136" t="n"/>
      <c r="Z779" s="136" t="n"/>
      <c r="AA779" s="136" t="n"/>
      <c r="AB779" s="136" t="n"/>
      <c r="AC779" s="136" t="n"/>
      <c r="AD779" s="136" t="n"/>
      <c r="AE779" s="136" t="n"/>
      <c r="AF779" s="136" t="n"/>
      <c r="AG779" s="136" t="n"/>
      <c r="AH779" s="136" t="n"/>
      <c r="AI779" s="136" t="n"/>
      <c r="AJ779" s="136" t="n"/>
      <c r="AK779" s="136" t="n"/>
      <c r="AL779" s="136" t="n"/>
      <c r="AM779" s="136" t="n"/>
      <c r="AN779" s="136" t="n"/>
      <c r="AO779" s="136" t="n"/>
      <c r="AP779" s="136" t="n"/>
      <c r="AQ779" s="136" t="n"/>
      <c r="AR779" s="136" t="n"/>
    </row>
    <row r="780" ht="13.5" customHeight="1" s="196">
      <c r="A780" s="136" t="n"/>
      <c r="B780" s="136" t="n"/>
      <c r="C780" s="136" t="n"/>
      <c r="D780" s="141" t="n"/>
      <c r="E780" s="141" t="n"/>
      <c r="F780" s="141" t="n"/>
      <c r="G780" s="141" t="n"/>
      <c r="H780" s="141" t="n"/>
      <c r="I780" s="141" t="n"/>
      <c r="J780" s="141" t="n"/>
      <c r="K780" s="141" t="n"/>
      <c r="L780" s="141" t="n"/>
      <c r="M780" s="141" t="n"/>
      <c r="N780" s="141" t="n"/>
      <c r="O780" s="141" t="n"/>
      <c r="P780" s="141" t="n"/>
      <c r="Q780" s="141" t="n"/>
      <c r="R780" s="141" t="n"/>
      <c r="S780" s="141" t="n"/>
      <c r="T780" s="141" t="n"/>
      <c r="U780" s="141" t="n"/>
      <c r="V780" s="141" t="n"/>
      <c r="W780" s="141" t="n"/>
      <c r="X780" s="141" t="n"/>
      <c r="Y780" s="136" t="n"/>
      <c r="Z780" s="136" t="n"/>
      <c r="AA780" s="136" t="n"/>
      <c r="AB780" s="136" t="n"/>
      <c r="AC780" s="136" t="n"/>
      <c r="AD780" s="136" t="n"/>
      <c r="AE780" s="136" t="n"/>
      <c r="AF780" s="136" t="n"/>
      <c r="AG780" s="136" t="n"/>
      <c r="AH780" s="136" t="n"/>
      <c r="AI780" s="136" t="n"/>
      <c r="AJ780" s="136" t="n"/>
      <c r="AK780" s="136" t="n"/>
      <c r="AL780" s="136" t="n"/>
      <c r="AM780" s="136" t="n"/>
      <c r="AN780" s="136" t="n"/>
      <c r="AO780" s="136" t="n"/>
      <c r="AP780" s="136" t="n"/>
      <c r="AQ780" s="136" t="n"/>
      <c r="AR780" s="136" t="n"/>
    </row>
    <row r="781" ht="13.5" customHeight="1" s="196">
      <c r="A781" s="136" t="n"/>
      <c r="B781" s="136" t="n"/>
      <c r="C781" s="136" t="n"/>
      <c r="D781" s="141" t="n"/>
      <c r="E781" s="141" t="n"/>
      <c r="F781" s="141" t="n"/>
      <c r="G781" s="141" t="n"/>
      <c r="H781" s="141" t="n"/>
      <c r="I781" s="141" t="n"/>
      <c r="J781" s="141" t="n"/>
      <c r="K781" s="141" t="n"/>
      <c r="L781" s="141" t="n"/>
      <c r="M781" s="141" t="n"/>
      <c r="N781" s="141" t="n"/>
      <c r="O781" s="141" t="n"/>
      <c r="P781" s="141" t="n"/>
      <c r="Q781" s="141" t="n"/>
      <c r="R781" s="141" t="n"/>
      <c r="S781" s="141" t="n"/>
      <c r="T781" s="141" t="n"/>
      <c r="U781" s="141" t="n"/>
      <c r="V781" s="141" t="n"/>
      <c r="W781" s="141" t="n"/>
      <c r="X781" s="141" t="n"/>
      <c r="Y781" s="136" t="n"/>
      <c r="Z781" s="136" t="n"/>
      <c r="AA781" s="136" t="n"/>
      <c r="AB781" s="136" t="n"/>
      <c r="AC781" s="136" t="n"/>
      <c r="AD781" s="136" t="n"/>
      <c r="AE781" s="136" t="n"/>
      <c r="AF781" s="136" t="n"/>
      <c r="AG781" s="136" t="n"/>
      <c r="AH781" s="136" t="n"/>
      <c r="AI781" s="136" t="n"/>
      <c r="AJ781" s="136" t="n"/>
      <c r="AK781" s="136" t="n"/>
      <c r="AL781" s="136" t="n"/>
      <c r="AM781" s="136" t="n"/>
      <c r="AN781" s="136" t="n"/>
      <c r="AO781" s="136" t="n"/>
      <c r="AP781" s="136" t="n"/>
      <c r="AQ781" s="136" t="n"/>
      <c r="AR781" s="136" t="n"/>
    </row>
    <row r="782" ht="13.5" customHeight="1" s="196">
      <c r="A782" s="136" t="n"/>
      <c r="B782" s="136" t="n"/>
      <c r="C782" s="136" t="n"/>
      <c r="D782" s="141" t="n"/>
      <c r="E782" s="141" t="n"/>
      <c r="F782" s="141" t="n"/>
      <c r="G782" s="141" t="n"/>
      <c r="H782" s="141" t="n"/>
      <c r="I782" s="141" t="n"/>
      <c r="J782" s="141" t="n"/>
      <c r="K782" s="141" t="n"/>
      <c r="L782" s="141" t="n"/>
      <c r="M782" s="141" t="n"/>
      <c r="N782" s="141" t="n"/>
      <c r="O782" s="141" t="n"/>
      <c r="P782" s="141" t="n"/>
      <c r="Q782" s="141" t="n"/>
      <c r="R782" s="141" t="n"/>
      <c r="S782" s="141" t="n"/>
      <c r="T782" s="141" t="n"/>
      <c r="U782" s="141" t="n"/>
      <c r="V782" s="141" t="n"/>
      <c r="W782" s="141" t="n"/>
      <c r="X782" s="141" t="n"/>
      <c r="Y782" s="136" t="n"/>
      <c r="Z782" s="136" t="n"/>
      <c r="AA782" s="136" t="n"/>
      <c r="AB782" s="136" t="n"/>
      <c r="AC782" s="136" t="n"/>
      <c r="AD782" s="136" t="n"/>
      <c r="AE782" s="136" t="n"/>
      <c r="AF782" s="136" t="n"/>
      <c r="AG782" s="136" t="n"/>
      <c r="AH782" s="136" t="n"/>
      <c r="AI782" s="136" t="n"/>
      <c r="AJ782" s="136" t="n"/>
      <c r="AK782" s="136" t="n"/>
      <c r="AL782" s="136" t="n"/>
      <c r="AM782" s="136" t="n"/>
      <c r="AN782" s="136" t="n"/>
      <c r="AO782" s="136" t="n"/>
      <c r="AP782" s="136" t="n"/>
      <c r="AQ782" s="136" t="n"/>
      <c r="AR782" s="136" t="n"/>
    </row>
    <row r="783" ht="13.5" customHeight="1" s="196">
      <c r="A783" s="136" t="n"/>
      <c r="B783" s="136" t="n"/>
      <c r="C783" s="136" t="n"/>
      <c r="D783" s="141" t="n"/>
      <c r="E783" s="141" t="n"/>
      <c r="F783" s="141" t="n"/>
      <c r="G783" s="141" t="n"/>
      <c r="H783" s="141" t="n"/>
      <c r="I783" s="141" t="n"/>
      <c r="J783" s="141" t="n"/>
      <c r="K783" s="141" t="n"/>
      <c r="L783" s="141" t="n"/>
      <c r="M783" s="141" t="n"/>
      <c r="N783" s="141" t="n"/>
      <c r="O783" s="141" t="n"/>
      <c r="P783" s="141" t="n"/>
      <c r="Q783" s="141" t="n"/>
      <c r="R783" s="141" t="n"/>
      <c r="S783" s="141" t="n"/>
      <c r="T783" s="141" t="n"/>
      <c r="U783" s="141" t="n"/>
      <c r="V783" s="141" t="n"/>
      <c r="W783" s="141" t="n"/>
      <c r="X783" s="141" t="n"/>
      <c r="Y783" s="136" t="n"/>
      <c r="Z783" s="136" t="n"/>
      <c r="AA783" s="136" t="n"/>
      <c r="AB783" s="136" t="n"/>
      <c r="AC783" s="136" t="n"/>
      <c r="AD783" s="136" t="n"/>
      <c r="AE783" s="136" t="n"/>
      <c r="AF783" s="136" t="n"/>
      <c r="AG783" s="136" t="n"/>
      <c r="AH783" s="136" t="n"/>
      <c r="AI783" s="136" t="n"/>
      <c r="AJ783" s="136" t="n"/>
      <c r="AK783" s="136" t="n"/>
      <c r="AL783" s="136" t="n"/>
      <c r="AM783" s="136" t="n"/>
      <c r="AN783" s="136" t="n"/>
      <c r="AO783" s="136" t="n"/>
      <c r="AP783" s="136" t="n"/>
      <c r="AQ783" s="136" t="n"/>
      <c r="AR783" s="136" t="n"/>
    </row>
    <row r="784" ht="13.5" customHeight="1" s="196">
      <c r="A784" s="136" t="n"/>
      <c r="B784" s="136" t="n"/>
      <c r="C784" s="136" t="n"/>
      <c r="D784" s="141" t="n"/>
      <c r="E784" s="141" t="n"/>
      <c r="F784" s="141" t="n"/>
      <c r="G784" s="141" t="n"/>
      <c r="H784" s="141" t="n"/>
      <c r="I784" s="141" t="n"/>
      <c r="J784" s="141" t="n"/>
      <c r="K784" s="141" t="n"/>
      <c r="L784" s="141" t="n"/>
      <c r="M784" s="141" t="n"/>
      <c r="N784" s="141" t="n"/>
      <c r="O784" s="141" t="n"/>
      <c r="P784" s="141" t="n"/>
      <c r="Q784" s="141" t="n"/>
      <c r="R784" s="141" t="n"/>
      <c r="S784" s="141" t="n"/>
      <c r="T784" s="141" t="n"/>
      <c r="U784" s="141" t="n"/>
      <c r="V784" s="141" t="n"/>
      <c r="W784" s="141" t="n"/>
      <c r="X784" s="141" t="n"/>
      <c r="Y784" s="136" t="n"/>
      <c r="Z784" s="136" t="n"/>
      <c r="AA784" s="136" t="n"/>
      <c r="AB784" s="136" t="n"/>
      <c r="AC784" s="136" t="n"/>
      <c r="AD784" s="136" t="n"/>
      <c r="AE784" s="136" t="n"/>
      <c r="AF784" s="136" t="n"/>
      <c r="AG784" s="136" t="n"/>
      <c r="AH784" s="136" t="n"/>
      <c r="AI784" s="136" t="n"/>
      <c r="AJ784" s="136" t="n"/>
      <c r="AK784" s="136" t="n"/>
      <c r="AL784" s="136" t="n"/>
      <c r="AM784" s="136" t="n"/>
      <c r="AN784" s="136" t="n"/>
      <c r="AO784" s="136" t="n"/>
      <c r="AP784" s="136" t="n"/>
      <c r="AQ784" s="136" t="n"/>
      <c r="AR784" s="136" t="n"/>
    </row>
    <row r="785" ht="13.5" customHeight="1" s="196">
      <c r="A785" s="136" t="n"/>
      <c r="B785" s="136" t="n"/>
      <c r="C785" s="136" t="n"/>
      <c r="D785" s="141" t="n"/>
      <c r="E785" s="141" t="n"/>
      <c r="F785" s="141" t="n"/>
      <c r="G785" s="141" t="n"/>
      <c r="H785" s="141" t="n"/>
      <c r="I785" s="141" t="n"/>
      <c r="J785" s="141" t="n"/>
      <c r="K785" s="141" t="n"/>
      <c r="L785" s="141" t="n"/>
      <c r="M785" s="141" t="n"/>
      <c r="N785" s="141" t="n"/>
      <c r="O785" s="141" t="n"/>
      <c r="P785" s="141" t="n"/>
      <c r="Q785" s="141" t="n"/>
      <c r="R785" s="141" t="n"/>
      <c r="S785" s="141" t="n"/>
      <c r="T785" s="141" t="n"/>
      <c r="U785" s="141" t="n"/>
      <c r="V785" s="141" t="n"/>
      <c r="W785" s="141" t="n"/>
      <c r="X785" s="141" t="n"/>
      <c r="Y785" s="136" t="n"/>
      <c r="Z785" s="136" t="n"/>
      <c r="AA785" s="136" t="n"/>
      <c r="AB785" s="136" t="n"/>
      <c r="AC785" s="136" t="n"/>
      <c r="AD785" s="136" t="n"/>
      <c r="AE785" s="136" t="n"/>
      <c r="AF785" s="136" t="n"/>
      <c r="AG785" s="136" t="n"/>
      <c r="AH785" s="136" t="n"/>
      <c r="AI785" s="136" t="n"/>
      <c r="AJ785" s="136" t="n"/>
      <c r="AK785" s="136" t="n"/>
      <c r="AL785" s="136" t="n"/>
      <c r="AM785" s="136" t="n"/>
      <c r="AN785" s="136" t="n"/>
      <c r="AO785" s="136" t="n"/>
      <c r="AP785" s="136" t="n"/>
      <c r="AQ785" s="136" t="n"/>
      <c r="AR785" s="136" t="n"/>
    </row>
    <row r="786" ht="13.5" customHeight="1" s="196">
      <c r="A786" s="136" t="n"/>
      <c r="B786" s="136" t="n"/>
      <c r="C786" s="136" t="n"/>
      <c r="D786" s="141" t="n"/>
      <c r="E786" s="141" t="n"/>
      <c r="F786" s="141" t="n"/>
      <c r="G786" s="141" t="n"/>
      <c r="H786" s="141" t="n"/>
      <c r="I786" s="141" t="n"/>
      <c r="J786" s="141" t="n"/>
      <c r="K786" s="141" t="n"/>
      <c r="L786" s="141" t="n"/>
      <c r="M786" s="141" t="n"/>
      <c r="N786" s="141" t="n"/>
      <c r="O786" s="141" t="n"/>
      <c r="P786" s="141" t="n"/>
      <c r="Q786" s="141" t="n"/>
      <c r="R786" s="141" t="n"/>
      <c r="S786" s="141" t="n"/>
      <c r="T786" s="141" t="n"/>
      <c r="U786" s="141" t="n"/>
      <c r="V786" s="141" t="n"/>
      <c r="W786" s="141" t="n"/>
      <c r="X786" s="141" t="n"/>
      <c r="Y786" s="136" t="n"/>
      <c r="Z786" s="136" t="n"/>
      <c r="AA786" s="136" t="n"/>
      <c r="AB786" s="136" t="n"/>
      <c r="AC786" s="136" t="n"/>
      <c r="AD786" s="136" t="n"/>
      <c r="AE786" s="136" t="n"/>
      <c r="AF786" s="136" t="n"/>
      <c r="AG786" s="136" t="n"/>
      <c r="AH786" s="136" t="n"/>
      <c r="AI786" s="136" t="n"/>
      <c r="AJ786" s="136" t="n"/>
      <c r="AK786" s="136" t="n"/>
      <c r="AL786" s="136" t="n"/>
      <c r="AM786" s="136" t="n"/>
      <c r="AN786" s="136" t="n"/>
      <c r="AO786" s="136" t="n"/>
      <c r="AP786" s="136" t="n"/>
      <c r="AQ786" s="136" t="n"/>
      <c r="AR786" s="136" t="n"/>
    </row>
    <row r="787" ht="13.5" customHeight="1" s="196">
      <c r="A787" s="136" t="n"/>
      <c r="B787" s="136" t="n"/>
      <c r="C787" s="136" t="n"/>
      <c r="D787" s="141" t="n"/>
      <c r="E787" s="141" t="n"/>
      <c r="F787" s="141" t="n"/>
      <c r="G787" s="141" t="n"/>
      <c r="H787" s="141" t="n"/>
      <c r="I787" s="141" t="n"/>
      <c r="J787" s="141" t="n"/>
      <c r="K787" s="141" t="n"/>
      <c r="L787" s="141" t="n"/>
      <c r="M787" s="141" t="n"/>
      <c r="N787" s="141" t="n"/>
      <c r="O787" s="141" t="n"/>
      <c r="P787" s="141" t="n"/>
      <c r="Q787" s="141" t="n"/>
      <c r="R787" s="141" t="n"/>
      <c r="S787" s="141" t="n"/>
      <c r="T787" s="141" t="n"/>
      <c r="U787" s="141" t="n"/>
      <c r="V787" s="141" t="n"/>
      <c r="W787" s="141" t="n"/>
      <c r="X787" s="141" t="n"/>
      <c r="Y787" s="136" t="n"/>
      <c r="Z787" s="136" t="n"/>
      <c r="AA787" s="136" t="n"/>
      <c r="AB787" s="136" t="n"/>
      <c r="AC787" s="136" t="n"/>
      <c r="AD787" s="136" t="n"/>
      <c r="AE787" s="136" t="n"/>
      <c r="AF787" s="136" t="n"/>
      <c r="AG787" s="136" t="n"/>
      <c r="AH787" s="136" t="n"/>
      <c r="AI787" s="136" t="n"/>
      <c r="AJ787" s="136" t="n"/>
      <c r="AK787" s="136" t="n"/>
      <c r="AL787" s="136" t="n"/>
      <c r="AM787" s="136" t="n"/>
      <c r="AN787" s="136" t="n"/>
      <c r="AO787" s="136" t="n"/>
      <c r="AP787" s="136" t="n"/>
      <c r="AQ787" s="136" t="n"/>
      <c r="AR787" s="136" t="n"/>
    </row>
    <row r="788" ht="13.5" customHeight="1" s="196">
      <c r="A788" s="136" t="n"/>
      <c r="B788" s="136" t="n"/>
      <c r="C788" s="136" t="n"/>
      <c r="D788" s="141" t="n"/>
      <c r="E788" s="141" t="n"/>
      <c r="F788" s="141" t="n"/>
      <c r="G788" s="141" t="n"/>
      <c r="H788" s="141" t="n"/>
      <c r="I788" s="141" t="n"/>
      <c r="J788" s="141" t="n"/>
      <c r="K788" s="141" t="n"/>
      <c r="L788" s="141" t="n"/>
      <c r="M788" s="141" t="n"/>
      <c r="N788" s="141" t="n"/>
      <c r="O788" s="141" t="n"/>
      <c r="P788" s="141" t="n"/>
      <c r="Q788" s="141" t="n"/>
      <c r="R788" s="141" t="n"/>
      <c r="S788" s="141" t="n"/>
      <c r="T788" s="141" t="n"/>
      <c r="U788" s="141" t="n"/>
      <c r="V788" s="141" t="n"/>
      <c r="W788" s="141" t="n"/>
      <c r="X788" s="141" t="n"/>
      <c r="Y788" s="136" t="n"/>
      <c r="Z788" s="136" t="n"/>
      <c r="AA788" s="136" t="n"/>
      <c r="AB788" s="136" t="n"/>
      <c r="AC788" s="136" t="n"/>
      <c r="AD788" s="136" t="n"/>
      <c r="AE788" s="136" t="n"/>
      <c r="AF788" s="136" t="n"/>
      <c r="AG788" s="136" t="n"/>
      <c r="AH788" s="136" t="n"/>
      <c r="AI788" s="136" t="n"/>
      <c r="AJ788" s="136" t="n"/>
      <c r="AK788" s="136" t="n"/>
      <c r="AL788" s="136" t="n"/>
      <c r="AM788" s="136" t="n"/>
      <c r="AN788" s="136" t="n"/>
      <c r="AO788" s="136" t="n"/>
      <c r="AP788" s="136" t="n"/>
      <c r="AQ788" s="136" t="n"/>
      <c r="AR788" s="136" t="n"/>
    </row>
    <row r="789" ht="13.5" customHeight="1" s="196">
      <c r="A789" s="136" t="n"/>
      <c r="B789" s="136" t="n"/>
      <c r="C789" s="136" t="n"/>
      <c r="D789" s="141" t="n"/>
      <c r="E789" s="141" t="n"/>
      <c r="F789" s="141" t="n"/>
      <c r="G789" s="141" t="n"/>
      <c r="H789" s="141" t="n"/>
      <c r="I789" s="141" t="n"/>
      <c r="J789" s="141" t="n"/>
      <c r="K789" s="141" t="n"/>
      <c r="L789" s="141" t="n"/>
      <c r="M789" s="141" t="n"/>
      <c r="N789" s="141" t="n"/>
      <c r="O789" s="141" t="n"/>
      <c r="P789" s="141" t="n"/>
      <c r="Q789" s="141" t="n"/>
      <c r="R789" s="141" t="n"/>
      <c r="S789" s="141" t="n"/>
      <c r="T789" s="141" t="n"/>
      <c r="U789" s="141" t="n"/>
      <c r="V789" s="141" t="n"/>
      <c r="W789" s="141" t="n"/>
      <c r="X789" s="141" t="n"/>
      <c r="Y789" s="136" t="n"/>
      <c r="Z789" s="136" t="n"/>
      <c r="AA789" s="136" t="n"/>
      <c r="AB789" s="136" t="n"/>
      <c r="AC789" s="136" t="n"/>
      <c r="AD789" s="136" t="n"/>
      <c r="AE789" s="136" t="n"/>
      <c r="AF789" s="136" t="n"/>
      <c r="AG789" s="136" t="n"/>
      <c r="AH789" s="136" t="n"/>
      <c r="AI789" s="136" t="n"/>
      <c r="AJ789" s="136" t="n"/>
      <c r="AK789" s="136" t="n"/>
      <c r="AL789" s="136" t="n"/>
      <c r="AM789" s="136" t="n"/>
      <c r="AN789" s="136" t="n"/>
      <c r="AO789" s="136" t="n"/>
      <c r="AP789" s="136" t="n"/>
      <c r="AQ789" s="136" t="n"/>
      <c r="AR789" s="136" t="n"/>
    </row>
    <row r="790" ht="13.5" customHeight="1" s="196">
      <c r="A790" s="136" t="n"/>
      <c r="B790" s="136" t="n"/>
      <c r="C790" s="136" t="n"/>
      <c r="D790" s="141" t="n"/>
      <c r="E790" s="141" t="n"/>
      <c r="F790" s="141" t="n"/>
      <c r="G790" s="141" t="n"/>
      <c r="H790" s="141" t="n"/>
      <c r="I790" s="141" t="n"/>
      <c r="J790" s="141" t="n"/>
      <c r="K790" s="141" t="n"/>
      <c r="L790" s="141" t="n"/>
      <c r="M790" s="141" t="n"/>
      <c r="N790" s="141" t="n"/>
      <c r="O790" s="141" t="n"/>
      <c r="P790" s="141" t="n"/>
      <c r="Q790" s="141" t="n"/>
      <c r="R790" s="141" t="n"/>
      <c r="S790" s="141" t="n"/>
      <c r="T790" s="141" t="n"/>
      <c r="U790" s="141" t="n"/>
      <c r="V790" s="141" t="n"/>
      <c r="W790" s="141" t="n"/>
      <c r="X790" s="141" t="n"/>
      <c r="Y790" s="136" t="n"/>
      <c r="Z790" s="136" t="n"/>
      <c r="AA790" s="136" t="n"/>
      <c r="AB790" s="136" t="n"/>
      <c r="AC790" s="136" t="n"/>
      <c r="AD790" s="136" t="n"/>
      <c r="AE790" s="136" t="n"/>
      <c r="AF790" s="136" t="n"/>
      <c r="AG790" s="136" t="n"/>
      <c r="AH790" s="136" t="n"/>
      <c r="AI790" s="136" t="n"/>
      <c r="AJ790" s="136" t="n"/>
      <c r="AK790" s="136" t="n"/>
      <c r="AL790" s="136" t="n"/>
      <c r="AM790" s="136" t="n"/>
      <c r="AN790" s="136" t="n"/>
      <c r="AO790" s="136" t="n"/>
      <c r="AP790" s="136" t="n"/>
      <c r="AQ790" s="136" t="n"/>
      <c r="AR790" s="136" t="n"/>
    </row>
    <row r="791" ht="13.5" customHeight="1" s="196">
      <c r="A791" s="136" t="n"/>
      <c r="B791" s="136" t="n"/>
      <c r="C791" s="136" t="n"/>
      <c r="D791" s="141" t="n"/>
      <c r="E791" s="141" t="n"/>
      <c r="F791" s="141" t="n"/>
      <c r="G791" s="141" t="n"/>
      <c r="H791" s="141" t="n"/>
      <c r="I791" s="141" t="n"/>
      <c r="J791" s="141" t="n"/>
      <c r="K791" s="141" t="n"/>
      <c r="L791" s="141" t="n"/>
      <c r="M791" s="141" t="n"/>
      <c r="N791" s="141" t="n"/>
      <c r="O791" s="141" t="n"/>
      <c r="P791" s="141" t="n"/>
      <c r="Q791" s="141" t="n"/>
      <c r="R791" s="141" t="n"/>
      <c r="S791" s="141" t="n"/>
      <c r="T791" s="141" t="n"/>
      <c r="U791" s="141" t="n"/>
      <c r="V791" s="141" t="n"/>
      <c r="W791" s="141" t="n"/>
      <c r="X791" s="141" t="n"/>
      <c r="Y791" s="136" t="n"/>
      <c r="Z791" s="136" t="n"/>
      <c r="AA791" s="136" t="n"/>
      <c r="AB791" s="136" t="n"/>
      <c r="AC791" s="136" t="n"/>
      <c r="AD791" s="136" t="n"/>
      <c r="AE791" s="136" t="n"/>
      <c r="AF791" s="136" t="n"/>
      <c r="AG791" s="136" t="n"/>
      <c r="AH791" s="136" t="n"/>
      <c r="AI791" s="136" t="n"/>
      <c r="AJ791" s="136" t="n"/>
      <c r="AK791" s="136" t="n"/>
      <c r="AL791" s="136" t="n"/>
      <c r="AM791" s="136" t="n"/>
      <c r="AN791" s="136" t="n"/>
      <c r="AO791" s="136" t="n"/>
      <c r="AP791" s="136" t="n"/>
      <c r="AQ791" s="136" t="n"/>
      <c r="AR791" s="136" t="n"/>
    </row>
    <row r="792" ht="13.5" customHeight="1" s="196">
      <c r="A792" s="136" t="n"/>
      <c r="B792" s="136" t="n"/>
      <c r="C792" s="136" t="n"/>
      <c r="D792" s="141" t="n"/>
      <c r="E792" s="141" t="n"/>
      <c r="F792" s="141" t="n"/>
      <c r="G792" s="141" t="n"/>
      <c r="H792" s="141" t="n"/>
      <c r="I792" s="141" t="n"/>
      <c r="J792" s="141" t="n"/>
      <c r="K792" s="141" t="n"/>
      <c r="L792" s="141" t="n"/>
      <c r="M792" s="141" t="n"/>
      <c r="N792" s="141" t="n"/>
      <c r="O792" s="141" t="n"/>
      <c r="P792" s="141" t="n"/>
      <c r="Q792" s="141" t="n"/>
      <c r="R792" s="141" t="n"/>
      <c r="S792" s="141" t="n"/>
      <c r="T792" s="141" t="n"/>
      <c r="U792" s="141" t="n"/>
      <c r="V792" s="141" t="n"/>
      <c r="W792" s="141" t="n"/>
      <c r="X792" s="141" t="n"/>
      <c r="Y792" s="136" t="n"/>
      <c r="Z792" s="136" t="n"/>
      <c r="AA792" s="136" t="n"/>
      <c r="AB792" s="136" t="n"/>
      <c r="AC792" s="136" t="n"/>
      <c r="AD792" s="136" t="n"/>
      <c r="AE792" s="136" t="n"/>
      <c r="AF792" s="136" t="n"/>
      <c r="AG792" s="136" t="n"/>
      <c r="AH792" s="136" t="n"/>
      <c r="AI792" s="136" t="n"/>
      <c r="AJ792" s="136" t="n"/>
      <c r="AK792" s="136" t="n"/>
      <c r="AL792" s="136" t="n"/>
      <c r="AM792" s="136" t="n"/>
      <c r="AN792" s="136" t="n"/>
      <c r="AO792" s="136" t="n"/>
      <c r="AP792" s="136" t="n"/>
      <c r="AQ792" s="136" t="n"/>
      <c r="AR792" s="136" t="n"/>
    </row>
    <row r="793" ht="13.5" customHeight="1" s="196">
      <c r="A793" s="136" t="n"/>
      <c r="B793" s="136" t="n"/>
      <c r="C793" s="136" t="n"/>
      <c r="D793" s="141" t="n"/>
      <c r="E793" s="141" t="n"/>
      <c r="F793" s="141" t="n"/>
      <c r="G793" s="141" t="n"/>
      <c r="H793" s="141" t="n"/>
      <c r="I793" s="141" t="n"/>
      <c r="J793" s="141" t="n"/>
      <c r="K793" s="141" t="n"/>
      <c r="L793" s="141" t="n"/>
      <c r="M793" s="141" t="n"/>
      <c r="N793" s="141" t="n"/>
      <c r="O793" s="141" t="n"/>
      <c r="P793" s="141" t="n"/>
      <c r="Q793" s="141" t="n"/>
      <c r="R793" s="141" t="n"/>
      <c r="S793" s="141" t="n"/>
      <c r="T793" s="141" t="n"/>
      <c r="U793" s="141" t="n"/>
      <c r="V793" s="141" t="n"/>
      <c r="W793" s="141" t="n"/>
      <c r="X793" s="141" t="n"/>
      <c r="Y793" s="136" t="n"/>
      <c r="Z793" s="136" t="n"/>
      <c r="AA793" s="136" t="n"/>
      <c r="AB793" s="136" t="n"/>
      <c r="AC793" s="136" t="n"/>
      <c r="AD793" s="136" t="n"/>
      <c r="AE793" s="136" t="n"/>
      <c r="AF793" s="136" t="n"/>
      <c r="AG793" s="136" t="n"/>
      <c r="AH793" s="136" t="n"/>
      <c r="AI793" s="136" t="n"/>
      <c r="AJ793" s="136" t="n"/>
      <c r="AK793" s="136" t="n"/>
      <c r="AL793" s="136" t="n"/>
      <c r="AM793" s="136" t="n"/>
      <c r="AN793" s="136" t="n"/>
      <c r="AO793" s="136" t="n"/>
      <c r="AP793" s="136" t="n"/>
      <c r="AQ793" s="136" t="n"/>
      <c r="AR793" s="136" t="n"/>
    </row>
    <row r="794" ht="13.5" customHeight="1" s="196">
      <c r="A794" s="136" t="n"/>
      <c r="B794" s="136" t="n"/>
      <c r="C794" s="136" t="n"/>
      <c r="D794" s="141" t="n"/>
      <c r="E794" s="141" t="n"/>
      <c r="F794" s="141" t="n"/>
      <c r="G794" s="141" t="n"/>
      <c r="H794" s="141" t="n"/>
      <c r="I794" s="141" t="n"/>
      <c r="J794" s="141" t="n"/>
      <c r="K794" s="141" t="n"/>
      <c r="L794" s="141" t="n"/>
      <c r="M794" s="141" t="n"/>
      <c r="N794" s="141" t="n"/>
      <c r="O794" s="141" t="n"/>
      <c r="P794" s="141" t="n"/>
      <c r="Q794" s="141" t="n"/>
      <c r="R794" s="141" t="n"/>
      <c r="S794" s="141" t="n"/>
      <c r="T794" s="141" t="n"/>
      <c r="U794" s="141" t="n"/>
      <c r="V794" s="141" t="n"/>
      <c r="W794" s="141" t="n"/>
      <c r="X794" s="141" t="n"/>
      <c r="Y794" s="136" t="n"/>
      <c r="Z794" s="136" t="n"/>
      <c r="AA794" s="136" t="n"/>
      <c r="AB794" s="136" t="n"/>
      <c r="AC794" s="136" t="n"/>
      <c r="AD794" s="136" t="n"/>
      <c r="AE794" s="136" t="n"/>
      <c r="AF794" s="136" t="n"/>
      <c r="AG794" s="136" t="n"/>
      <c r="AH794" s="136" t="n"/>
      <c r="AI794" s="136" t="n"/>
      <c r="AJ794" s="136" t="n"/>
      <c r="AK794" s="136" t="n"/>
      <c r="AL794" s="136" t="n"/>
      <c r="AM794" s="136" t="n"/>
      <c r="AN794" s="136" t="n"/>
      <c r="AO794" s="136" t="n"/>
      <c r="AP794" s="136" t="n"/>
      <c r="AQ794" s="136" t="n"/>
      <c r="AR794" s="136" t="n"/>
    </row>
    <row r="795" ht="13.5" customHeight="1" s="196">
      <c r="A795" s="136" t="n"/>
      <c r="B795" s="136" t="n"/>
      <c r="C795" s="136" t="n"/>
      <c r="D795" s="141" t="n"/>
      <c r="E795" s="141" t="n"/>
      <c r="F795" s="141" t="n"/>
      <c r="G795" s="141" t="n"/>
      <c r="H795" s="141" t="n"/>
      <c r="I795" s="141" t="n"/>
      <c r="J795" s="141" t="n"/>
      <c r="K795" s="141" t="n"/>
      <c r="L795" s="141" t="n"/>
      <c r="M795" s="141" t="n"/>
      <c r="N795" s="141" t="n"/>
      <c r="O795" s="141" t="n"/>
      <c r="P795" s="141" t="n"/>
      <c r="Q795" s="141" t="n"/>
      <c r="R795" s="141" t="n"/>
      <c r="S795" s="141" t="n"/>
      <c r="T795" s="141" t="n"/>
      <c r="U795" s="141" t="n"/>
      <c r="V795" s="141" t="n"/>
      <c r="W795" s="141" t="n"/>
      <c r="X795" s="141" t="n"/>
      <c r="Y795" s="136" t="n"/>
      <c r="Z795" s="136" t="n"/>
      <c r="AA795" s="136" t="n"/>
      <c r="AB795" s="136" t="n"/>
      <c r="AC795" s="136" t="n"/>
      <c r="AD795" s="136" t="n"/>
      <c r="AE795" s="136" t="n"/>
      <c r="AF795" s="136" t="n"/>
      <c r="AG795" s="136" t="n"/>
      <c r="AH795" s="136" t="n"/>
      <c r="AI795" s="136" t="n"/>
      <c r="AJ795" s="136" t="n"/>
      <c r="AK795" s="136" t="n"/>
      <c r="AL795" s="136" t="n"/>
      <c r="AM795" s="136" t="n"/>
      <c r="AN795" s="136" t="n"/>
      <c r="AO795" s="136" t="n"/>
      <c r="AP795" s="136" t="n"/>
      <c r="AQ795" s="136" t="n"/>
      <c r="AR795" s="136" t="n"/>
    </row>
    <row r="796" ht="13.5" customHeight="1" s="196">
      <c r="A796" s="136" t="n"/>
      <c r="B796" s="136" t="n"/>
      <c r="C796" s="136" t="n"/>
      <c r="D796" s="141" t="n"/>
      <c r="E796" s="141" t="n"/>
      <c r="F796" s="141" t="n"/>
      <c r="G796" s="141" t="n"/>
      <c r="H796" s="141" t="n"/>
      <c r="I796" s="141" t="n"/>
      <c r="J796" s="141" t="n"/>
      <c r="K796" s="141" t="n"/>
      <c r="L796" s="141" t="n"/>
      <c r="M796" s="141" t="n"/>
      <c r="N796" s="141" t="n"/>
      <c r="O796" s="141" t="n"/>
      <c r="P796" s="141" t="n"/>
      <c r="Q796" s="141" t="n"/>
      <c r="R796" s="141" t="n"/>
      <c r="S796" s="141" t="n"/>
      <c r="T796" s="141" t="n"/>
      <c r="U796" s="141" t="n"/>
      <c r="V796" s="141" t="n"/>
      <c r="W796" s="141" t="n"/>
      <c r="X796" s="141" t="n"/>
      <c r="Y796" s="136" t="n"/>
      <c r="Z796" s="136" t="n"/>
      <c r="AA796" s="136" t="n"/>
      <c r="AB796" s="136" t="n"/>
      <c r="AC796" s="136" t="n"/>
      <c r="AD796" s="136" t="n"/>
      <c r="AE796" s="136" t="n"/>
      <c r="AF796" s="136" t="n"/>
      <c r="AG796" s="136" t="n"/>
      <c r="AH796" s="136" t="n"/>
      <c r="AI796" s="136" t="n"/>
      <c r="AJ796" s="136" t="n"/>
      <c r="AK796" s="136" t="n"/>
      <c r="AL796" s="136" t="n"/>
      <c r="AM796" s="136" t="n"/>
      <c r="AN796" s="136" t="n"/>
      <c r="AO796" s="136" t="n"/>
      <c r="AP796" s="136" t="n"/>
      <c r="AQ796" s="136" t="n"/>
      <c r="AR796" s="136" t="n"/>
    </row>
    <row r="797" ht="13.5" customHeight="1" s="196">
      <c r="A797" s="136" t="n"/>
      <c r="B797" s="136" t="n"/>
      <c r="C797" s="136" t="n"/>
      <c r="D797" s="141" t="n"/>
      <c r="E797" s="141" t="n"/>
      <c r="F797" s="141" t="n"/>
      <c r="G797" s="141" t="n"/>
      <c r="H797" s="141" t="n"/>
      <c r="I797" s="141" t="n"/>
      <c r="J797" s="141" t="n"/>
      <c r="K797" s="141" t="n"/>
      <c r="L797" s="141" t="n"/>
      <c r="M797" s="141" t="n"/>
      <c r="N797" s="141" t="n"/>
      <c r="O797" s="141" t="n"/>
      <c r="P797" s="141" t="n"/>
      <c r="Q797" s="141" t="n"/>
      <c r="R797" s="141" t="n"/>
      <c r="S797" s="141" t="n"/>
      <c r="T797" s="141" t="n"/>
      <c r="U797" s="141" t="n"/>
      <c r="V797" s="141" t="n"/>
      <c r="W797" s="141" t="n"/>
      <c r="X797" s="141" t="n"/>
      <c r="Y797" s="136" t="n"/>
      <c r="Z797" s="136" t="n"/>
      <c r="AA797" s="136" t="n"/>
      <c r="AB797" s="136" t="n"/>
      <c r="AC797" s="136" t="n"/>
      <c r="AD797" s="136" t="n"/>
      <c r="AE797" s="136" t="n"/>
      <c r="AF797" s="136" t="n"/>
      <c r="AG797" s="136" t="n"/>
      <c r="AH797" s="136" t="n"/>
      <c r="AI797" s="136" t="n"/>
      <c r="AJ797" s="136" t="n"/>
      <c r="AK797" s="136" t="n"/>
      <c r="AL797" s="136" t="n"/>
      <c r="AM797" s="136" t="n"/>
      <c r="AN797" s="136" t="n"/>
      <c r="AO797" s="136" t="n"/>
      <c r="AP797" s="136" t="n"/>
      <c r="AQ797" s="136" t="n"/>
      <c r="AR797" s="136" t="n"/>
    </row>
    <row r="798" ht="13.5" customHeight="1" s="196">
      <c r="A798" s="136" t="n"/>
      <c r="B798" s="136" t="n"/>
      <c r="C798" s="136" t="n"/>
      <c r="D798" s="141" t="n"/>
      <c r="E798" s="141" t="n"/>
      <c r="F798" s="141" t="n"/>
      <c r="G798" s="141" t="n"/>
      <c r="H798" s="141" t="n"/>
      <c r="I798" s="141" t="n"/>
      <c r="J798" s="141" t="n"/>
      <c r="K798" s="141" t="n"/>
      <c r="L798" s="141" t="n"/>
      <c r="M798" s="141" t="n"/>
      <c r="N798" s="141" t="n"/>
      <c r="O798" s="141" t="n"/>
      <c r="P798" s="141" t="n"/>
      <c r="Q798" s="141" t="n"/>
      <c r="R798" s="141" t="n"/>
      <c r="S798" s="141" t="n"/>
      <c r="T798" s="141" t="n"/>
      <c r="U798" s="141" t="n"/>
      <c r="V798" s="141" t="n"/>
      <c r="W798" s="141" t="n"/>
      <c r="X798" s="141" t="n"/>
      <c r="Y798" s="136" t="n"/>
      <c r="Z798" s="136" t="n"/>
      <c r="AA798" s="136" t="n"/>
      <c r="AB798" s="136" t="n"/>
      <c r="AC798" s="136" t="n"/>
      <c r="AD798" s="136" t="n"/>
      <c r="AE798" s="136" t="n"/>
      <c r="AF798" s="136" t="n"/>
      <c r="AG798" s="136" t="n"/>
      <c r="AH798" s="136" t="n"/>
      <c r="AI798" s="136" t="n"/>
      <c r="AJ798" s="136" t="n"/>
      <c r="AK798" s="136" t="n"/>
      <c r="AL798" s="136" t="n"/>
      <c r="AM798" s="136" t="n"/>
      <c r="AN798" s="136" t="n"/>
      <c r="AO798" s="136" t="n"/>
      <c r="AP798" s="136" t="n"/>
      <c r="AQ798" s="136" t="n"/>
      <c r="AR798" s="136" t="n"/>
    </row>
    <row r="799" ht="13.5" customHeight="1" s="196">
      <c r="A799" s="136" t="n"/>
      <c r="B799" s="136" t="n"/>
      <c r="C799" s="136" t="n"/>
      <c r="D799" s="141" t="n"/>
      <c r="E799" s="141" t="n"/>
      <c r="F799" s="141" t="n"/>
      <c r="G799" s="141" t="n"/>
      <c r="H799" s="141" t="n"/>
      <c r="I799" s="141" t="n"/>
      <c r="J799" s="141" t="n"/>
      <c r="K799" s="141" t="n"/>
      <c r="L799" s="141" t="n"/>
      <c r="M799" s="141" t="n"/>
      <c r="N799" s="141" t="n"/>
      <c r="O799" s="141" t="n"/>
      <c r="P799" s="141" t="n"/>
      <c r="Q799" s="141" t="n"/>
      <c r="R799" s="141" t="n"/>
      <c r="S799" s="141" t="n"/>
      <c r="T799" s="141" t="n"/>
      <c r="U799" s="141" t="n"/>
      <c r="V799" s="141" t="n"/>
      <c r="W799" s="141" t="n"/>
      <c r="X799" s="141" t="n"/>
      <c r="Y799" s="136" t="n"/>
      <c r="Z799" s="136" t="n"/>
      <c r="AA799" s="136" t="n"/>
      <c r="AB799" s="136" t="n"/>
      <c r="AC799" s="136" t="n"/>
      <c r="AD799" s="136" t="n"/>
      <c r="AE799" s="136" t="n"/>
      <c r="AF799" s="136" t="n"/>
      <c r="AG799" s="136" t="n"/>
      <c r="AH799" s="136" t="n"/>
      <c r="AI799" s="136" t="n"/>
      <c r="AJ799" s="136" t="n"/>
      <c r="AK799" s="136" t="n"/>
      <c r="AL799" s="136" t="n"/>
      <c r="AM799" s="136" t="n"/>
      <c r="AN799" s="136" t="n"/>
      <c r="AO799" s="136" t="n"/>
      <c r="AP799" s="136" t="n"/>
      <c r="AQ799" s="136" t="n"/>
      <c r="AR799" s="136" t="n"/>
    </row>
    <row r="800" ht="13.5" customHeight="1" s="196">
      <c r="A800" s="136" t="n"/>
      <c r="B800" s="136" t="n"/>
      <c r="C800" s="136" t="n"/>
      <c r="D800" s="141" t="n"/>
      <c r="E800" s="141" t="n"/>
      <c r="F800" s="141" t="n"/>
      <c r="G800" s="141" t="n"/>
      <c r="H800" s="141" t="n"/>
      <c r="I800" s="141" t="n"/>
      <c r="J800" s="141" t="n"/>
      <c r="K800" s="141" t="n"/>
      <c r="L800" s="141" t="n"/>
      <c r="M800" s="141" t="n"/>
      <c r="N800" s="141" t="n"/>
      <c r="O800" s="141" t="n"/>
      <c r="P800" s="141" t="n"/>
      <c r="Q800" s="141" t="n"/>
      <c r="R800" s="141" t="n"/>
      <c r="S800" s="141" t="n"/>
      <c r="T800" s="141" t="n"/>
      <c r="U800" s="141" t="n"/>
      <c r="V800" s="141" t="n"/>
      <c r="W800" s="141" t="n"/>
      <c r="X800" s="141" t="n"/>
      <c r="Y800" s="136" t="n"/>
      <c r="Z800" s="136" t="n"/>
      <c r="AA800" s="136" t="n"/>
      <c r="AB800" s="136" t="n"/>
      <c r="AC800" s="136" t="n"/>
      <c r="AD800" s="136" t="n"/>
      <c r="AE800" s="136" t="n"/>
      <c r="AF800" s="136" t="n"/>
      <c r="AG800" s="136" t="n"/>
      <c r="AH800" s="136" t="n"/>
      <c r="AI800" s="136" t="n"/>
      <c r="AJ800" s="136" t="n"/>
      <c r="AK800" s="136" t="n"/>
      <c r="AL800" s="136" t="n"/>
      <c r="AM800" s="136" t="n"/>
      <c r="AN800" s="136" t="n"/>
      <c r="AO800" s="136" t="n"/>
      <c r="AP800" s="136" t="n"/>
      <c r="AQ800" s="136" t="n"/>
      <c r="AR800" s="136" t="n"/>
    </row>
    <row r="801" ht="13.5" customHeight="1" s="196">
      <c r="A801" s="136" t="n"/>
      <c r="B801" s="136" t="n"/>
      <c r="C801" s="136" t="n"/>
      <c r="D801" s="141" t="n"/>
      <c r="E801" s="141" t="n"/>
      <c r="F801" s="141" t="n"/>
      <c r="G801" s="141" t="n"/>
      <c r="H801" s="141" t="n"/>
      <c r="I801" s="141" t="n"/>
      <c r="J801" s="141" t="n"/>
      <c r="K801" s="141" t="n"/>
      <c r="L801" s="141" t="n"/>
      <c r="M801" s="141" t="n"/>
      <c r="N801" s="141" t="n"/>
      <c r="O801" s="141" t="n"/>
      <c r="P801" s="141" t="n"/>
      <c r="Q801" s="141" t="n"/>
      <c r="R801" s="141" t="n"/>
      <c r="S801" s="141" t="n"/>
      <c r="T801" s="141" t="n"/>
      <c r="U801" s="141" t="n"/>
      <c r="V801" s="141" t="n"/>
      <c r="W801" s="141" t="n"/>
      <c r="X801" s="141" t="n"/>
      <c r="Y801" s="136" t="n"/>
      <c r="Z801" s="136" t="n"/>
      <c r="AA801" s="136" t="n"/>
      <c r="AB801" s="136" t="n"/>
      <c r="AC801" s="136" t="n"/>
      <c r="AD801" s="136" t="n"/>
      <c r="AE801" s="136" t="n"/>
      <c r="AF801" s="136" t="n"/>
      <c r="AG801" s="136" t="n"/>
      <c r="AH801" s="136" t="n"/>
      <c r="AI801" s="136" t="n"/>
      <c r="AJ801" s="136" t="n"/>
      <c r="AK801" s="136" t="n"/>
      <c r="AL801" s="136" t="n"/>
      <c r="AM801" s="136" t="n"/>
      <c r="AN801" s="136" t="n"/>
      <c r="AO801" s="136" t="n"/>
      <c r="AP801" s="136" t="n"/>
      <c r="AQ801" s="136" t="n"/>
      <c r="AR801" s="136" t="n"/>
    </row>
    <row r="802" ht="13.5" customHeight="1" s="196">
      <c r="A802" s="136" t="n"/>
      <c r="B802" s="136" t="n"/>
      <c r="C802" s="136" t="n"/>
      <c r="D802" s="141" t="n"/>
      <c r="E802" s="141" t="n"/>
      <c r="F802" s="141" t="n"/>
      <c r="G802" s="141" t="n"/>
      <c r="H802" s="141" t="n"/>
      <c r="I802" s="141" t="n"/>
      <c r="J802" s="141" t="n"/>
      <c r="K802" s="141" t="n"/>
      <c r="L802" s="141" t="n"/>
      <c r="M802" s="141" t="n"/>
      <c r="N802" s="141" t="n"/>
      <c r="O802" s="141" t="n"/>
      <c r="P802" s="141" t="n"/>
      <c r="Q802" s="141" t="n"/>
      <c r="R802" s="141" t="n"/>
      <c r="S802" s="141" t="n"/>
      <c r="T802" s="141" t="n"/>
      <c r="U802" s="141" t="n"/>
      <c r="V802" s="141" t="n"/>
      <c r="W802" s="141" t="n"/>
      <c r="X802" s="141" t="n"/>
      <c r="Y802" s="136" t="n"/>
      <c r="Z802" s="136" t="n"/>
      <c r="AA802" s="136" t="n"/>
      <c r="AB802" s="136" t="n"/>
      <c r="AC802" s="136" t="n"/>
      <c r="AD802" s="136" t="n"/>
      <c r="AE802" s="136" t="n"/>
      <c r="AF802" s="136" t="n"/>
      <c r="AG802" s="136" t="n"/>
      <c r="AH802" s="136" t="n"/>
      <c r="AI802" s="136" t="n"/>
      <c r="AJ802" s="136" t="n"/>
      <c r="AK802" s="136" t="n"/>
      <c r="AL802" s="136" t="n"/>
      <c r="AM802" s="136" t="n"/>
      <c r="AN802" s="136" t="n"/>
      <c r="AO802" s="136" t="n"/>
      <c r="AP802" s="136" t="n"/>
      <c r="AQ802" s="136" t="n"/>
      <c r="AR802" s="136" t="n"/>
    </row>
    <row r="803" ht="13.5" customHeight="1" s="196">
      <c r="A803" s="136" t="n"/>
      <c r="B803" s="136" t="n"/>
      <c r="C803" s="136" t="n"/>
      <c r="D803" s="141" t="n"/>
      <c r="E803" s="141" t="n"/>
      <c r="F803" s="141" t="n"/>
      <c r="G803" s="141" t="n"/>
      <c r="H803" s="141" t="n"/>
      <c r="I803" s="141" t="n"/>
      <c r="J803" s="141" t="n"/>
      <c r="K803" s="141" t="n"/>
      <c r="L803" s="141" t="n"/>
      <c r="M803" s="141" t="n"/>
      <c r="N803" s="141" t="n"/>
      <c r="O803" s="141" t="n"/>
      <c r="P803" s="141" t="n"/>
      <c r="Q803" s="141" t="n"/>
      <c r="R803" s="141" t="n"/>
      <c r="S803" s="141" t="n"/>
      <c r="T803" s="141" t="n"/>
      <c r="U803" s="141" t="n"/>
      <c r="V803" s="141" t="n"/>
      <c r="W803" s="141" t="n"/>
      <c r="X803" s="141" t="n"/>
      <c r="Y803" s="136" t="n"/>
      <c r="Z803" s="136" t="n"/>
      <c r="AA803" s="136" t="n"/>
      <c r="AB803" s="136" t="n"/>
      <c r="AC803" s="136" t="n"/>
      <c r="AD803" s="136" t="n"/>
      <c r="AE803" s="136" t="n"/>
      <c r="AF803" s="136" t="n"/>
      <c r="AG803" s="136" t="n"/>
      <c r="AH803" s="136" t="n"/>
      <c r="AI803" s="136" t="n"/>
      <c r="AJ803" s="136" t="n"/>
      <c r="AK803" s="136" t="n"/>
      <c r="AL803" s="136" t="n"/>
      <c r="AM803" s="136" t="n"/>
      <c r="AN803" s="136" t="n"/>
      <c r="AO803" s="136" t="n"/>
      <c r="AP803" s="136" t="n"/>
      <c r="AQ803" s="136" t="n"/>
      <c r="AR803" s="136" t="n"/>
    </row>
    <row r="804" ht="13.5" customHeight="1" s="196">
      <c r="A804" s="136" t="n"/>
      <c r="B804" s="136" t="n"/>
      <c r="C804" s="136" t="n"/>
      <c r="D804" s="141" t="n"/>
      <c r="E804" s="141" t="n"/>
      <c r="F804" s="141" t="n"/>
      <c r="G804" s="141" t="n"/>
      <c r="H804" s="141" t="n"/>
      <c r="I804" s="141" t="n"/>
      <c r="J804" s="141" t="n"/>
      <c r="K804" s="141" t="n"/>
      <c r="L804" s="141" t="n"/>
      <c r="M804" s="141" t="n"/>
      <c r="N804" s="141" t="n"/>
      <c r="O804" s="141" t="n"/>
      <c r="P804" s="141" t="n"/>
      <c r="Q804" s="141" t="n"/>
      <c r="R804" s="141" t="n"/>
      <c r="S804" s="141" t="n"/>
      <c r="T804" s="141" t="n"/>
      <c r="U804" s="141" t="n"/>
      <c r="V804" s="141" t="n"/>
      <c r="W804" s="141" t="n"/>
      <c r="X804" s="141" t="n"/>
      <c r="Y804" s="136" t="n"/>
      <c r="Z804" s="136" t="n"/>
      <c r="AA804" s="136" t="n"/>
      <c r="AB804" s="136" t="n"/>
      <c r="AC804" s="136" t="n"/>
      <c r="AD804" s="136" t="n"/>
      <c r="AE804" s="136" t="n"/>
      <c r="AF804" s="136" t="n"/>
      <c r="AG804" s="136" t="n"/>
      <c r="AH804" s="136" t="n"/>
      <c r="AI804" s="136" t="n"/>
      <c r="AJ804" s="136" t="n"/>
      <c r="AK804" s="136" t="n"/>
      <c r="AL804" s="136" t="n"/>
      <c r="AM804" s="136" t="n"/>
      <c r="AN804" s="136" t="n"/>
      <c r="AO804" s="136" t="n"/>
      <c r="AP804" s="136" t="n"/>
      <c r="AQ804" s="136" t="n"/>
      <c r="AR804" s="136" t="n"/>
    </row>
    <row r="805" ht="13.5" customHeight="1" s="196">
      <c r="A805" s="136" t="n"/>
      <c r="B805" s="136" t="n"/>
      <c r="C805" s="136" t="n"/>
      <c r="D805" s="141" t="n"/>
      <c r="E805" s="141" t="n"/>
      <c r="F805" s="141" t="n"/>
      <c r="G805" s="141" t="n"/>
      <c r="H805" s="141" t="n"/>
      <c r="I805" s="141" t="n"/>
      <c r="J805" s="141" t="n"/>
      <c r="K805" s="141" t="n"/>
      <c r="L805" s="141" t="n"/>
      <c r="M805" s="141" t="n"/>
      <c r="N805" s="141" t="n"/>
      <c r="O805" s="141" t="n"/>
      <c r="P805" s="141" t="n"/>
      <c r="Q805" s="141" t="n"/>
      <c r="R805" s="141" t="n"/>
      <c r="S805" s="141" t="n"/>
      <c r="T805" s="141" t="n"/>
      <c r="U805" s="141" t="n"/>
      <c r="V805" s="141" t="n"/>
      <c r="W805" s="141" t="n"/>
      <c r="X805" s="141" t="n"/>
      <c r="Y805" s="136" t="n"/>
      <c r="Z805" s="136" t="n"/>
      <c r="AA805" s="136" t="n"/>
      <c r="AB805" s="136" t="n"/>
      <c r="AC805" s="136" t="n"/>
      <c r="AD805" s="136" t="n"/>
      <c r="AE805" s="136" t="n"/>
      <c r="AF805" s="136" t="n"/>
      <c r="AG805" s="136" t="n"/>
      <c r="AH805" s="136" t="n"/>
      <c r="AI805" s="136" t="n"/>
      <c r="AJ805" s="136" t="n"/>
      <c r="AK805" s="136" t="n"/>
      <c r="AL805" s="136" t="n"/>
      <c r="AM805" s="136" t="n"/>
      <c r="AN805" s="136" t="n"/>
      <c r="AO805" s="136" t="n"/>
      <c r="AP805" s="136" t="n"/>
      <c r="AQ805" s="136" t="n"/>
      <c r="AR805" s="136" t="n"/>
    </row>
    <row r="806" ht="13.5" customHeight="1" s="196">
      <c r="A806" s="136" t="n"/>
      <c r="B806" s="136" t="n"/>
      <c r="C806" s="136" t="n"/>
      <c r="D806" s="141" t="n"/>
      <c r="E806" s="141" t="n"/>
      <c r="F806" s="141" t="n"/>
      <c r="G806" s="141" t="n"/>
      <c r="H806" s="141" t="n"/>
      <c r="I806" s="141" t="n"/>
      <c r="J806" s="141" t="n"/>
      <c r="K806" s="141" t="n"/>
      <c r="L806" s="141" t="n"/>
      <c r="M806" s="141" t="n"/>
      <c r="N806" s="141" t="n"/>
      <c r="O806" s="141" t="n"/>
      <c r="P806" s="141" t="n"/>
      <c r="Q806" s="141" t="n"/>
      <c r="R806" s="141" t="n"/>
      <c r="S806" s="141" t="n"/>
      <c r="T806" s="141" t="n"/>
      <c r="U806" s="141" t="n"/>
      <c r="V806" s="141" t="n"/>
      <c r="W806" s="141" t="n"/>
      <c r="X806" s="141" t="n"/>
      <c r="Y806" s="136" t="n"/>
      <c r="Z806" s="136" t="n"/>
      <c r="AA806" s="136" t="n"/>
      <c r="AB806" s="136" t="n"/>
      <c r="AC806" s="136" t="n"/>
      <c r="AD806" s="136" t="n"/>
      <c r="AE806" s="136" t="n"/>
      <c r="AF806" s="136" t="n"/>
      <c r="AG806" s="136" t="n"/>
      <c r="AH806" s="136" t="n"/>
      <c r="AI806" s="136" t="n"/>
      <c r="AJ806" s="136" t="n"/>
      <c r="AK806" s="136" t="n"/>
      <c r="AL806" s="136" t="n"/>
      <c r="AM806" s="136" t="n"/>
      <c r="AN806" s="136" t="n"/>
      <c r="AO806" s="136" t="n"/>
      <c r="AP806" s="136" t="n"/>
      <c r="AQ806" s="136" t="n"/>
      <c r="AR806" s="136" t="n"/>
    </row>
    <row r="807" ht="13.5" customHeight="1" s="196">
      <c r="A807" s="136" t="n"/>
      <c r="B807" s="136" t="n"/>
      <c r="C807" s="136" t="n"/>
      <c r="D807" s="141" t="n"/>
      <c r="E807" s="141" t="n"/>
      <c r="F807" s="141" t="n"/>
      <c r="G807" s="141" t="n"/>
      <c r="H807" s="141" t="n"/>
      <c r="I807" s="141" t="n"/>
      <c r="J807" s="141" t="n"/>
      <c r="K807" s="141" t="n"/>
      <c r="L807" s="141" t="n"/>
      <c r="M807" s="141" t="n"/>
      <c r="N807" s="141" t="n"/>
      <c r="O807" s="141" t="n"/>
      <c r="P807" s="141" t="n"/>
      <c r="Q807" s="141" t="n"/>
      <c r="R807" s="141" t="n"/>
      <c r="S807" s="141" t="n"/>
      <c r="T807" s="141" t="n"/>
      <c r="U807" s="141" t="n"/>
      <c r="V807" s="141" t="n"/>
      <c r="W807" s="141" t="n"/>
      <c r="X807" s="141" t="n"/>
      <c r="Y807" s="136" t="n"/>
      <c r="Z807" s="136" t="n"/>
      <c r="AA807" s="136" t="n"/>
      <c r="AB807" s="136" t="n"/>
      <c r="AC807" s="136" t="n"/>
      <c r="AD807" s="136" t="n"/>
      <c r="AE807" s="136" t="n"/>
      <c r="AF807" s="136" t="n"/>
      <c r="AG807" s="136" t="n"/>
      <c r="AH807" s="136" t="n"/>
      <c r="AI807" s="136" t="n"/>
      <c r="AJ807" s="136" t="n"/>
      <c r="AK807" s="136" t="n"/>
      <c r="AL807" s="136" t="n"/>
      <c r="AM807" s="136" t="n"/>
      <c r="AN807" s="136" t="n"/>
      <c r="AO807" s="136" t="n"/>
      <c r="AP807" s="136" t="n"/>
      <c r="AQ807" s="136" t="n"/>
      <c r="AR807" s="136" t="n"/>
    </row>
    <row r="808" ht="13.5" customHeight="1" s="196">
      <c r="A808" s="136" t="n"/>
      <c r="B808" s="136" t="n"/>
      <c r="C808" s="136" t="n"/>
      <c r="D808" s="141" t="n"/>
      <c r="E808" s="141" t="n"/>
      <c r="F808" s="141" t="n"/>
      <c r="G808" s="141" t="n"/>
      <c r="H808" s="141" t="n"/>
      <c r="I808" s="141" t="n"/>
      <c r="J808" s="141" t="n"/>
      <c r="K808" s="141" t="n"/>
      <c r="L808" s="141" t="n"/>
      <c r="M808" s="141" t="n"/>
      <c r="N808" s="141" t="n"/>
      <c r="O808" s="141" t="n"/>
      <c r="P808" s="141" t="n"/>
      <c r="Q808" s="141" t="n"/>
      <c r="R808" s="141" t="n"/>
      <c r="S808" s="141" t="n"/>
      <c r="T808" s="141" t="n"/>
      <c r="U808" s="141" t="n"/>
      <c r="V808" s="141" t="n"/>
      <c r="W808" s="141" t="n"/>
      <c r="X808" s="141" t="n"/>
      <c r="Y808" s="136" t="n"/>
      <c r="Z808" s="136" t="n"/>
      <c r="AA808" s="136" t="n"/>
      <c r="AB808" s="136" t="n"/>
      <c r="AC808" s="136" t="n"/>
      <c r="AD808" s="136" t="n"/>
      <c r="AE808" s="136" t="n"/>
      <c r="AF808" s="136" t="n"/>
      <c r="AG808" s="136" t="n"/>
      <c r="AH808" s="136" t="n"/>
      <c r="AI808" s="136" t="n"/>
      <c r="AJ808" s="136" t="n"/>
      <c r="AK808" s="136" t="n"/>
      <c r="AL808" s="136" t="n"/>
      <c r="AM808" s="136" t="n"/>
      <c r="AN808" s="136" t="n"/>
      <c r="AO808" s="136" t="n"/>
      <c r="AP808" s="136" t="n"/>
      <c r="AQ808" s="136" t="n"/>
      <c r="AR808" s="136" t="n"/>
    </row>
    <row r="809" ht="13.5" customHeight="1" s="196">
      <c r="A809" s="136" t="n"/>
      <c r="B809" s="136" t="n"/>
      <c r="C809" s="136" t="n"/>
      <c r="D809" s="141" t="n"/>
      <c r="E809" s="141" t="n"/>
      <c r="F809" s="141" t="n"/>
      <c r="G809" s="141" t="n"/>
      <c r="H809" s="141" t="n"/>
      <c r="I809" s="141" t="n"/>
      <c r="J809" s="141" t="n"/>
      <c r="K809" s="141" t="n"/>
      <c r="L809" s="141" t="n"/>
      <c r="M809" s="141" t="n"/>
      <c r="N809" s="141" t="n"/>
      <c r="O809" s="141" t="n"/>
      <c r="P809" s="141" t="n"/>
      <c r="Q809" s="141" t="n"/>
      <c r="R809" s="141" t="n"/>
      <c r="S809" s="141" t="n"/>
      <c r="T809" s="141" t="n"/>
      <c r="U809" s="141" t="n"/>
      <c r="V809" s="141" t="n"/>
      <c r="W809" s="141" t="n"/>
      <c r="X809" s="141" t="n"/>
      <c r="Y809" s="136" t="n"/>
      <c r="Z809" s="136" t="n"/>
      <c r="AA809" s="136" t="n"/>
      <c r="AB809" s="136" t="n"/>
      <c r="AC809" s="136" t="n"/>
      <c r="AD809" s="136" t="n"/>
      <c r="AE809" s="136" t="n"/>
      <c r="AF809" s="136" t="n"/>
      <c r="AG809" s="136" t="n"/>
      <c r="AH809" s="136" t="n"/>
      <c r="AI809" s="136" t="n"/>
      <c r="AJ809" s="136" t="n"/>
      <c r="AK809" s="136" t="n"/>
      <c r="AL809" s="136" t="n"/>
      <c r="AM809" s="136" t="n"/>
      <c r="AN809" s="136" t="n"/>
      <c r="AO809" s="136" t="n"/>
      <c r="AP809" s="136" t="n"/>
      <c r="AQ809" s="136" t="n"/>
      <c r="AR809" s="136" t="n"/>
    </row>
    <row r="810" ht="13.5" customHeight="1" s="196">
      <c r="A810" s="136" t="n"/>
      <c r="B810" s="136" t="n"/>
      <c r="C810" s="136" t="n"/>
      <c r="D810" s="141" t="n"/>
      <c r="E810" s="141" t="n"/>
      <c r="F810" s="141" t="n"/>
      <c r="G810" s="141" t="n"/>
      <c r="H810" s="141" t="n"/>
      <c r="I810" s="141" t="n"/>
      <c r="J810" s="141" t="n"/>
      <c r="K810" s="141" t="n"/>
      <c r="L810" s="141" t="n"/>
      <c r="M810" s="141" t="n"/>
      <c r="N810" s="141" t="n"/>
      <c r="O810" s="141" t="n"/>
      <c r="P810" s="141" t="n"/>
      <c r="Q810" s="141" t="n"/>
      <c r="R810" s="141" t="n"/>
      <c r="S810" s="141" t="n"/>
      <c r="T810" s="141" t="n"/>
      <c r="U810" s="141" t="n"/>
      <c r="V810" s="141" t="n"/>
      <c r="W810" s="141" t="n"/>
      <c r="X810" s="141" t="n"/>
      <c r="Y810" s="136" t="n"/>
      <c r="Z810" s="136" t="n"/>
      <c r="AA810" s="136" t="n"/>
      <c r="AB810" s="136" t="n"/>
      <c r="AC810" s="136" t="n"/>
      <c r="AD810" s="136" t="n"/>
      <c r="AE810" s="136" t="n"/>
      <c r="AF810" s="136" t="n"/>
      <c r="AG810" s="136" t="n"/>
      <c r="AH810" s="136" t="n"/>
      <c r="AI810" s="136" t="n"/>
      <c r="AJ810" s="136" t="n"/>
      <c r="AK810" s="136" t="n"/>
      <c r="AL810" s="136" t="n"/>
      <c r="AM810" s="136" t="n"/>
      <c r="AN810" s="136" t="n"/>
      <c r="AO810" s="136" t="n"/>
      <c r="AP810" s="136" t="n"/>
      <c r="AQ810" s="136" t="n"/>
      <c r="AR810" s="136" t="n"/>
    </row>
    <row r="811" ht="13.5" customHeight="1" s="196">
      <c r="A811" s="136" t="n"/>
      <c r="B811" s="136" t="n"/>
      <c r="C811" s="136" t="n"/>
      <c r="D811" s="141" t="n"/>
      <c r="E811" s="141" t="n"/>
      <c r="F811" s="141" t="n"/>
      <c r="G811" s="141" t="n"/>
      <c r="H811" s="141" t="n"/>
      <c r="I811" s="141" t="n"/>
      <c r="J811" s="141" t="n"/>
      <c r="K811" s="141" t="n"/>
      <c r="L811" s="141" t="n"/>
      <c r="M811" s="141" t="n"/>
      <c r="N811" s="141" t="n"/>
      <c r="O811" s="141" t="n"/>
      <c r="P811" s="141" t="n"/>
      <c r="Q811" s="141" t="n"/>
      <c r="R811" s="141" t="n"/>
      <c r="S811" s="141" t="n"/>
      <c r="T811" s="141" t="n"/>
      <c r="U811" s="141" t="n"/>
      <c r="V811" s="141" t="n"/>
      <c r="W811" s="141" t="n"/>
      <c r="X811" s="141" t="n"/>
      <c r="Y811" s="136" t="n"/>
      <c r="Z811" s="136" t="n"/>
      <c r="AA811" s="136" t="n"/>
      <c r="AB811" s="136" t="n"/>
      <c r="AC811" s="136" t="n"/>
      <c r="AD811" s="136" t="n"/>
      <c r="AE811" s="136" t="n"/>
      <c r="AF811" s="136" t="n"/>
      <c r="AG811" s="136" t="n"/>
      <c r="AH811" s="136" t="n"/>
      <c r="AI811" s="136" t="n"/>
      <c r="AJ811" s="136" t="n"/>
      <c r="AK811" s="136" t="n"/>
      <c r="AL811" s="136" t="n"/>
      <c r="AM811" s="136" t="n"/>
      <c r="AN811" s="136" t="n"/>
      <c r="AO811" s="136" t="n"/>
      <c r="AP811" s="136" t="n"/>
      <c r="AQ811" s="136" t="n"/>
      <c r="AR811" s="136" t="n"/>
    </row>
    <row r="812" ht="13.5" customHeight="1" s="196">
      <c r="A812" s="136" t="n"/>
      <c r="B812" s="136" t="n"/>
      <c r="C812" s="136" t="n"/>
      <c r="D812" s="141" t="n"/>
      <c r="E812" s="141" t="n"/>
      <c r="F812" s="141" t="n"/>
      <c r="G812" s="141" t="n"/>
      <c r="H812" s="141" t="n"/>
      <c r="I812" s="141" t="n"/>
      <c r="J812" s="141" t="n"/>
      <c r="K812" s="141" t="n"/>
      <c r="L812" s="141" t="n"/>
      <c r="M812" s="141" t="n"/>
      <c r="N812" s="141" t="n"/>
      <c r="O812" s="141" t="n"/>
      <c r="P812" s="141" t="n"/>
      <c r="Q812" s="141" t="n"/>
      <c r="R812" s="141" t="n"/>
      <c r="S812" s="141" t="n"/>
      <c r="T812" s="141" t="n"/>
      <c r="U812" s="141" t="n"/>
      <c r="V812" s="141" t="n"/>
      <c r="W812" s="141" t="n"/>
      <c r="X812" s="141" t="n"/>
      <c r="Y812" s="136" t="n"/>
      <c r="Z812" s="136" t="n"/>
      <c r="AA812" s="136" t="n"/>
      <c r="AB812" s="136" t="n"/>
      <c r="AC812" s="136" t="n"/>
      <c r="AD812" s="136" t="n"/>
      <c r="AE812" s="136" t="n"/>
      <c r="AF812" s="136" t="n"/>
      <c r="AG812" s="136" t="n"/>
      <c r="AH812" s="136" t="n"/>
      <c r="AI812" s="136" t="n"/>
      <c r="AJ812" s="136" t="n"/>
      <c r="AK812" s="136" t="n"/>
      <c r="AL812" s="136" t="n"/>
      <c r="AM812" s="136" t="n"/>
      <c r="AN812" s="136" t="n"/>
      <c r="AO812" s="136" t="n"/>
      <c r="AP812" s="136" t="n"/>
      <c r="AQ812" s="136" t="n"/>
      <c r="AR812" s="136" t="n"/>
    </row>
    <row r="813" ht="13.5" customHeight="1" s="196">
      <c r="A813" s="136" t="n"/>
      <c r="B813" s="136" t="n"/>
      <c r="C813" s="136" t="n"/>
      <c r="D813" s="141" t="n"/>
      <c r="E813" s="141" t="n"/>
      <c r="F813" s="141" t="n"/>
      <c r="G813" s="141" t="n"/>
      <c r="H813" s="141" t="n"/>
      <c r="I813" s="141" t="n"/>
      <c r="J813" s="141" t="n"/>
      <c r="K813" s="141" t="n"/>
      <c r="L813" s="141" t="n"/>
      <c r="M813" s="141" t="n"/>
      <c r="N813" s="141" t="n"/>
      <c r="O813" s="141" t="n"/>
      <c r="P813" s="141" t="n"/>
      <c r="Q813" s="141" t="n"/>
      <c r="R813" s="141" t="n"/>
      <c r="S813" s="141" t="n"/>
      <c r="T813" s="141" t="n"/>
      <c r="U813" s="141" t="n"/>
      <c r="V813" s="141" t="n"/>
      <c r="W813" s="141" t="n"/>
      <c r="X813" s="141" t="n"/>
      <c r="Y813" s="136" t="n"/>
      <c r="Z813" s="136" t="n"/>
      <c r="AA813" s="136" t="n"/>
      <c r="AB813" s="136" t="n"/>
      <c r="AC813" s="136" t="n"/>
      <c r="AD813" s="136" t="n"/>
      <c r="AE813" s="136" t="n"/>
      <c r="AF813" s="136" t="n"/>
      <c r="AG813" s="136" t="n"/>
      <c r="AH813" s="136" t="n"/>
      <c r="AI813" s="136" t="n"/>
      <c r="AJ813" s="136" t="n"/>
      <c r="AK813" s="136" t="n"/>
      <c r="AL813" s="136" t="n"/>
      <c r="AM813" s="136" t="n"/>
      <c r="AN813" s="136" t="n"/>
      <c r="AO813" s="136" t="n"/>
      <c r="AP813" s="136" t="n"/>
      <c r="AQ813" s="136" t="n"/>
      <c r="AR813" s="136" t="n"/>
    </row>
    <row r="814" ht="13.5" customHeight="1" s="196">
      <c r="A814" s="136" t="n"/>
      <c r="B814" s="136" t="n"/>
      <c r="C814" s="136" t="n"/>
      <c r="D814" s="141" t="n"/>
      <c r="E814" s="141" t="n"/>
      <c r="F814" s="141" t="n"/>
      <c r="G814" s="141" t="n"/>
      <c r="H814" s="141" t="n"/>
      <c r="I814" s="141" t="n"/>
      <c r="J814" s="141" t="n"/>
      <c r="K814" s="141" t="n"/>
      <c r="L814" s="141" t="n"/>
      <c r="M814" s="141" t="n"/>
      <c r="N814" s="141" t="n"/>
      <c r="O814" s="141" t="n"/>
      <c r="P814" s="141" t="n"/>
      <c r="Q814" s="141" t="n"/>
      <c r="R814" s="141" t="n"/>
      <c r="S814" s="141" t="n"/>
      <c r="T814" s="141" t="n"/>
      <c r="U814" s="141" t="n"/>
      <c r="V814" s="141" t="n"/>
      <c r="W814" s="141" t="n"/>
      <c r="X814" s="141" t="n"/>
      <c r="Y814" s="136" t="n"/>
      <c r="Z814" s="136" t="n"/>
      <c r="AA814" s="136" t="n"/>
      <c r="AB814" s="136" t="n"/>
      <c r="AC814" s="136" t="n"/>
      <c r="AD814" s="136" t="n"/>
      <c r="AE814" s="136" t="n"/>
      <c r="AF814" s="136" t="n"/>
      <c r="AG814" s="136" t="n"/>
      <c r="AH814" s="136" t="n"/>
      <c r="AI814" s="136" t="n"/>
      <c r="AJ814" s="136" t="n"/>
      <c r="AK814" s="136" t="n"/>
      <c r="AL814" s="136" t="n"/>
      <c r="AM814" s="136" t="n"/>
      <c r="AN814" s="136" t="n"/>
      <c r="AO814" s="136" t="n"/>
      <c r="AP814" s="136" t="n"/>
      <c r="AQ814" s="136" t="n"/>
      <c r="AR814" s="136" t="n"/>
    </row>
    <row r="815" ht="13.5" customHeight="1" s="196">
      <c r="A815" s="136" t="n"/>
      <c r="B815" s="136" t="n"/>
      <c r="C815" s="136" t="n"/>
      <c r="D815" s="141" t="n"/>
      <c r="E815" s="141" t="n"/>
      <c r="F815" s="141" t="n"/>
      <c r="G815" s="141" t="n"/>
      <c r="H815" s="141" t="n"/>
      <c r="I815" s="141" t="n"/>
      <c r="J815" s="141" t="n"/>
      <c r="K815" s="141" t="n"/>
      <c r="L815" s="141" t="n"/>
      <c r="M815" s="141" t="n"/>
      <c r="N815" s="141" t="n"/>
      <c r="O815" s="141" t="n"/>
      <c r="P815" s="141" t="n"/>
      <c r="Q815" s="141" t="n"/>
      <c r="R815" s="141" t="n"/>
      <c r="S815" s="141" t="n"/>
      <c r="T815" s="141" t="n"/>
      <c r="U815" s="141" t="n"/>
      <c r="V815" s="141" t="n"/>
      <c r="W815" s="141" t="n"/>
      <c r="X815" s="141" t="n"/>
      <c r="Y815" s="136" t="n"/>
      <c r="Z815" s="136" t="n"/>
      <c r="AA815" s="136" t="n"/>
      <c r="AB815" s="136" t="n"/>
      <c r="AC815" s="136" t="n"/>
      <c r="AD815" s="136" t="n"/>
      <c r="AE815" s="136" t="n"/>
      <c r="AF815" s="136" t="n"/>
      <c r="AG815" s="136" t="n"/>
      <c r="AH815" s="136" t="n"/>
      <c r="AI815" s="136" t="n"/>
      <c r="AJ815" s="136" t="n"/>
      <c r="AK815" s="136" t="n"/>
      <c r="AL815" s="136" t="n"/>
      <c r="AM815" s="136" t="n"/>
      <c r="AN815" s="136" t="n"/>
      <c r="AO815" s="136" t="n"/>
      <c r="AP815" s="136" t="n"/>
      <c r="AQ815" s="136" t="n"/>
      <c r="AR815" s="136" t="n"/>
    </row>
    <row r="816" ht="13.5" customHeight="1" s="196">
      <c r="A816" s="136" t="n"/>
      <c r="B816" s="136" t="n"/>
      <c r="C816" s="136" t="n"/>
      <c r="D816" s="141" t="n"/>
      <c r="E816" s="141" t="n"/>
      <c r="F816" s="141" t="n"/>
      <c r="G816" s="141" t="n"/>
      <c r="H816" s="141" t="n"/>
      <c r="I816" s="141" t="n"/>
      <c r="J816" s="141" t="n"/>
      <c r="K816" s="141" t="n"/>
      <c r="L816" s="141" t="n"/>
      <c r="M816" s="141" t="n"/>
      <c r="N816" s="141" t="n"/>
      <c r="O816" s="141" t="n"/>
      <c r="P816" s="141" t="n"/>
      <c r="Q816" s="141" t="n"/>
      <c r="R816" s="141" t="n"/>
      <c r="S816" s="141" t="n"/>
      <c r="T816" s="141" t="n"/>
      <c r="U816" s="141" t="n"/>
      <c r="V816" s="141" t="n"/>
      <c r="W816" s="141" t="n"/>
      <c r="X816" s="141" t="n"/>
      <c r="Y816" s="136" t="n"/>
      <c r="Z816" s="136" t="n"/>
      <c r="AA816" s="136" t="n"/>
      <c r="AB816" s="136" t="n"/>
      <c r="AC816" s="136" t="n"/>
      <c r="AD816" s="136" t="n"/>
      <c r="AE816" s="136" t="n"/>
      <c r="AF816" s="136" t="n"/>
      <c r="AG816" s="136" t="n"/>
      <c r="AH816" s="136" t="n"/>
      <c r="AI816" s="136" t="n"/>
      <c r="AJ816" s="136" t="n"/>
      <c r="AK816" s="136" t="n"/>
      <c r="AL816" s="136" t="n"/>
      <c r="AM816" s="136" t="n"/>
      <c r="AN816" s="136" t="n"/>
      <c r="AO816" s="136" t="n"/>
      <c r="AP816" s="136" t="n"/>
      <c r="AQ816" s="136" t="n"/>
      <c r="AR816" s="136" t="n"/>
    </row>
    <row r="817" ht="13.5" customHeight="1" s="196">
      <c r="A817" s="136" t="n"/>
      <c r="B817" s="136" t="n"/>
      <c r="C817" s="136" t="n"/>
      <c r="D817" s="141" t="n"/>
      <c r="E817" s="141" t="n"/>
      <c r="F817" s="141" t="n"/>
      <c r="G817" s="141" t="n"/>
      <c r="H817" s="141" t="n"/>
      <c r="I817" s="141" t="n"/>
      <c r="J817" s="141" t="n"/>
      <c r="K817" s="141" t="n"/>
      <c r="L817" s="141" t="n"/>
      <c r="M817" s="141" t="n"/>
      <c r="N817" s="141" t="n"/>
      <c r="O817" s="141" t="n"/>
      <c r="P817" s="141" t="n"/>
      <c r="Q817" s="141" t="n"/>
      <c r="R817" s="141" t="n"/>
      <c r="S817" s="141" t="n"/>
      <c r="T817" s="141" t="n"/>
      <c r="U817" s="141" t="n"/>
      <c r="V817" s="141" t="n"/>
      <c r="W817" s="141" t="n"/>
      <c r="X817" s="141" t="n"/>
      <c r="Y817" s="136" t="n"/>
      <c r="Z817" s="136" t="n"/>
      <c r="AA817" s="136" t="n"/>
      <c r="AB817" s="136" t="n"/>
      <c r="AC817" s="136" t="n"/>
      <c r="AD817" s="136" t="n"/>
      <c r="AE817" s="136" t="n"/>
      <c r="AF817" s="136" t="n"/>
      <c r="AG817" s="136" t="n"/>
      <c r="AH817" s="136" t="n"/>
      <c r="AI817" s="136" t="n"/>
      <c r="AJ817" s="136" t="n"/>
      <c r="AK817" s="136" t="n"/>
      <c r="AL817" s="136" t="n"/>
      <c r="AM817" s="136" t="n"/>
      <c r="AN817" s="136" t="n"/>
      <c r="AO817" s="136" t="n"/>
      <c r="AP817" s="136" t="n"/>
      <c r="AQ817" s="136" t="n"/>
      <c r="AR817" s="136" t="n"/>
    </row>
    <row r="818" ht="13.5" customHeight="1" s="196">
      <c r="A818" s="136" t="n"/>
      <c r="B818" s="136" t="n"/>
      <c r="C818" s="136" t="n"/>
      <c r="D818" s="141" t="n"/>
      <c r="E818" s="141" t="n"/>
      <c r="F818" s="141" t="n"/>
      <c r="G818" s="141" t="n"/>
      <c r="H818" s="141" t="n"/>
      <c r="I818" s="141" t="n"/>
      <c r="J818" s="141" t="n"/>
      <c r="K818" s="141" t="n"/>
      <c r="L818" s="141" t="n"/>
      <c r="M818" s="141" t="n"/>
      <c r="N818" s="141" t="n"/>
      <c r="O818" s="141" t="n"/>
      <c r="P818" s="141" t="n"/>
      <c r="Q818" s="141" t="n"/>
      <c r="R818" s="141" t="n"/>
      <c r="S818" s="141" t="n"/>
      <c r="T818" s="141" t="n"/>
      <c r="U818" s="141" t="n"/>
      <c r="V818" s="141" t="n"/>
      <c r="W818" s="141" t="n"/>
      <c r="X818" s="141" t="n"/>
      <c r="Y818" s="136" t="n"/>
      <c r="Z818" s="136" t="n"/>
      <c r="AA818" s="136" t="n"/>
      <c r="AB818" s="136" t="n"/>
      <c r="AC818" s="136" t="n"/>
      <c r="AD818" s="136" t="n"/>
      <c r="AE818" s="136" t="n"/>
      <c r="AF818" s="136" t="n"/>
      <c r="AG818" s="136" t="n"/>
      <c r="AH818" s="136" t="n"/>
      <c r="AI818" s="136" t="n"/>
      <c r="AJ818" s="136" t="n"/>
      <c r="AK818" s="136" t="n"/>
      <c r="AL818" s="136" t="n"/>
      <c r="AM818" s="136" t="n"/>
      <c r="AN818" s="136" t="n"/>
      <c r="AO818" s="136" t="n"/>
      <c r="AP818" s="136" t="n"/>
      <c r="AQ818" s="136" t="n"/>
      <c r="AR818" s="136" t="n"/>
    </row>
    <row r="819" ht="13.5" customHeight="1" s="196">
      <c r="A819" s="136" t="n"/>
      <c r="B819" s="136" t="n"/>
      <c r="C819" s="136" t="n"/>
      <c r="D819" s="141" t="n"/>
      <c r="E819" s="141" t="n"/>
      <c r="F819" s="141" t="n"/>
      <c r="G819" s="141" t="n"/>
      <c r="H819" s="141" t="n"/>
      <c r="I819" s="141" t="n"/>
      <c r="J819" s="141" t="n"/>
      <c r="K819" s="141" t="n"/>
      <c r="L819" s="141" t="n"/>
      <c r="M819" s="141" t="n"/>
      <c r="N819" s="141" t="n"/>
      <c r="O819" s="141" t="n"/>
      <c r="P819" s="141" t="n"/>
      <c r="Q819" s="141" t="n"/>
      <c r="R819" s="141" t="n"/>
      <c r="S819" s="141" t="n"/>
      <c r="T819" s="141" t="n"/>
      <c r="U819" s="141" t="n"/>
      <c r="V819" s="141" t="n"/>
      <c r="W819" s="141" t="n"/>
      <c r="X819" s="141" t="n"/>
      <c r="Y819" s="136" t="n"/>
      <c r="Z819" s="136" t="n"/>
      <c r="AA819" s="136" t="n"/>
      <c r="AB819" s="136" t="n"/>
      <c r="AC819" s="136" t="n"/>
      <c r="AD819" s="136" t="n"/>
      <c r="AE819" s="136" t="n"/>
      <c r="AF819" s="136" t="n"/>
      <c r="AG819" s="136" t="n"/>
      <c r="AH819" s="136" t="n"/>
      <c r="AI819" s="136" t="n"/>
      <c r="AJ819" s="136" t="n"/>
      <c r="AK819" s="136" t="n"/>
      <c r="AL819" s="136" t="n"/>
      <c r="AM819" s="136" t="n"/>
      <c r="AN819" s="136" t="n"/>
      <c r="AO819" s="136" t="n"/>
      <c r="AP819" s="136" t="n"/>
      <c r="AQ819" s="136" t="n"/>
      <c r="AR819" s="136" t="n"/>
    </row>
    <row r="820" ht="13.5" customHeight="1" s="196">
      <c r="A820" s="136" t="n"/>
      <c r="B820" s="136" t="n"/>
      <c r="C820" s="136" t="n"/>
      <c r="D820" s="141" t="n"/>
      <c r="E820" s="141" t="n"/>
      <c r="F820" s="141" t="n"/>
      <c r="G820" s="141" t="n"/>
      <c r="H820" s="141" t="n"/>
      <c r="I820" s="141" t="n"/>
      <c r="J820" s="141" t="n"/>
      <c r="K820" s="141" t="n"/>
      <c r="L820" s="141" t="n"/>
      <c r="M820" s="141" t="n"/>
      <c r="N820" s="141" t="n"/>
      <c r="O820" s="141" t="n"/>
      <c r="P820" s="141" t="n"/>
      <c r="Q820" s="141" t="n"/>
      <c r="R820" s="141" t="n"/>
      <c r="S820" s="141" t="n"/>
      <c r="T820" s="141" t="n"/>
      <c r="U820" s="141" t="n"/>
      <c r="V820" s="141" t="n"/>
      <c r="W820" s="141" t="n"/>
      <c r="X820" s="141" t="n"/>
      <c r="Y820" s="136" t="n"/>
      <c r="Z820" s="136" t="n"/>
      <c r="AA820" s="136" t="n"/>
      <c r="AB820" s="136" t="n"/>
      <c r="AC820" s="136" t="n"/>
      <c r="AD820" s="136" t="n"/>
      <c r="AE820" s="136" t="n"/>
      <c r="AF820" s="136" t="n"/>
      <c r="AG820" s="136" t="n"/>
      <c r="AH820" s="136" t="n"/>
      <c r="AI820" s="136" t="n"/>
      <c r="AJ820" s="136" t="n"/>
      <c r="AK820" s="136" t="n"/>
      <c r="AL820" s="136" t="n"/>
      <c r="AM820" s="136" t="n"/>
      <c r="AN820" s="136" t="n"/>
      <c r="AO820" s="136" t="n"/>
      <c r="AP820" s="136" t="n"/>
      <c r="AQ820" s="136" t="n"/>
      <c r="AR820" s="136" t="n"/>
    </row>
    <row r="821" ht="13.5" customHeight="1" s="196">
      <c r="A821" s="136" t="n"/>
      <c r="B821" s="136" t="n"/>
      <c r="C821" s="136" t="n"/>
      <c r="D821" s="141" t="n"/>
      <c r="E821" s="141" t="n"/>
      <c r="F821" s="141" t="n"/>
      <c r="G821" s="141" t="n"/>
      <c r="H821" s="141" t="n"/>
      <c r="I821" s="141" t="n"/>
      <c r="J821" s="141" t="n"/>
      <c r="K821" s="141" t="n"/>
      <c r="L821" s="141" t="n"/>
      <c r="M821" s="141" t="n"/>
      <c r="N821" s="141" t="n"/>
      <c r="O821" s="141" t="n"/>
      <c r="P821" s="141" t="n"/>
      <c r="Q821" s="141" t="n"/>
      <c r="R821" s="141" t="n"/>
      <c r="S821" s="141" t="n"/>
      <c r="T821" s="141" t="n"/>
      <c r="U821" s="141" t="n"/>
      <c r="V821" s="141" t="n"/>
      <c r="W821" s="141" t="n"/>
      <c r="X821" s="141" t="n"/>
      <c r="Y821" s="136" t="n"/>
      <c r="Z821" s="136" t="n"/>
      <c r="AA821" s="136" t="n"/>
      <c r="AB821" s="136" t="n"/>
      <c r="AC821" s="136" t="n"/>
      <c r="AD821" s="136" t="n"/>
      <c r="AE821" s="136" t="n"/>
      <c r="AF821" s="136" t="n"/>
      <c r="AG821" s="136" t="n"/>
      <c r="AH821" s="136" t="n"/>
      <c r="AI821" s="136" t="n"/>
      <c r="AJ821" s="136" t="n"/>
      <c r="AK821" s="136" t="n"/>
      <c r="AL821" s="136" t="n"/>
      <c r="AM821" s="136" t="n"/>
      <c r="AN821" s="136" t="n"/>
      <c r="AO821" s="136" t="n"/>
      <c r="AP821" s="136" t="n"/>
      <c r="AQ821" s="136" t="n"/>
      <c r="AR821" s="136" t="n"/>
    </row>
    <row r="822" ht="13.5" customHeight="1" s="196">
      <c r="A822" s="136" t="n"/>
      <c r="B822" s="136" t="n"/>
      <c r="C822" s="136" t="n"/>
      <c r="D822" s="141" t="n"/>
      <c r="E822" s="141" t="n"/>
      <c r="F822" s="141" t="n"/>
      <c r="G822" s="141" t="n"/>
      <c r="H822" s="141" t="n"/>
      <c r="I822" s="141" t="n"/>
      <c r="J822" s="141" t="n"/>
      <c r="K822" s="141" t="n"/>
      <c r="L822" s="141" t="n"/>
      <c r="M822" s="141" t="n"/>
      <c r="N822" s="141" t="n"/>
      <c r="O822" s="141" t="n"/>
      <c r="P822" s="141" t="n"/>
      <c r="Q822" s="141" t="n"/>
      <c r="R822" s="141" t="n"/>
      <c r="S822" s="141" t="n"/>
      <c r="T822" s="141" t="n"/>
      <c r="U822" s="141" t="n"/>
      <c r="V822" s="141" t="n"/>
      <c r="W822" s="141" t="n"/>
      <c r="X822" s="141" t="n"/>
      <c r="Y822" s="136" t="n"/>
      <c r="Z822" s="136" t="n"/>
      <c r="AA822" s="136" t="n"/>
      <c r="AB822" s="136" t="n"/>
      <c r="AC822" s="136" t="n"/>
      <c r="AD822" s="136" t="n"/>
      <c r="AE822" s="136" t="n"/>
      <c r="AF822" s="136" t="n"/>
      <c r="AG822" s="136" t="n"/>
      <c r="AH822" s="136" t="n"/>
      <c r="AI822" s="136" t="n"/>
      <c r="AJ822" s="136" t="n"/>
      <c r="AK822" s="136" t="n"/>
      <c r="AL822" s="136" t="n"/>
      <c r="AM822" s="136" t="n"/>
      <c r="AN822" s="136" t="n"/>
      <c r="AO822" s="136" t="n"/>
      <c r="AP822" s="136" t="n"/>
      <c r="AQ822" s="136" t="n"/>
      <c r="AR822" s="136" t="n"/>
    </row>
    <row r="823" ht="13.5" customHeight="1" s="196">
      <c r="A823" s="136" t="n"/>
      <c r="B823" s="136" t="n"/>
      <c r="C823" s="136" t="n"/>
      <c r="D823" s="141" t="n"/>
      <c r="E823" s="141" t="n"/>
      <c r="F823" s="141" t="n"/>
      <c r="G823" s="141" t="n"/>
      <c r="H823" s="141" t="n"/>
      <c r="I823" s="141" t="n"/>
      <c r="J823" s="141" t="n"/>
      <c r="K823" s="141" t="n"/>
      <c r="L823" s="141" t="n"/>
      <c r="M823" s="141" t="n"/>
      <c r="N823" s="141" t="n"/>
      <c r="O823" s="141" t="n"/>
      <c r="P823" s="141" t="n"/>
      <c r="Q823" s="141" t="n"/>
      <c r="R823" s="141" t="n"/>
      <c r="S823" s="141" t="n"/>
      <c r="T823" s="141" t="n"/>
      <c r="U823" s="141" t="n"/>
      <c r="V823" s="141" t="n"/>
      <c r="W823" s="141" t="n"/>
      <c r="X823" s="141" t="n"/>
      <c r="Y823" s="136" t="n"/>
      <c r="Z823" s="136" t="n"/>
      <c r="AA823" s="136" t="n"/>
      <c r="AB823" s="136" t="n"/>
      <c r="AC823" s="136" t="n"/>
      <c r="AD823" s="136" t="n"/>
      <c r="AE823" s="136" t="n"/>
      <c r="AF823" s="136" t="n"/>
      <c r="AG823" s="136" t="n"/>
      <c r="AH823" s="136" t="n"/>
      <c r="AI823" s="136" t="n"/>
      <c r="AJ823" s="136" t="n"/>
      <c r="AK823" s="136" t="n"/>
      <c r="AL823" s="136" t="n"/>
      <c r="AM823" s="136" t="n"/>
      <c r="AN823" s="136" t="n"/>
      <c r="AO823" s="136" t="n"/>
      <c r="AP823" s="136" t="n"/>
      <c r="AQ823" s="136" t="n"/>
      <c r="AR823" s="136" t="n"/>
    </row>
    <row r="824" ht="13.5" customHeight="1" s="196">
      <c r="A824" s="136" t="n"/>
      <c r="B824" s="136" t="n"/>
      <c r="C824" s="136" t="n"/>
      <c r="D824" s="141" t="n"/>
      <c r="E824" s="141" t="n"/>
      <c r="F824" s="141" t="n"/>
      <c r="G824" s="141" t="n"/>
      <c r="H824" s="141" t="n"/>
      <c r="I824" s="141" t="n"/>
      <c r="J824" s="141" t="n"/>
      <c r="K824" s="141" t="n"/>
      <c r="L824" s="141" t="n"/>
      <c r="M824" s="141" t="n"/>
      <c r="N824" s="141" t="n"/>
      <c r="O824" s="141" t="n"/>
      <c r="P824" s="141" t="n"/>
      <c r="Q824" s="141" t="n"/>
      <c r="R824" s="141" t="n"/>
      <c r="S824" s="141" t="n"/>
      <c r="T824" s="141" t="n"/>
      <c r="U824" s="141" t="n"/>
      <c r="V824" s="141" t="n"/>
      <c r="W824" s="141" t="n"/>
      <c r="X824" s="141" t="n"/>
      <c r="Y824" s="136" t="n"/>
      <c r="Z824" s="136" t="n"/>
      <c r="AA824" s="136" t="n"/>
      <c r="AB824" s="136" t="n"/>
      <c r="AC824" s="136" t="n"/>
      <c r="AD824" s="136" t="n"/>
      <c r="AE824" s="136" t="n"/>
      <c r="AF824" s="136" t="n"/>
      <c r="AG824" s="136" t="n"/>
      <c r="AH824" s="136" t="n"/>
      <c r="AI824" s="136" t="n"/>
      <c r="AJ824" s="136" t="n"/>
      <c r="AK824" s="136" t="n"/>
      <c r="AL824" s="136" t="n"/>
      <c r="AM824" s="136" t="n"/>
      <c r="AN824" s="136" t="n"/>
      <c r="AO824" s="136" t="n"/>
      <c r="AP824" s="136" t="n"/>
      <c r="AQ824" s="136" t="n"/>
      <c r="AR824" s="136" t="n"/>
    </row>
    <row r="825" ht="13.5" customHeight="1" s="196">
      <c r="A825" s="136" t="n"/>
      <c r="B825" s="136" t="n"/>
      <c r="C825" s="136" t="n"/>
      <c r="D825" s="141" t="n"/>
      <c r="E825" s="141" t="n"/>
      <c r="F825" s="141" t="n"/>
      <c r="G825" s="141" t="n"/>
      <c r="H825" s="141" t="n"/>
      <c r="I825" s="141" t="n"/>
      <c r="J825" s="141" t="n"/>
      <c r="K825" s="141" t="n"/>
      <c r="L825" s="141" t="n"/>
      <c r="M825" s="141" t="n"/>
      <c r="N825" s="141" t="n"/>
      <c r="O825" s="141" t="n"/>
      <c r="P825" s="141" t="n"/>
      <c r="Q825" s="141" t="n"/>
      <c r="R825" s="141" t="n"/>
      <c r="S825" s="141" t="n"/>
      <c r="T825" s="141" t="n"/>
      <c r="U825" s="141" t="n"/>
      <c r="V825" s="141" t="n"/>
      <c r="W825" s="141" t="n"/>
      <c r="X825" s="141" t="n"/>
      <c r="Y825" s="136" t="n"/>
      <c r="Z825" s="136" t="n"/>
      <c r="AA825" s="136" t="n"/>
      <c r="AB825" s="136" t="n"/>
      <c r="AC825" s="136" t="n"/>
      <c r="AD825" s="136" t="n"/>
      <c r="AE825" s="136" t="n"/>
      <c r="AF825" s="136" t="n"/>
      <c r="AG825" s="136" t="n"/>
      <c r="AH825" s="136" t="n"/>
      <c r="AI825" s="136" t="n"/>
      <c r="AJ825" s="136" t="n"/>
      <c r="AK825" s="136" t="n"/>
      <c r="AL825" s="136" t="n"/>
      <c r="AM825" s="136" t="n"/>
      <c r="AN825" s="136" t="n"/>
      <c r="AO825" s="136" t="n"/>
      <c r="AP825" s="136" t="n"/>
      <c r="AQ825" s="136" t="n"/>
      <c r="AR825" s="136" t="n"/>
    </row>
    <row r="826" ht="13.5" customHeight="1" s="196">
      <c r="A826" s="136" t="n"/>
      <c r="B826" s="136" t="n"/>
      <c r="C826" s="136" t="n"/>
      <c r="D826" s="141" t="n"/>
      <c r="E826" s="141" t="n"/>
      <c r="F826" s="141" t="n"/>
      <c r="G826" s="141" t="n"/>
      <c r="H826" s="141" t="n"/>
      <c r="I826" s="141" t="n"/>
      <c r="J826" s="141" t="n"/>
      <c r="K826" s="141" t="n"/>
      <c r="L826" s="141" t="n"/>
      <c r="M826" s="141" t="n"/>
      <c r="N826" s="141" t="n"/>
      <c r="O826" s="141" t="n"/>
      <c r="P826" s="141" t="n"/>
      <c r="Q826" s="141" t="n"/>
      <c r="R826" s="141" t="n"/>
      <c r="S826" s="141" t="n"/>
      <c r="T826" s="141" t="n"/>
      <c r="U826" s="141" t="n"/>
      <c r="V826" s="141" t="n"/>
      <c r="W826" s="141" t="n"/>
      <c r="X826" s="141" t="n"/>
      <c r="Y826" s="136" t="n"/>
      <c r="Z826" s="136" t="n"/>
      <c r="AA826" s="136" t="n"/>
      <c r="AB826" s="136" t="n"/>
      <c r="AC826" s="136" t="n"/>
      <c r="AD826" s="136" t="n"/>
      <c r="AE826" s="136" t="n"/>
      <c r="AF826" s="136" t="n"/>
      <c r="AG826" s="136" t="n"/>
      <c r="AH826" s="136" t="n"/>
      <c r="AI826" s="136" t="n"/>
      <c r="AJ826" s="136" t="n"/>
      <c r="AK826" s="136" t="n"/>
      <c r="AL826" s="136" t="n"/>
      <c r="AM826" s="136" t="n"/>
      <c r="AN826" s="136" t="n"/>
      <c r="AO826" s="136" t="n"/>
      <c r="AP826" s="136" t="n"/>
      <c r="AQ826" s="136" t="n"/>
      <c r="AR826" s="136" t="n"/>
    </row>
    <row r="827" ht="13.5" customHeight="1" s="196">
      <c r="A827" s="136" t="n"/>
      <c r="B827" s="136" t="n"/>
      <c r="C827" s="136" t="n"/>
      <c r="D827" s="141" t="n"/>
      <c r="E827" s="141" t="n"/>
      <c r="F827" s="141" t="n"/>
      <c r="G827" s="141" t="n"/>
      <c r="H827" s="141" t="n"/>
      <c r="I827" s="141" t="n"/>
      <c r="J827" s="141" t="n"/>
      <c r="K827" s="141" t="n"/>
      <c r="L827" s="141" t="n"/>
      <c r="M827" s="141" t="n"/>
      <c r="N827" s="141" t="n"/>
      <c r="O827" s="141" t="n"/>
      <c r="P827" s="141" t="n"/>
      <c r="Q827" s="141" t="n"/>
      <c r="R827" s="141" t="n"/>
      <c r="S827" s="141" t="n"/>
      <c r="T827" s="141" t="n"/>
      <c r="U827" s="141" t="n"/>
      <c r="V827" s="141" t="n"/>
      <c r="W827" s="141" t="n"/>
      <c r="X827" s="141" t="n"/>
      <c r="Y827" s="136" t="n"/>
      <c r="Z827" s="136" t="n"/>
      <c r="AA827" s="136" t="n"/>
      <c r="AB827" s="136" t="n"/>
      <c r="AC827" s="136" t="n"/>
      <c r="AD827" s="136" t="n"/>
      <c r="AE827" s="136" t="n"/>
      <c r="AF827" s="136" t="n"/>
      <c r="AG827" s="136" t="n"/>
      <c r="AH827" s="136" t="n"/>
      <c r="AI827" s="136" t="n"/>
      <c r="AJ827" s="136" t="n"/>
      <c r="AK827" s="136" t="n"/>
      <c r="AL827" s="136" t="n"/>
      <c r="AM827" s="136" t="n"/>
      <c r="AN827" s="136" t="n"/>
      <c r="AO827" s="136" t="n"/>
      <c r="AP827" s="136" t="n"/>
      <c r="AQ827" s="136" t="n"/>
      <c r="AR827" s="136" t="n"/>
    </row>
    <row r="828" ht="13.5" customHeight="1" s="196">
      <c r="A828" s="136" t="n"/>
      <c r="B828" s="136" t="n"/>
      <c r="C828" s="136" t="n"/>
      <c r="D828" s="141" t="n"/>
      <c r="E828" s="141" t="n"/>
      <c r="F828" s="141" t="n"/>
      <c r="G828" s="141" t="n"/>
      <c r="H828" s="141" t="n"/>
      <c r="I828" s="141" t="n"/>
      <c r="J828" s="141" t="n"/>
      <c r="K828" s="141" t="n"/>
      <c r="L828" s="141" t="n"/>
      <c r="M828" s="141" t="n"/>
      <c r="N828" s="141" t="n"/>
      <c r="O828" s="141" t="n"/>
      <c r="P828" s="141" t="n"/>
      <c r="Q828" s="141" t="n"/>
      <c r="R828" s="141" t="n"/>
      <c r="S828" s="141" t="n"/>
      <c r="T828" s="141" t="n"/>
      <c r="U828" s="141" t="n"/>
      <c r="V828" s="141" t="n"/>
      <c r="W828" s="141" t="n"/>
      <c r="X828" s="141" t="n"/>
      <c r="Y828" s="136" t="n"/>
      <c r="Z828" s="136" t="n"/>
      <c r="AA828" s="136" t="n"/>
      <c r="AB828" s="136" t="n"/>
      <c r="AC828" s="136" t="n"/>
      <c r="AD828" s="136" t="n"/>
      <c r="AE828" s="136" t="n"/>
      <c r="AF828" s="136" t="n"/>
      <c r="AG828" s="136" t="n"/>
      <c r="AH828" s="136" t="n"/>
      <c r="AI828" s="136" t="n"/>
      <c r="AJ828" s="136" t="n"/>
      <c r="AK828" s="136" t="n"/>
      <c r="AL828" s="136" t="n"/>
      <c r="AM828" s="136" t="n"/>
      <c r="AN828" s="136" t="n"/>
      <c r="AO828" s="136" t="n"/>
      <c r="AP828" s="136" t="n"/>
      <c r="AQ828" s="136" t="n"/>
      <c r="AR828" s="136" t="n"/>
    </row>
    <row r="829" ht="13.5" customHeight="1" s="196">
      <c r="A829" s="136" t="n"/>
      <c r="B829" s="136" t="n"/>
      <c r="C829" s="136" t="n"/>
      <c r="D829" s="141" t="n"/>
      <c r="E829" s="141" t="n"/>
      <c r="F829" s="141" t="n"/>
      <c r="G829" s="141" t="n"/>
      <c r="H829" s="141" t="n"/>
      <c r="I829" s="141" t="n"/>
      <c r="J829" s="141" t="n"/>
      <c r="K829" s="141" t="n"/>
      <c r="L829" s="141" t="n"/>
      <c r="M829" s="141" t="n"/>
      <c r="N829" s="141" t="n"/>
      <c r="O829" s="141" t="n"/>
      <c r="P829" s="141" t="n"/>
      <c r="Q829" s="141" t="n"/>
      <c r="R829" s="141" t="n"/>
      <c r="S829" s="141" t="n"/>
      <c r="T829" s="141" t="n"/>
      <c r="U829" s="141" t="n"/>
      <c r="V829" s="141" t="n"/>
      <c r="W829" s="141" t="n"/>
      <c r="X829" s="141" t="n"/>
      <c r="Y829" s="136" t="n"/>
      <c r="Z829" s="136" t="n"/>
      <c r="AA829" s="136" t="n"/>
      <c r="AB829" s="136" t="n"/>
      <c r="AC829" s="136" t="n"/>
      <c r="AD829" s="136" t="n"/>
      <c r="AE829" s="136" t="n"/>
      <c r="AF829" s="136" t="n"/>
      <c r="AG829" s="136" t="n"/>
      <c r="AH829" s="136" t="n"/>
      <c r="AI829" s="136" t="n"/>
      <c r="AJ829" s="136" t="n"/>
      <c r="AK829" s="136" t="n"/>
      <c r="AL829" s="136" t="n"/>
      <c r="AM829" s="136" t="n"/>
      <c r="AN829" s="136" t="n"/>
      <c r="AO829" s="136" t="n"/>
      <c r="AP829" s="136" t="n"/>
      <c r="AQ829" s="136" t="n"/>
      <c r="AR829" s="136" t="n"/>
    </row>
    <row r="830" ht="13.5" customHeight="1" s="196">
      <c r="A830" s="136" t="n"/>
      <c r="B830" s="136" t="n"/>
      <c r="C830" s="136" t="n"/>
      <c r="D830" s="141" t="n"/>
      <c r="E830" s="141" t="n"/>
      <c r="F830" s="141" t="n"/>
      <c r="G830" s="141" t="n"/>
      <c r="H830" s="141" t="n"/>
      <c r="I830" s="141" t="n"/>
      <c r="J830" s="141" t="n"/>
      <c r="K830" s="141" t="n"/>
      <c r="L830" s="141" t="n"/>
      <c r="M830" s="141" t="n"/>
      <c r="N830" s="141" t="n"/>
      <c r="O830" s="141" t="n"/>
      <c r="P830" s="141" t="n"/>
      <c r="Q830" s="141" t="n"/>
      <c r="R830" s="141" t="n"/>
      <c r="S830" s="141" t="n"/>
      <c r="T830" s="141" t="n"/>
      <c r="U830" s="141" t="n"/>
      <c r="V830" s="141" t="n"/>
      <c r="W830" s="141" t="n"/>
      <c r="X830" s="141" t="n"/>
      <c r="Y830" s="136" t="n"/>
      <c r="Z830" s="136" t="n"/>
      <c r="AA830" s="136" t="n"/>
      <c r="AB830" s="136" t="n"/>
      <c r="AC830" s="136" t="n"/>
      <c r="AD830" s="136" t="n"/>
      <c r="AE830" s="136" t="n"/>
      <c r="AF830" s="136" t="n"/>
      <c r="AG830" s="136" t="n"/>
      <c r="AH830" s="136" t="n"/>
      <c r="AI830" s="136" t="n"/>
      <c r="AJ830" s="136" t="n"/>
      <c r="AK830" s="136" t="n"/>
      <c r="AL830" s="136" t="n"/>
      <c r="AM830" s="136" t="n"/>
      <c r="AN830" s="136" t="n"/>
      <c r="AO830" s="136" t="n"/>
      <c r="AP830" s="136" t="n"/>
      <c r="AQ830" s="136" t="n"/>
      <c r="AR830" s="136" t="n"/>
    </row>
    <row r="831" ht="13.5" customHeight="1" s="196">
      <c r="A831" s="136" t="n"/>
      <c r="B831" s="136" t="n"/>
      <c r="C831" s="136" t="n"/>
      <c r="D831" s="141" t="n"/>
      <c r="E831" s="141" t="n"/>
      <c r="F831" s="141" t="n"/>
      <c r="G831" s="141" t="n"/>
      <c r="H831" s="141" t="n"/>
      <c r="I831" s="141" t="n"/>
      <c r="J831" s="141" t="n"/>
      <c r="K831" s="141" t="n"/>
      <c r="L831" s="141" t="n"/>
      <c r="M831" s="141" t="n"/>
      <c r="N831" s="141" t="n"/>
      <c r="O831" s="141" t="n"/>
      <c r="P831" s="141" t="n"/>
      <c r="Q831" s="141" t="n"/>
      <c r="R831" s="141" t="n"/>
      <c r="S831" s="141" t="n"/>
      <c r="T831" s="141" t="n"/>
      <c r="U831" s="141" t="n"/>
      <c r="V831" s="141" t="n"/>
      <c r="W831" s="141" t="n"/>
      <c r="X831" s="141" t="n"/>
      <c r="Y831" s="136" t="n"/>
      <c r="Z831" s="136" t="n"/>
      <c r="AA831" s="136" t="n"/>
      <c r="AB831" s="136" t="n"/>
      <c r="AC831" s="136" t="n"/>
      <c r="AD831" s="136" t="n"/>
      <c r="AE831" s="136" t="n"/>
      <c r="AF831" s="136" t="n"/>
      <c r="AG831" s="136" t="n"/>
      <c r="AH831" s="136" t="n"/>
      <c r="AI831" s="136" t="n"/>
      <c r="AJ831" s="136" t="n"/>
      <c r="AK831" s="136" t="n"/>
      <c r="AL831" s="136" t="n"/>
      <c r="AM831" s="136" t="n"/>
      <c r="AN831" s="136" t="n"/>
      <c r="AO831" s="136" t="n"/>
      <c r="AP831" s="136" t="n"/>
      <c r="AQ831" s="136" t="n"/>
      <c r="AR831" s="136" t="n"/>
    </row>
    <row r="832" ht="13.5" customHeight="1" s="196">
      <c r="A832" s="136" t="n"/>
      <c r="B832" s="136" t="n"/>
      <c r="C832" s="136" t="n"/>
      <c r="D832" s="141" t="n"/>
      <c r="E832" s="141" t="n"/>
      <c r="F832" s="141" t="n"/>
      <c r="G832" s="141" t="n"/>
      <c r="H832" s="141" t="n"/>
      <c r="I832" s="141" t="n"/>
      <c r="J832" s="141" t="n"/>
      <c r="K832" s="141" t="n"/>
      <c r="L832" s="141" t="n"/>
      <c r="M832" s="141" t="n"/>
      <c r="N832" s="141" t="n"/>
      <c r="O832" s="141" t="n"/>
      <c r="P832" s="141" t="n"/>
      <c r="Q832" s="141" t="n"/>
      <c r="R832" s="141" t="n"/>
      <c r="S832" s="141" t="n"/>
      <c r="T832" s="141" t="n"/>
      <c r="U832" s="141" t="n"/>
      <c r="V832" s="141" t="n"/>
      <c r="W832" s="141" t="n"/>
      <c r="X832" s="141" t="n"/>
      <c r="Y832" s="136" t="n"/>
      <c r="Z832" s="136" t="n"/>
      <c r="AA832" s="136" t="n"/>
      <c r="AB832" s="136" t="n"/>
      <c r="AC832" s="136" t="n"/>
      <c r="AD832" s="136" t="n"/>
      <c r="AE832" s="136" t="n"/>
      <c r="AF832" s="136" t="n"/>
      <c r="AG832" s="136" t="n"/>
      <c r="AH832" s="136" t="n"/>
      <c r="AI832" s="136" t="n"/>
      <c r="AJ832" s="136" t="n"/>
      <c r="AK832" s="136" t="n"/>
      <c r="AL832" s="136" t="n"/>
      <c r="AM832" s="136" t="n"/>
      <c r="AN832" s="136" t="n"/>
      <c r="AO832" s="136" t="n"/>
      <c r="AP832" s="136" t="n"/>
      <c r="AQ832" s="136" t="n"/>
      <c r="AR832" s="136" t="n"/>
    </row>
    <row r="833" ht="13.5" customHeight="1" s="196">
      <c r="A833" s="136" t="n"/>
      <c r="B833" s="136" t="n"/>
      <c r="C833" s="136" t="n"/>
      <c r="D833" s="141" t="n"/>
      <c r="E833" s="141" t="n"/>
      <c r="F833" s="141" t="n"/>
      <c r="G833" s="141" t="n"/>
      <c r="H833" s="141" t="n"/>
      <c r="I833" s="141" t="n"/>
      <c r="J833" s="141" t="n"/>
      <c r="K833" s="141" t="n"/>
      <c r="L833" s="141" t="n"/>
      <c r="M833" s="141" t="n"/>
      <c r="N833" s="141" t="n"/>
      <c r="O833" s="141" t="n"/>
      <c r="P833" s="141" t="n"/>
      <c r="Q833" s="141" t="n"/>
      <c r="R833" s="141" t="n"/>
      <c r="S833" s="141" t="n"/>
      <c r="T833" s="141" t="n"/>
      <c r="U833" s="141" t="n"/>
      <c r="V833" s="141" t="n"/>
      <c r="W833" s="141" t="n"/>
      <c r="X833" s="141" t="n"/>
      <c r="Y833" s="136" t="n"/>
      <c r="Z833" s="136" t="n"/>
      <c r="AA833" s="136" t="n"/>
      <c r="AB833" s="136" t="n"/>
      <c r="AC833" s="136" t="n"/>
      <c r="AD833" s="136" t="n"/>
      <c r="AE833" s="136" t="n"/>
      <c r="AF833" s="136" t="n"/>
      <c r="AG833" s="136" t="n"/>
      <c r="AH833" s="136" t="n"/>
      <c r="AI833" s="136" t="n"/>
      <c r="AJ833" s="136" t="n"/>
      <c r="AK833" s="136" t="n"/>
      <c r="AL833" s="136" t="n"/>
      <c r="AM833" s="136" t="n"/>
      <c r="AN833" s="136" t="n"/>
      <c r="AO833" s="136" t="n"/>
      <c r="AP833" s="136" t="n"/>
      <c r="AQ833" s="136" t="n"/>
      <c r="AR833" s="136" t="n"/>
    </row>
    <row r="834" ht="13.5" customHeight="1" s="196">
      <c r="A834" s="136" t="n"/>
      <c r="B834" s="136" t="n"/>
      <c r="C834" s="136" t="n"/>
      <c r="D834" s="141" t="n"/>
      <c r="E834" s="141" t="n"/>
      <c r="F834" s="141" t="n"/>
      <c r="G834" s="141" t="n"/>
      <c r="H834" s="141" t="n"/>
      <c r="I834" s="141" t="n"/>
      <c r="J834" s="141" t="n"/>
      <c r="K834" s="141" t="n"/>
      <c r="L834" s="141" t="n"/>
      <c r="M834" s="141" t="n"/>
      <c r="N834" s="141" t="n"/>
      <c r="O834" s="141" t="n"/>
      <c r="P834" s="141" t="n"/>
      <c r="Q834" s="141" t="n"/>
      <c r="R834" s="141" t="n"/>
      <c r="S834" s="141" t="n"/>
      <c r="T834" s="141" t="n"/>
      <c r="U834" s="141" t="n"/>
      <c r="V834" s="141" t="n"/>
      <c r="W834" s="141" t="n"/>
      <c r="X834" s="141" t="n"/>
      <c r="Y834" s="136" t="n"/>
      <c r="Z834" s="136" t="n"/>
      <c r="AA834" s="136" t="n"/>
      <c r="AB834" s="136" t="n"/>
      <c r="AC834" s="136" t="n"/>
      <c r="AD834" s="136" t="n"/>
      <c r="AE834" s="136" t="n"/>
      <c r="AF834" s="136" t="n"/>
      <c r="AG834" s="136" t="n"/>
      <c r="AH834" s="136" t="n"/>
      <c r="AI834" s="136" t="n"/>
      <c r="AJ834" s="136" t="n"/>
      <c r="AK834" s="136" t="n"/>
      <c r="AL834" s="136" t="n"/>
      <c r="AM834" s="136" t="n"/>
      <c r="AN834" s="136" t="n"/>
      <c r="AO834" s="136" t="n"/>
      <c r="AP834" s="136" t="n"/>
      <c r="AQ834" s="136" t="n"/>
      <c r="AR834" s="136" t="n"/>
    </row>
    <row r="835" ht="13.5" customHeight="1" s="196">
      <c r="A835" s="136" t="n"/>
      <c r="B835" s="136" t="n"/>
      <c r="C835" s="136" t="n"/>
      <c r="D835" s="141" t="n"/>
      <c r="E835" s="141" t="n"/>
      <c r="F835" s="141" t="n"/>
      <c r="G835" s="141" t="n"/>
      <c r="H835" s="141" t="n"/>
      <c r="I835" s="141" t="n"/>
      <c r="J835" s="141" t="n"/>
      <c r="K835" s="141" t="n"/>
      <c r="L835" s="141" t="n"/>
      <c r="M835" s="141" t="n"/>
      <c r="N835" s="141" t="n"/>
      <c r="O835" s="141" t="n"/>
      <c r="P835" s="141" t="n"/>
      <c r="Q835" s="141" t="n"/>
      <c r="R835" s="141" t="n"/>
      <c r="S835" s="141" t="n"/>
      <c r="T835" s="141" t="n"/>
      <c r="U835" s="141" t="n"/>
      <c r="V835" s="141" t="n"/>
      <c r="W835" s="141" t="n"/>
      <c r="X835" s="141" t="n"/>
      <c r="Y835" s="136" t="n"/>
      <c r="Z835" s="136" t="n"/>
      <c r="AA835" s="136" t="n"/>
      <c r="AB835" s="136" t="n"/>
      <c r="AC835" s="136" t="n"/>
      <c r="AD835" s="136" t="n"/>
      <c r="AE835" s="136" t="n"/>
      <c r="AF835" s="136" t="n"/>
      <c r="AG835" s="136" t="n"/>
      <c r="AH835" s="136" t="n"/>
      <c r="AI835" s="136" t="n"/>
      <c r="AJ835" s="136" t="n"/>
      <c r="AK835" s="136" t="n"/>
      <c r="AL835" s="136" t="n"/>
      <c r="AM835" s="136" t="n"/>
      <c r="AN835" s="136" t="n"/>
      <c r="AO835" s="136" t="n"/>
      <c r="AP835" s="136" t="n"/>
      <c r="AQ835" s="136" t="n"/>
      <c r="AR835" s="136" t="n"/>
    </row>
    <row r="836" ht="13.5" customHeight="1" s="196">
      <c r="A836" s="136" t="n"/>
      <c r="B836" s="136" t="n"/>
      <c r="C836" s="136" t="n"/>
      <c r="D836" s="141" t="n"/>
      <c r="E836" s="141" t="n"/>
      <c r="F836" s="141" t="n"/>
      <c r="G836" s="141" t="n"/>
      <c r="H836" s="141" t="n"/>
      <c r="I836" s="141" t="n"/>
      <c r="J836" s="141" t="n"/>
      <c r="K836" s="141" t="n"/>
      <c r="L836" s="141" t="n"/>
      <c r="M836" s="141" t="n"/>
      <c r="N836" s="141" t="n"/>
      <c r="O836" s="141" t="n"/>
      <c r="P836" s="141" t="n"/>
      <c r="Q836" s="141" t="n"/>
      <c r="R836" s="141" t="n"/>
      <c r="S836" s="141" t="n"/>
      <c r="T836" s="141" t="n"/>
      <c r="U836" s="141" t="n"/>
      <c r="V836" s="141" t="n"/>
      <c r="W836" s="141" t="n"/>
      <c r="X836" s="141" t="n"/>
      <c r="Y836" s="136" t="n"/>
      <c r="Z836" s="136" t="n"/>
      <c r="AA836" s="136" t="n"/>
      <c r="AB836" s="136" t="n"/>
      <c r="AC836" s="136" t="n"/>
      <c r="AD836" s="136" t="n"/>
      <c r="AE836" s="136" t="n"/>
      <c r="AF836" s="136" t="n"/>
      <c r="AG836" s="136" t="n"/>
      <c r="AH836" s="136" t="n"/>
      <c r="AI836" s="136" t="n"/>
      <c r="AJ836" s="136" t="n"/>
      <c r="AK836" s="136" t="n"/>
      <c r="AL836" s="136" t="n"/>
      <c r="AM836" s="136" t="n"/>
      <c r="AN836" s="136" t="n"/>
      <c r="AO836" s="136" t="n"/>
      <c r="AP836" s="136" t="n"/>
      <c r="AQ836" s="136" t="n"/>
      <c r="AR836" s="136" t="n"/>
    </row>
    <row r="837" ht="13.5" customHeight="1" s="196">
      <c r="A837" s="136" t="n"/>
      <c r="B837" s="136" t="n"/>
      <c r="C837" s="136" t="n"/>
      <c r="D837" s="141" t="n"/>
      <c r="E837" s="141" t="n"/>
      <c r="F837" s="141" t="n"/>
      <c r="G837" s="141" t="n"/>
      <c r="H837" s="141" t="n"/>
      <c r="I837" s="141" t="n"/>
      <c r="J837" s="141" t="n"/>
      <c r="K837" s="141" t="n"/>
      <c r="L837" s="141" t="n"/>
      <c r="M837" s="141" t="n"/>
      <c r="N837" s="141" t="n"/>
      <c r="O837" s="141" t="n"/>
      <c r="P837" s="141" t="n"/>
      <c r="Q837" s="141" t="n"/>
      <c r="R837" s="141" t="n"/>
      <c r="S837" s="141" t="n"/>
      <c r="T837" s="141" t="n"/>
      <c r="U837" s="141" t="n"/>
      <c r="V837" s="141" t="n"/>
      <c r="W837" s="141" t="n"/>
      <c r="X837" s="141" t="n"/>
      <c r="Y837" s="136" t="n"/>
      <c r="Z837" s="136" t="n"/>
      <c r="AA837" s="136" t="n"/>
      <c r="AB837" s="136" t="n"/>
      <c r="AC837" s="136" t="n"/>
      <c r="AD837" s="136" t="n"/>
      <c r="AE837" s="136" t="n"/>
      <c r="AF837" s="136" t="n"/>
      <c r="AG837" s="136" t="n"/>
      <c r="AH837" s="136" t="n"/>
      <c r="AI837" s="136" t="n"/>
      <c r="AJ837" s="136" t="n"/>
      <c r="AK837" s="136" t="n"/>
      <c r="AL837" s="136" t="n"/>
      <c r="AM837" s="136" t="n"/>
      <c r="AN837" s="136" t="n"/>
      <c r="AO837" s="136" t="n"/>
      <c r="AP837" s="136" t="n"/>
      <c r="AQ837" s="136" t="n"/>
      <c r="AR837" s="136" t="n"/>
    </row>
    <row r="838" ht="13.5" customHeight="1" s="196">
      <c r="A838" s="136" t="n"/>
      <c r="B838" s="136" t="n"/>
      <c r="C838" s="136" t="n"/>
      <c r="D838" s="141" t="n"/>
      <c r="E838" s="141" t="n"/>
      <c r="F838" s="141" t="n"/>
      <c r="G838" s="141" t="n"/>
      <c r="H838" s="141" t="n"/>
      <c r="I838" s="141" t="n"/>
      <c r="J838" s="141" t="n"/>
      <c r="K838" s="141" t="n"/>
      <c r="L838" s="141" t="n"/>
      <c r="M838" s="141" t="n"/>
      <c r="N838" s="141" t="n"/>
      <c r="O838" s="141" t="n"/>
      <c r="P838" s="141" t="n"/>
      <c r="Q838" s="141" t="n"/>
      <c r="R838" s="141" t="n"/>
      <c r="S838" s="141" t="n"/>
      <c r="T838" s="141" t="n"/>
      <c r="U838" s="141" t="n"/>
      <c r="V838" s="141" t="n"/>
      <c r="W838" s="141" t="n"/>
      <c r="X838" s="141" t="n"/>
      <c r="Y838" s="136" t="n"/>
      <c r="Z838" s="136" t="n"/>
      <c r="AA838" s="136" t="n"/>
      <c r="AB838" s="136" t="n"/>
      <c r="AC838" s="136" t="n"/>
      <c r="AD838" s="136" t="n"/>
      <c r="AE838" s="136" t="n"/>
      <c r="AF838" s="136" t="n"/>
      <c r="AG838" s="136" t="n"/>
      <c r="AH838" s="136" t="n"/>
      <c r="AI838" s="136" t="n"/>
      <c r="AJ838" s="136" t="n"/>
      <c r="AK838" s="136" t="n"/>
      <c r="AL838" s="136" t="n"/>
      <c r="AM838" s="136" t="n"/>
      <c r="AN838" s="136" t="n"/>
      <c r="AO838" s="136" t="n"/>
      <c r="AP838" s="136" t="n"/>
      <c r="AQ838" s="136" t="n"/>
      <c r="AR838" s="136" t="n"/>
    </row>
    <row r="839" ht="13.5" customHeight="1" s="196">
      <c r="A839" s="136" t="n"/>
      <c r="B839" s="136" t="n"/>
      <c r="C839" s="136" t="n"/>
      <c r="D839" s="141" t="n"/>
      <c r="E839" s="141" t="n"/>
      <c r="F839" s="141" t="n"/>
      <c r="G839" s="141" t="n"/>
      <c r="H839" s="141" t="n"/>
      <c r="I839" s="141" t="n"/>
      <c r="J839" s="141" t="n"/>
      <c r="K839" s="141" t="n"/>
      <c r="L839" s="141" t="n"/>
      <c r="M839" s="141" t="n"/>
      <c r="N839" s="141" t="n"/>
      <c r="O839" s="141" t="n"/>
      <c r="P839" s="141" t="n"/>
      <c r="Q839" s="141" t="n"/>
      <c r="R839" s="141" t="n"/>
      <c r="S839" s="141" t="n"/>
      <c r="T839" s="141" t="n"/>
      <c r="U839" s="141" t="n"/>
      <c r="V839" s="141" t="n"/>
      <c r="W839" s="141" t="n"/>
      <c r="X839" s="141" t="n"/>
      <c r="Y839" s="136" t="n"/>
      <c r="Z839" s="136" t="n"/>
      <c r="AA839" s="136" t="n"/>
      <c r="AB839" s="136" t="n"/>
      <c r="AC839" s="136" t="n"/>
      <c r="AD839" s="136" t="n"/>
      <c r="AE839" s="136" t="n"/>
      <c r="AF839" s="136" t="n"/>
      <c r="AG839" s="136" t="n"/>
      <c r="AH839" s="136" t="n"/>
      <c r="AI839" s="136" t="n"/>
      <c r="AJ839" s="136" t="n"/>
      <c r="AK839" s="136" t="n"/>
      <c r="AL839" s="136" t="n"/>
      <c r="AM839" s="136" t="n"/>
      <c r="AN839" s="136" t="n"/>
      <c r="AO839" s="136" t="n"/>
      <c r="AP839" s="136" t="n"/>
      <c r="AQ839" s="136" t="n"/>
      <c r="AR839" s="136" t="n"/>
    </row>
    <row r="840" ht="13.5" customHeight="1" s="196">
      <c r="A840" s="136" t="n"/>
      <c r="B840" s="136" t="n"/>
      <c r="C840" s="136" t="n"/>
      <c r="D840" s="141" t="n"/>
      <c r="E840" s="141" t="n"/>
      <c r="F840" s="141" t="n"/>
      <c r="G840" s="141" t="n"/>
      <c r="H840" s="141" t="n"/>
      <c r="I840" s="141" t="n"/>
      <c r="J840" s="141" t="n"/>
      <c r="K840" s="141" t="n"/>
      <c r="L840" s="141" t="n"/>
      <c r="M840" s="141" t="n"/>
      <c r="N840" s="141" t="n"/>
      <c r="O840" s="141" t="n"/>
      <c r="P840" s="141" t="n"/>
      <c r="Q840" s="141" t="n"/>
      <c r="R840" s="141" t="n"/>
      <c r="S840" s="141" t="n"/>
      <c r="T840" s="141" t="n"/>
      <c r="U840" s="141" t="n"/>
      <c r="V840" s="141" t="n"/>
      <c r="W840" s="141" t="n"/>
      <c r="X840" s="141" t="n"/>
      <c r="Y840" s="136" t="n"/>
      <c r="Z840" s="136" t="n"/>
      <c r="AA840" s="136" t="n"/>
      <c r="AB840" s="136" t="n"/>
      <c r="AC840" s="136" t="n"/>
      <c r="AD840" s="136" t="n"/>
      <c r="AE840" s="136" t="n"/>
      <c r="AF840" s="136" t="n"/>
      <c r="AG840" s="136" t="n"/>
      <c r="AH840" s="136" t="n"/>
      <c r="AI840" s="136" t="n"/>
      <c r="AJ840" s="136" t="n"/>
      <c r="AK840" s="136" t="n"/>
      <c r="AL840" s="136" t="n"/>
      <c r="AM840" s="136" t="n"/>
      <c r="AN840" s="136" t="n"/>
      <c r="AO840" s="136" t="n"/>
      <c r="AP840" s="136" t="n"/>
      <c r="AQ840" s="136" t="n"/>
      <c r="AR840" s="136" t="n"/>
    </row>
    <row r="841" ht="13.5" customHeight="1" s="196">
      <c r="A841" s="136" t="n"/>
      <c r="B841" s="136" t="n"/>
      <c r="C841" s="136" t="n"/>
      <c r="D841" s="141" t="n"/>
      <c r="E841" s="141" t="n"/>
      <c r="F841" s="141" t="n"/>
      <c r="G841" s="141" t="n"/>
      <c r="H841" s="141" t="n"/>
      <c r="I841" s="141" t="n"/>
      <c r="J841" s="141" t="n"/>
      <c r="K841" s="141" t="n"/>
      <c r="L841" s="141" t="n"/>
      <c r="M841" s="141" t="n"/>
      <c r="N841" s="141" t="n"/>
      <c r="O841" s="141" t="n"/>
      <c r="P841" s="141" t="n"/>
      <c r="Q841" s="141" t="n"/>
      <c r="R841" s="141" t="n"/>
      <c r="S841" s="141" t="n"/>
      <c r="T841" s="141" t="n"/>
      <c r="U841" s="141" t="n"/>
      <c r="V841" s="141" t="n"/>
      <c r="W841" s="141" t="n"/>
      <c r="X841" s="141" t="n"/>
      <c r="Y841" s="136" t="n"/>
      <c r="Z841" s="136" t="n"/>
      <c r="AA841" s="136" t="n"/>
      <c r="AB841" s="136" t="n"/>
      <c r="AC841" s="136" t="n"/>
      <c r="AD841" s="136" t="n"/>
      <c r="AE841" s="136" t="n"/>
      <c r="AF841" s="136" t="n"/>
      <c r="AG841" s="136" t="n"/>
      <c r="AH841" s="136" t="n"/>
      <c r="AI841" s="136" t="n"/>
      <c r="AJ841" s="136" t="n"/>
      <c r="AK841" s="136" t="n"/>
      <c r="AL841" s="136" t="n"/>
      <c r="AM841" s="136" t="n"/>
      <c r="AN841" s="136" t="n"/>
      <c r="AO841" s="136" t="n"/>
      <c r="AP841" s="136" t="n"/>
      <c r="AQ841" s="136" t="n"/>
      <c r="AR841" s="136" t="n"/>
    </row>
    <row r="842" ht="13.5" customHeight="1" s="196">
      <c r="A842" s="136" t="n"/>
      <c r="B842" s="136" t="n"/>
      <c r="C842" s="136" t="n"/>
      <c r="D842" s="141" t="n"/>
      <c r="E842" s="141" t="n"/>
      <c r="F842" s="141" t="n"/>
      <c r="G842" s="141" t="n"/>
      <c r="H842" s="141" t="n"/>
      <c r="I842" s="141" t="n"/>
      <c r="J842" s="141" t="n"/>
      <c r="K842" s="141" t="n"/>
      <c r="L842" s="141" t="n"/>
      <c r="M842" s="141" t="n"/>
      <c r="N842" s="141" t="n"/>
      <c r="O842" s="141" t="n"/>
      <c r="P842" s="141" t="n"/>
      <c r="Q842" s="141" t="n"/>
      <c r="R842" s="141" t="n"/>
      <c r="S842" s="141" t="n"/>
      <c r="T842" s="141" t="n"/>
      <c r="U842" s="141" t="n"/>
      <c r="V842" s="141" t="n"/>
      <c r="W842" s="141" t="n"/>
      <c r="X842" s="141" t="n"/>
      <c r="Y842" s="136" t="n"/>
      <c r="Z842" s="136" t="n"/>
      <c r="AA842" s="136" t="n"/>
      <c r="AB842" s="136" t="n"/>
      <c r="AC842" s="136" t="n"/>
      <c r="AD842" s="136" t="n"/>
      <c r="AE842" s="136" t="n"/>
      <c r="AF842" s="136" t="n"/>
      <c r="AG842" s="136" t="n"/>
      <c r="AH842" s="136" t="n"/>
      <c r="AI842" s="136" t="n"/>
      <c r="AJ842" s="136" t="n"/>
      <c r="AK842" s="136" t="n"/>
      <c r="AL842" s="136" t="n"/>
      <c r="AM842" s="136" t="n"/>
      <c r="AN842" s="136" t="n"/>
      <c r="AO842" s="136" t="n"/>
      <c r="AP842" s="136" t="n"/>
      <c r="AQ842" s="136" t="n"/>
      <c r="AR842" s="136" t="n"/>
    </row>
    <row r="843" ht="13.5" customHeight="1" s="196">
      <c r="A843" s="136" t="n"/>
      <c r="B843" s="136" t="n"/>
      <c r="C843" s="136" t="n"/>
      <c r="D843" s="141" t="n"/>
      <c r="E843" s="141" t="n"/>
      <c r="F843" s="141" t="n"/>
      <c r="G843" s="141" t="n"/>
      <c r="H843" s="141" t="n"/>
      <c r="I843" s="141" t="n"/>
      <c r="J843" s="141" t="n"/>
      <c r="K843" s="141" t="n"/>
      <c r="L843" s="141" t="n"/>
      <c r="M843" s="141" t="n"/>
      <c r="N843" s="141" t="n"/>
      <c r="O843" s="141" t="n"/>
      <c r="P843" s="141" t="n"/>
      <c r="Q843" s="141" t="n"/>
      <c r="R843" s="141" t="n"/>
      <c r="S843" s="141" t="n"/>
      <c r="T843" s="141" t="n"/>
      <c r="U843" s="141" t="n"/>
      <c r="V843" s="141" t="n"/>
      <c r="W843" s="141" t="n"/>
      <c r="X843" s="141" t="n"/>
      <c r="Y843" s="136" t="n"/>
      <c r="Z843" s="136" t="n"/>
      <c r="AA843" s="136" t="n"/>
      <c r="AB843" s="136" t="n"/>
      <c r="AC843" s="136" t="n"/>
      <c r="AD843" s="136" t="n"/>
      <c r="AE843" s="136" t="n"/>
      <c r="AF843" s="136" t="n"/>
      <c r="AG843" s="136" t="n"/>
      <c r="AH843" s="136" t="n"/>
      <c r="AI843" s="136" t="n"/>
      <c r="AJ843" s="136" t="n"/>
      <c r="AK843" s="136" t="n"/>
      <c r="AL843" s="136" t="n"/>
      <c r="AM843" s="136" t="n"/>
      <c r="AN843" s="136" t="n"/>
      <c r="AO843" s="136" t="n"/>
      <c r="AP843" s="136" t="n"/>
      <c r="AQ843" s="136" t="n"/>
      <c r="AR843" s="136" t="n"/>
    </row>
    <row r="844" ht="13.5" customHeight="1" s="196">
      <c r="A844" s="136" t="n"/>
      <c r="B844" s="136" t="n"/>
      <c r="C844" s="136" t="n"/>
      <c r="D844" s="141" t="n"/>
      <c r="E844" s="141" t="n"/>
      <c r="F844" s="141" t="n"/>
      <c r="G844" s="141" t="n"/>
      <c r="H844" s="141" t="n"/>
      <c r="I844" s="141" t="n"/>
      <c r="J844" s="141" t="n"/>
      <c r="K844" s="141" t="n"/>
      <c r="L844" s="141" t="n"/>
      <c r="M844" s="141" t="n"/>
      <c r="N844" s="141" t="n"/>
      <c r="O844" s="141" t="n"/>
      <c r="P844" s="141" t="n"/>
      <c r="Q844" s="141" t="n"/>
      <c r="R844" s="141" t="n"/>
      <c r="S844" s="141" t="n"/>
      <c r="T844" s="141" t="n"/>
      <c r="U844" s="141" t="n"/>
      <c r="V844" s="141" t="n"/>
      <c r="W844" s="141" t="n"/>
      <c r="X844" s="141" t="n"/>
      <c r="Y844" s="136" t="n"/>
      <c r="Z844" s="136" t="n"/>
      <c r="AA844" s="136" t="n"/>
      <c r="AB844" s="136" t="n"/>
      <c r="AC844" s="136" t="n"/>
      <c r="AD844" s="136" t="n"/>
      <c r="AE844" s="136" t="n"/>
      <c r="AF844" s="136" t="n"/>
      <c r="AG844" s="136" t="n"/>
      <c r="AH844" s="136" t="n"/>
      <c r="AI844" s="136" t="n"/>
      <c r="AJ844" s="136" t="n"/>
      <c r="AK844" s="136" t="n"/>
      <c r="AL844" s="136" t="n"/>
      <c r="AM844" s="136" t="n"/>
      <c r="AN844" s="136" t="n"/>
      <c r="AO844" s="136" t="n"/>
      <c r="AP844" s="136" t="n"/>
      <c r="AQ844" s="136" t="n"/>
      <c r="AR844" s="136" t="n"/>
    </row>
    <row r="845" ht="13.5" customHeight="1" s="196">
      <c r="A845" s="136" t="n"/>
      <c r="B845" s="136" t="n"/>
      <c r="C845" s="136" t="n"/>
      <c r="D845" s="141" t="n"/>
      <c r="E845" s="141" t="n"/>
      <c r="F845" s="141" t="n"/>
      <c r="G845" s="141" t="n"/>
      <c r="H845" s="141" t="n"/>
      <c r="I845" s="141" t="n"/>
      <c r="J845" s="141" t="n"/>
      <c r="K845" s="141" t="n"/>
      <c r="L845" s="141" t="n"/>
      <c r="M845" s="141" t="n"/>
      <c r="N845" s="141" t="n"/>
      <c r="O845" s="141" t="n"/>
      <c r="P845" s="141" t="n"/>
      <c r="Q845" s="141" t="n"/>
      <c r="R845" s="141" t="n"/>
      <c r="S845" s="141" t="n"/>
      <c r="T845" s="141" t="n"/>
      <c r="U845" s="141" t="n"/>
      <c r="V845" s="141" t="n"/>
      <c r="W845" s="141" t="n"/>
      <c r="X845" s="141" t="n"/>
      <c r="Y845" s="136" t="n"/>
      <c r="Z845" s="136" t="n"/>
      <c r="AA845" s="136" t="n"/>
      <c r="AB845" s="136" t="n"/>
      <c r="AC845" s="136" t="n"/>
      <c r="AD845" s="136" t="n"/>
      <c r="AE845" s="136" t="n"/>
      <c r="AF845" s="136" t="n"/>
      <c r="AG845" s="136" t="n"/>
      <c r="AH845" s="136" t="n"/>
      <c r="AI845" s="136" t="n"/>
      <c r="AJ845" s="136" t="n"/>
      <c r="AK845" s="136" t="n"/>
      <c r="AL845" s="136" t="n"/>
      <c r="AM845" s="136" t="n"/>
      <c r="AN845" s="136" t="n"/>
      <c r="AO845" s="136" t="n"/>
      <c r="AP845" s="136" t="n"/>
      <c r="AQ845" s="136" t="n"/>
      <c r="AR845" s="136" t="n"/>
    </row>
    <row r="846" ht="13.5" customHeight="1" s="196">
      <c r="A846" s="136" t="n"/>
      <c r="B846" s="136" t="n"/>
      <c r="C846" s="136" t="n"/>
      <c r="D846" s="141" t="n"/>
      <c r="E846" s="141" t="n"/>
      <c r="F846" s="141" t="n"/>
      <c r="G846" s="141" t="n"/>
      <c r="H846" s="141" t="n"/>
      <c r="I846" s="141" t="n"/>
      <c r="J846" s="141" t="n"/>
      <c r="K846" s="141" t="n"/>
      <c r="L846" s="141" t="n"/>
      <c r="M846" s="141" t="n"/>
      <c r="N846" s="141" t="n"/>
      <c r="O846" s="141" t="n"/>
      <c r="P846" s="141" t="n"/>
      <c r="Q846" s="141" t="n"/>
      <c r="R846" s="141" t="n"/>
      <c r="S846" s="141" t="n"/>
      <c r="T846" s="141" t="n"/>
      <c r="U846" s="141" t="n"/>
      <c r="V846" s="141" t="n"/>
      <c r="W846" s="141" t="n"/>
      <c r="X846" s="141" t="n"/>
      <c r="Y846" s="136" t="n"/>
      <c r="Z846" s="136" t="n"/>
      <c r="AA846" s="136" t="n"/>
      <c r="AB846" s="136" t="n"/>
      <c r="AC846" s="136" t="n"/>
      <c r="AD846" s="136" t="n"/>
      <c r="AE846" s="136" t="n"/>
      <c r="AF846" s="136" t="n"/>
      <c r="AG846" s="136" t="n"/>
      <c r="AH846" s="136" t="n"/>
      <c r="AI846" s="136" t="n"/>
      <c r="AJ846" s="136" t="n"/>
      <c r="AK846" s="136" t="n"/>
      <c r="AL846" s="136" t="n"/>
      <c r="AM846" s="136" t="n"/>
      <c r="AN846" s="136" t="n"/>
      <c r="AO846" s="136" t="n"/>
      <c r="AP846" s="136" t="n"/>
      <c r="AQ846" s="136" t="n"/>
      <c r="AR846" s="136" t="n"/>
    </row>
    <row r="847" ht="13.5" customHeight="1" s="196">
      <c r="A847" s="136" t="n"/>
      <c r="B847" s="136" t="n"/>
      <c r="C847" s="136" t="n"/>
      <c r="D847" s="141" t="n"/>
      <c r="E847" s="141" t="n"/>
      <c r="F847" s="141" t="n"/>
      <c r="G847" s="141" t="n"/>
      <c r="H847" s="141" t="n"/>
      <c r="I847" s="141" t="n"/>
      <c r="J847" s="141" t="n"/>
      <c r="K847" s="141" t="n"/>
      <c r="L847" s="141" t="n"/>
      <c r="M847" s="141" t="n"/>
      <c r="N847" s="141" t="n"/>
      <c r="O847" s="141" t="n"/>
      <c r="P847" s="141" t="n"/>
      <c r="Q847" s="141" t="n"/>
      <c r="R847" s="141" t="n"/>
      <c r="S847" s="141" t="n"/>
      <c r="T847" s="141" t="n"/>
      <c r="U847" s="141" t="n"/>
      <c r="V847" s="141" t="n"/>
      <c r="W847" s="141" t="n"/>
      <c r="X847" s="141" t="n"/>
      <c r="Y847" s="136" t="n"/>
      <c r="Z847" s="136" t="n"/>
      <c r="AA847" s="136" t="n"/>
      <c r="AB847" s="136" t="n"/>
      <c r="AC847" s="136" t="n"/>
      <c r="AD847" s="136" t="n"/>
      <c r="AE847" s="136" t="n"/>
      <c r="AF847" s="136" t="n"/>
      <c r="AG847" s="136" t="n"/>
      <c r="AH847" s="136" t="n"/>
      <c r="AI847" s="136" t="n"/>
      <c r="AJ847" s="136" t="n"/>
      <c r="AK847" s="136" t="n"/>
      <c r="AL847" s="136" t="n"/>
      <c r="AM847" s="136" t="n"/>
      <c r="AN847" s="136" t="n"/>
      <c r="AO847" s="136" t="n"/>
      <c r="AP847" s="136" t="n"/>
      <c r="AQ847" s="136" t="n"/>
      <c r="AR847" s="136" t="n"/>
    </row>
    <row r="848" ht="13.5" customHeight="1" s="196">
      <c r="A848" s="136" t="n"/>
      <c r="B848" s="136" t="n"/>
      <c r="C848" s="136" t="n"/>
      <c r="D848" s="141" t="n"/>
      <c r="E848" s="141" t="n"/>
      <c r="F848" s="141" t="n"/>
      <c r="G848" s="141" t="n"/>
      <c r="H848" s="141" t="n"/>
      <c r="I848" s="141" t="n"/>
      <c r="J848" s="141" t="n"/>
      <c r="K848" s="141" t="n"/>
      <c r="L848" s="141" t="n"/>
      <c r="M848" s="141" t="n"/>
      <c r="N848" s="141" t="n"/>
      <c r="O848" s="141" t="n"/>
      <c r="P848" s="141" t="n"/>
      <c r="Q848" s="141" t="n"/>
      <c r="R848" s="141" t="n"/>
      <c r="S848" s="141" t="n"/>
      <c r="T848" s="141" t="n"/>
      <c r="U848" s="141" t="n"/>
      <c r="V848" s="141" t="n"/>
      <c r="W848" s="141" t="n"/>
      <c r="X848" s="141" t="n"/>
      <c r="Y848" s="136" t="n"/>
      <c r="Z848" s="136" t="n"/>
      <c r="AA848" s="136" t="n"/>
      <c r="AB848" s="136" t="n"/>
      <c r="AC848" s="136" t="n"/>
      <c r="AD848" s="136" t="n"/>
      <c r="AE848" s="136" t="n"/>
      <c r="AF848" s="136" t="n"/>
      <c r="AG848" s="136" t="n"/>
      <c r="AH848" s="136" t="n"/>
      <c r="AI848" s="136" t="n"/>
      <c r="AJ848" s="136" t="n"/>
      <c r="AK848" s="136" t="n"/>
      <c r="AL848" s="136" t="n"/>
      <c r="AM848" s="136" t="n"/>
      <c r="AN848" s="136" t="n"/>
      <c r="AO848" s="136" t="n"/>
      <c r="AP848" s="136" t="n"/>
      <c r="AQ848" s="136" t="n"/>
      <c r="AR848" s="136" t="n"/>
    </row>
    <row r="849" ht="13.5" customHeight="1" s="196">
      <c r="A849" s="136" t="n"/>
      <c r="B849" s="136" t="n"/>
      <c r="C849" s="136" t="n"/>
      <c r="D849" s="141" t="n"/>
      <c r="E849" s="141" t="n"/>
      <c r="F849" s="141" t="n"/>
      <c r="G849" s="141" t="n"/>
      <c r="H849" s="141" t="n"/>
      <c r="I849" s="141" t="n"/>
      <c r="J849" s="141" t="n"/>
      <c r="K849" s="141" t="n"/>
      <c r="L849" s="141" t="n"/>
      <c r="M849" s="141" t="n"/>
      <c r="N849" s="141" t="n"/>
      <c r="O849" s="141" t="n"/>
      <c r="P849" s="141" t="n"/>
      <c r="Q849" s="141" t="n"/>
      <c r="R849" s="141" t="n"/>
      <c r="S849" s="141" t="n"/>
      <c r="T849" s="141" t="n"/>
      <c r="U849" s="141" t="n"/>
      <c r="V849" s="141" t="n"/>
      <c r="W849" s="141" t="n"/>
      <c r="X849" s="141" t="n"/>
      <c r="Y849" s="136" t="n"/>
      <c r="Z849" s="136" t="n"/>
      <c r="AA849" s="136" t="n"/>
      <c r="AB849" s="136" t="n"/>
      <c r="AC849" s="136" t="n"/>
      <c r="AD849" s="136" t="n"/>
      <c r="AE849" s="136" t="n"/>
      <c r="AF849" s="136" t="n"/>
      <c r="AG849" s="136" t="n"/>
      <c r="AH849" s="136" t="n"/>
      <c r="AI849" s="136" t="n"/>
      <c r="AJ849" s="136" t="n"/>
      <c r="AK849" s="136" t="n"/>
      <c r="AL849" s="136" t="n"/>
      <c r="AM849" s="136" t="n"/>
      <c r="AN849" s="136" t="n"/>
      <c r="AO849" s="136" t="n"/>
      <c r="AP849" s="136" t="n"/>
      <c r="AQ849" s="136" t="n"/>
      <c r="AR849" s="136" t="n"/>
    </row>
    <row r="850" ht="13.5" customHeight="1" s="196">
      <c r="A850" s="136" t="n"/>
      <c r="B850" s="136" t="n"/>
      <c r="C850" s="136" t="n"/>
      <c r="D850" s="141" t="n"/>
      <c r="E850" s="141" t="n"/>
      <c r="F850" s="141" t="n"/>
      <c r="G850" s="141" t="n"/>
      <c r="H850" s="141" t="n"/>
      <c r="I850" s="141" t="n"/>
      <c r="J850" s="141" t="n"/>
      <c r="K850" s="141" t="n"/>
      <c r="L850" s="141" t="n"/>
      <c r="M850" s="141" t="n"/>
      <c r="N850" s="141" t="n"/>
      <c r="O850" s="141" t="n"/>
      <c r="P850" s="141" t="n"/>
      <c r="Q850" s="141" t="n"/>
      <c r="R850" s="141" t="n"/>
      <c r="S850" s="141" t="n"/>
      <c r="T850" s="141" t="n"/>
      <c r="U850" s="141" t="n"/>
      <c r="V850" s="141" t="n"/>
      <c r="W850" s="141" t="n"/>
      <c r="X850" s="141" t="n"/>
      <c r="Y850" s="136" t="n"/>
      <c r="Z850" s="136" t="n"/>
      <c r="AA850" s="136" t="n"/>
      <c r="AB850" s="136" t="n"/>
      <c r="AC850" s="136" t="n"/>
      <c r="AD850" s="136" t="n"/>
      <c r="AE850" s="136" t="n"/>
      <c r="AF850" s="136" t="n"/>
      <c r="AG850" s="136" t="n"/>
      <c r="AH850" s="136" t="n"/>
      <c r="AI850" s="136" t="n"/>
      <c r="AJ850" s="136" t="n"/>
      <c r="AK850" s="136" t="n"/>
      <c r="AL850" s="136" t="n"/>
      <c r="AM850" s="136" t="n"/>
      <c r="AN850" s="136" t="n"/>
      <c r="AO850" s="136" t="n"/>
      <c r="AP850" s="136" t="n"/>
      <c r="AQ850" s="136" t="n"/>
      <c r="AR850" s="136" t="n"/>
    </row>
    <row r="851" ht="13.5" customHeight="1" s="196">
      <c r="A851" s="136" t="n"/>
      <c r="B851" s="136" t="n"/>
      <c r="C851" s="136" t="n"/>
      <c r="D851" s="141" t="n"/>
      <c r="E851" s="141" t="n"/>
      <c r="F851" s="141" t="n"/>
      <c r="G851" s="141" t="n"/>
      <c r="H851" s="141" t="n"/>
      <c r="I851" s="141" t="n"/>
      <c r="J851" s="141" t="n"/>
      <c r="K851" s="141" t="n"/>
      <c r="L851" s="141" t="n"/>
      <c r="M851" s="141" t="n"/>
      <c r="N851" s="141" t="n"/>
      <c r="O851" s="141" t="n"/>
      <c r="P851" s="141" t="n"/>
      <c r="Q851" s="141" t="n"/>
      <c r="R851" s="141" t="n"/>
      <c r="S851" s="141" t="n"/>
      <c r="T851" s="141" t="n"/>
      <c r="U851" s="141" t="n"/>
      <c r="V851" s="141" t="n"/>
      <c r="W851" s="141" t="n"/>
      <c r="X851" s="141" t="n"/>
      <c r="Y851" s="136" t="n"/>
      <c r="Z851" s="136" t="n"/>
      <c r="AA851" s="136" t="n"/>
      <c r="AB851" s="136" t="n"/>
      <c r="AC851" s="136" t="n"/>
      <c r="AD851" s="136" t="n"/>
      <c r="AE851" s="136" t="n"/>
      <c r="AF851" s="136" t="n"/>
      <c r="AG851" s="136" t="n"/>
      <c r="AH851" s="136" t="n"/>
      <c r="AI851" s="136" t="n"/>
      <c r="AJ851" s="136" t="n"/>
      <c r="AK851" s="136" t="n"/>
      <c r="AL851" s="136" t="n"/>
      <c r="AM851" s="136" t="n"/>
      <c r="AN851" s="136" t="n"/>
      <c r="AO851" s="136" t="n"/>
      <c r="AP851" s="136" t="n"/>
      <c r="AQ851" s="136" t="n"/>
      <c r="AR851" s="136" t="n"/>
    </row>
    <row r="852" ht="13.5" customHeight="1" s="196">
      <c r="A852" s="136" t="n"/>
      <c r="B852" s="136" t="n"/>
      <c r="C852" s="136" t="n"/>
      <c r="D852" s="141" t="n"/>
      <c r="E852" s="141" t="n"/>
      <c r="F852" s="141" t="n"/>
      <c r="G852" s="141" t="n"/>
      <c r="H852" s="141" t="n"/>
      <c r="I852" s="141" t="n"/>
      <c r="J852" s="141" t="n"/>
      <c r="K852" s="141" t="n"/>
      <c r="L852" s="141" t="n"/>
      <c r="M852" s="141" t="n"/>
      <c r="N852" s="141" t="n"/>
      <c r="O852" s="141" t="n"/>
      <c r="P852" s="141" t="n"/>
      <c r="Q852" s="141" t="n"/>
      <c r="R852" s="141" t="n"/>
      <c r="S852" s="141" t="n"/>
      <c r="T852" s="141" t="n"/>
      <c r="U852" s="141" t="n"/>
      <c r="V852" s="141" t="n"/>
      <c r="W852" s="141" t="n"/>
      <c r="X852" s="141" t="n"/>
      <c r="Y852" s="136" t="n"/>
      <c r="Z852" s="136" t="n"/>
      <c r="AA852" s="136" t="n"/>
      <c r="AB852" s="136" t="n"/>
      <c r="AC852" s="136" t="n"/>
      <c r="AD852" s="136" t="n"/>
      <c r="AE852" s="136" t="n"/>
      <c r="AF852" s="136" t="n"/>
      <c r="AG852" s="136" t="n"/>
      <c r="AH852" s="136" t="n"/>
      <c r="AI852" s="136" t="n"/>
      <c r="AJ852" s="136" t="n"/>
      <c r="AK852" s="136" t="n"/>
      <c r="AL852" s="136" t="n"/>
      <c r="AM852" s="136" t="n"/>
      <c r="AN852" s="136" t="n"/>
      <c r="AO852" s="136" t="n"/>
      <c r="AP852" s="136" t="n"/>
      <c r="AQ852" s="136" t="n"/>
      <c r="AR852" s="136" t="n"/>
    </row>
    <row r="853" ht="13.5" customHeight="1" s="196">
      <c r="A853" s="136" t="n"/>
      <c r="B853" s="136" t="n"/>
      <c r="C853" s="136" t="n"/>
      <c r="D853" s="141" t="n"/>
      <c r="E853" s="141" t="n"/>
      <c r="F853" s="141" t="n"/>
      <c r="G853" s="141" t="n"/>
      <c r="H853" s="141" t="n"/>
      <c r="I853" s="141" t="n"/>
      <c r="J853" s="141" t="n"/>
      <c r="K853" s="141" t="n"/>
      <c r="L853" s="141" t="n"/>
      <c r="M853" s="141" t="n"/>
      <c r="N853" s="141" t="n"/>
      <c r="O853" s="141" t="n"/>
      <c r="P853" s="141" t="n"/>
      <c r="Q853" s="141" t="n"/>
      <c r="R853" s="141" t="n"/>
      <c r="S853" s="141" t="n"/>
      <c r="T853" s="141" t="n"/>
      <c r="U853" s="141" t="n"/>
      <c r="V853" s="141" t="n"/>
      <c r="W853" s="141" t="n"/>
      <c r="X853" s="141" t="n"/>
      <c r="Y853" s="136" t="n"/>
      <c r="Z853" s="136" t="n"/>
      <c r="AA853" s="136" t="n"/>
      <c r="AB853" s="136" t="n"/>
      <c r="AC853" s="136" t="n"/>
      <c r="AD853" s="136" t="n"/>
      <c r="AE853" s="136" t="n"/>
      <c r="AF853" s="136" t="n"/>
      <c r="AG853" s="136" t="n"/>
      <c r="AH853" s="136" t="n"/>
      <c r="AI853" s="136" t="n"/>
      <c r="AJ853" s="136" t="n"/>
      <c r="AK853" s="136" t="n"/>
      <c r="AL853" s="136" t="n"/>
      <c r="AM853" s="136" t="n"/>
      <c r="AN853" s="136" t="n"/>
      <c r="AO853" s="136" t="n"/>
      <c r="AP853" s="136" t="n"/>
      <c r="AQ853" s="136" t="n"/>
      <c r="AR853" s="136" t="n"/>
    </row>
    <row r="854" ht="13.5" customHeight="1" s="196">
      <c r="A854" s="136" t="n"/>
      <c r="B854" s="136" t="n"/>
      <c r="C854" s="136" t="n"/>
      <c r="D854" s="141" t="n"/>
      <c r="E854" s="141" t="n"/>
      <c r="F854" s="141" t="n"/>
      <c r="G854" s="141" t="n"/>
      <c r="H854" s="141" t="n"/>
      <c r="I854" s="141" t="n"/>
      <c r="J854" s="141" t="n"/>
      <c r="K854" s="141" t="n"/>
      <c r="L854" s="141" t="n"/>
      <c r="M854" s="141" t="n"/>
      <c r="N854" s="141" t="n"/>
      <c r="O854" s="141" t="n"/>
      <c r="P854" s="141" t="n"/>
      <c r="Q854" s="141" t="n"/>
      <c r="R854" s="141" t="n"/>
      <c r="S854" s="141" t="n"/>
      <c r="T854" s="141" t="n"/>
      <c r="U854" s="141" t="n"/>
      <c r="V854" s="141" t="n"/>
      <c r="W854" s="141" t="n"/>
      <c r="X854" s="141" t="n"/>
      <c r="Y854" s="136" t="n"/>
      <c r="Z854" s="136" t="n"/>
      <c r="AA854" s="136" t="n"/>
      <c r="AB854" s="136" t="n"/>
      <c r="AC854" s="136" t="n"/>
      <c r="AD854" s="136" t="n"/>
      <c r="AE854" s="136" t="n"/>
      <c r="AF854" s="136" t="n"/>
      <c r="AG854" s="136" t="n"/>
      <c r="AH854" s="136" t="n"/>
      <c r="AI854" s="136" t="n"/>
      <c r="AJ854" s="136" t="n"/>
      <c r="AK854" s="136" t="n"/>
      <c r="AL854" s="136" t="n"/>
      <c r="AM854" s="136" t="n"/>
      <c r="AN854" s="136" t="n"/>
      <c r="AO854" s="136" t="n"/>
      <c r="AP854" s="136" t="n"/>
      <c r="AQ854" s="136" t="n"/>
      <c r="AR854" s="136" t="n"/>
    </row>
    <row r="855" ht="13.5" customHeight="1" s="196">
      <c r="A855" s="136" t="n"/>
      <c r="B855" s="136" t="n"/>
      <c r="C855" s="136" t="n"/>
      <c r="D855" s="141" t="n"/>
      <c r="E855" s="141" t="n"/>
      <c r="F855" s="141" t="n"/>
      <c r="G855" s="141" t="n"/>
      <c r="H855" s="141" t="n"/>
      <c r="I855" s="141" t="n"/>
      <c r="J855" s="141" t="n"/>
      <c r="K855" s="141" t="n"/>
      <c r="L855" s="141" t="n"/>
      <c r="M855" s="141" t="n"/>
      <c r="N855" s="141" t="n"/>
      <c r="O855" s="141" t="n"/>
      <c r="P855" s="141" t="n"/>
      <c r="Q855" s="141" t="n"/>
      <c r="R855" s="141" t="n"/>
      <c r="S855" s="141" t="n"/>
      <c r="T855" s="141" t="n"/>
      <c r="U855" s="141" t="n"/>
      <c r="V855" s="141" t="n"/>
      <c r="W855" s="141" t="n"/>
      <c r="X855" s="141" t="n"/>
      <c r="Y855" s="136" t="n"/>
      <c r="Z855" s="136" t="n"/>
      <c r="AA855" s="136" t="n"/>
      <c r="AB855" s="136" t="n"/>
      <c r="AC855" s="136" t="n"/>
      <c r="AD855" s="136" t="n"/>
      <c r="AE855" s="136" t="n"/>
      <c r="AF855" s="136" t="n"/>
      <c r="AG855" s="136" t="n"/>
      <c r="AH855" s="136" t="n"/>
      <c r="AI855" s="136" t="n"/>
      <c r="AJ855" s="136" t="n"/>
      <c r="AK855" s="136" t="n"/>
      <c r="AL855" s="136" t="n"/>
      <c r="AM855" s="136" t="n"/>
      <c r="AN855" s="136" t="n"/>
      <c r="AO855" s="136" t="n"/>
      <c r="AP855" s="136" t="n"/>
      <c r="AQ855" s="136" t="n"/>
      <c r="AR855" s="136" t="n"/>
    </row>
    <row r="856" ht="13.5" customHeight="1" s="196">
      <c r="A856" s="136" t="n"/>
      <c r="B856" s="136" t="n"/>
      <c r="C856" s="136" t="n"/>
      <c r="D856" s="141" t="n"/>
      <c r="E856" s="141" t="n"/>
      <c r="F856" s="141" t="n"/>
      <c r="G856" s="141" t="n"/>
      <c r="H856" s="141" t="n"/>
      <c r="I856" s="141" t="n"/>
      <c r="J856" s="141" t="n"/>
      <c r="K856" s="141" t="n"/>
      <c r="L856" s="141" t="n"/>
      <c r="M856" s="141" t="n"/>
      <c r="N856" s="141" t="n"/>
      <c r="O856" s="141" t="n"/>
      <c r="P856" s="141" t="n"/>
      <c r="Q856" s="141" t="n"/>
      <c r="R856" s="141" t="n"/>
      <c r="S856" s="141" t="n"/>
      <c r="T856" s="141" t="n"/>
      <c r="U856" s="141" t="n"/>
      <c r="V856" s="141" t="n"/>
      <c r="W856" s="141" t="n"/>
      <c r="X856" s="141" t="n"/>
      <c r="Y856" s="136" t="n"/>
      <c r="Z856" s="136" t="n"/>
      <c r="AA856" s="136" t="n"/>
      <c r="AB856" s="136" t="n"/>
      <c r="AC856" s="136" t="n"/>
      <c r="AD856" s="136" t="n"/>
      <c r="AE856" s="136" t="n"/>
      <c r="AF856" s="136" t="n"/>
      <c r="AG856" s="136" t="n"/>
      <c r="AH856" s="136" t="n"/>
      <c r="AI856" s="136" t="n"/>
      <c r="AJ856" s="136" t="n"/>
      <c r="AK856" s="136" t="n"/>
      <c r="AL856" s="136" t="n"/>
      <c r="AM856" s="136" t="n"/>
      <c r="AN856" s="136" t="n"/>
      <c r="AO856" s="136" t="n"/>
      <c r="AP856" s="136" t="n"/>
      <c r="AQ856" s="136" t="n"/>
      <c r="AR856" s="136" t="n"/>
    </row>
    <row r="857" ht="13.5" customHeight="1" s="196">
      <c r="A857" s="136" t="n"/>
      <c r="B857" s="136" t="n"/>
      <c r="C857" s="136" t="n"/>
      <c r="D857" s="141" t="n"/>
      <c r="E857" s="141" t="n"/>
      <c r="F857" s="141" t="n"/>
      <c r="G857" s="141" t="n"/>
      <c r="H857" s="141" t="n"/>
      <c r="I857" s="141" t="n"/>
      <c r="J857" s="141" t="n"/>
      <c r="K857" s="141" t="n"/>
      <c r="L857" s="141" t="n"/>
      <c r="M857" s="141" t="n"/>
      <c r="N857" s="141" t="n"/>
      <c r="O857" s="141" t="n"/>
      <c r="P857" s="141" t="n"/>
      <c r="Q857" s="141" t="n"/>
      <c r="R857" s="141" t="n"/>
      <c r="S857" s="141" t="n"/>
      <c r="T857" s="141" t="n"/>
      <c r="U857" s="141" t="n"/>
      <c r="V857" s="141" t="n"/>
      <c r="W857" s="141" t="n"/>
      <c r="X857" s="141" t="n"/>
      <c r="Y857" s="136" t="n"/>
      <c r="Z857" s="136" t="n"/>
      <c r="AA857" s="136" t="n"/>
      <c r="AB857" s="136" t="n"/>
      <c r="AC857" s="136" t="n"/>
      <c r="AD857" s="136" t="n"/>
      <c r="AE857" s="136" t="n"/>
      <c r="AF857" s="136" t="n"/>
      <c r="AG857" s="136" t="n"/>
      <c r="AH857" s="136" t="n"/>
      <c r="AI857" s="136" t="n"/>
      <c r="AJ857" s="136" t="n"/>
      <c r="AK857" s="136" t="n"/>
      <c r="AL857" s="136" t="n"/>
      <c r="AM857" s="136" t="n"/>
      <c r="AN857" s="136" t="n"/>
      <c r="AO857" s="136" t="n"/>
      <c r="AP857" s="136" t="n"/>
      <c r="AQ857" s="136" t="n"/>
      <c r="AR857" s="136" t="n"/>
    </row>
    <row r="858" ht="13.5" customHeight="1" s="196">
      <c r="A858" s="136" t="n"/>
      <c r="B858" s="136" t="n"/>
      <c r="C858" s="136" t="n"/>
      <c r="D858" s="141" t="n"/>
      <c r="E858" s="141" t="n"/>
      <c r="F858" s="141" t="n"/>
      <c r="G858" s="141" t="n"/>
      <c r="H858" s="141" t="n"/>
      <c r="I858" s="141" t="n"/>
      <c r="J858" s="141" t="n"/>
      <c r="K858" s="141" t="n"/>
      <c r="L858" s="141" t="n"/>
      <c r="M858" s="141" t="n"/>
      <c r="N858" s="141" t="n"/>
      <c r="O858" s="141" t="n"/>
      <c r="P858" s="141" t="n"/>
      <c r="Q858" s="141" t="n"/>
      <c r="R858" s="141" t="n"/>
      <c r="S858" s="141" t="n"/>
      <c r="T858" s="141" t="n"/>
      <c r="U858" s="141" t="n"/>
      <c r="V858" s="141" t="n"/>
      <c r="W858" s="141" t="n"/>
      <c r="X858" s="141" t="n"/>
      <c r="Y858" s="136" t="n"/>
      <c r="Z858" s="136" t="n"/>
      <c r="AA858" s="136" t="n"/>
      <c r="AB858" s="136" t="n"/>
      <c r="AC858" s="136" t="n"/>
      <c r="AD858" s="136" t="n"/>
      <c r="AE858" s="136" t="n"/>
      <c r="AF858" s="136" t="n"/>
      <c r="AG858" s="136" t="n"/>
      <c r="AH858" s="136" t="n"/>
      <c r="AI858" s="136" t="n"/>
      <c r="AJ858" s="136" t="n"/>
      <c r="AK858" s="136" t="n"/>
      <c r="AL858" s="136" t="n"/>
      <c r="AM858" s="136" t="n"/>
      <c r="AN858" s="136" t="n"/>
      <c r="AO858" s="136" t="n"/>
      <c r="AP858" s="136" t="n"/>
      <c r="AQ858" s="136" t="n"/>
      <c r="AR858" s="136" t="n"/>
    </row>
    <row r="859" ht="13.5" customHeight="1" s="196">
      <c r="A859" s="136" t="n"/>
      <c r="B859" s="136" t="n"/>
      <c r="C859" s="136" t="n"/>
      <c r="D859" s="141" t="n"/>
      <c r="E859" s="141" t="n"/>
      <c r="F859" s="141" t="n"/>
      <c r="G859" s="141" t="n"/>
      <c r="H859" s="141" t="n"/>
      <c r="I859" s="141" t="n"/>
      <c r="J859" s="141" t="n"/>
      <c r="K859" s="141" t="n"/>
      <c r="L859" s="141" t="n"/>
      <c r="M859" s="141" t="n"/>
      <c r="N859" s="141" t="n"/>
      <c r="O859" s="141" t="n"/>
      <c r="P859" s="141" t="n"/>
      <c r="Q859" s="141" t="n"/>
      <c r="R859" s="141" t="n"/>
      <c r="S859" s="141" t="n"/>
      <c r="T859" s="141" t="n"/>
      <c r="U859" s="141" t="n"/>
      <c r="V859" s="141" t="n"/>
      <c r="W859" s="141" t="n"/>
      <c r="X859" s="141" t="n"/>
      <c r="Y859" s="136" t="n"/>
      <c r="Z859" s="136" t="n"/>
      <c r="AA859" s="136" t="n"/>
      <c r="AB859" s="136" t="n"/>
      <c r="AC859" s="136" t="n"/>
      <c r="AD859" s="136" t="n"/>
      <c r="AE859" s="136" t="n"/>
      <c r="AF859" s="136" t="n"/>
      <c r="AG859" s="136" t="n"/>
      <c r="AH859" s="136" t="n"/>
      <c r="AI859" s="136" t="n"/>
      <c r="AJ859" s="136" t="n"/>
      <c r="AK859" s="136" t="n"/>
      <c r="AL859" s="136" t="n"/>
      <c r="AM859" s="136" t="n"/>
      <c r="AN859" s="136" t="n"/>
      <c r="AO859" s="136" t="n"/>
      <c r="AP859" s="136" t="n"/>
      <c r="AQ859" s="136" t="n"/>
      <c r="AR859" s="136" t="n"/>
    </row>
    <row r="860" ht="13.5" customHeight="1" s="196">
      <c r="A860" s="136" t="n"/>
      <c r="B860" s="136" t="n"/>
      <c r="C860" s="136" t="n"/>
      <c r="D860" s="141" t="n"/>
      <c r="E860" s="141" t="n"/>
      <c r="F860" s="141" t="n"/>
      <c r="G860" s="141" t="n"/>
      <c r="H860" s="141" t="n"/>
      <c r="I860" s="141" t="n"/>
      <c r="J860" s="141" t="n"/>
      <c r="K860" s="141" t="n"/>
      <c r="L860" s="141" t="n"/>
      <c r="M860" s="141" t="n"/>
      <c r="N860" s="141" t="n"/>
      <c r="O860" s="141" t="n"/>
      <c r="P860" s="141" t="n"/>
      <c r="Q860" s="141" t="n"/>
      <c r="R860" s="141" t="n"/>
      <c r="S860" s="141" t="n"/>
      <c r="T860" s="141" t="n"/>
      <c r="U860" s="141" t="n"/>
      <c r="V860" s="141" t="n"/>
      <c r="W860" s="141" t="n"/>
      <c r="X860" s="141" t="n"/>
      <c r="Y860" s="136" t="n"/>
      <c r="Z860" s="136" t="n"/>
      <c r="AA860" s="136" t="n"/>
      <c r="AB860" s="136" t="n"/>
      <c r="AC860" s="136" t="n"/>
      <c r="AD860" s="136" t="n"/>
      <c r="AE860" s="136" t="n"/>
      <c r="AF860" s="136" t="n"/>
      <c r="AG860" s="136" t="n"/>
      <c r="AH860" s="136" t="n"/>
      <c r="AI860" s="136" t="n"/>
      <c r="AJ860" s="136" t="n"/>
      <c r="AK860" s="136" t="n"/>
      <c r="AL860" s="136" t="n"/>
      <c r="AM860" s="136" t="n"/>
      <c r="AN860" s="136" t="n"/>
      <c r="AO860" s="136" t="n"/>
      <c r="AP860" s="136" t="n"/>
      <c r="AQ860" s="136" t="n"/>
      <c r="AR860" s="136" t="n"/>
    </row>
    <row r="861" ht="13.5" customHeight="1" s="196">
      <c r="A861" s="136" t="n"/>
      <c r="B861" s="136" t="n"/>
      <c r="C861" s="136" t="n"/>
      <c r="D861" s="141" t="n"/>
      <c r="E861" s="141" t="n"/>
      <c r="F861" s="141" t="n"/>
      <c r="G861" s="141" t="n"/>
      <c r="H861" s="141" t="n"/>
      <c r="I861" s="141" t="n"/>
      <c r="J861" s="141" t="n"/>
      <c r="K861" s="141" t="n"/>
      <c r="L861" s="141" t="n"/>
      <c r="M861" s="141" t="n"/>
      <c r="N861" s="141" t="n"/>
      <c r="O861" s="141" t="n"/>
      <c r="P861" s="141" t="n"/>
      <c r="Q861" s="141" t="n"/>
      <c r="R861" s="141" t="n"/>
      <c r="S861" s="141" t="n"/>
      <c r="T861" s="141" t="n"/>
      <c r="U861" s="141" t="n"/>
      <c r="V861" s="141" t="n"/>
      <c r="W861" s="141" t="n"/>
      <c r="X861" s="141" t="n"/>
      <c r="Y861" s="136" t="n"/>
      <c r="Z861" s="136" t="n"/>
      <c r="AA861" s="136" t="n"/>
      <c r="AB861" s="136" t="n"/>
      <c r="AC861" s="136" t="n"/>
      <c r="AD861" s="136" t="n"/>
      <c r="AE861" s="136" t="n"/>
      <c r="AF861" s="136" t="n"/>
      <c r="AG861" s="136" t="n"/>
      <c r="AH861" s="136" t="n"/>
      <c r="AI861" s="136" t="n"/>
      <c r="AJ861" s="136" t="n"/>
      <c r="AK861" s="136" t="n"/>
      <c r="AL861" s="136" t="n"/>
      <c r="AM861" s="136" t="n"/>
      <c r="AN861" s="136" t="n"/>
      <c r="AO861" s="136" t="n"/>
      <c r="AP861" s="136" t="n"/>
      <c r="AQ861" s="136" t="n"/>
      <c r="AR861" s="136" t="n"/>
    </row>
    <row r="862" ht="13.5" customHeight="1" s="196">
      <c r="A862" s="136" t="n"/>
      <c r="B862" s="136" t="n"/>
      <c r="C862" s="136" t="n"/>
      <c r="D862" s="141" t="n"/>
      <c r="E862" s="141" t="n"/>
      <c r="F862" s="141" t="n"/>
      <c r="G862" s="141" t="n"/>
      <c r="H862" s="141" t="n"/>
      <c r="I862" s="141" t="n"/>
      <c r="J862" s="141" t="n"/>
      <c r="K862" s="141" t="n"/>
      <c r="L862" s="141" t="n"/>
      <c r="M862" s="141" t="n"/>
      <c r="N862" s="141" t="n"/>
      <c r="O862" s="141" t="n"/>
      <c r="P862" s="141" t="n"/>
      <c r="Q862" s="141" t="n"/>
      <c r="R862" s="141" t="n"/>
      <c r="S862" s="141" t="n"/>
      <c r="T862" s="141" t="n"/>
      <c r="U862" s="141" t="n"/>
      <c r="V862" s="141" t="n"/>
      <c r="W862" s="141" t="n"/>
      <c r="X862" s="141" t="n"/>
      <c r="Y862" s="136" t="n"/>
      <c r="Z862" s="136" t="n"/>
      <c r="AA862" s="136" t="n"/>
      <c r="AB862" s="136" t="n"/>
      <c r="AC862" s="136" t="n"/>
      <c r="AD862" s="136" t="n"/>
      <c r="AE862" s="136" t="n"/>
      <c r="AF862" s="136" t="n"/>
      <c r="AG862" s="136" t="n"/>
      <c r="AH862" s="136" t="n"/>
      <c r="AI862" s="136" t="n"/>
      <c r="AJ862" s="136" t="n"/>
      <c r="AK862" s="136" t="n"/>
      <c r="AL862" s="136" t="n"/>
      <c r="AM862" s="136" t="n"/>
      <c r="AN862" s="136" t="n"/>
      <c r="AO862" s="136" t="n"/>
      <c r="AP862" s="136" t="n"/>
      <c r="AQ862" s="136" t="n"/>
      <c r="AR862" s="136" t="n"/>
    </row>
    <row r="863" ht="13.5" customHeight="1" s="196">
      <c r="A863" s="136" t="n"/>
      <c r="B863" s="136" t="n"/>
      <c r="C863" s="136" t="n"/>
      <c r="D863" s="141" t="n"/>
      <c r="E863" s="141" t="n"/>
      <c r="F863" s="141" t="n"/>
      <c r="G863" s="141" t="n"/>
      <c r="H863" s="141" t="n"/>
      <c r="I863" s="141" t="n"/>
      <c r="J863" s="141" t="n"/>
      <c r="K863" s="141" t="n"/>
      <c r="L863" s="141" t="n"/>
      <c r="M863" s="141" t="n"/>
      <c r="N863" s="141" t="n"/>
      <c r="O863" s="141" t="n"/>
      <c r="P863" s="141" t="n"/>
      <c r="Q863" s="141" t="n"/>
      <c r="R863" s="141" t="n"/>
      <c r="S863" s="141" t="n"/>
      <c r="T863" s="141" t="n"/>
      <c r="U863" s="141" t="n"/>
      <c r="V863" s="141" t="n"/>
      <c r="W863" s="141" t="n"/>
      <c r="X863" s="141" t="n"/>
      <c r="Y863" s="136" t="n"/>
      <c r="Z863" s="136" t="n"/>
      <c r="AA863" s="136" t="n"/>
      <c r="AB863" s="136" t="n"/>
      <c r="AC863" s="136" t="n"/>
      <c r="AD863" s="136" t="n"/>
      <c r="AE863" s="136" t="n"/>
      <c r="AF863" s="136" t="n"/>
      <c r="AG863" s="136" t="n"/>
      <c r="AH863" s="136" t="n"/>
      <c r="AI863" s="136" t="n"/>
      <c r="AJ863" s="136" t="n"/>
      <c r="AK863" s="136" t="n"/>
      <c r="AL863" s="136" t="n"/>
      <c r="AM863" s="136" t="n"/>
      <c r="AN863" s="136" t="n"/>
      <c r="AO863" s="136" t="n"/>
      <c r="AP863" s="136" t="n"/>
      <c r="AQ863" s="136" t="n"/>
      <c r="AR863" s="136" t="n"/>
    </row>
    <row r="864" ht="13.5" customHeight="1" s="196">
      <c r="A864" s="136" t="n"/>
      <c r="B864" s="136" t="n"/>
      <c r="C864" s="136" t="n"/>
      <c r="D864" s="141" t="n"/>
      <c r="E864" s="141" t="n"/>
      <c r="F864" s="141" t="n"/>
      <c r="G864" s="141" t="n"/>
      <c r="H864" s="141" t="n"/>
      <c r="I864" s="141" t="n"/>
      <c r="J864" s="141" t="n"/>
      <c r="K864" s="141" t="n"/>
      <c r="L864" s="141" t="n"/>
      <c r="M864" s="141" t="n"/>
      <c r="N864" s="141" t="n"/>
      <c r="O864" s="141" t="n"/>
      <c r="P864" s="141" t="n"/>
      <c r="Q864" s="141" t="n"/>
      <c r="R864" s="141" t="n"/>
      <c r="S864" s="141" t="n"/>
      <c r="T864" s="141" t="n"/>
      <c r="U864" s="141" t="n"/>
      <c r="V864" s="141" t="n"/>
      <c r="W864" s="141" t="n"/>
      <c r="X864" s="141" t="n"/>
      <c r="Y864" s="136" t="n"/>
      <c r="Z864" s="136" t="n"/>
      <c r="AA864" s="136" t="n"/>
      <c r="AB864" s="136" t="n"/>
      <c r="AC864" s="136" t="n"/>
      <c r="AD864" s="136" t="n"/>
      <c r="AE864" s="136" t="n"/>
      <c r="AF864" s="136" t="n"/>
      <c r="AG864" s="136" t="n"/>
      <c r="AH864" s="136" t="n"/>
      <c r="AI864" s="136" t="n"/>
      <c r="AJ864" s="136" t="n"/>
      <c r="AK864" s="136" t="n"/>
      <c r="AL864" s="136" t="n"/>
      <c r="AM864" s="136" t="n"/>
      <c r="AN864" s="136" t="n"/>
      <c r="AO864" s="136" t="n"/>
      <c r="AP864" s="136" t="n"/>
      <c r="AQ864" s="136" t="n"/>
      <c r="AR864" s="136" t="n"/>
    </row>
    <row r="865" ht="13.5" customHeight="1" s="196">
      <c r="A865" s="136" t="n"/>
      <c r="B865" s="136" t="n"/>
      <c r="C865" s="136" t="n"/>
      <c r="D865" s="141" t="n"/>
      <c r="E865" s="141" t="n"/>
      <c r="F865" s="141" t="n"/>
      <c r="G865" s="141" t="n"/>
      <c r="H865" s="141" t="n"/>
      <c r="I865" s="141" t="n"/>
      <c r="J865" s="141" t="n"/>
      <c r="K865" s="141" t="n"/>
      <c r="L865" s="141" t="n"/>
      <c r="M865" s="141" t="n"/>
      <c r="N865" s="141" t="n"/>
      <c r="O865" s="141" t="n"/>
      <c r="P865" s="141" t="n"/>
      <c r="Q865" s="141" t="n"/>
      <c r="R865" s="141" t="n"/>
      <c r="S865" s="141" t="n"/>
      <c r="T865" s="141" t="n"/>
      <c r="U865" s="141" t="n"/>
      <c r="V865" s="141" t="n"/>
      <c r="W865" s="141" t="n"/>
      <c r="X865" s="141" t="n"/>
      <c r="Y865" s="136" t="n"/>
      <c r="Z865" s="136" t="n"/>
      <c r="AA865" s="136" t="n"/>
      <c r="AB865" s="136" t="n"/>
      <c r="AC865" s="136" t="n"/>
      <c r="AD865" s="136" t="n"/>
      <c r="AE865" s="136" t="n"/>
      <c r="AF865" s="136" t="n"/>
      <c r="AG865" s="136" t="n"/>
      <c r="AH865" s="136" t="n"/>
      <c r="AI865" s="136" t="n"/>
      <c r="AJ865" s="136" t="n"/>
      <c r="AK865" s="136" t="n"/>
      <c r="AL865" s="136" t="n"/>
      <c r="AM865" s="136" t="n"/>
      <c r="AN865" s="136" t="n"/>
      <c r="AO865" s="136" t="n"/>
      <c r="AP865" s="136" t="n"/>
      <c r="AQ865" s="136" t="n"/>
      <c r="AR865" s="136" t="n"/>
    </row>
    <row r="866" ht="13.5" customHeight="1" s="196">
      <c r="A866" s="136" t="n"/>
      <c r="B866" s="136" t="n"/>
      <c r="C866" s="136" t="n"/>
      <c r="D866" s="141" t="n"/>
      <c r="E866" s="141" t="n"/>
      <c r="F866" s="141" t="n"/>
      <c r="G866" s="141" t="n"/>
      <c r="H866" s="141" t="n"/>
      <c r="I866" s="141" t="n"/>
      <c r="J866" s="141" t="n"/>
      <c r="K866" s="141" t="n"/>
      <c r="L866" s="141" t="n"/>
      <c r="M866" s="141" t="n"/>
      <c r="N866" s="141" t="n"/>
      <c r="O866" s="141" t="n"/>
      <c r="P866" s="141" t="n"/>
      <c r="Q866" s="141" t="n"/>
      <c r="R866" s="141" t="n"/>
      <c r="S866" s="141" t="n"/>
      <c r="T866" s="141" t="n"/>
      <c r="U866" s="141" t="n"/>
      <c r="V866" s="141" t="n"/>
      <c r="W866" s="141" t="n"/>
      <c r="X866" s="141" t="n"/>
      <c r="Y866" s="136" t="n"/>
      <c r="Z866" s="136" t="n"/>
      <c r="AA866" s="136" t="n"/>
      <c r="AB866" s="136" t="n"/>
      <c r="AC866" s="136" t="n"/>
      <c r="AD866" s="136" t="n"/>
      <c r="AE866" s="136" t="n"/>
      <c r="AF866" s="136" t="n"/>
      <c r="AG866" s="136" t="n"/>
      <c r="AH866" s="136" t="n"/>
      <c r="AI866" s="136" t="n"/>
      <c r="AJ866" s="136" t="n"/>
      <c r="AK866" s="136" t="n"/>
      <c r="AL866" s="136" t="n"/>
      <c r="AM866" s="136" t="n"/>
      <c r="AN866" s="136" t="n"/>
      <c r="AO866" s="136" t="n"/>
      <c r="AP866" s="136" t="n"/>
      <c r="AQ866" s="136" t="n"/>
      <c r="AR866" s="136" t="n"/>
    </row>
    <row r="867" ht="13.5" customHeight="1" s="196">
      <c r="A867" s="136" t="n"/>
      <c r="B867" s="136" t="n"/>
      <c r="C867" s="136" t="n"/>
      <c r="D867" s="141" t="n"/>
      <c r="E867" s="141" t="n"/>
      <c r="F867" s="141" t="n"/>
      <c r="G867" s="141" t="n"/>
      <c r="H867" s="141" t="n"/>
      <c r="I867" s="141" t="n"/>
      <c r="J867" s="141" t="n"/>
      <c r="K867" s="141" t="n"/>
      <c r="L867" s="141" t="n"/>
      <c r="M867" s="141" t="n"/>
      <c r="N867" s="141" t="n"/>
      <c r="O867" s="141" t="n"/>
      <c r="P867" s="141" t="n"/>
      <c r="Q867" s="141" t="n"/>
      <c r="R867" s="141" t="n"/>
      <c r="S867" s="141" t="n"/>
      <c r="T867" s="141" t="n"/>
      <c r="U867" s="141" t="n"/>
      <c r="V867" s="141" t="n"/>
      <c r="W867" s="141" t="n"/>
      <c r="X867" s="141" t="n"/>
      <c r="Y867" s="136" t="n"/>
      <c r="Z867" s="136" t="n"/>
      <c r="AA867" s="136" t="n"/>
      <c r="AB867" s="136" t="n"/>
      <c r="AC867" s="136" t="n"/>
      <c r="AD867" s="136" t="n"/>
      <c r="AE867" s="136" t="n"/>
      <c r="AF867" s="136" t="n"/>
      <c r="AG867" s="136" t="n"/>
      <c r="AH867" s="136" t="n"/>
      <c r="AI867" s="136" t="n"/>
      <c r="AJ867" s="136" t="n"/>
      <c r="AK867" s="136" t="n"/>
      <c r="AL867" s="136" t="n"/>
      <c r="AM867" s="136" t="n"/>
      <c r="AN867" s="136" t="n"/>
      <c r="AO867" s="136" t="n"/>
      <c r="AP867" s="136" t="n"/>
      <c r="AQ867" s="136" t="n"/>
      <c r="AR867" s="136" t="n"/>
    </row>
    <row r="868" ht="13.5" customHeight="1" s="196">
      <c r="A868" s="136" t="n"/>
      <c r="B868" s="136" t="n"/>
      <c r="C868" s="136" t="n"/>
      <c r="D868" s="141" t="n"/>
      <c r="E868" s="141" t="n"/>
      <c r="F868" s="141" t="n"/>
      <c r="G868" s="141" t="n"/>
      <c r="H868" s="141" t="n"/>
      <c r="I868" s="141" t="n"/>
      <c r="J868" s="141" t="n"/>
      <c r="K868" s="141" t="n"/>
      <c r="L868" s="141" t="n"/>
      <c r="M868" s="141" t="n"/>
      <c r="N868" s="141" t="n"/>
      <c r="O868" s="141" t="n"/>
      <c r="P868" s="141" t="n"/>
      <c r="Q868" s="141" t="n"/>
      <c r="R868" s="141" t="n"/>
      <c r="S868" s="141" t="n"/>
      <c r="T868" s="141" t="n"/>
      <c r="U868" s="141" t="n"/>
      <c r="V868" s="141" t="n"/>
      <c r="W868" s="141" t="n"/>
      <c r="X868" s="141" t="n"/>
      <c r="Y868" s="136" t="n"/>
      <c r="Z868" s="136" t="n"/>
      <c r="AA868" s="136" t="n"/>
      <c r="AB868" s="136" t="n"/>
      <c r="AC868" s="136" t="n"/>
      <c r="AD868" s="136" t="n"/>
      <c r="AE868" s="136" t="n"/>
      <c r="AF868" s="136" t="n"/>
      <c r="AG868" s="136" t="n"/>
      <c r="AH868" s="136" t="n"/>
      <c r="AI868" s="136" t="n"/>
      <c r="AJ868" s="136" t="n"/>
      <c r="AK868" s="136" t="n"/>
      <c r="AL868" s="136" t="n"/>
      <c r="AM868" s="136" t="n"/>
      <c r="AN868" s="136" t="n"/>
      <c r="AO868" s="136" t="n"/>
      <c r="AP868" s="136" t="n"/>
      <c r="AQ868" s="136" t="n"/>
      <c r="AR868" s="136" t="n"/>
    </row>
    <row r="869" ht="13.5" customHeight="1" s="196">
      <c r="A869" s="136" t="n"/>
      <c r="B869" s="136" t="n"/>
      <c r="C869" s="136" t="n"/>
      <c r="D869" s="141" t="n"/>
      <c r="E869" s="141" t="n"/>
      <c r="F869" s="141" t="n"/>
      <c r="G869" s="141" t="n"/>
      <c r="H869" s="141" t="n"/>
      <c r="I869" s="141" t="n"/>
      <c r="J869" s="141" t="n"/>
      <c r="K869" s="141" t="n"/>
      <c r="L869" s="141" t="n"/>
      <c r="M869" s="141" t="n"/>
      <c r="N869" s="141" t="n"/>
      <c r="O869" s="141" t="n"/>
      <c r="P869" s="141" t="n"/>
      <c r="Q869" s="141" t="n"/>
      <c r="R869" s="141" t="n"/>
      <c r="S869" s="141" t="n"/>
      <c r="T869" s="141" t="n"/>
      <c r="U869" s="141" t="n"/>
      <c r="V869" s="141" t="n"/>
      <c r="W869" s="141" t="n"/>
      <c r="X869" s="141" t="n"/>
      <c r="Y869" s="136" t="n"/>
      <c r="Z869" s="136" t="n"/>
      <c r="AA869" s="136" t="n"/>
      <c r="AB869" s="136" t="n"/>
      <c r="AC869" s="136" t="n"/>
      <c r="AD869" s="136" t="n"/>
      <c r="AE869" s="136" t="n"/>
      <c r="AF869" s="136" t="n"/>
      <c r="AG869" s="136" t="n"/>
      <c r="AH869" s="136" t="n"/>
      <c r="AI869" s="136" t="n"/>
      <c r="AJ869" s="136" t="n"/>
      <c r="AK869" s="136" t="n"/>
      <c r="AL869" s="136" t="n"/>
      <c r="AM869" s="136" t="n"/>
      <c r="AN869" s="136" t="n"/>
      <c r="AO869" s="136" t="n"/>
      <c r="AP869" s="136" t="n"/>
      <c r="AQ869" s="136" t="n"/>
      <c r="AR869" s="136" t="n"/>
    </row>
    <row r="870" ht="13.5" customHeight="1" s="196">
      <c r="A870" s="136" t="n"/>
      <c r="B870" s="136" t="n"/>
      <c r="C870" s="136" t="n"/>
      <c r="D870" s="141" t="n"/>
      <c r="E870" s="141" t="n"/>
      <c r="F870" s="141" t="n"/>
      <c r="G870" s="141" t="n"/>
      <c r="H870" s="141" t="n"/>
      <c r="I870" s="141" t="n"/>
      <c r="J870" s="141" t="n"/>
      <c r="K870" s="141" t="n"/>
      <c r="L870" s="141" t="n"/>
      <c r="M870" s="141" t="n"/>
      <c r="N870" s="141" t="n"/>
      <c r="O870" s="141" t="n"/>
      <c r="P870" s="141" t="n"/>
      <c r="Q870" s="141" t="n"/>
      <c r="R870" s="141" t="n"/>
      <c r="S870" s="141" t="n"/>
      <c r="T870" s="141" t="n"/>
      <c r="U870" s="141" t="n"/>
      <c r="V870" s="141" t="n"/>
      <c r="W870" s="141" t="n"/>
      <c r="X870" s="141" t="n"/>
      <c r="Y870" s="136" t="n"/>
      <c r="Z870" s="136" t="n"/>
      <c r="AA870" s="136" t="n"/>
      <c r="AB870" s="136" t="n"/>
      <c r="AC870" s="136" t="n"/>
      <c r="AD870" s="136" t="n"/>
      <c r="AE870" s="136" t="n"/>
      <c r="AF870" s="136" t="n"/>
      <c r="AG870" s="136" t="n"/>
      <c r="AH870" s="136" t="n"/>
      <c r="AI870" s="136" t="n"/>
      <c r="AJ870" s="136" t="n"/>
      <c r="AK870" s="136" t="n"/>
      <c r="AL870" s="136" t="n"/>
      <c r="AM870" s="136" t="n"/>
      <c r="AN870" s="136" t="n"/>
      <c r="AO870" s="136" t="n"/>
      <c r="AP870" s="136" t="n"/>
      <c r="AQ870" s="136" t="n"/>
      <c r="AR870" s="136" t="n"/>
    </row>
    <row r="871" ht="13.5" customHeight="1" s="196">
      <c r="A871" s="136" t="n"/>
      <c r="B871" s="136" t="n"/>
      <c r="C871" s="136" t="n"/>
      <c r="D871" s="141" t="n"/>
      <c r="E871" s="141" t="n"/>
      <c r="F871" s="141" t="n"/>
      <c r="G871" s="141" t="n"/>
      <c r="H871" s="141" t="n"/>
      <c r="I871" s="141" t="n"/>
      <c r="J871" s="141" t="n"/>
      <c r="K871" s="141" t="n"/>
      <c r="L871" s="141" t="n"/>
      <c r="M871" s="141" t="n"/>
      <c r="N871" s="141" t="n"/>
      <c r="O871" s="141" t="n"/>
      <c r="P871" s="141" t="n"/>
      <c r="Q871" s="141" t="n"/>
      <c r="R871" s="141" t="n"/>
      <c r="S871" s="141" t="n"/>
      <c r="T871" s="141" t="n"/>
      <c r="U871" s="141" t="n"/>
      <c r="V871" s="141" t="n"/>
      <c r="W871" s="141" t="n"/>
      <c r="X871" s="141" t="n"/>
      <c r="Y871" s="136" t="n"/>
      <c r="Z871" s="136" t="n"/>
      <c r="AA871" s="136" t="n"/>
      <c r="AB871" s="136" t="n"/>
      <c r="AC871" s="136" t="n"/>
      <c r="AD871" s="136" t="n"/>
      <c r="AE871" s="136" t="n"/>
      <c r="AF871" s="136" t="n"/>
      <c r="AG871" s="136" t="n"/>
      <c r="AH871" s="136" t="n"/>
      <c r="AI871" s="136" t="n"/>
      <c r="AJ871" s="136" t="n"/>
      <c r="AK871" s="136" t="n"/>
      <c r="AL871" s="136" t="n"/>
      <c r="AM871" s="136" t="n"/>
      <c r="AN871" s="136" t="n"/>
      <c r="AO871" s="136" t="n"/>
      <c r="AP871" s="136" t="n"/>
      <c r="AQ871" s="136" t="n"/>
      <c r="AR871" s="136" t="n"/>
    </row>
    <row r="872" ht="13.5" customHeight="1" s="196">
      <c r="A872" s="136" t="n"/>
      <c r="B872" s="136" t="n"/>
      <c r="C872" s="136" t="n"/>
      <c r="D872" s="141" t="n"/>
      <c r="E872" s="141" t="n"/>
      <c r="F872" s="141" t="n"/>
      <c r="G872" s="141" t="n"/>
      <c r="H872" s="141" t="n"/>
      <c r="I872" s="141" t="n"/>
      <c r="J872" s="141" t="n"/>
      <c r="K872" s="141" t="n"/>
      <c r="L872" s="141" t="n"/>
      <c r="M872" s="141" t="n"/>
      <c r="N872" s="141" t="n"/>
      <c r="O872" s="141" t="n"/>
      <c r="P872" s="141" t="n"/>
      <c r="Q872" s="141" t="n"/>
      <c r="R872" s="141" t="n"/>
      <c r="S872" s="141" t="n"/>
      <c r="T872" s="141" t="n"/>
      <c r="U872" s="141" t="n"/>
      <c r="V872" s="141" t="n"/>
      <c r="W872" s="141" t="n"/>
      <c r="X872" s="141" t="n"/>
      <c r="Y872" s="136" t="n"/>
      <c r="Z872" s="136" t="n"/>
      <c r="AA872" s="136" t="n"/>
      <c r="AB872" s="136" t="n"/>
      <c r="AC872" s="136" t="n"/>
      <c r="AD872" s="136" t="n"/>
      <c r="AE872" s="136" t="n"/>
      <c r="AF872" s="136" t="n"/>
      <c r="AG872" s="136" t="n"/>
      <c r="AH872" s="136" t="n"/>
      <c r="AI872" s="136" t="n"/>
      <c r="AJ872" s="136" t="n"/>
      <c r="AK872" s="136" t="n"/>
      <c r="AL872" s="136" t="n"/>
      <c r="AM872" s="136" t="n"/>
      <c r="AN872" s="136" t="n"/>
      <c r="AO872" s="136" t="n"/>
      <c r="AP872" s="136" t="n"/>
      <c r="AQ872" s="136" t="n"/>
      <c r="AR872" s="136" t="n"/>
    </row>
    <row r="873" ht="13.5" customHeight="1" s="196">
      <c r="A873" s="136" t="n"/>
      <c r="B873" s="136" t="n"/>
      <c r="C873" s="136" t="n"/>
      <c r="D873" s="141" t="n"/>
      <c r="E873" s="141" t="n"/>
      <c r="F873" s="141" t="n"/>
      <c r="G873" s="141" t="n"/>
      <c r="H873" s="141" t="n"/>
      <c r="I873" s="141" t="n"/>
      <c r="J873" s="141" t="n"/>
      <c r="K873" s="141" t="n"/>
      <c r="L873" s="141" t="n"/>
      <c r="M873" s="141" t="n"/>
      <c r="N873" s="141" t="n"/>
      <c r="O873" s="141" t="n"/>
      <c r="P873" s="141" t="n"/>
      <c r="Q873" s="141" t="n"/>
      <c r="R873" s="141" t="n"/>
      <c r="S873" s="141" t="n"/>
      <c r="T873" s="141" t="n"/>
      <c r="U873" s="141" t="n"/>
      <c r="V873" s="141" t="n"/>
      <c r="W873" s="141" t="n"/>
      <c r="X873" s="141" t="n"/>
      <c r="Y873" s="136" t="n"/>
      <c r="Z873" s="136" t="n"/>
      <c r="AA873" s="136" t="n"/>
      <c r="AB873" s="136" t="n"/>
      <c r="AC873" s="136" t="n"/>
      <c r="AD873" s="136" t="n"/>
      <c r="AE873" s="136" t="n"/>
      <c r="AF873" s="136" t="n"/>
      <c r="AG873" s="136" t="n"/>
      <c r="AH873" s="136" t="n"/>
      <c r="AI873" s="136" t="n"/>
      <c r="AJ873" s="136" t="n"/>
      <c r="AK873" s="136" t="n"/>
      <c r="AL873" s="136" t="n"/>
      <c r="AM873" s="136" t="n"/>
      <c r="AN873" s="136" t="n"/>
      <c r="AO873" s="136" t="n"/>
      <c r="AP873" s="136" t="n"/>
      <c r="AQ873" s="136" t="n"/>
      <c r="AR873" s="136" t="n"/>
    </row>
    <row r="874" ht="13.5" customHeight="1" s="196">
      <c r="A874" s="136" t="n"/>
      <c r="B874" s="136" t="n"/>
      <c r="C874" s="136" t="n"/>
      <c r="D874" s="141" t="n"/>
      <c r="E874" s="141" t="n"/>
      <c r="F874" s="141" t="n"/>
      <c r="G874" s="141" t="n"/>
      <c r="H874" s="141" t="n"/>
      <c r="I874" s="141" t="n"/>
      <c r="J874" s="141" t="n"/>
      <c r="K874" s="141" t="n"/>
      <c r="L874" s="141" t="n"/>
      <c r="M874" s="141" t="n"/>
      <c r="N874" s="141" t="n"/>
      <c r="O874" s="141" t="n"/>
      <c r="P874" s="141" t="n"/>
      <c r="Q874" s="141" t="n"/>
      <c r="R874" s="141" t="n"/>
      <c r="S874" s="141" t="n"/>
      <c r="T874" s="141" t="n"/>
      <c r="U874" s="141" t="n"/>
      <c r="V874" s="141" t="n"/>
      <c r="W874" s="141" t="n"/>
      <c r="X874" s="141" t="n"/>
      <c r="Y874" s="136" t="n"/>
      <c r="Z874" s="136" t="n"/>
      <c r="AA874" s="136" t="n"/>
      <c r="AB874" s="136" t="n"/>
      <c r="AC874" s="136" t="n"/>
      <c r="AD874" s="136" t="n"/>
      <c r="AE874" s="136" t="n"/>
      <c r="AF874" s="136" t="n"/>
      <c r="AG874" s="136" t="n"/>
      <c r="AH874" s="136" t="n"/>
      <c r="AI874" s="136" t="n"/>
      <c r="AJ874" s="136" t="n"/>
      <c r="AK874" s="136" t="n"/>
      <c r="AL874" s="136" t="n"/>
      <c r="AM874" s="136" t="n"/>
      <c r="AN874" s="136" t="n"/>
      <c r="AO874" s="136" t="n"/>
      <c r="AP874" s="136" t="n"/>
      <c r="AQ874" s="136" t="n"/>
      <c r="AR874" s="136" t="n"/>
    </row>
    <row r="875" ht="13.5" customHeight="1" s="196">
      <c r="A875" s="136" t="n"/>
      <c r="B875" s="136" t="n"/>
      <c r="C875" s="136" t="n"/>
      <c r="D875" s="141" t="n"/>
      <c r="E875" s="141" t="n"/>
      <c r="F875" s="141" t="n"/>
      <c r="G875" s="141" t="n"/>
      <c r="H875" s="141" t="n"/>
      <c r="I875" s="141" t="n"/>
      <c r="J875" s="141" t="n"/>
      <c r="K875" s="141" t="n"/>
      <c r="L875" s="141" t="n"/>
      <c r="M875" s="141" t="n"/>
      <c r="N875" s="141" t="n"/>
      <c r="O875" s="141" t="n"/>
      <c r="P875" s="141" t="n"/>
      <c r="Q875" s="141" t="n"/>
      <c r="R875" s="141" t="n"/>
      <c r="S875" s="141" t="n"/>
      <c r="T875" s="141" t="n"/>
      <c r="U875" s="141" t="n"/>
      <c r="V875" s="141" t="n"/>
      <c r="W875" s="141" t="n"/>
      <c r="X875" s="141" t="n"/>
      <c r="Y875" s="136" t="n"/>
      <c r="Z875" s="136" t="n"/>
      <c r="AA875" s="136" t="n"/>
      <c r="AB875" s="136" t="n"/>
      <c r="AC875" s="136" t="n"/>
      <c r="AD875" s="136" t="n"/>
      <c r="AE875" s="136" t="n"/>
      <c r="AF875" s="136" t="n"/>
      <c r="AG875" s="136" t="n"/>
      <c r="AH875" s="136" t="n"/>
      <c r="AI875" s="136" t="n"/>
      <c r="AJ875" s="136" t="n"/>
      <c r="AK875" s="136" t="n"/>
      <c r="AL875" s="136" t="n"/>
      <c r="AM875" s="136" t="n"/>
      <c r="AN875" s="136" t="n"/>
      <c r="AO875" s="136" t="n"/>
      <c r="AP875" s="136" t="n"/>
      <c r="AQ875" s="136" t="n"/>
      <c r="AR875" s="136" t="n"/>
    </row>
    <row r="876" ht="13.5" customHeight="1" s="196">
      <c r="A876" s="136" t="n"/>
      <c r="B876" s="136" t="n"/>
      <c r="C876" s="136" t="n"/>
      <c r="D876" s="141" t="n"/>
      <c r="E876" s="141" t="n"/>
      <c r="F876" s="141" t="n"/>
      <c r="G876" s="141" t="n"/>
      <c r="H876" s="141" t="n"/>
      <c r="I876" s="141" t="n"/>
      <c r="J876" s="141" t="n"/>
      <c r="K876" s="141" t="n"/>
      <c r="L876" s="141" t="n"/>
      <c r="M876" s="141" t="n"/>
      <c r="N876" s="141" t="n"/>
      <c r="O876" s="141" t="n"/>
      <c r="P876" s="141" t="n"/>
      <c r="Q876" s="141" t="n"/>
      <c r="R876" s="141" t="n"/>
      <c r="S876" s="141" t="n"/>
      <c r="T876" s="141" t="n"/>
      <c r="U876" s="141" t="n"/>
      <c r="V876" s="141" t="n"/>
      <c r="W876" s="141" t="n"/>
      <c r="X876" s="141" t="n"/>
      <c r="Y876" s="136" t="n"/>
      <c r="Z876" s="136" t="n"/>
      <c r="AA876" s="136" t="n"/>
      <c r="AB876" s="136" t="n"/>
      <c r="AC876" s="136" t="n"/>
      <c r="AD876" s="136" t="n"/>
      <c r="AE876" s="136" t="n"/>
      <c r="AF876" s="136" t="n"/>
      <c r="AG876" s="136" t="n"/>
      <c r="AH876" s="136" t="n"/>
      <c r="AI876" s="136" t="n"/>
      <c r="AJ876" s="136" t="n"/>
      <c r="AK876" s="136" t="n"/>
      <c r="AL876" s="136" t="n"/>
      <c r="AM876" s="136" t="n"/>
      <c r="AN876" s="136" t="n"/>
      <c r="AO876" s="136" t="n"/>
      <c r="AP876" s="136" t="n"/>
      <c r="AQ876" s="136" t="n"/>
      <c r="AR876" s="136" t="n"/>
    </row>
    <row r="877" ht="13.5" customHeight="1" s="196">
      <c r="A877" s="136" t="n"/>
      <c r="B877" s="136" t="n"/>
      <c r="C877" s="136" t="n"/>
      <c r="D877" s="141" t="n"/>
      <c r="E877" s="141" t="n"/>
      <c r="F877" s="141" t="n"/>
      <c r="G877" s="141" t="n"/>
      <c r="H877" s="141" t="n"/>
      <c r="I877" s="141" t="n"/>
      <c r="J877" s="141" t="n"/>
      <c r="K877" s="141" t="n"/>
      <c r="L877" s="141" t="n"/>
      <c r="M877" s="141" t="n"/>
      <c r="N877" s="141" t="n"/>
      <c r="O877" s="141" t="n"/>
      <c r="P877" s="141" t="n"/>
      <c r="Q877" s="141" t="n"/>
      <c r="R877" s="141" t="n"/>
      <c r="S877" s="141" t="n"/>
      <c r="T877" s="141" t="n"/>
      <c r="U877" s="141" t="n"/>
      <c r="V877" s="141" t="n"/>
      <c r="W877" s="141" t="n"/>
      <c r="X877" s="141" t="n"/>
      <c r="Y877" s="136" t="n"/>
      <c r="Z877" s="136" t="n"/>
      <c r="AA877" s="136" t="n"/>
      <c r="AB877" s="136" t="n"/>
      <c r="AC877" s="136" t="n"/>
      <c r="AD877" s="136" t="n"/>
      <c r="AE877" s="136" t="n"/>
      <c r="AF877" s="136" t="n"/>
      <c r="AG877" s="136" t="n"/>
      <c r="AH877" s="136" t="n"/>
      <c r="AI877" s="136" t="n"/>
      <c r="AJ877" s="136" t="n"/>
      <c r="AK877" s="136" t="n"/>
      <c r="AL877" s="136" t="n"/>
      <c r="AM877" s="136" t="n"/>
      <c r="AN877" s="136" t="n"/>
      <c r="AO877" s="136" t="n"/>
      <c r="AP877" s="136" t="n"/>
      <c r="AQ877" s="136" t="n"/>
      <c r="AR877" s="136" t="n"/>
    </row>
    <row r="878" ht="13.5" customHeight="1" s="196">
      <c r="A878" s="136" t="n"/>
      <c r="B878" s="136" t="n"/>
      <c r="C878" s="136" t="n"/>
      <c r="D878" s="141" t="n"/>
      <c r="E878" s="141" t="n"/>
      <c r="F878" s="141" t="n"/>
      <c r="G878" s="141" t="n"/>
      <c r="H878" s="141" t="n"/>
      <c r="I878" s="141" t="n"/>
      <c r="J878" s="141" t="n"/>
      <c r="K878" s="141" t="n"/>
      <c r="L878" s="141" t="n"/>
      <c r="M878" s="141" t="n"/>
      <c r="N878" s="141" t="n"/>
      <c r="O878" s="141" t="n"/>
      <c r="P878" s="141" t="n"/>
      <c r="Q878" s="141" t="n"/>
      <c r="R878" s="141" t="n"/>
      <c r="S878" s="141" t="n"/>
      <c r="T878" s="141" t="n"/>
      <c r="U878" s="141" t="n"/>
      <c r="V878" s="141" t="n"/>
      <c r="W878" s="141" t="n"/>
      <c r="X878" s="141" t="n"/>
      <c r="Y878" s="136" t="n"/>
      <c r="Z878" s="136" t="n"/>
      <c r="AA878" s="136" t="n"/>
      <c r="AB878" s="136" t="n"/>
      <c r="AC878" s="136" t="n"/>
      <c r="AD878" s="136" t="n"/>
      <c r="AE878" s="136" t="n"/>
      <c r="AF878" s="136" t="n"/>
      <c r="AG878" s="136" t="n"/>
      <c r="AH878" s="136" t="n"/>
      <c r="AI878" s="136" t="n"/>
      <c r="AJ878" s="136" t="n"/>
      <c r="AK878" s="136" t="n"/>
      <c r="AL878" s="136" t="n"/>
      <c r="AM878" s="136" t="n"/>
      <c r="AN878" s="136" t="n"/>
      <c r="AO878" s="136" t="n"/>
      <c r="AP878" s="136" t="n"/>
      <c r="AQ878" s="136" t="n"/>
      <c r="AR878" s="136" t="n"/>
    </row>
    <row r="879" ht="13.5" customHeight="1" s="196">
      <c r="A879" s="136" t="n"/>
      <c r="B879" s="136" t="n"/>
      <c r="C879" s="136" t="n"/>
      <c r="D879" s="141" t="n"/>
      <c r="E879" s="141" t="n"/>
      <c r="F879" s="141" t="n"/>
      <c r="G879" s="141" t="n"/>
      <c r="H879" s="141" t="n"/>
      <c r="I879" s="141" t="n"/>
      <c r="J879" s="141" t="n"/>
      <c r="K879" s="141" t="n"/>
      <c r="L879" s="141" t="n"/>
      <c r="M879" s="141" t="n"/>
      <c r="N879" s="141" t="n"/>
      <c r="O879" s="141" t="n"/>
      <c r="P879" s="141" t="n"/>
      <c r="Q879" s="141" t="n"/>
      <c r="R879" s="141" t="n"/>
      <c r="S879" s="141" t="n"/>
      <c r="T879" s="141" t="n"/>
      <c r="U879" s="141" t="n"/>
      <c r="V879" s="141" t="n"/>
      <c r="W879" s="141" t="n"/>
      <c r="X879" s="141" t="n"/>
      <c r="Y879" s="136" t="n"/>
      <c r="Z879" s="136" t="n"/>
      <c r="AA879" s="136" t="n"/>
      <c r="AB879" s="136" t="n"/>
      <c r="AC879" s="136" t="n"/>
      <c r="AD879" s="136" t="n"/>
      <c r="AE879" s="136" t="n"/>
      <c r="AF879" s="136" t="n"/>
      <c r="AG879" s="136" t="n"/>
      <c r="AH879" s="136" t="n"/>
      <c r="AI879" s="136" t="n"/>
      <c r="AJ879" s="136" t="n"/>
      <c r="AK879" s="136" t="n"/>
      <c r="AL879" s="136" t="n"/>
      <c r="AM879" s="136" t="n"/>
      <c r="AN879" s="136" t="n"/>
      <c r="AO879" s="136" t="n"/>
      <c r="AP879" s="136" t="n"/>
      <c r="AQ879" s="136" t="n"/>
      <c r="AR879" s="136" t="n"/>
    </row>
    <row r="880" ht="13.5" customHeight="1" s="196">
      <c r="A880" s="136" t="n"/>
      <c r="B880" s="136" t="n"/>
      <c r="C880" s="136" t="n"/>
      <c r="D880" s="141" t="n"/>
      <c r="E880" s="141" t="n"/>
      <c r="F880" s="141" t="n"/>
      <c r="G880" s="141" t="n"/>
      <c r="H880" s="141" t="n"/>
      <c r="I880" s="141" t="n"/>
      <c r="J880" s="141" t="n"/>
      <c r="K880" s="141" t="n"/>
      <c r="L880" s="141" t="n"/>
      <c r="M880" s="141" t="n"/>
      <c r="N880" s="141" t="n"/>
      <c r="O880" s="141" t="n"/>
      <c r="P880" s="141" t="n"/>
      <c r="Q880" s="141" t="n"/>
      <c r="R880" s="141" t="n"/>
      <c r="S880" s="141" t="n"/>
      <c r="T880" s="141" t="n"/>
      <c r="U880" s="141" t="n"/>
      <c r="V880" s="141" t="n"/>
      <c r="W880" s="141" t="n"/>
      <c r="X880" s="141" t="n"/>
      <c r="Y880" s="136" t="n"/>
      <c r="Z880" s="136" t="n"/>
      <c r="AA880" s="136" t="n"/>
      <c r="AB880" s="136" t="n"/>
      <c r="AC880" s="136" t="n"/>
      <c r="AD880" s="136" t="n"/>
      <c r="AE880" s="136" t="n"/>
      <c r="AF880" s="136" t="n"/>
      <c r="AG880" s="136" t="n"/>
      <c r="AH880" s="136" t="n"/>
      <c r="AI880" s="136" t="n"/>
      <c r="AJ880" s="136" t="n"/>
      <c r="AK880" s="136" t="n"/>
      <c r="AL880" s="136" t="n"/>
      <c r="AM880" s="136" t="n"/>
      <c r="AN880" s="136" t="n"/>
      <c r="AO880" s="136" t="n"/>
      <c r="AP880" s="136" t="n"/>
      <c r="AQ880" s="136" t="n"/>
      <c r="AR880" s="136" t="n"/>
    </row>
    <row r="881" ht="13.5" customHeight="1" s="196">
      <c r="A881" s="136" t="n"/>
      <c r="B881" s="136" t="n"/>
      <c r="C881" s="136" t="n"/>
      <c r="D881" s="141" t="n"/>
      <c r="E881" s="141" t="n"/>
      <c r="F881" s="141" t="n"/>
      <c r="G881" s="141" t="n"/>
      <c r="H881" s="141" t="n"/>
      <c r="I881" s="141" t="n"/>
      <c r="J881" s="141" t="n"/>
      <c r="K881" s="141" t="n"/>
      <c r="L881" s="141" t="n"/>
      <c r="M881" s="141" t="n"/>
      <c r="N881" s="141" t="n"/>
      <c r="O881" s="141" t="n"/>
      <c r="P881" s="141" t="n"/>
      <c r="Q881" s="141" t="n"/>
      <c r="R881" s="141" t="n"/>
      <c r="S881" s="141" t="n"/>
      <c r="T881" s="141" t="n"/>
      <c r="U881" s="141" t="n"/>
      <c r="V881" s="141" t="n"/>
      <c r="W881" s="141" t="n"/>
      <c r="X881" s="141" t="n"/>
      <c r="Y881" s="136" t="n"/>
      <c r="Z881" s="136" t="n"/>
      <c r="AA881" s="136" t="n"/>
      <c r="AB881" s="136" t="n"/>
      <c r="AC881" s="136" t="n"/>
      <c r="AD881" s="136" t="n"/>
      <c r="AE881" s="136" t="n"/>
      <c r="AF881" s="136" t="n"/>
      <c r="AG881" s="136" t="n"/>
      <c r="AH881" s="136" t="n"/>
      <c r="AI881" s="136" t="n"/>
      <c r="AJ881" s="136" t="n"/>
      <c r="AK881" s="136" t="n"/>
      <c r="AL881" s="136" t="n"/>
      <c r="AM881" s="136" t="n"/>
      <c r="AN881" s="136" t="n"/>
      <c r="AO881" s="136" t="n"/>
      <c r="AP881" s="136" t="n"/>
      <c r="AQ881" s="136" t="n"/>
      <c r="AR881" s="136" t="n"/>
    </row>
    <row r="882" ht="13.5" customHeight="1" s="196">
      <c r="A882" s="136" t="n"/>
      <c r="B882" s="136" t="n"/>
      <c r="C882" s="136" t="n"/>
      <c r="D882" s="141" t="n"/>
      <c r="E882" s="141" t="n"/>
      <c r="F882" s="141" t="n"/>
      <c r="G882" s="141" t="n"/>
      <c r="H882" s="141" t="n"/>
      <c r="I882" s="141" t="n"/>
      <c r="J882" s="141" t="n"/>
      <c r="K882" s="141" t="n"/>
      <c r="L882" s="141" t="n"/>
      <c r="M882" s="141" t="n"/>
      <c r="N882" s="141" t="n"/>
      <c r="O882" s="141" t="n"/>
      <c r="P882" s="141" t="n"/>
      <c r="Q882" s="141" t="n"/>
      <c r="R882" s="141" t="n"/>
      <c r="S882" s="141" t="n"/>
      <c r="T882" s="141" t="n"/>
      <c r="U882" s="141" t="n"/>
      <c r="V882" s="141" t="n"/>
      <c r="W882" s="141" t="n"/>
      <c r="X882" s="141" t="n"/>
      <c r="Y882" s="136" t="n"/>
      <c r="Z882" s="136" t="n"/>
      <c r="AA882" s="136" t="n"/>
      <c r="AB882" s="136" t="n"/>
      <c r="AC882" s="136" t="n"/>
      <c r="AD882" s="136" t="n"/>
      <c r="AE882" s="136" t="n"/>
      <c r="AF882" s="136" t="n"/>
      <c r="AG882" s="136" t="n"/>
      <c r="AH882" s="136" t="n"/>
      <c r="AI882" s="136" t="n"/>
      <c r="AJ882" s="136" t="n"/>
      <c r="AK882" s="136" t="n"/>
      <c r="AL882" s="136" t="n"/>
      <c r="AM882" s="136" t="n"/>
      <c r="AN882" s="136" t="n"/>
      <c r="AO882" s="136" t="n"/>
      <c r="AP882" s="136" t="n"/>
      <c r="AQ882" s="136" t="n"/>
      <c r="AR882" s="136" t="n"/>
    </row>
    <row r="883" ht="13.5" customHeight="1" s="196">
      <c r="A883" s="136" t="n"/>
      <c r="B883" s="136" t="n"/>
      <c r="C883" s="136" t="n"/>
      <c r="D883" s="141" t="n"/>
      <c r="E883" s="141" t="n"/>
      <c r="F883" s="141" t="n"/>
      <c r="G883" s="141" t="n"/>
      <c r="H883" s="141" t="n"/>
      <c r="I883" s="141" t="n"/>
      <c r="J883" s="141" t="n"/>
      <c r="K883" s="141" t="n"/>
      <c r="L883" s="141" t="n"/>
      <c r="M883" s="141" t="n"/>
      <c r="N883" s="141" t="n"/>
      <c r="O883" s="141" t="n"/>
      <c r="P883" s="141" t="n"/>
      <c r="Q883" s="141" t="n"/>
      <c r="R883" s="141" t="n"/>
      <c r="S883" s="141" t="n"/>
      <c r="T883" s="141" t="n"/>
      <c r="U883" s="141" t="n"/>
      <c r="V883" s="141" t="n"/>
      <c r="W883" s="141" t="n"/>
      <c r="X883" s="141" t="n"/>
      <c r="Y883" s="136" t="n"/>
      <c r="Z883" s="136" t="n"/>
      <c r="AA883" s="136" t="n"/>
      <c r="AB883" s="136" t="n"/>
      <c r="AC883" s="136" t="n"/>
      <c r="AD883" s="136" t="n"/>
      <c r="AE883" s="136" t="n"/>
      <c r="AF883" s="136" t="n"/>
      <c r="AG883" s="136" t="n"/>
      <c r="AH883" s="136" t="n"/>
      <c r="AI883" s="136" t="n"/>
      <c r="AJ883" s="136" t="n"/>
      <c r="AK883" s="136" t="n"/>
      <c r="AL883" s="136" t="n"/>
      <c r="AM883" s="136" t="n"/>
      <c r="AN883" s="136" t="n"/>
      <c r="AO883" s="136" t="n"/>
      <c r="AP883" s="136" t="n"/>
      <c r="AQ883" s="136" t="n"/>
      <c r="AR883" s="136" t="n"/>
    </row>
    <row r="884" ht="13.5" customHeight="1" s="196">
      <c r="A884" s="136" t="n"/>
      <c r="B884" s="136" t="n"/>
      <c r="C884" s="136" t="n"/>
      <c r="D884" s="141" t="n"/>
      <c r="E884" s="141" t="n"/>
      <c r="F884" s="141" t="n"/>
      <c r="G884" s="141" t="n"/>
      <c r="H884" s="141" t="n"/>
      <c r="I884" s="141" t="n"/>
      <c r="J884" s="141" t="n"/>
      <c r="K884" s="141" t="n"/>
      <c r="L884" s="141" t="n"/>
      <c r="M884" s="141" t="n"/>
      <c r="N884" s="141" t="n"/>
      <c r="O884" s="141" t="n"/>
      <c r="P884" s="141" t="n"/>
      <c r="Q884" s="141" t="n"/>
      <c r="R884" s="141" t="n"/>
      <c r="S884" s="141" t="n"/>
      <c r="T884" s="141" t="n"/>
      <c r="U884" s="141" t="n"/>
      <c r="V884" s="141" t="n"/>
      <c r="W884" s="141" t="n"/>
      <c r="X884" s="141" t="n"/>
      <c r="Y884" s="136" t="n"/>
      <c r="Z884" s="136" t="n"/>
      <c r="AA884" s="136" t="n"/>
      <c r="AB884" s="136" t="n"/>
      <c r="AC884" s="136" t="n"/>
      <c r="AD884" s="136" t="n"/>
      <c r="AE884" s="136" t="n"/>
      <c r="AF884" s="136" t="n"/>
      <c r="AG884" s="136" t="n"/>
      <c r="AH884" s="136" t="n"/>
      <c r="AI884" s="136" t="n"/>
      <c r="AJ884" s="136" t="n"/>
      <c r="AK884" s="136" t="n"/>
      <c r="AL884" s="136" t="n"/>
      <c r="AM884" s="136" t="n"/>
      <c r="AN884" s="136" t="n"/>
      <c r="AO884" s="136" t="n"/>
      <c r="AP884" s="136" t="n"/>
      <c r="AQ884" s="136" t="n"/>
      <c r="AR884" s="136" t="n"/>
    </row>
    <row r="885" ht="13.5" customHeight="1" s="196">
      <c r="A885" s="136" t="n"/>
      <c r="B885" s="136" t="n"/>
      <c r="C885" s="136" t="n"/>
      <c r="D885" s="141" t="n"/>
      <c r="E885" s="141" t="n"/>
      <c r="F885" s="141" t="n"/>
      <c r="G885" s="141" t="n"/>
      <c r="H885" s="141" t="n"/>
      <c r="I885" s="141" t="n"/>
      <c r="J885" s="141" t="n"/>
      <c r="K885" s="141" t="n"/>
      <c r="L885" s="141" t="n"/>
      <c r="M885" s="141" t="n"/>
      <c r="N885" s="141" t="n"/>
      <c r="O885" s="141" t="n"/>
      <c r="P885" s="141" t="n"/>
      <c r="Q885" s="141" t="n"/>
      <c r="R885" s="141" t="n"/>
      <c r="S885" s="141" t="n"/>
      <c r="T885" s="141" t="n"/>
      <c r="U885" s="141" t="n"/>
      <c r="V885" s="141" t="n"/>
      <c r="W885" s="141" t="n"/>
      <c r="X885" s="141" t="n"/>
      <c r="Y885" s="136" t="n"/>
      <c r="Z885" s="136" t="n"/>
      <c r="AA885" s="136" t="n"/>
      <c r="AB885" s="136" t="n"/>
      <c r="AC885" s="136" t="n"/>
      <c r="AD885" s="136" t="n"/>
      <c r="AE885" s="136" t="n"/>
      <c r="AF885" s="136" t="n"/>
      <c r="AG885" s="136" t="n"/>
      <c r="AH885" s="136" t="n"/>
      <c r="AI885" s="136" t="n"/>
      <c r="AJ885" s="136" t="n"/>
      <c r="AK885" s="136" t="n"/>
      <c r="AL885" s="136" t="n"/>
      <c r="AM885" s="136" t="n"/>
      <c r="AN885" s="136" t="n"/>
      <c r="AO885" s="136" t="n"/>
      <c r="AP885" s="136" t="n"/>
      <c r="AQ885" s="136" t="n"/>
      <c r="AR885" s="136" t="n"/>
    </row>
    <row r="886" ht="13.5" customHeight="1" s="196">
      <c r="A886" s="136" t="n"/>
      <c r="B886" s="136" t="n"/>
      <c r="C886" s="136" t="n"/>
      <c r="D886" s="141" t="n"/>
      <c r="E886" s="141" t="n"/>
      <c r="F886" s="141" t="n"/>
      <c r="G886" s="141" t="n"/>
      <c r="H886" s="141" t="n"/>
      <c r="I886" s="141" t="n"/>
      <c r="J886" s="141" t="n"/>
      <c r="K886" s="141" t="n"/>
      <c r="L886" s="141" t="n"/>
      <c r="M886" s="141" t="n"/>
      <c r="N886" s="141" t="n"/>
      <c r="O886" s="141" t="n"/>
      <c r="P886" s="141" t="n"/>
      <c r="Q886" s="141" t="n"/>
      <c r="R886" s="141" t="n"/>
      <c r="S886" s="141" t="n"/>
      <c r="T886" s="141" t="n"/>
      <c r="U886" s="141" t="n"/>
      <c r="V886" s="141" t="n"/>
      <c r="W886" s="141" t="n"/>
      <c r="X886" s="141" t="n"/>
      <c r="Y886" s="136" t="n"/>
      <c r="Z886" s="136" t="n"/>
      <c r="AA886" s="136" t="n"/>
      <c r="AB886" s="136" t="n"/>
      <c r="AC886" s="136" t="n"/>
      <c r="AD886" s="136" t="n"/>
      <c r="AE886" s="136" t="n"/>
      <c r="AF886" s="136" t="n"/>
      <c r="AG886" s="136" t="n"/>
      <c r="AH886" s="136" t="n"/>
      <c r="AI886" s="136" t="n"/>
      <c r="AJ886" s="136" t="n"/>
      <c r="AK886" s="136" t="n"/>
      <c r="AL886" s="136" t="n"/>
      <c r="AM886" s="136" t="n"/>
      <c r="AN886" s="136" t="n"/>
      <c r="AO886" s="136" t="n"/>
      <c r="AP886" s="136" t="n"/>
      <c r="AQ886" s="136" t="n"/>
      <c r="AR886" s="136" t="n"/>
    </row>
    <row r="887" ht="13.5" customHeight="1" s="196">
      <c r="A887" s="136" t="n"/>
      <c r="B887" s="136" t="n"/>
      <c r="C887" s="136" t="n"/>
      <c r="D887" s="141" t="n"/>
      <c r="E887" s="141" t="n"/>
      <c r="F887" s="141" t="n"/>
      <c r="G887" s="141" t="n"/>
      <c r="H887" s="141" t="n"/>
      <c r="I887" s="141" t="n"/>
      <c r="J887" s="141" t="n"/>
      <c r="K887" s="141" t="n"/>
      <c r="L887" s="141" t="n"/>
      <c r="M887" s="141" t="n"/>
      <c r="N887" s="141" t="n"/>
      <c r="O887" s="141" t="n"/>
      <c r="P887" s="141" t="n"/>
      <c r="Q887" s="141" t="n"/>
      <c r="R887" s="141" t="n"/>
      <c r="S887" s="141" t="n"/>
      <c r="T887" s="141" t="n"/>
      <c r="U887" s="141" t="n"/>
      <c r="V887" s="141" t="n"/>
      <c r="W887" s="141" t="n"/>
      <c r="X887" s="141" t="n"/>
      <c r="Y887" s="136" t="n"/>
      <c r="Z887" s="136" t="n"/>
      <c r="AA887" s="136" t="n"/>
      <c r="AB887" s="136" t="n"/>
      <c r="AC887" s="136" t="n"/>
      <c r="AD887" s="136" t="n"/>
      <c r="AE887" s="136" t="n"/>
      <c r="AF887" s="136" t="n"/>
      <c r="AG887" s="136" t="n"/>
      <c r="AH887" s="136" t="n"/>
      <c r="AI887" s="136" t="n"/>
      <c r="AJ887" s="136" t="n"/>
      <c r="AK887" s="136" t="n"/>
      <c r="AL887" s="136" t="n"/>
      <c r="AM887" s="136" t="n"/>
      <c r="AN887" s="136" t="n"/>
      <c r="AO887" s="136" t="n"/>
      <c r="AP887" s="136" t="n"/>
      <c r="AQ887" s="136" t="n"/>
      <c r="AR887" s="136" t="n"/>
    </row>
    <row r="888" ht="13.5" customHeight="1" s="196">
      <c r="A888" s="136" t="n"/>
      <c r="B888" s="136" t="n"/>
      <c r="C888" s="136" t="n"/>
      <c r="D888" s="141" t="n"/>
      <c r="E888" s="141" t="n"/>
      <c r="F888" s="141" t="n"/>
      <c r="G888" s="141" t="n"/>
      <c r="H888" s="141" t="n"/>
      <c r="I888" s="141" t="n"/>
      <c r="J888" s="141" t="n"/>
      <c r="K888" s="141" t="n"/>
      <c r="L888" s="141" t="n"/>
      <c r="M888" s="141" t="n"/>
      <c r="N888" s="141" t="n"/>
      <c r="O888" s="141" t="n"/>
      <c r="P888" s="141" t="n"/>
      <c r="Q888" s="141" t="n"/>
      <c r="R888" s="141" t="n"/>
      <c r="S888" s="141" t="n"/>
      <c r="T888" s="141" t="n"/>
      <c r="U888" s="141" t="n"/>
      <c r="V888" s="141" t="n"/>
      <c r="W888" s="141" t="n"/>
      <c r="X888" s="141" t="n"/>
      <c r="Y888" s="136" t="n"/>
      <c r="Z888" s="136" t="n"/>
      <c r="AA888" s="136" t="n"/>
      <c r="AB888" s="136" t="n"/>
      <c r="AC888" s="136" t="n"/>
      <c r="AD888" s="136" t="n"/>
      <c r="AE888" s="136" t="n"/>
      <c r="AF888" s="136" t="n"/>
      <c r="AG888" s="136" t="n"/>
      <c r="AH888" s="136" t="n"/>
      <c r="AI888" s="136" t="n"/>
      <c r="AJ888" s="136" t="n"/>
      <c r="AK888" s="136" t="n"/>
      <c r="AL888" s="136" t="n"/>
      <c r="AM888" s="136" t="n"/>
      <c r="AN888" s="136" t="n"/>
      <c r="AO888" s="136" t="n"/>
      <c r="AP888" s="136" t="n"/>
      <c r="AQ888" s="136" t="n"/>
      <c r="AR888" s="136" t="n"/>
    </row>
    <row r="889" ht="13.5" customHeight="1" s="196">
      <c r="A889" s="136" t="n"/>
      <c r="B889" s="136" t="n"/>
      <c r="C889" s="136" t="n"/>
      <c r="D889" s="141" t="n"/>
      <c r="E889" s="141" t="n"/>
      <c r="F889" s="141" t="n"/>
      <c r="G889" s="141" t="n"/>
      <c r="H889" s="141" t="n"/>
      <c r="I889" s="141" t="n"/>
      <c r="J889" s="141" t="n"/>
      <c r="K889" s="141" t="n"/>
      <c r="L889" s="141" t="n"/>
      <c r="M889" s="141" t="n"/>
      <c r="N889" s="141" t="n"/>
      <c r="O889" s="141" t="n"/>
      <c r="P889" s="141" t="n"/>
      <c r="Q889" s="141" t="n"/>
      <c r="R889" s="141" t="n"/>
      <c r="S889" s="141" t="n"/>
      <c r="T889" s="141" t="n"/>
      <c r="U889" s="141" t="n"/>
      <c r="V889" s="141" t="n"/>
      <c r="W889" s="141" t="n"/>
      <c r="X889" s="141" t="n"/>
      <c r="Y889" s="136" t="n"/>
      <c r="Z889" s="136" t="n"/>
      <c r="AA889" s="136" t="n"/>
      <c r="AB889" s="136" t="n"/>
      <c r="AC889" s="136" t="n"/>
      <c r="AD889" s="136" t="n"/>
      <c r="AE889" s="136" t="n"/>
      <c r="AF889" s="136" t="n"/>
      <c r="AG889" s="136" t="n"/>
      <c r="AH889" s="136" t="n"/>
      <c r="AI889" s="136" t="n"/>
      <c r="AJ889" s="136" t="n"/>
      <c r="AK889" s="136" t="n"/>
      <c r="AL889" s="136" t="n"/>
      <c r="AM889" s="136" t="n"/>
      <c r="AN889" s="136" t="n"/>
      <c r="AO889" s="136" t="n"/>
      <c r="AP889" s="136" t="n"/>
      <c r="AQ889" s="136" t="n"/>
      <c r="AR889" s="136" t="n"/>
    </row>
    <row r="890" ht="13.5" customHeight="1" s="196">
      <c r="A890" s="136" t="n"/>
      <c r="B890" s="136" t="n"/>
      <c r="C890" s="136" t="n"/>
      <c r="D890" s="141" t="n"/>
      <c r="E890" s="141" t="n"/>
      <c r="F890" s="141" t="n"/>
      <c r="G890" s="141" t="n"/>
      <c r="H890" s="141" t="n"/>
      <c r="I890" s="141" t="n"/>
      <c r="J890" s="141" t="n"/>
      <c r="K890" s="141" t="n"/>
      <c r="L890" s="141" t="n"/>
      <c r="M890" s="141" t="n"/>
      <c r="N890" s="141" t="n"/>
      <c r="O890" s="141" t="n"/>
      <c r="P890" s="141" t="n"/>
      <c r="Q890" s="141" t="n"/>
      <c r="R890" s="141" t="n"/>
      <c r="S890" s="141" t="n"/>
      <c r="T890" s="141" t="n"/>
      <c r="U890" s="141" t="n"/>
      <c r="V890" s="141" t="n"/>
      <c r="W890" s="141" t="n"/>
      <c r="X890" s="141" t="n"/>
      <c r="Y890" s="136" t="n"/>
      <c r="Z890" s="136" t="n"/>
      <c r="AA890" s="136" t="n"/>
      <c r="AB890" s="136" t="n"/>
      <c r="AC890" s="136" t="n"/>
      <c r="AD890" s="136" t="n"/>
      <c r="AE890" s="136" t="n"/>
      <c r="AF890" s="136" t="n"/>
      <c r="AG890" s="136" t="n"/>
      <c r="AH890" s="136" t="n"/>
      <c r="AI890" s="136" t="n"/>
      <c r="AJ890" s="136" t="n"/>
      <c r="AK890" s="136" t="n"/>
      <c r="AL890" s="136" t="n"/>
      <c r="AM890" s="136" t="n"/>
      <c r="AN890" s="136" t="n"/>
      <c r="AO890" s="136" t="n"/>
      <c r="AP890" s="136" t="n"/>
      <c r="AQ890" s="136" t="n"/>
      <c r="AR890" s="136" t="n"/>
    </row>
    <row r="891" ht="13.5" customHeight="1" s="196">
      <c r="A891" s="136" t="n"/>
      <c r="B891" s="136" t="n"/>
      <c r="C891" s="136" t="n"/>
      <c r="D891" s="141" t="n"/>
      <c r="E891" s="141" t="n"/>
      <c r="F891" s="141" t="n"/>
      <c r="G891" s="141" t="n"/>
      <c r="H891" s="141" t="n"/>
      <c r="I891" s="141" t="n"/>
      <c r="J891" s="141" t="n"/>
      <c r="K891" s="141" t="n"/>
      <c r="L891" s="141" t="n"/>
      <c r="M891" s="141" t="n"/>
      <c r="N891" s="141" t="n"/>
      <c r="O891" s="141" t="n"/>
      <c r="P891" s="141" t="n"/>
      <c r="Q891" s="141" t="n"/>
      <c r="R891" s="141" t="n"/>
      <c r="S891" s="141" t="n"/>
      <c r="T891" s="141" t="n"/>
      <c r="U891" s="141" t="n"/>
      <c r="V891" s="141" t="n"/>
      <c r="W891" s="141" t="n"/>
      <c r="X891" s="141" t="n"/>
      <c r="Y891" s="136" t="n"/>
      <c r="Z891" s="136" t="n"/>
      <c r="AA891" s="136" t="n"/>
      <c r="AB891" s="136" t="n"/>
      <c r="AC891" s="136" t="n"/>
      <c r="AD891" s="136" t="n"/>
      <c r="AE891" s="136" t="n"/>
      <c r="AF891" s="136" t="n"/>
      <c r="AG891" s="136" t="n"/>
      <c r="AH891" s="136" t="n"/>
      <c r="AI891" s="136" t="n"/>
      <c r="AJ891" s="136" t="n"/>
      <c r="AK891" s="136" t="n"/>
      <c r="AL891" s="136" t="n"/>
      <c r="AM891" s="136" t="n"/>
      <c r="AN891" s="136" t="n"/>
      <c r="AO891" s="136" t="n"/>
      <c r="AP891" s="136" t="n"/>
      <c r="AQ891" s="136" t="n"/>
      <c r="AR891" s="136" t="n"/>
    </row>
    <row r="892" ht="13.5" customHeight="1" s="196">
      <c r="A892" s="136" t="n"/>
      <c r="B892" s="136" t="n"/>
      <c r="C892" s="136" t="n"/>
      <c r="D892" s="141" t="n"/>
      <c r="E892" s="141" t="n"/>
      <c r="F892" s="141" t="n"/>
      <c r="G892" s="141" t="n"/>
      <c r="H892" s="141" t="n"/>
      <c r="I892" s="141" t="n"/>
      <c r="J892" s="141" t="n"/>
      <c r="K892" s="141" t="n"/>
      <c r="L892" s="141" t="n"/>
      <c r="M892" s="141" t="n"/>
      <c r="N892" s="141" t="n"/>
      <c r="O892" s="141" t="n"/>
      <c r="P892" s="141" t="n"/>
      <c r="Q892" s="141" t="n"/>
      <c r="R892" s="141" t="n"/>
      <c r="S892" s="141" t="n"/>
      <c r="T892" s="141" t="n"/>
      <c r="U892" s="141" t="n"/>
      <c r="V892" s="141" t="n"/>
      <c r="W892" s="141" t="n"/>
      <c r="X892" s="141" t="n"/>
      <c r="Y892" s="136" t="n"/>
      <c r="Z892" s="136" t="n"/>
      <c r="AA892" s="136" t="n"/>
      <c r="AB892" s="136" t="n"/>
      <c r="AC892" s="136" t="n"/>
      <c r="AD892" s="136" t="n"/>
      <c r="AE892" s="136" t="n"/>
      <c r="AF892" s="136" t="n"/>
      <c r="AG892" s="136" t="n"/>
      <c r="AH892" s="136" t="n"/>
      <c r="AI892" s="136" t="n"/>
      <c r="AJ892" s="136" t="n"/>
      <c r="AK892" s="136" t="n"/>
      <c r="AL892" s="136" t="n"/>
      <c r="AM892" s="136" t="n"/>
      <c r="AN892" s="136" t="n"/>
      <c r="AO892" s="136" t="n"/>
      <c r="AP892" s="136" t="n"/>
      <c r="AQ892" s="136" t="n"/>
      <c r="AR892" s="136" t="n"/>
    </row>
    <row r="893" ht="13.5" customHeight="1" s="196">
      <c r="A893" s="136" t="n"/>
      <c r="B893" s="136" t="n"/>
      <c r="C893" s="136" t="n"/>
      <c r="D893" s="141" t="n"/>
      <c r="E893" s="141" t="n"/>
      <c r="F893" s="141" t="n"/>
      <c r="G893" s="141" t="n"/>
      <c r="H893" s="141" t="n"/>
      <c r="I893" s="141" t="n"/>
      <c r="J893" s="141" t="n"/>
      <c r="K893" s="141" t="n"/>
      <c r="L893" s="141" t="n"/>
      <c r="M893" s="141" t="n"/>
      <c r="N893" s="141" t="n"/>
      <c r="O893" s="141" t="n"/>
      <c r="P893" s="141" t="n"/>
      <c r="Q893" s="141" t="n"/>
      <c r="R893" s="141" t="n"/>
      <c r="S893" s="141" t="n"/>
      <c r="T893" s="141" t="n"/>
      <c r="U893" s="141" t="n"/>
      <c r="V893" s="141" t="n"/>
      <c r="W893" s="141" t="n"/>
      <c r="X893" s="141" t="n"/>
      <c r="Y893" s="136" t="n"/>
      <c r="Z893" s="136" t="n"/>
      <c r="AA893" s="136" t="n"/>
      <c r="AB893" s="136" t="n"/>
      <c r="AC893" s="136" t="n"/>
      <c r="AD893" s="136" t="n"/>
      <c r="AE893" s="136" t="n"/>
      <c r="AF893" s="136" t="n"/>
      <c r="AG893" s="136" t="n"/>
      <c r="AH893" s="136" t="n"/>
      <c r="AI893" s="136" t="n"/>
      <c r="AJ893" s="136" t="n"/>
      <c r="AK893" s="136" t="n"/>
      <c r="AL893" s="136" t="n"/>
      <c r="AM893" s="136" t="n"/>
      <c r="AN893" s="136" t="n"/>
      <c r="AO893" s="136" t="n"/>
      <c r="AP893" s="136" t="n"/>
      <c r="AQ893" s="136" t="n"/>
      <c r="AR893" s="136" t="n"/>
    </row>
    <row r="894" ht="13.5" customHeight="1" s="196">
      <c r="A894" s="136" t="n"/>
      <c r="B894" s="136" t="n"/>
      <c r="C894" s="136" t="n"/>
      <c r="D894" s="141" t="n"/>
      <c r="E894" s="141" t="n"/>
      <c r="F894" s="141" t="n"/>
      <c r="G894" s="141" t="n"/>
      <c r="H894" s="141" t="n"/>
      <c r="I894" s="141" t="n"/>
      <c r="J894" s="141" t="n"/>
      <c r="K894" s="141" t="n"/>
      <c r="L894" s="141" t="n"/>
      <c r="M894" s="141" t="n"/>
      <c r="N894" s="141" t="n"/>
      <c r="O894" s="141" t="n"/>
      <c r="P894" s="141" t="n"/>
      <c r="Q894" s="141" t="n"/>
      <c r="R894" s="141" t="n"/>
      <c r="S894" s="141" t="n"/>
      <c r="T894" s="141" t="n"/>
      <c r="U894" s="141" t="n"/>
      <c r="V894" s="141" t="n"/>
      <c r="W894" s="141" t="n"/>
      <c r="X894" s="141" t="n"/>
      <c r="Y894" s="136" t="n"/>
      <c r="Z894" s="136" t="n"/>
      <c r="AA894" s="136" t="n"/>
      <c r="AB894" s="136" t="n"/>
      <c r="AC894" s="136" t="n"/>
      <c r="AD894" s="136" t="n"/>
      <c r="AE894" s="136" t="n"/>
      <c r="AF894" s="136" t="n"/>
      <c r="AG894" s="136" t="n"/>
      <c r="AH894" s="136" t="n"/>
      <c r="AI894" s="136" t="n"/>
      <c r="AJ894" s="136" t="n"/>
      <c r="AK894" s="136" t="n"/>
      <c r="AL894" s="136" t="n"/>
      <c r="AM894" s="136" t="n"/>
      <c r="AN894" s="136" t="n"/>
      <c r="AO894" s="136" t="n"/>
      <c r="AP894" s="136" t="n"/>
      <c r="AQ894" s="136" t="n"/>
      <c r="AR894" s="136" t="n"/>
    </row>
    <row r="895" ht="13.5" customHeight="1" s="196">
      <c r="A895" s="136" t="n"/>
      <c r="B895" s="136" t="n"/>
      <c r="C895" s="136" t="n"/>
      <c r="D895" s="141" t="n"/>
      <c r="E895" s="141" t="n"/>
      <c r="F895" s="141" t="n"/>
      <c r="G895" s="141" t="n"/>
      <c r="H895" s="141" t="n"/>
      <c r="I895" s="141" t="n"/>
      <c r="J895" s="141" t="n"/>
      <c r="K895" s="141" t="n"/>
      <c r="L895" s="141" t="n"/>
      <c r="M895" s="141" t="n"/>
      <c r="N895" s="141" t="n"/>
      <c r="O895" s="141" t="n"/>
      <c r="P895" s="141" t="n"/>
      <c r="Q895" s="141" t="n"/>
      <c r="R895" s="141" t="n"/>
      <c r="S895" s="141" t="n"/>
      <c r="T895" s="141" t="n"/>
      <c r="U895" s="141" t="n"/>
      <c r="V895" s="141" t="n"/>
      <c r="W895" s="141" t="n"/>
      <c r="X895" s="141" t="n"/>
      <c r="Y895" s="136" t="n"/>
      <c r="Z895" s="136" t="n"/>
      <c r="AA895" s="136" t="n"/>
      <c r="AB895" s="136" t="n"/>
      <c r="AC895" s="136" t="n"/>
      <c r="AD895" s="136" t="n"/>
      <c r="AE895" s="136" t="n"/>
      <c r="AF895" s="136" t="n"/>
      <c r="AG895" s="136" t="n"/>
      <c r="AH895" s="136" t="n"/>
      <c r="AI895" s="136" t="n"/>
      <c r="AJ895" s="136" t="n"/>
      <c r="AK895" s="136" t="n"/>
      <c r="AL895" s="136" t="n"/>
      <c r="AM895" s="136" t="n"/>
      <c r="AN895" s="136" t="n"/>
      <c r="AO895" s="136" t="n"/>
      <c r="AP895" s="136" t="n"/>
      <c r="AQ895" s="136" t="n"/>
      <c r="AR895" s="136" t="n"/>
    </row>
    <row r="896" ht="13.5" customHeight="1" s="196">
      <c r="A896" s="136" t="n"/>
      <c r="B896" s="136" t="n"/>
      <c r="C896" s="136" t="n"/>
      <c r="D896" s="141" t="n"/>
      <c r="E896" s="141" t="n"/>
      <c r="F896" s="141" t="n"/>
      <c r="G896" s="141" t="n"/>
      <c r="H896" s="141" t="n"/>
      <c r="I896" s="141" t="n"/>
      <c r="J896" s="141" t="n"/>
      <c r="K896" s="141" t="n"/>
      <c r="L896" s="141" t="n"/>
      <c r="M896" s="141" t="n"/>
      <c r="N896" s="141" t="n"/>
      <c r="O896" s="141" t="n"/>
      <c r="P896" s="141" t="n"/>
      <c r="Q896" s="141" t="n"/>
      <c r="R896" s="141" t="n"/>
      <c r="S896" s="141" t="n"/>
      <c r="T896" s="141" t="n"/>
      <c r="U896" s="141" t="n"/>
      <c r="V896" s="141" t="n"/>
      <c r="W896" s="141" t="n"/>
      <c r="X896" s="141" t="n"/>
      <c r="Y896" s="136" t="n"/>
      <c r="Z896" s="136" t="n"/>
      <c r="AA896" s="136" t="n"/>
      <c r="AB896" s="136" t="n"/>
      <c r="AC896" s="136" t="n"/>
      <c r="AD896" s="136" t="n"/>
      <c r="AE896" s="136" t="n"/>
      <c r="AF896" s="136" t="n"/>
      <c r="AG896" s="136" t="n"/>
      <c r="AH896" s="136" t="n"/>
      <c r="AI896" s="136" t="n"/>
      <c r="AJ896" s="136" t="n"/>
      <c r="AK896" s="136" t="n"/>
      <c r="AL896" s="136" t="n"/>
      <c r="AM896" s="136" t="n"/>
      <c r="AN896" s="136" t="n"/>
      <c r="AO896" s="136" t="n"/>
      <c r="AP896" s="136" t="n"/>
      <c r="AQ896" s="136" t="n"/>
      <c r="AR896" s="136" t="n"/>
    </row>
    <row r="897" ht="13.5" customHeight="1" s="196">
      <c r="A897" s="136" t="n"/>
      <c r="B897" s="136" t="n"/>
      <c r="C897" s="136" t="n"/>
      <c r="D897" s="141" t="n"/>
      <c r="E897" s="141" t="n"/>
      <c r="F897" s="141" t="n"/>
      <c r="G897" s="141" t="n"/>
      <c r="H897" s="141" t="n"/>
      <c r="I897" s="141" t="n"/>
      <c r="J897" s="141" t="n"/>
      <c r="K897" s="141" t="n"/>
      <c r="L897" s="141" t="n"/>
      <c r="M897" s="141" t="n"/>
      <c r="N897" s="141" t="n"/>
      <c r="O897" s="141" t="n"/>
      <c r="P897" s="141" t="n"/>
      <c r="Q897" s="141" t="n"/>
      <c r="R897" s="141" t="n"/>
      <c r="S897" s="141" t="n"/>
      <c r="T897" s="141" t="n"/>
      <c r="U897" s="141" t="n"/>
      <c r="V897" s="141" t="n"/>
      <c r="W897" s="141" t="n"/>
      <c r="X897" s="141" t="n"/>
      <c r="Y897" s="136" t="n"/>
      <c r="Z897" s="136" t="n"/>
      <c r="AA897" s="136" t="n"/>
      <c r="AB897" s="136" t="n"/>
      <c r="AC897" s="136" t="n"/>
      <c r="AD897" s="136" t="n"/>
      <c r="AE897" s="136" t="n"/>
      <c r="AF897" s="136" t="n"/>
      <c r="AG897" s="136" t="n"/>
      <c r="AH897" s="136" t="n"/>
      <c r="AI897" s="136" t="n"/>
      <c r="AJ897" s="136" t="n"/>
      <c r="AK897" s="136" t="n"/>
      <c r="AL897" s="136" t="n"/>
      <c r="AM897" s="136" t="n"/>
      <c r="AN897" s="136" t="n"/>
      <c r="AO897" s="136" t="n"/>
      <c r="AP897" s="136" t="n"/>
      <c r="AQ897" s="136" t="n"/>
      <c r="AR897" s="136" t="n"/>
    </row>
    <row r="898" ht="13.5" customHeight="1" s="196">
      <c r="A898" s="136" t="n"/>
      <c r="B898" s="136" t="n"/>
      <c r="C898" s="136" t="n"/>
      <c r="D898" s="141" t="n"/>
      <c r="E898" s="141" t="n"/>
      <c r="F898" s="141" t="n"/>
      <c r="G898" s="141" t="n"/>
      <c r="H898" s="141" t="n"/>
      <c r="I898" s="141" t="n"/>
      <c r="J898" s="141" t="n"/>
      <c r="K898" s="141" t="n"/>
      <c r="L898" s="141" t="n"/>
      <c r="M898" s="141" t="n"/>
      <c r="N898" s="141" t="n"/>
      <c r="O898" s="141" t="n"/>
      <c r="P898" s="141" t="n"/>
      <c r="Q898" s="141" t="n"/>
      <c r="R898" s="141" t="n"/>
      <c r="S898" s="141" t="n"/>
      <c r="T898" s="141" t="n"/>
      <c r="U898" s="141" t="n"/>
      <c r="V898" s="141" t="n"/>
      <c r="W898" s="141" t="n"/>
      <c r="X898" s="141" t="n"/>
      <c r="Y898" s="136" t="n"/>
      <c r="Z898" s="136" t="n"/>
      <c r="AA898" s="136" t="n"/>
      <c r="AB898" s="136" t="n"/>
      <c r="AC898" s="136" t="n"/>
      <c r="AD898" s="136" t="n"/>
      <c r="AE898" s="136" t="n"/>
      <c r="AF898" s="136" t="n"/>
      <c r="AG898" s="136" t="n"/>
      <c r="AH898" s="136" t="n"/>
      <c r="AI898" s="136" t="n"/>
      <c r="AJ898" s="136" t="n"/>
      <c r="AK898" s="136" t="n"/>
      <c r="AL898" s="136" t="n"/>
      <c r="AM898" s="136" t="n"/>
      <c r="AN898" s="136" t="n"/>
      <c r="AO898" s="136" t="n"/>
      <c r="AP898" s="136" t="n"/>
      <c r="AQ898" s="136" t="n"/>
      <c r="AR898" s="136" t="n"/>
    </row>
    <row r="899" ht="13.5" customHeight="1" s="196">
      <c r="A899" s="136" t="n"/>
      <c r="B899" s="136" t="n"/>
      <c r="C899" s="136" t="n"/>
      <c r="D899" s="141" t="n"/>
      <c r="E899" s="141" t="n"/>
      <c r="F899" s="141" t="n"/>
      <c r="G899" s="141" t="n"/>
      <c r="H899" s="141" t="n"/>
      <c r="I899" s="141" t="n"/>
      <c r="J899" s="141" t="n"/>
      <c r="K899" s="141" t="n"/>
      <c r="L899" s="141" t="n"/>
      <c r="M899" s="141" t="n"/>
      <c r="N899" s="141" t="n"/>
      <c r="O899" s="141" t="n"/>
      <c r="P899" s="141" t="n"/>
      <c r="Q899" s="141" t="n"/>
      <c r="R899" s="141" t="n"/>
      <c r="S899" s="141" t="n"/>
      <c r="T899" s="141" t="n"/>
      <c r="U899" s="141" t="n"/>
      <c r="V899" s="141" t="n"/>
      <c r="W899" s="141" t="n"/>
      <c r="X899" s="141" t="n"/>
      <c r="Y899" s="136" t="n"/>
      <c r="Z899" s="136" t="n"/>
      <c r="AA899" s="136" t="n"/>
      <c r="AB899" s="136" t="n"/>
      <c r="AC899" s="136" t="n"/>
      <c r="AD899" s="136" t="n"/>
      <c r="AE899" s="136" t="n"/>
      <c r="AF899" s="136" t="n"/>
      <c r="AG899" s="136" t="n"/>
      <c r="AH899" s="136" t="n"/>
      <c r="AI899" s="136" t="n"/>
      <c r="AJ899" s="136" t="n"/>
      <c r="AK899" s="136" t="n"/>
      <c r="AL899" s="136" t="n"/>
      <c r="AM899" s="136" t="n"/>
      <c r="AN899" s="136" t="n"/>
      <c r="AO899" s="136" t="n"/>
      <c r="AP899" s="136" t="n"/>
      <c r="AQ899" s="136" t="n"/>
      <c r="AR899" s="136" t="n"/>
    </row>
    <row r="900" ht="13.5" customHeight="1" s="196">
      <c r="A900" s="136" t="n"/>
      <c r="B900" s="136" t="n"/>
      <c r="C900" s="136" t="n"/>
      <c r="D900" s="141" t="n"/>
      <c r="E900" s="141" t="n"/>
      <c r="F900" s="141" t="n"/>
      <c r="G900" s="141" t="n"/>
      <c r="H900" s="141" t="n"/>
      <c r="I900" s="141" t="n"/>
      <c r="J900" s="141" t="n"/>
      <c r="K900" s="141" t="n"/>
      <c r="L900" s="141" t="n"/>
      <c r="M900" s="141" t="n"/>
      <c r="N900" s="141" t="n"/>
      <c r="O900" s="141" t="n"/>
      <c r="P900" s="141" t="n"/>
      <c r="Q900" s="141" t="n"/>
      <c r="R900" s="141" t="n"/>
      <c r="S900" s="141" t="n"/>
      <c r="T900" s="141" t="n"/>
      <c r="U900" s="141" t="n"/>
      <c r="V900" s="141" t="n"/>
      <c r="W900" s="141" t="n"/>
      <c r="X900" s="141" t="n"/>
      <c r="Y900" s="136" t="n"/>
      <c r="Z900" s="136" t="n"/>
      <c r="AA900" s="136" t="n"/>
      <c r="AB900" s="136" t="n"/>
      <c r="AC900" s="136" t="n"/>
      <c r="AD900" s="136" t="n"/>
      <c r="AE900" s="136" t="n"/>
      <c r="AF900" s="136" t="n"/>
      <c r="AG900" s="136" t="n"/>
      <c r="AH900" s="136" t="n"/>
      <c r="AI900" s="136" t="n"/>
      <c r="AJ900" s="136" t="n"/>
      <c r="AK900" s="136" t="n"/>
      <c r="AL900" s="136" t="n"/>
      <c r="AM900" s="136" t="n"/>
      <c r="AN900" s="136" t="n"/>
      <c r="AO900" s="136" t="n"/>
      <c r="AP900" s="136" t="n"/>
      <c r="AQ900" s="136" t="n"/>
      <c r="AR900" s="136" t="n"/>
    </row>
    <row r="901" ht="13.5" customHeight="1" s="196">
      <c r="A901" s="136" t="n"/>
      <c r="B901" s="136" t="n"/>
      <c r="C901" s="136" t="n"/>
      <c r="D901" s="141" t="n"/>
      <c r="E901" s="141" t="n"/>
      <c r="F901" s="141" t="n"/>
      <c r="G901" s="141" t="n"/>
      <c r="H901" s="141" t="n"/>
      <c r="I901" s="141" t="n"/>
      <c r="J901" s="141" t="n"/>
      <c r="K901" s="141" t="n"/>
      <c r="L901" s="141" t="n"/>
      <c r="M901" s="141" t="n"/>
      <c r="N901" s="141" t="n"/>
      <c r="O901" s="141" t="n"/>
      <c r="P901" s="141" t="n"/>
      <c r="Q901" s="141" t="n"/>
      <c r="R901" s="141" t="n"/>
      <c r="S901" s="141" t="n"/>
      <c r="T901" s="141" t="n"/>
      <c r="U901" s="141" t="n"/>
      <c r="V901" s="141" t="n"/>
      <c r="W901" s="141" t="n"/>
      <c r="X901" s="141" t="n"/>
      <c r="Y901" s="136" t="n"/>
      <c r="Z901" s="136" t="n"/>
      <c r="AA901" s="136" t="n"/>
      <c r="AB901" s="136" t="n"/>
      <c r="AC901" s="136" t="n"/>
      <c r="AD901" s="136" t="n"/>
      <c r="AE901" s="136" t="n"/>
      <c r="AF901" s="136" t="n"/>
      <c r="AG901" s="136" t="n"/>
      <c r="AH901" s="136" t="n"/>
      <c r="AI901" s="136" t="n"/>
      <c r="AJ901" s="136" t="n"/>
      <c r="AK901" s="136" t="n"/>
      <c r="AL901" s="136" t="n"/>
      <c r="AM901" s="136" t="n"/>
      <c r="AN901" s="136" t="n"/>
      <c r="AO901" s="136" t="n"/>
      <c r="AP901" s="136" t="n"/>
      <c r="AQ901" s="136" t="n"/>
      <c r="AR901" s="136" t="n"/>
    </row>
    <row r="902" ht="13.5" customHeight="1" s="196">
      <c r="A902" s="136" t="n"/>
      <c r="B902" s="136" t="n"/>
      <c r="C902" s="136" t="n"/>
      <c r="D902" s="141" t="n"/>
      <c r="E902" s="141" t="n"/>
      <c r="F902" s="141" t="n"/>
      <c r="G902" s="141" t="n"/>
      <c r="H902" s="141" t="n"/>
      <c r="I902" s="141" t="n"/>
      <c r="J902" s="141" t="n"/>
      <c r="K902" s="141" t="n"/>
      <c r="L902" s="141" t="n"/>
      <c r="M902" s="141" t="n"/>
      <c r="N902" s="141" t="n"/>
      <c r="O902" s="141" t="n"/>
      <c r="P902" s="141" t="n"/>
      <c r="Q902" s="141" t="n"/>
      <c r="R902" s="141" t="n"/>
      <c r="S902" s="141" t="n"/>
      <c r="T902" s="141" t="n"/>
      <c r="U902" s="141" t="n"/>
      <c r="V902" s="141" t="n"/>
      <c r="W902" s="141" t="n"/>
      <c r="X902" s="141" t="n"/>
      <c r="Y902" s="136" t="n"/>
      <c r="Z902" s="136" t="n"/>
      <c r="AA902" s="136" t="n"/>
      <c r="AB902" s="136" t="n"/>
      <c r="AC902" s="136" t="n"/>
      <c r="AD902" s="136" t="n"/>
      <c r="AE902" s="136" t="n"/>
      <c r="AF902" s="136" t="n"/>
      <c r="AG902" s="136" t="n"/>
      <c r="AH902" s="136" t="n"/>
      <c r="AI902" s="136" t="n"/>
      <c r="AJ902" s="136" t="n"/>
      <c r="AK902" s="136" t="n"/>
      <c r="AL902" s="136" t="n"/>
      <c r="AM902" s="136" t="n"/>
      <c r="AN902" s="136" t="n"/>
      <c r="AO902" s="136" t="n"/>
      <c r="AP902" s="136" t="n"/>
      <c r="AQ902" s="136" t="n"/>
      <c r="AR902" s="136" t="n"/>
    </row>
    <row r="903" ht="13.5" customHeight="1" s="196">
      <c r="A903" s="136" t="n"/>
      <c r="B903" s="136" t="n"/>
      <c r="C903" s="136" t="n"/>
      <c r="D903" s="141" t="n"/>
      <c r="E903" s="141" t="n"/>
      <c r="F903" s="141" t="n"/>
      <c r="G903" s="141" t="n"/>
      <c r="H903" s="141" t="n"/>
      <c r="I903" s="141" t="n"/>
      <c r="J903" s="141" t="n"/>
      <c r="K903" s="141" t="n"/>
      <c r="L903" s="141" t="n"/>
      <c r="M903" s="141" t="n"/>
      <c r="N903" s="141" t="n"/>
      <c r="O903" s="141" t="n"/>
      <c r="P903" s="141" t="n"/>
      <c r="Q903" s="141" t="n"/>
      <c r="R903" s="141" t="n"/>
      <c r="S903" s="141" t="n"/>
      <c r="T903" s="141" t="n"/>
      <c r="U903" s="141" t="n"/>
      <c r="V903" s="141" t="n"/>
      <c r="W903" s="141" t="n"/>
      <c r="X903" s="141" t="n"/>
      <c r="Y903" s="136" t="n"/>
      <c r="Z903" s="136" t="n"/>
      <c r="AA903" s="136" t="n"/>
      <c r="AB903" s="136" t="n"/>
      <c r="AC903" s="136" t="n"/>
      <c r="AD903" s="136" t="n"/>
      <c r="AE903" s="136" t="n"/>
      <c r="AF903" s="136" t="n"/>
      <c r="AG903" s="136" t="n"/>
      <c r="AH903" s="136" t="n"/>
      <c r="AI903" s="136" t="n"/>
      <c r="AJ903" s="136" t="n"/>
      <c r="AK903" s="136" t="n"/>
      <c r="AL903" s="136" t="n"/>
      <c r="AM903" s="136" t="n"/>
      <c r="AN903" s="136" t="n"/>
      <c r="AO903" s="136" t="n"/>
      <c r="AP903" s="136" t="n"/>
      <c r="AQ903" s="136" t="n"/>
      <c r="AR903" s="136" t="n"/>
    </row>
    <row r="904" ht="13.5" customHeight="1" s="196">
      <c r="A904" s="136" t="n"/>
      <c r="B904" s="136" t="n"/>
      <c r="C904" s="136" t="n"/>
      <c r="D904" s="141" t="n"/>
      <c r="E904" s="141" t="n"/>
      <c r="F904" s="141" t="n"/>
      <c r="G904" s="141" t="n"/>
      <c r="H904" s="141" t="n"/>
      <c r="I904" s="141" t="n"/>
      <c r="J904" s="141" t="n"/>
      <c r="K904" s="141" t="n"/>
      <c r="L904" s="141" t="n"/>
      <c r="M904" s="141" t="n"/>
      <c r="N904" s="141" t="n"/>
      <c r="O904" s="141" t="n"/>
      <c r="P904" s="141" t="n"/>
      <c r="Q904" s="141" t="n"/>
      <c r="R904" s="141" t="n"/>
      <c r="S904" s="141" t="n"/>
      <c r="T904" s="141" t="n"/>
      <c r="U904" s="141" t="n"/>
      <c r="V904" s="141" t="n"/>
      <c r="W904" s="141" t="n"/>
      <c r="X904" s="141" t="n"/>
      <c r="Y904" s="136" t="n"/>
      <c r="Z904" s="136" t="n"/>
      <c r="AA904" s="136" t="n"/>
      <c r="AB904" s="136" t="n"/>
      <c r="AC904" s="136" t="n"/>
      <c r="AD904" s="136" t="n"/>
      <c r="AE904" s="136" t="n"/>
      <c r="AF904" s="136" t="n"/>
      <c r="AG904" s="136" t="n"/>
      <c r="AH904" s="136" t="n"/>
      <c r="AI904" s="136" t="n"/>
      <c r="AJ904" s="136" t="n"/>
      <c r="AK904" s="136" t="n"/>
      <c r="AL904" s="136" t="n"/>
      <c r="AM904" s="136" t="n"/>
      <c r="AN904" s="136" t="n"/>
      <c r="AO904" s="136" t="n"/>
      <c r="AP904" s="136" t="n"/>
      <c r="AQ904" s="136" t="n"/>
      <c r="AR904" s="136" t="n"/>
    </row>
    <row r="905" ht="13.5" customHeight="1" s="196">
      <c r="A905" s="136" t="n"/>
      <c r="B905" s="136" t="n"/>
      <c r="C905" s="136" t="n"/>
      <c r="D905" s="141" t="n"/>
      <c r="E905" s="141" t="n"/>
      <c r="F905" s="141" t="n"/>
      <c r="G905" s="141" t="n"/>
      <c r="H905" s="141" t="n"/>
      <c r="I905" s="141" t="n"/>
      <c r="J905" s="141" t="n"/>
      <c r="K905" s="141" t="n"/>
      <c r="L905" s="141" t="n"/>
      <c r="M905" s="141" t="n"/>
      <c r="N905" s="141" t="n"/>
      <c r="O905" s="141" t="n"/>
      <c r="P905" s="141" t="n"/>
      <c r="Q905" s="141" t="n"/>
      <c r="R905" s="141" t="n"/>
      <c r="S905" s="141" t="n"/>
      <c r="T905" s="141" t="n"/>
      <c r="U905" s="141" t="n"/>
      <c r="V905" s="141" t="n"/>
      <c r="W905" s="141" t="n"/>
      <c r="X905" s="141" t="n"/>
      <c r="Y905" s="136" t="n"/>
      <c r="Z905" s="136" t="n"/>
      <c r="AA905" s="136" t="n"/>
      <c r="AB905" s="136" t="n"/>
      <c r="AC905" s="136" t="n"/>
      <c r="AD905" s="136" t="n"/>
      <c r="AE905" s="136" t="n"/>
      <c r="AF905" s="136" t="n"/>
      <c r="AG905" s="136" t="n"/>
      <c r="AH905" s="136" t="n"/>
      <c r="AI905" s="136" t="n"/>
      <c r="AJ905" s="136" t="n"/>
      <c r="AK905" s="136" t="n"/>
      <c r="AL905" s="136" t="n"/>
      <c r="AM905" s="136" t="n"/>
      <c r="AN905" s="136" t="n"/>
      <c r="AO905" s="136" t="n"/>
      <c r="AP905" s="136" t="n"/>
      <c r="AQ905" s="136" t="n"/>
      <c r="AR905" s="136" t="n"/>
    </row>
    <row r="906" ht="13.5" customHeight="1" s="196">
      <c r="A906" s="136" t="n"/>
      <c r="B906" s="136" t="n"/>
      <c r="C906" s="136" t="n"/>
      <c r="D906" s="141" t="n"/>
      <c r="E906" s="141" t="n"/>
      <c r="F906" s="141" t="n"/>
      <c r="G906" s="141" t="n"/>
      <c r="H906" s="141" t="n"/>
      <c r="I906" s="141" t="n"/>
      <c r="J906" s="141" t="n"/>
      <c r="K906" s="141" t="n"/>
      <c r="L906" s="141" t="n"/>
      <c r="M906" s="141" t="n"/>
      <c r="N906" s="141" t="n"/>
      <c r="O906" s="141" t="n"/>
      <c r="P906" s="141" t="n"/>
      <c r="Q906" s="141" t="n"/>
      <c r="R906" s="141" t="n"/>
      <c r="S906" s="141" t="n"/>
      <c r="T906" s="141" t="n"/>
      <c r="U906" s="141" t="n"/>
      <c r="V906" s="141" t="n"/>
      <c r="W906" s="141" t="n"/>
      <c r="X906" s="141" t="n"/>
      <c r="Y906" s="136" t="n"/>
      <c r="Z906" s="136" t="n"/>
      <c r="AA906" s="136" t="n"/>
      <c r="AB906" s="136" t="n"/>
      <c r="AC906" s="136" t="n"/>
      <c r="AD906" s="136" t="n"/>
      <c r="AE906" s="136" t="n"/>
      <c r="AF906" s="136" t="n"/>
      <c r="AG906" s="136" t="n"/>
      <c r="AH906" s="136" t="n"/>
      <c r="AI906" s="136" t="n"/>
      <c r="AJ906" s="136" t="n"/>
      <c r="AK906" s="136" t="n"/>
      <c r="AL906" s="136" t="n"/>
      <c r="AM906" s="136" t="n"/>
      <c r="AN906" s="136" t="n"/>
      <c r="AO906" s="136" t="n"/>
      <c r="AP906" s="136" t="n"/>
      <c r="AQ906" s="136" t="n"/>
      <c r="AR906" s="136" t="n"/>
    </row>
    <row r="907" ht="13.5" customHeight="1" s="196">
      <c r="A907" s="136" t="n"/>
      <c r="B907" s="136" t="n"/>
      <c r="C907" s="136" t="n"/>
      <c r="D907" s="141" t="n"/>
      <c r="E907" s="141" t="n"/>
      <c r="F907" s="141" t="n"/>
      <c r="G907" s="141" t="n"/>
      <c r="H907" s="141" t="n"/>
      <c r="I907" s="141" t="n"/>
      <c r="J907" s="141" t="n"/>
      <c r="K907" s="141" t="n"/>
      <c r="L907" s="141" t="n"/>
      <c r="M907" s="141" t="n"/>
      <c r="N907" s="141" t="n"/>
      <c r="O907" s="141" t="n"/>
      <c r="P907" s="141" t="n"/>
      <c r="Q907" s="141" t="n"/>
      <c r="R907" s="141" t="n"/>
      <c r="S907" s="141" t="n"/>
      <c r="T907" s="141" t="n"/>
      <c r="U907" s="141" t="n"/>
      <c r="V907" s="141" t="n"/>
      <c r="W907" s="141" t="n"/>
      <c r="X907" s="141" t="n"/>
      <c r="Y907" s="136" t="n"/>
      <c r="Z907" s="136" t="n"/>
      <c r="AA907" s="136" t="n"/>
      <c r="AB907" s="136" t="n"/>
      <c r="AC907" s="136" t="n"/>
      <c r="AD907" s="136" t="n"/>
      <c r="AE907" s="136" t="n"/>
      <c r="AF907" s="136" t="n"/>
      <c r="AG907" s="136" t="n"/>
      <c r="AH907" s="136" t="n"/>
      <c r="AI907" s="136" t="n"/>
      <c r="AJ907" s="136" t="n"/>
      <c r="AK907" s="136" t="n"/>
      <c r="AL907" s="136" t="n"/>
      <c r="AM907" s="136" t="n"/>
      <c r="AN907" s="136" t="n"/>
      <c r="AO907" s="136" t="n"/>
      <c r="AP907" s="136" t="n"/>
      <c r="AQ907" s="136" t="n"/>
      <c r="AR907" s="136" t="n"/>
    </row>
    <row r="908" ht="13.5" customHeight="1" s="196">
      <c r="A908" s="136" t="n"/>
      <c r="B908" s="136" t="n"/>
      <c r="C908" s="136" t="n"/>
      <c r="D908" s="141" t="n"/>
      <c r="E908" s="141" t="n"/>
      <c r="F908" s="141" t="n"/>
      <c r="G908" s="141" t="n"/>
      <c r="H908" s="141" t="n"/>
      <c r="I908" s="141" t="n"/>
      <c r="J908" s="141" t="n"/>
      <c r="K908" s="141" t="n"/>
      <c r="L908" s="141" t="n"/>
      <c r="M908" s="141" t="n"/>
      <c r="N908" s="141" t="n"/>
      <c r="O908" s="141" t="n"/>
      <c r="P908" s="141" t="n"/>
      <c r="Q908" s="141" t="n"/>
      <c r="R908" s="141" t="n"/>
      <c r="S908" s="141" t="n"/>
      <c r="T908" s="141" t="n"/>
      <c r="U908" s="141" t="n"/>
      <c r="V908" s="141" t="n"/>
      <c r="W908" s="141" t="n"/>
      <c r="X908" s="141" t="n"/>
      <c r="Y908" s="136" t="n"/>
      <c r="Z908" s="136" t="n"/>
      <c r="AA908" s="136" t="n"/>
      <c r="AB908" s="136" t="n"/>
      <c r="AC908" s="136" t="n"/>
      <c r="AD908" s="136" t="n"/>
      <c r="AE908" s="136" t="n"/>
      <c r="AF908" s="136" t="n"/>
      <c r="AG908" s="136" t="n"/>
      <c r="AH908" s="136" t="n"/>
      <c r="AI908" s="136" t="n"/>
      <c r="AJ908" s="136" t="n"/>
      <c r="AK908" s="136" t="n"/>
      <c r="AL908" s="136" t="n"/>
      <c r="AM908" s="136" t="n"/>
      <c r="AN908" s="136" t="n"/>
      <c r="AO908" s="136" t="n"/>
      <c r="AP908" s="136" t="n"/>
      <c r="AQ908" s="136" t="n"/>
      <c r="AR908" s="136" t="n"/>
    </row>
    <row r="909" ht="13.5" customHeight="1" s="196">
      <c r="A909" s="136" t="n"/>
      <c r="B909" s="136" t="n"/>
      <c r="C909" s="136" t="n"/>
      <c r="D909" s="141" t="n"/>
      <c r="E909" s="141" t="n"/>
      <c r="F909" s="141" t="n"/>
      <c r="G909" s="141" t="n"/>
      <c r="H909" s="141" t="n"/>
      <c r="I909" s="141" t="n"/>
      <c r="J909" s="141" t="n"/>
      <c r="K909" s="141" t="n"/>
      <c r="L909" s="141" t="n"/>
      <c r="M909" s="141" t="n"/>
      <c r="N909" s="141" t="n"/>
      <c r="O909" s="141" t="n"/>
      <c r="P909" s="141" t="n"/>
      <c r="Q909" s="141" t="n"/>
      <c r="R909" s="141" t="n"/>
      <c r="S909" s="141" t="n"/>
      <c r="T909" s="141" t="n"/>
      <c r="U909" s="141" t="n"/>
      <c r="V909" s="141" t="n"/>
      <c r="W909" s="141" t="n"/>
      <c r="X909" s="141" t="n"/>
      <c r="Y909" s="136" t="n"/>
      <c r="Z909" s="136" t="n"/>
      <c r="AA909" s="136" t="n"/>
      <c r="AB909" s="136" t="n"/>
      <c r="AC909" s="136" t="n"/>
      <c r="AD909" s="136" t="n"/>
      <c r="AE909" s="136" t="n"/>
      <c r="AF909" s="136" t="n"/>
      <c r="AG909" s="136" t="n"/>
      <c r="AH909" s="136" t="n"/>
      <c r="AI909" s="136" t="n"/>
      <c r="AJ909" s="136" t="n"/>
      <c r="AK909" s="136" t="n"/>
      <c r="AL909" s="136" t="n"/>
      <c r="AM909" s="136" t="n"/>
      <c r="AN909" s="136" t="n"/>
      <c r="AO909" s="136" t="n"/>
      <c r="AP909" s="136" t="n"/>
      <c r="AQ909" s="136" t="n"/>
      <c r="AR909" s="136" t="n"/>
    </row>
    <row r="910" ht="13.5" customHeight="1" s="196">
      <c r="A910" s="136" t="n"/>
      <c r="B910" s="136" t="n"/>
      <c r="C910" s="136" t="n"/>
      <c r="D910" s="141" t="n"/>
      <c r="E910" s="141" t="n"/>
      <c r="F910" s="141" t="n"/>
      <c r="G910" s="141" t="n"/>
      <c r="H910" s="141" t="n"/>
      <c r="I910" s="141" t="n"/>
      <c r="J910" s="141" t="n"/>
      <c r="K910" s="141" t="n"/>
      <c r="L910" s="141" t="n"/>
      <c r="M910" s="141" t="n"/>
      <c r="N910" s="141" t="n"/>
      <c r="O910" s="141" t="n"/>
      <c r="P910" s="141" t="n"/>
      <c r="Q910" s="141" t="n"/>
      <c r="R910" s="141" t="n"/>
      <c r="S910" s="141" t="n"/>
      <c r="T910" s="141" t="n"/>
      <c r="U910" s="141" t="n"/>
      <c r="V910" s="141" t="n"/>
      <c r="W910" s="141" t="n"/>
      <c r="X910" s="141" t="n"/>
      <c r="Y910" s="136" t="n"/>
      <c r="Z910" s="136" t="n"/>
      <c r="AA910" s="136" t="n"/>
      <c r="AB910" s="136" t="n"/>
      <c r="AC910" s="136" t="n"/>
      <c r="AD910" s="136" t="n"/>
      <c r="AE910" s="136" t="n"/>
      <c r="AF910" s="136" t="n"/>
      <c r="AG910" s="136" t="n"/>
      <c r="AH910" s="136" t="n"/>
      <c r="AI910" s="136" t="n"/>
      <c r="AJ910" s="136" t="n"/>
      <c r="AK910" s="136" t="n"/>
      <c r="AL910" s="136" t="n"/>
      <c r="AM910" s="136" t="n"/>
      <c r="AN910" s="136" t="n"/>
      <c r="AO910" s="136" t="n"/>
      <c r="AP910" s="136" t="n"/>
      <c r="AQ910" s="136" t="n"/>
      <c r="AR910" s="136" t="n"/>
    </row>
    <row r="911" ht="13.5" customHeight="1" s="196">
      <c r="A911" s="136" t="n"/>
      <c r="B911" s="136" t="n"/>
      <c r="C911" s="136" t="n"/>
      <c r="D911" s="141" t="n"/>
      <c r="E911" s="141" t="n"/>
      <c r="F911" s="141" t="n"/>
      <c r="G911" s="141" t="n"/>
      <c r="H911" s="141" t="n"/>
      <c r="I911" s="141" t="n"/>
      <c r="J911" s="141" t="n"/>
      <c r="K911" s="141" t="n"/>
      <c r="L911" s="141" t="n"/>
      <c r="M911" s="141" t="n"/>
      <c r="N911" s="141" t="n"/>
      <c r="O911" s="141" t="n"/>
      <c r="P911" s="141" t="n"/>
      <c r="Q911" s="141" t="n"/>
      <c r="R911" s="141" t="n"/>
      <c r="S911" s="141" t="n"/>
      <c r="T911" s="141" t="n"/>
      <c r="U911" s="141" t="n"/>
      <c r="V911" s="141" t="n"/>
      <c r="W911" s="141" t="n"/>
      <c r="X911" s="141" t="n"/>
      <c r="Y911" s="136" t="n"/>
      <c r="Z911" s="136" t="n"/>
      <c r="AA911" s="136" t="n"/>
      <c r="AB911" s="136" t="n"/>
      <c r="AC911" s="136" t="n"/>
      <c r="AD911" s="136" t="n"/>
      <c r="AE911" s="136" t="n"/>
      <c r="AF911" s="136" t="n"/>
      <c r="AG911" s="136" t="n"/>
      <c r="AH911" s="136" t="n"/>
      <c r="AI911" s="136" t="n"/>
      <c r="AJ911" s="136" t="n"/>
      <c r="AK911" s="136" t="n"/>
      <c r="AL911" s="136" t="n"/>
      <c r="AM911" s="136" t="n"/>
      <c r="AN911" s="136" t="n"/>
      <c r="AO911" s="136" t="n"/>
      <c r="AP911" s="136" t="n"/>
      <c r="AQ911" s="136" t="n"/>
      <c r="AR911" s="136" t="n"/>
    </row>
    <row r="912" ht="13.5" customHeight="1" s="196">
      <c r="A912" s="136" t="n"/>
      <c r="B912" s="136" t="n"/>
      <c r="C912" s="136" t="n"/>
      <c r="D912" s="141" t="n"/>
      <c r="E912" s="141" t="n"/>
      <c r="F912" s="141" t="n"/>
      <c r="G912" s="141" t="n"/>
      <c r="H912" s="141" t="n"/>
      <c r="I912" s="141" t="n"/>
      <c r="J912" s="141" t="n"/>
      <c r="K912" s="141" t="n"/>
      <c r="L912" s="141" t="n"/>
      <c r="M912" s="141" t="n"/>
      <c r="N912" s="141" t="n"/>
      <c r="O912" s="141" t="n"/>
      <c r="P912" s="141" t="n"/>
      <c r="Q912" s="141" t="n"/>
      <c r="R912" s="141" t="n"/>
      <c r="S912" s="141" t="n"/>
      <c r="T912" s="141" t="n"/>
      <c r="U912" s="141" t="n"/>
      <c r="V912" s="141" t="n"/>
      <c r="W912" s="141" t="n"/>
      <c r="X912" s="141" t="n"/>
      <c r="Y912" s="136" t="n"/>
      <c r="Z912" s="136" t="n"/>
      <c r="AA912" s="136" t="n"/>
      <c r="AB912" s="136" t="n"/>
      <c r="AC912" s="136" t="n"/>
      <c r="AD912" s="136" t="n"/>
      <c r="AE912" s="136" t="n"/>
      <c r="AF912" s="136" t="n"/>
      <c r="AG912" s="136" t="n"/>
      <c r="AH912" s="136" t="n"/>
      <c r="AI912" s="136" t="n"/>
      <c r="AJ912" s="136" t="n"/>
      <c r="AK912" s="136" t="n"/>
      <c r="AL912" s="136" t="n"/>
      <c r="AM912" s="136" t="n"/>
      <c r="AN912" s="136" t="n"/>
      <c r="AO912" s="136" t="n"/>
      <c r="AP912" s="136" t="n"/>
      <c r="AQ912" s="136" t="n"/>
      <c r="AR912" s="136" t="n"/>
    </row>
    <row r="913" ht="13.5" customHeight="1" s="196">
      <c r="A913" s="136" t="n"/>
      <c r="B913" s="136" t="n"/>
      <c r="C913" s="136" t="n"/>
      <c r="D913" s="141" t="n"/>
      <c r="E913" s="141" t="n"/>
      <c r="F913" s="141" t="n"/>
      <c r="G913" s="141" t="n"/>
      <c r="H913" s="141" t="n"/>
      <c r="I913" s="141" t="n"/>
      <c r="J913" s="141" t="n"/>
      <c r="K913" s="141" t="n"/>
      <c r="L913" s="141" t="n"/>
      <c r="M913" s="141" t="n"/>
      <c r="N913" s="141" t="n"/>
      <c r="O913" s="141" t="n"/>
      <c r="P913" s="141" t="n"/>
      <c r="Q913" s="141" t="n"/>
      <c r="R913" s="141" t="n"/>
      <c r="S913" s="141" t="n"/>
      <c r="T913" s="141" t="n"/>
      <c r="U913" s="141" t="n"/>
      <c r="V913" s="141" t="n"/>
      <c r="W913" s="141" t="n"/>
      <c r="X913" s="141" t="n"/>
      <c r="Y913" s="136" t="n"/>
      <c r="Z913" s="136" t="n"/>
      <c r="AA913" s="136" t="n"/>
      <c r="AB913" s="136" t="n"/>
      <c r="AC913" s="136" t="n"/>
      <c r="AD913" s="136" t="n"/>
      <c r="AE913" s="136" t="n"/>
      <c r="AF913" s="136" t="n"/>
      <c r="AG913" s="136" t="n"/>
      <c r="AH913" s="136" t="n"/>
      <c r="AI913" s="136" t="n"/>
      <c r="AJ913" s="136" t="n"/>
      <c r="AK913" s="136" t="n"/>
      <c r="AL913" s="136" t="n"/>
      <c r="AM913" s="136" t="n"/>
      <c r="AN913" s="136" t="n"/>
      <c r="AO913" s="136" t="n"/>
      <c r="AP913" s="136" t="n"/>
      <c r="AQ913" s="136" t="n"/>
      <c r="AR913" s="136" t="n"/>
    </row>
    <row r="914" ht="13.5" customHeight="1" s="196">
      <c r="A914" s="136" t="n"/>
      <c r="B914" s="136" t="n"/>
      <c r="C914" s="136" t="n"/>
      <c r="D914" s="141" t="n"/>
      <c r="E914" s="141" t="n"/>
      <c r="F914" s="141" t="n"/>
      <c r="G914" s="141" t="n"/>
      <c r="H914" s="141" t="n"/>
      <c r="I914" s="141" t="n"/>
      <c r="J914" s="141" t="n"/>
      <c r="K914" s="141" t="n"/>
      <c r="L914" s="141" t="n"/>
      <c r="M914" s="141" t="n"/>
      <c r="N914" s="141" t="n"/>
      <c r="O914" s="141" t="n"/>
      <c r="P914" s="141" t="n"/>
      <c r="Q914" s="141" t="n"/>
      <c r="R914" s="141" t="n"/>
      <c r="S914" s="141" t="n"/>
      <c r="T914" s="141" t="n"/>
      <c r="U914" s="141" t="n"/>
      <c r="V914" s="141" t="n"/>
      <c r="W914" s="141" t="n"/>
      <c r="X914" s="141" t="n"/>
      <c r="Y914" s="136" t="n"/>
      <c r="Z914" s="136" t="n"/>
      <c r="AA914" s="136" t="n"/>
      <c r="AB914" s="136" t="n"/>
      <c r="AC914" s="136" t="n"/>
      <c r="AD914" s="136" t="n"/>
      <c r="AE914" s="136" t="n"/>
      <c r="AF914" s="136" t="n"/>
      <c r="AG914" s="136" t="n"/>
      <c r="AH914" s="136" t="n"/>
      <c r="AI914" s="136" t="n"/>
      <c r="AJ914" s="136" t="n"/>
      <c r="AK914" s="136" t="n"/>
      <c r="AL914" s="136" t="n"/>
      <c r="AM914" s="136" t="n"/>
      <c r="AN914" s="136" t="n"/>
      <c r="AO914" s="136" t="n"/>
      <c r="AP914" s="136" t="n"/>
      <c r="AQ914" s="136" t="n"/>
      <c r="AR914" s="136" t="n"/>
    </row>
    <row r="915" ht="13.5" customHeight="1" s="196">
      <c r="A915" s="136" t="n"/>
      <c r="B915" s="136" t="n"/>
      <c r="C915" s="136" t="n"/>
      <c r="D915" s="141" t="n"/>
      <c r="E915" s="141" t="n"/>
      <c r="F915" s="141" t="n"/>
      <c r="G915" s="141" t="n"/>
      <c r="H915" s="141" t="n"/>
      <c r="I915" s="141" t="n"/>
      <c r="J915" s="141" t="n"/>
      <c r="K915" s="141" t="n"/>
      <c r="L915" s="141" t="n"/>
      <c r="M915" s="141" t="n"/>
      <c r="N915" s="141" t="n"/>
      <c r="O915" s="141" t="n"/>
      <c r="P915" s="141" t="n"/>
      <c r="Q915" s="141" t="n"/>
      <c r="R915" s="141" t="n"/>
      <c r="S915" s="141" t="n"/>
      <c r="T915" s="141" t="n"/>
      <c r="U915" s="141" t="n"/>
      <c r="V915" s="141" t="n"/>
      <c r="W915" s="141" t="n"/>
      <c r="X915" s="141" t="n"/>
      <c r="Y915" s="136" t="n"/>
      <c r="Z915" s="136" t="n"/>
      <c r="AA915" s="136" t="n"/>
      <c r="AB915" s="136" t="n"/>
      <c r="AC915" s="136" t="n"/>
      <c r="AD915" s="136" t="n"/>
      <c r="AE915" s="136" t="n"/>
      <c r="AF915" s="136" t="n"/>
      <c r="AG915" s="136" t="n"/>
      <c r="AH915" s="136" t="n"/>
      <c r="AI915" s="136" t="n"/>
      <c r="AJ915" s="136" t="n"/>
      <c r="AK915" s="136" t="n"/>
      <c r="AL915" s="136" t="n"/>
      <c r="AM915" s="136" t="n"/>
      <c r="AN915" s="136" t="n"/>
      <c r="AO915" s="136" t="n"/>
      <c r="AP915" s="136" t="n"/>
      <c r="AQ915" s="136" t="n"/>
      <c r="AR915" s="136" t="n"/>
    </row>
    <row r="916" ht="13.5" customHeight="1" s="196">
      <c r="A916" s="136" t="n"/>
      <c r="B916" s="136" t="n"/>
      <c r="C916" s="136" t="n"/>
      <c r="D916" s="141" t="n"/>
      <c r="E916" s="141" t="n"/>
      <c r="F916" s="141" t="n"/>
      <c r="G916" s="141" t="n"/>
      <c r="H916" s="141" t="n"/>
      <c r="I916" s="141" t="n"/>
      <c r="J916" s="141" t="n"/>
      <c r="K916" s="141" t="n"/>
      <c r="L916" s="141" t="n"/>
      <c r="M916" s="141" t="n"/>
      <c r="N916" s="141" t="n"/>
      <c r="O916" s="141" t="n"/>
      <c r="P916" s="141" t="n"/>
      <c r="Q916" s="141" t="n"/>
      <c r="R916" s="141" t="n"/>
      <c r="S916" s="141" t="n"/>
      <c r="T916" s="141" t="n"/>
      <c r="U916" s="141" t="n"/>
      <c r="V916" s="141" t="n"/>
      <c r="W916" s="141" t="n"/>
      <c r="X916" s="141" t="n"/>
      <c r="Y916" s="136" t="n"/>
      <c r="Z916" s="136" t="n"/>
      <c r="AA916" s="136" t="n"/>
      <c r="AB916" s="136" t="n"/>
      <c r="AC916" s="136" t="n"/>
      <c r="AD916" s="136" t="n"/>
      <c r="AE916" s="136" t="n"/>
      <c r="AF916" s="136" t="n"/>
      <c r="AG916" s="136" t="n"/>
      <c r="AH916" s="136" t="n"/>
      <c r="AI916" s="136" t="n"/>
      <c r="AJ916" s="136" t="n"/>
      <c r="AK916" s="136" t="n"/>
      <c r="AL916" s="136" t="n"/>
      <c r="AM916" s="136" t="n"/>
      <c r="AN916" s="136" t="n"/>
      <c r="AO916" s="136" t="n"/>
      <c r="AP916" s="136" t="n"/>
      <c r="AQ916" s="136" t="n"/>
      <c r="AR916" s="136" t="n"/>
    </row>
    <row r="917" ht="13.5" customHeight="1" s="196">
      <c r="A917" s="136" t="n"/>
      <c r="B917" s="136" t="n"/>
      <c r="C917" s="136" t="n"/>
      <c r="D917" s="141" t="n"/>
      <c r="E917" s="141" t="n"/>
      <c r="F917" s="141" t="n"/>
      <c r="G917" s="141" t="n"/>
      <c r="H917" s="141" t="n"/>
      <c r="I917" s="141" t="n"/>
      <c r="J917" s="141" t="n"/>
      <c r="K917" s="141" t="n"/>
      <c r="L917" s="141" t="n"/>
      <c r="M917" s="141" t="n"/>
      <c r="N917" s="141" t="n"/>
      <c r="O917" s="141" t="n"/>
      <c r="P917" s="141" t="n"/>
      <c r="Q917" s="141" t="n"/>
      <c r="R917" s="141" t="n"/>
      <c r="S917" s="141" t="n"/>
      <c r="T917" s="141" t="n"/>
      <c r="U917" s="141" t="n"/>
      <c r="V917" s="141" t="n"/>
      <c r="W917" s="141" t="n"/>
      <c r="X917" s="141" t="n"/>
      <c r="Y917" s="136" t="n"/>
      <c r="Z917" s="136" t="n"/>
      <c r="AA917" s="136" t="n"/>
      <c r="AB917" s="136" t="n"/>
      <c r="AC917" s="136" t="n"/>
      <c r="AD917" s="136" t="n"/>
      <c r="AE917" s="136" t="n"/>
      <c r="AF917" s="136" t="n"/>
      <c r="AG917" s="136" t="n"/>
      <c r="AH917" s="136" t="n"/>
      <c r="AI917" s="136" t="n"/>
      <c r="AJ917" s="136" t="n"/>
      <c r="AK917" s="136" t="n"/>
      <c r="AL917" s="136" t="n"/>
      <c r="AM917" s="136" t="n"/>
      <c r="AN917" s="136" t="n"/>
      <c r="AO917" s="136" t="n"/>
      <c r="AP917" s="136" t="n"/>
      <c r="AQ917" s="136" t="n"/>
      <c r="AR917" s="136" t="n"/>
    </row>
    <row r="918" ht="13.5" customHeight="1" s="196">
      <c r="A918" s="136" t="n"/>
      <c r="B918" s="136" t="n"/>
      <c r="C918" s="136" t="n"/>
      <c r="D918" s="141" t="n"/>
      <c r="E918" s="141" t="n"/>
      <c r="F918" s="141" t="n"/>
      <c r="G918" s="141" t="n"/>
      <c r="H918" s="141" t="n"/>
      <c r="I918" s="141" t="n"/>
      <c r="J918" s="141" t="n"/>
      <c r="K918" s="141" t="n"/>
      <c r="L918" s="141" t="n"/>
      <c r="M918" s="141" t="n"/>
      <c r="N918" s="141" t="n"/>
      <c r="O918" s="141" t="n"/>
      <c r="P918" s="141" t="n"/>
      <c r="Q918" s="141" t="n"/>
      <c r="R918" s="141" t="n"/>
      <c r="S918" s="141" t="n"/>
      <c r="T918" s="141" t="n"/>
      <c r="U918" s="141" t="n"/>
      <c r="V918" s="141" t="n"/>
      <c r="W918" s="141" t="n"/>
      <c r="X918" s="141" t="n"/>
      <c r="Y918" s="136" t="n"/>
      <c r="Z918" s="136" t="n"/>
      <c r="AA918" s="136" t="n"/>
      <c r="AB918" s="136" t="n"/>
      <c r="AC918" s="136" t="n"/>
      <c r="AD918" s="136" t="n"/>
      <c r="AE918" s="136" t="n"/>
      <c r="AF918" s="136" t="n"/>
      <c r="AG918" s="136" t="n"/>
      <c r="AH918" s="136" t="n"/>
      <c r="AI918" s="136" t="n"/>
      <c r="AJ918" s="136" t="n"/>
      <c r="AK918" s="136" t="n"/>
      <c r="AL918" s="136" t="n"/>
      <c r="AM918" s="136" t="n"/>
      <c r="AN918" s="136" t="n"/>
      <c r="AO918" s="136" t="n"/>
      <c r="AP918" s="136" t="n"/>
      <c r="AQ918" s="136" t="n"/>
      <c r="AR918" s="136" t="n"/>
    </row>
    <row r="919" ht="13.5" customHeight="1" s="196">
      <c r="A919" s="136" t="n"/>
      <c r="B919" s="136" t="n"/>
      <c r="C919" s="136" t="n"/>
      <c r="D919" s="141" t="n"/>
      <c r="E919" s="141" t="n"/>
      <c r="F919" s="141" t="n"/>
      <c r="G919" s="141" t="n"/>
      <c r="H919" s="141" t="n"/>
      <c r="I919" s="141" t="n"/>
      <c r="J919" s="141" t="n"/>
      <c r="K919" s="141" t="n"/>
      <c r="L919" s="141" t="n"/>
      <c r="M919" s="141" t="n"/>
      <c r="N919" s="141" t="n"/>
      <c r="O919" s="141" t="n"/>
      <c r="P919" s="141" t="n"/>
      <c r="Q919" s="141" t="n"/>
      <c r="R919" s="141" t="n"/>
      <c r="S919" s="141" t="n"/>
      <c r="T919" s="141" t="n"/>
      <c r="U919" s="141" t="n"/>
      <c r="V919" s="141" t="n"/>
      <c r="W919" s="141" t="n"/>
      <c r="X919" s="141" t="n"/>
      <c r="Y919" s="136" t="n"/>
      <c r="Z919" s="136" t="n"/>
      <c r="AA919" s="136" t="n"/>
      <c r="AB919" s="136" t="n"/>
      <c r="AC919" s="136" t="n"/>
      <c r="AD919" s="136" t="n"/>
      <c r="AE919" s="136" t="n"/>
      <c r="AF919" s="136" t="n"/>
      <c r="AG919" s="136" t="n"/>
      <c r="AH919" s="136" t="n"/>
      <c r="AI919" s="136" t="n"/>
      <c r="AJ919" s="136" t="n"/>
      <c r="AK919" s="136" t="n"/>
      <c r="AL919" s="136" t="n"/>
      <c r="AM919" s="136" t="n"/>
      <c r="AN919" s="136" t="n"/>
      <c r="AO919" s="136" t="n"/>
      <c r="AP919" s="136" t="n"/>
      <c r="AQ919" s="136" t="n"/>
      <c r="AR919" s="136" t="n"/>
    </row>
    <row r="920" ht="13.5" customHeight="1" s="196">
      <c r="A920" s="136" t="n"/>
      <c r="B920" s="136" t="n"/>
      <c r="C920" s="136" t="n"/>
      <c r="D920" s="141" t="n"/>
      <c r="E920" s="141" t="n"/>
      <c r="F920" s="141" t="n"/>
      <c r="G920" s="141" t="n"/>
      <c r="H920" s="141" t="n"/>
      <c r="I920" s="141" t="n"/>
      <c r="J920" s="141" t="n"/>
      <c r="K920" s="141" t="n"/>
      <c r="L920" s="141" t="n"/>
      <c r="M920" s="141" t="n"/>
      <c r="N920" s="141" t="n"/>
      <c r="O920" s="141" t="n"/>
      <c r="P920" s="141" t="n"/>
      <c r="Q920" s="141" t="n"/>
      <c r="R920" s="141" t="n"/>
      <c r="S920" s="141" t="n"/>
      <c r="T920" s="141" t="n"/>
      <c r="U920" s="141" t="n"/>
      <c r="V920" s="141" t="n"/>
      <c r="W920" s="141" t="n"/>
      <c r="X920" s="141" t="n"/>
      <c r="Y920" s="136" t="n"/>
      <c r="Z920" s="136" t="n"/>
      <c r="AA920" s="136" t="n"/>
      <c r="AB920" s="136" t="n"/>
      <c r="AC920" s="136" t="n"/>
      <c r="AD920" s="136" t="n"/>
      <c r="AE920" s="136" t="n"/>
      <c r="AF920" s="136" t="n"/>
      <c r="AG920" s="136" t="n"/>
      <c r="AH920" s="136" t="n"/>
      <c r="AI920" s="136" t="n"/>
      <c r="AJ920" s="136" t="n"/>
      <c r="AK920" s="136" t="n"/>
      <c r="AL920" s="136" t="n"/>
      <c r="AM920" s="136" t="n"/>
      <c r="AN920" s="136" t="n"/>
      <c r="AO920" s="136" t="n"/>
      <c r="AP920" s="136" t="n"/>
      <c r="AQ920" s="136" t="n"/>
      <c r="AR920" s="136" t="n"/>
    </row>
    <row r="921" ht="13.5" customHeight="1" s="196">
      <c r="A921" s="136" t="n"/>
      <c r="B921" s="136" t="n"/>
      <c r="C921" s="136" t="n"/>
      <c r="D921" s="141" t="n"/>
      <c r="E921" s="141" t="n"/>
      <c r="F921" s="141" t="n"/>
      <c r="G921" s="141" t="n"/>
      <c r="H921" s="141" t="n"/>
      <c r="I921" s="141" t="n"/>
      <c r="J921" s="141" t="n"/>
      <c r="K921" s="141" t="n"/>
      <c r="L921" s="141" t="n"/>
      <c r="M921" s="141" t="n"/>
      <c r="N921" s="141" t="n"/>
      <c r="O921" s="141" t="n"/>
      <c r="P921" s="141" t="n"/>
      <c r="Q921" s="141" t="n"/>
      <c r="R921" s="141" t="n"/>
      <c r="S921" s="141" t="n"/>
      <c r="T921" s="141" t="n"/>
      <c r="U921" s="141" t="n"/>
      <c r="V921" s="141" t="n"/>
      <c r="W921" s="141" t="n"/>
      <c r="X921" s="141" t="n"/>
      <c r="Y921" s="136" t="n"/>
      <c r="Z921" s="136" t="n"/>
      <c r="AA921" s="136" t="n"/>
      <c r="AB921" s="136" t="n"/>
      <c r="AC921" s="136" t="n"/>
      <c r="AD921" s="136" t="n"/>
      <c r="AE921" s="136" t="n"/>
      <c r="AF921" s="136" t="n"/>
      <c r="AG921" s="136" t="n"/>
      <c r="AH921" s="136" t="n"/>
      <c r="AI921" s="136" t="n"/>
      <c r="AJ921" s="136" t="n"/>
      <c r="AK921" s="136" t="n"/>
      <c r="AL921" s="136" t="n"/>
      <c r="AM921" s="136" t="n"/>
      <c r="AN921" s="136" t="n"/>
      <c r="AO921" s="136" t="n"/>
      <c r="AP921" s="136" t="n"/>
      <c r="AQ921" s="136" t="n"/>
      <c r="AR921" s="136" t="n"/>
    </row>
    <row r="922" ht="13.5" customHeight="1" s="196">
      <c r="A922" s="136" t="n"/>
      <c r="B922" s="136" t="n"/>
      <c r="C922" s="136" t="n"/>
      <c r="D922" s="141" t="n"/>
      <c r="E922" s="141" t="n"/>
      <c r="F922" s="141" t="n"/>
      <c r="G922" s="141" t="n"/>
      <c r="H922" s="141" t="n"/>
      <c r="I922" s="141" t="n"/>
      <c r="J922" s="141" t="n"/>
      <c r="K922" s="141" t="n"/>
      <c r="L922" s="141" t="n"/>
      <c r="M922" s="141" t="n"/>
      <c r="N922" s="141" t="n"/>
      <c r="O922" s="141" t="n"/>
      <c r="P922" s="141" t="n"/>
      <c r="Q922" s="141" t="n"/>
      <c r="R922" s="141" t="n"/>
      <c r="S922" s="141" t="n"/>
      <c r="T922" s="141" t="n"/>
      <c r="U922" s="141" t="n"/>
      <c r="V922" s="141" t="n"/>
      <c r="W922" s="141" t="n"/>
      <c r="X922" s="141" t="n"/>
      <c r="Y922" s="136" t="n"/>
      <c r="Z922" s="136" t="n"/>
      <c r="AA922" s="136" t="n"/>
      <c r="AB922" s="136" t="n"/>
      <c r="AC922" s="136" t="n"/>
      <c r="AD922" s="136" t="n"/>
      <c r="AE922" s="136" t="n"/>
      <c r="AF922" s="136" t="n"/>
      <c r="AG922" s="136" t="n"/>
      <c r="AH922" s="136" t="n"/>
      <c r="AI922" s="136" t="n"/>
      <c r="AJ922" s="136" t="n"/>
      <c r="AK922" s="136" t="n"/>
      <c r="AL922" s="136" t="n"/>
      <c r="AM922" s="136" t="n"/>
      <c r="AN922" s="136" t="n"/>
      <c r="AO922" s="136" t="n"/>
      <c r="AP922" s="136" t="n"/>
      <c r="AQ922" s="136" t="n"/>
      <c r="AR922" s="136" t="n"/>
    </row>
    <row r="923" ht="13.5" customHeight="1" s="196">
      <c r="A923" s="136" t="n"/>
      <c r="B923" s="136" t="n"/>
      <c r="C923" s="136" t="n"/>
      <c r="D923" s="141" t="n"/>
      <c r="E923" s="141" t="n"/>
      <c r="F923" s="141" t="n"/>
      <c r="G923" s="141" t="n"/>
      <c r="H923" s="141" t="n"/>
      <c r="I923" s="141" t="n"/>
      <c r="J923" s="141" t="n"/>
      <c r="K923" s="141" t="n"/>
      <c r="L923" s="141" t="n"/>
      <c r="M923" s="141" t="n"/>
      <c r="N923" s="141" t="n"/>
      <c r="O923" s="141" t="n"/>
      <c r="P923" s="141" t="n"/>
      <c r="Q923" s="141" t="n"/>
      <c r="R923" s="141" t="n"/>
      <c r="S923" s="141" t="n"/>
      <c r="T923" s="141" t="n"/>
      <c r="U923" s="141" t="n"/>
      <c r="V923" s="141" t="n"/>
      <c r="W923" s="141" t="n"/>
      <c r="X923" s="141" t="n"/>
      <c r="Y923" s="136" t="n"/>
      <c r="Z923" s="136" t="n"/>
      <c r="AA923" s="136" t="n"/>
      <c r="AB923" s="136" t="n"/>
      <c r="AC923" s="136" t="n"/>
      <c r="AD923" s="136" t="n"/>
      <c r="AE923" s="136" t="n"/>
      <c r="AF923" s="136" t="n"/>
      <c r="AG923" s="136" t="n"/>
      <c r="AH923" s="136" t="n"/>
      <c r="AI923" s="136" t="n"/>
      <c r="AJ923" s="136" t="n"/>
      <c r="AK923" s="136" t="n"/>
      <c r="AL923" s="136" t="n"/>
      <c r="AM923" s="136" t="n"/>
      <c r="AN923" s="136" t="n"/>
      <c r="AO923" s="136" t="n"/>
      <c r="AP923" s="136" t="n"/>
      <c r="AQ923" s="136" t="n"/>
      <c r="AR923" s="136" t="n"/>
    </row>
    <row r="924" ht="13.5" customHeight="1" s="196">
      <c r="A924" s="136" t="n"/>
      <c r="B924" s="136" t="n"/>
      <c r="C924" s="136" t="n"/>
      <c r="D924" s="141" t="n"/>
      <c r="E924" s="141" t="n"/>
      <c r="F924" s="141" t="n"/>
      <c r="G924" s="141" t="n"/>
      <c r="H924" s="141" t="n"/>
      <c r="I924" s="141" t="n"/>
      <c r="J924" s="141" t="n"/>
      <c r="K924" s="141" t="n"/>
      <c r="L924" s="141" t="n"/>
      <c r="M924" s="141" t="n"/>
      <c r="N924" s="141" t="n"/>
      <c r="O924" s="141" t="n"/>
      <c r="P924" s="141" t="n"/>
      <c r="Q924" s="141" t="n"/>
      <c r="R924" s="141" t="n"/>
      <c r="S924" s="141" t="n"/>
      <c r="T924" s="141" t="n"/>
      <c r="U924" s="141" t="n"/>
      <c r="V924" s="141" t="n"/>
      <c r="W924" s="141" t="n"/>
      <c r="X924" s="141" t="n"/>
      <c r="Y924" s="136" t="n"/>
      <c r="Z924" s="136" t="n"/>
      <c r="AA924" s="136" t="n"/>
      <c r="AB924" s="136" t="n"/>
      <c r="AC924" s="136" t="n"/>
      <c r="AD924" s="136" t="n"/>
      <c r="AE924" s="136" t="n"/>
      <c r="AF924" s="136" t="n"/>
      <c r="AG924" s="136" t="n"/>
      <c r="AH924" s="136" t="n"/>
      <c r="AI924" s="136" t="n"/>
      <c r="AJ924" s="136" t="n"/>
      <c r="AK924" s="136" t="n"/>
      <c r="AL924" s="136" t="n"/>
      <c r="AM924" s="136" t="n"/>
      <c r="AN924" s="136" t="n"/>
      <c r="AO924" s="136" t="n"/>
      <c r="AP924" s="136" t="n"/>
      <c r="AQ924" s="136" t="n"/>
      <c r="AR924" s="136" t="n"/>
    </row>
    <row r="925" ht="13.5" customHeight="1" s="196">
      <c r="A925" s="136" t="n"/>
      <c r="B925" s="136" t="n"/>
      <c r="C925" s="136" t="n"/>
      <c r="D925" s="141" t="n"/>
      <c r="E925" s="141" t="n"/>
      <c r="F925" s="141" t="n"/>
      <c r="G925" s="141" t="n"/>
      <c r="H925" s="141" t="n"/>
      <c r="I925" s="141" t="n"/>
      <c r="J925" s="141" t="n"/>
      <c r="K925" s="141" t="n"/>
      <c r="L925" s="141" t="n"/>
      <c r="M925" s="141" t="n"/>
      <c r="N925" s="141" t="n"/>
      <c r="O925" s="141" t="n"/>
      <c r="P925" s="141" t="n"/>
      <c r="Q925" s="141" t="n"/>
      <c r="R925" s="141" t="n"/>
      <c r="S925" s="141" t="n"/>
      <c r="T925" s="141" t="n"/>
      <c r="U925" s="141" t="n"/>
      <c r="V925" s="141" t="n"/>
      <c r="W925" s="141" t="n"/>
      <c r="X925" s="141" t="n"/>
      <c r="Y925" s="136" t="n"/>
      <c r="Z925" s="136" t="n"/>
      <c r="AA925" s="136" t="n"/>
      <c r="AB925" s="136" t="n"/>
      <c r="AC925" s="136" t="n"/>
      <c r="AD925" s="136" t="n"/>
      <c r="AE925" s="136" t="n"/>
      <c r="AF925" s="136" t="n"/>
      <c r="AG925" s="136" t="n"/>
      <c r="AH925" s="136" t="n"/>
      <c r="AI925" s="136" t="n"/>
      <c r="AJ925" s="136" t="n"/>
      <c r="AK925" s="136" t="n"/>
      <c r="AL925" s="136" t="n"/>
      <c r="AM925" s="136" t="n"/>
      <c r="AN925" s="136" t="n"/>
      <c r="AO925" s="136" t="n"/>
      <c r="AP925" s="136" t="n"/>
      <c r="AQ925" s="136" t="n"/>
      <c r="AR925" s="136" t="n"/>
    </row>
    <row r="926" ht="13.5" customHeight="1" s="196">
      <c r="A926" s="136" t="n"/>
      <c r="B926" s="136" t="n"/>
      <c r="C926" s="136" t="n"/>
      <c r="D926" s="141" t="n"/>
      <c r="E926" s="141" t="n"/>
      <c r="F926" s="141" t="n"/>
      <c r="G926" s="141" t="n"/>
      <c r="H926" s="141" t="n"/>
      <c r="I926" s="141" t="n"/>
      <c r="J926" s="141" t="n"/>
      <c r="K926" s="141" t="n"/>
      <c r="L926" s="141" t="n"/>
      <c r="M926" s="141" t="n"/>
      <c r="N926" s="141" t="n"/>
      <c r="O926" s="141" t="n"/>
      <c r="P926" s="141" t="n"/>
      <c r="Q926" s="141" t="n"/>
      <c r="R926" s="141" t="n"/>
      <c r="S926" s="141" t="n"/>
      <c r="T926" s="141" t="n"/>
      <c r="U926" s="141" t="n"/>
      <c r="V926" s="141" t="n"/>
      <c r="W926" s="141" t="n"/>
      <c r="X926" s="141" t="n"/>
      <c r="Y926" s="136" t="n"/>
      <c r="Z926" s="136" t="n"/>
      <c r="AA926" s="136" t="n"/>
      <c r="AB926" s="136" t="n"/>
      <c r="AC926" s="136" t="n"/>
      <c r="AD926" s="136" t="n"/>
      <c r="AE926" s="136" t="n"/>
      <c r="AF926" s="136" t="n"/>
      <c r="AG926" s="136" t="n"/>
      <c r="AH926" s="136" t="n"/>
      <c r="AI926" s="136" t="n"/>
      <c r="AJ926" s="136" t="n"/>
      <c r="AK926" s="136" t="n"/>
      <c r="AL926" s="136" t="n"/>
      <c r="AM926" s="136" t="n"/>
      <c r="AN926" s="136" t="n"/>
      <c r="AO926" s="136" t="n"/>
      <c r="AP926" s="136" t="n"/>
      <c r="AQ926" s="136" t="n"/>
      <c r="AR926" s="136" t="n"/>
    </row>
    <row r="927" ht="13.5" customHeight="1" s="196">
      <c r="A927" s="136" t="n"/>
      <c r="B927" s="136" t="n"/>
      <c r="C927" s="136" t="n"/>
      <c r="D927" s="141" t="n"/>
      <c r="E927" s="141" t="n"/>
      <c r="F927" s="141" t="n"/>
      <c r="G927" s="141" t="n"/>
      <c r="H927" s="141" t="n"/>
      <c r="I927" s="141" t="n"/>
      <c r="J927" s="141" t="n"/>
      <c r="K927" s="141" t="n"/>
      <c r="L927" s="141" t="n"/>
      <c r="M927" s="141" t="n"/>
      <c r="N927" s="141" t="n"/>
      <c r="O927" s="141" t="n"/>
      <c r="P927" s="141" t="n"/>
      <c r="Q927" s="141" t="n"/>
      <c r="R927" s="141" t="n"/>
      <c r="S927" s="141" t="n"/>
      <c r="T927" s="141" t="n"/>
      <c r="U927" s="141" t="n"/>
      <c r="V927" s="141" t="n"/>
      <c r="W927" s="141" t="n"/>
      <c r="X927" s="141" t="n"/>
      <c r="Y927" s="136" t="n"/>
      <c r="Z927" s="136" t="n"/>
      <c r="AA927" s="136" t="n"/>
      <c r="AB927" s="136" t="n"/>
      <c r="AC927" s="136" t="n"/>
      <c r="AD927" s="136" t="n"/>
      <c r="AE927" s="136" t="n"/>
      <c r="AF927" s="136" t="n"/>
      <c r="AG927" s="136" t="n"/>
      <c r="AH927" s="136" t="n"/>
      <c r="AI927" s="136" t="n"/>
      <c r="AJ927" s="136" t="n"/>
      <c r="AK927" s="136" t="n"/>
      <c r="AL927" s="136" t="n"/>
      <c r="AM927" s="136" t="n"/>
      <c r="AN927" s="136" t="n"/>
      <c r="AO927" s="136" t="n"/>
      <c r="AP927" s="136" t="n"/>
      <c r="AQ927" s="136" t="n"/>
      <c r="AR927" s="136" t="n"/>
    </row>
    <row r="928" ht="13.5" customHeight="1" s="196">
      <c r="A928" s="136" t="n"/>
      <c r="B928" s="136" t="n"/>
      <c r="C928" s="136" t="n"/>
      <c r="D928" s="141" t="n"/>
      <c r="E928" s="141" t="n"/>
      <c r="F928" s="141" t="n"/>
      <c r="G928" s="141" t="n"/>
      <c r="H928" s="141" t="n"/>
      <c r="I928" s="141" t="n"/>
      <c r="J928" s="141" t="n"/>
      <c r="K928" s="141" t="n"/>
      <c r="L928" s="141" t="n"/>
      <c r="M928" s="141" t="n"/>
      <c r="N928" s="141" t="n"/>
      <c r="O928" s="141" t="n"/>
      <c r="P928" s="141" t="n"/>
      <c r="Q928" s="141" t="n"/>
      <c r="R928" s="141" t="n"/>
      <c r="S928" s="141" t="n"/>
      <c r="T928" s="141" t="n"/>
      <c r="U928" s="141" t="n"/>
      <c r="V928" s="141" t="n"/>
      <c r="W928" s="141" t="n"/>
      <c r="X928" s="141" t="n"/>
      <c r="Y928" s="136" t="n"/>
      <c r="Z928" s="136" t="n"/>
      <c r="AA928" s="136" t="n"/>
      <c r="AB928" s="136" t="n"/>
      <c r="AC928" s="136" t="n"/>
      <c r="AD928" s="136" t="n"/>
      <c r="AE928" s="136" t="n"/>
      <c r="AF928" s="136" t="n"/>
      <c r="AG928" s="136" t="n"/>
      <c r="AH928" s="136" t="n"/>
      <c r="AI928" s="136" t="n"/>
      <c r="AJ928" s="136" t="n"/>
      <c r="AK928" s="136" t="n"/>
      <c r="AL928" s="136" t="n"/>
      <c r="AM928" s="136" t="n"/>
      <c r="AN928" s="136" t="n"/>
      <c r="AO928" s="136" t="n"/>
      <c r="AP928" s="136" t="n"/>
      <c r="AQ928" s="136" t="n"/>
      <c r="AR928" s="136" t="n"/>
    </row>
    <row r="929" ht="13.5" customHeight="1" s="196">
      <c r="A929" s="136" t="n"/>
      <c r="B929" s="136" t="n"/>
      <c r="C929" s="136" t="n"/>
      <c r="D929" s="141" t="n"/>
      <c r="E929" s="141" t="n"/>
      <c r="F929" s="141" t="n"/>
      <c r="G929" s="141" t="n"/>
      <c r="H929" s="141" t="n"/>
      <c r="I929" s="141" t="n"/>
      <c r="J929" s="141" t="n"/>
      <c r="K929" s="141" t="n"/>
      <c r="L929" s="141" t="n"/>
      <c r="M929" s="141" t="n"/>
      <c r="N929" s="141" t="n"/>
      <c r="O929" s="141" t="n"/>
      <c r="P929" s="141" t="n"/>
      <c r="Q929" s="141" t="n"/>
      <c r="R929" s="141" t="n"/>
      <c r="S929" s="141" t="n"/>
      <c r="T929" s="141" t="n"/>
      <c r="U929" s="141" t="n"/>
      <c r="V929" s="141" t="n"/>
      <c r="W929" s="141" t="n"/>
      <c r="X929" s="141" t="n"/>
      <c r="Y929" s="136" t="n"/>
      <c r="Z929" s="136" t="n"/>
      <c r="AA929" s="136" t="n"/>
      <c r="AB929" s="136" t="n"/>
      <c r="AC929" s="136" t="n"/>
      <c r="AD929" s="136" t="n"/>
      <c r="AE929" s="136" t="n"/>
      <c r="AF929" s="136" t="n"/>
      <c r="AG929" s="136" t="n"/>
      <c r="AH929" s="136" t="n"/>
      <c r="AI929" s="136" t="n"/>
      <c r="AJ929" s="136" t="n"/>
      <c r="AK929" s="136" t="n"/>
      <c r="AL929" s="136" t="n"/>
      <c r="AM929" s="136" t="n"/>
      <c r="AN929" s="136" t="n"/>
      <c r="AO929" s="136" t="n"/>
      <c r="AP929" s="136" t="n"/>
      <c r="AQ929" s="136" t="n"/>
      <c r="AR929" s="136" t="n"/>
    </row>
    <row r="930" ht="13.5" customHeight="1" s="196">
      <c r="A930" s="136" t="n"/>
      <c r="B930" s="136" t="n"/>
      <c r="C930" s="136" t="n"/>
      <c r="D930" s="141" t="n"/>
      <c r="E930" s="141" t="n"/>
      <c r="F930" s="141" t="n"/>
      <c r="G930" s="141" t="n"/>
      <c r="H930" s="141" t="n"/>
      <c r="I930" s="141" t="n"/>
      <c r="J930" s="141" t="n"/>
      <c r="K930" s="141" t="n"/>
      <c r="L930" s="141" t="n"/>
      <c r="M930" s="141" t="n"/>
      <c r="N930" s="141" t="n"/>
      <c r="O930" s="141" t="n"/>
      <c r="P930" s="141" t="n"/>
      <c r="Q930" s="141" t="n"/>
      <c r="R930" s="141" t="n"/>
      <c r="S930" s="141" t="n"/>
      <c r="T930" s="141" t="n"/>
      <c r="U930" s="141" t="n"/>
      <c r="V930" s="141" t="n"/>
      <c r="W930" s="141" t="n"/>
      <c r="X930" s="141" t="n"/>
      <c r="Y930" s="136" t="n"/>
      <c r="Z930" s="136" t="n"/>
      <c r="AA930" s="136" t="n"/>
      <c r="AB930" s="136" t="n"/>
      <c r="AC930" s="136" t="n"/>
      <c r="AD930" s="136" t="n"/>
      <c r="AE930" s="136" t="n"/>
      <c r="AF930" s="136" t="n"/>
      <c r="AG930" s="136" t="n"/>
      <c r="AH930" s="136" t="n"/>
      <c r="AI930" s="136" t="n"/>
      <c r="AJ930" s="136" t="n"/>
      <c r="AK930" s="136" t="n"/>
      <c r="AL930" s="136" t="n"/>
      <c r="AM930" s="136" t="n"/>
      <c r="AN930" s="136" t="n"/>
      <c r="AO930" s="136" t="n"/>
      <c r="AP930" s="136" t="n"/>
      <c r="AQ930" s="136" t="n"/>
      <c r="AR930" s="136" t="n"/>
    </row>
    <row r="931" ht="13.5" customHeight="1" s="196">
      <c r="A931" s="136" t="n"/>
      <c r="B931" s="136" t="n"/>
      <c r="C931" s="136" t="n"/>
      <c r="D931" s="141" t="n"/>
      <c r="E931" s="141" t="n"/>
      <c r="F931" s="141" t="n"/>
      <c r="G931" s="141" t="n"/>
      <c r="H931" s="141" t="n"/>
      <c r="I931" s="141" t="n"/>
      <c r="J931" s="141" t="n"/>
      <c r="K931" s="141" t="n"/>
      <c r="L931" s="141" t="n"/>
      <c r="M931" s="141" t="n"/>
      <c r="N931" s="141" t="n"/>
      <c r="O931" s="141" t="n"/>
      <c r="P931" s="141" t="n"/>
      <c r="Q931" s="141" t="n"/>
      <c r="R931" s="141" t="n"/>
      <c r="S931" s="141" t="n"/>
      <c r="T931" s="141" t="n"/>
      <c r="U931" s="141" t="n"/>
      <c r="V931" s="141" t="n"/>
      <c r="W931" s="141" t="n"/>
      <c r="X931" s="141" t="n"/>
      <c r="Y931" s="136" t="n"/>
      <c r="Z931" s="136" t="n"/>
      <c r="AA931" s="136" t="n"/>
      <c r="AB931" s="136" t="n"/>
      <c r="AC931" s="136" t="n"/>
      <c r="AD931" s="136" t="n"/>
      <c r="AE931" s="136" t="n"/>
      <c r="AF931" s="136" t="n"/>
      <c r="AG931" s="136" t="n"/>
      <c r="AH931" s="136" t="n"/>
      <c r="AI931" s="136" t="n"/>
      <c r="AJ931" s="136" t="n"/>
      <c r="AK931" s="136" t="n"/>
      <c r="AL931" s="136" t="n"/>
      <c r="AM931" s="136" t="n"/>
      <c r="AN931" s="136" t="n"/>
      <c r="AO931" s="136" t="n"/>
      <c r="AP931" s="136" t="n"/>
      <c r="AQ931" s="136" t="n"/>
      <c r="AR931" s="136" t="n"/>
    </row>
    <row r="932" ht="13.5" customHeight="1" s="196">
      <c r="A932" s="136" t="n"/>
      <c r="B932" s="136" t="n"/>
      <c r="C932" s="136" t="n"/>
      <c r="D932" s="141" t="n"/>
      <c r="E932" s="141" t="n"/>
      <c r="F932" s="141" t="n"/>
      <c r="G932" s="141" t="n"/>
      <c r="H932" s="141" t="n"/>
      <c r="I932" s="141" t="n"/>
      <c r="J932" s="141" t="n"/>
      <c r="K932" s="141" t="n"/>
      <c r="L932" s="141" t="n"/>
      <c r="M932" s="141" t="n"/>
      <c r="N932" s="141" t="n"/>
      <c r="O932" s="141" t="n"/>
      <c r="P932" s="141" t="n"/>
      <c r="Q932" s="141" t="n"/>
      <c r="R932" s="141" t="n"/>
      <c r="S932" s="141" t="n"/>
      <c r="T932" s="141" t="n"/>
      <c r="U932" s="141" t="n"/>
      <c r="V932" s="141" t="n"/>
      <c r="W932" s="141" t="n"/>
      <c r="X932" s="141" t="n"/>
      <c r="Y932" s="136" t="n"/>
      <c r="Z932" s="136" t="n"/>
      <c r="AA932" s="136" t="n"/>
      <c r="AB932" s="136" t="n"/>
      <c r="AC932" s="136" t="n"/>
      <c r="AD932" s="136" t="n"/>
      <c r="AE932" s="136" t="n"/>
      <c r="AF932" s="136" t="n"/>
      <c r="AG932" s="136" t="n"/>
      <c r="AH932" s="136" t="n"/>
      <c r="AI932" s="136" t="n"/>
      <c r="AJ932" s="136" t="n"/>
      <c r="AK932" s="136" t="n"/>
      <c r="AL932" s="136" t="n"/>
      <c r="AM932" s="136" t="n"/>
      <c r="AN932" s="136" t="n"/>
      <c r="AO932" s="136" t="n"/>
      <c r="AP932" s="136" t="n"/>
      <c r="AQ932" s="136" t="n"/>
      <c r="AR932" s="136" t="n"/>
    </row>
    <row r="933" ht="13.5" customHeight="1" s="196">
      <c r="A933" s="136" t="n"/>
      <c r="B933" s="136" t="n"/>
      <c r="C933" s="136" t="n"/>
      <c r="D933" s="141" t="n"/>
      <c r="E933" s="141" t="n"/>
      <c r="F933" s="141" t="n"/>
      <c r="G933" s="141" t="n"/>
      <c r="H933" s="141" t="n"/>
      <c r="I933" s="141" t="n"/>
      <c r="J933" s="141" t="n"/>
      <c r="K933" s="141" t="n"/>
      <c r="L933" s="141" t="n"/>
      <c r="M933" s="141" t="n"/>
      <c r="N933" s="141" t="n"/>
      <c r="O933" s="141" t="n"/>
      <c r="P933" s="141" t="n"/>
      <c r="Q933" s="141" t="n"/>
      <c r="R933" s="141" t="n"/>
      <c r="S933" s="141" t="n"/>
      <c r="T933" s="141" t="n"/>
      <c r="U933" s="141" t="n"/>
      <c r="V933" s="141" t="n"/>
      <c r="W933" s="141" t="n"/>
      <c r="X933" s="141" t="n"/>
      <c r="Y933" s="136" t="n"/>
      <c r="Z933" s="136" t="n"/>
      <c r="AA933" s="136" t="n"/>
      <c r="AB933" s="136" t="n"/>
      <c r="AC933" s="136" t="n"/>
      <c r="AD933" s="136" t="n"/>
      <c r="AE933" s="136" t="n"/>
      <c r="AF933" s="136" t="n"/>
      <c r="AG933" s="136" t="n"/>
      <c r="AH933" s="136" t="n"/>
      <c r="AI933" s="136" t="n"/>
      <c r="AJ933" s="136" t="n"/>
      <c r="AK933" s="136" t="n"/>
      <c r="AL933" s="136" t="n"/>
      <c r="AM933" s="136" t="n"/>
      <c r="AN933" s="136" t="n"/>
      <c r="AO933" s="136" t="n"/>
      <c r="AP933" s="136" t="n"/>
      <c r="AQ933" s="136" t="n"/>
      <c r="AR933" s="136" t="n"/>
    </row>
    <row r="934" ht="13.5" customHeight="1" s="196">
      <c r="A934" s="136" t="n"/>
      <c r="B934" s="136" t="n"/>
      <c r="C934" s="136" t="n"/>
      <c r="D934" s="141" t="n"/>
      <c r="E934" s="141" t="n"/>
      <c r="F934" s="141" t="n"/>
      <c r="G934" s="141" t="n"/>
      <c r="H934" s="141" t="n"/>
      <c r="I934" s="141" t="n"/>
      <c r="J934" s="141" t="n"/>
      <c r="K934" s="141" t="n"/>
      <c r="L934" s="141" t="n"/>
      <c r="M934" s="141" t="n"/>
      <c r="N934" s="141" t="n"/>
      <c r="O934" s="141" t="n"/>
      <c r="P934" s="141" t="n"/>
      <c r="Q934" s="141" t="n"/>
      <c r="R934" s="141" t="n"/>
      <c r="S934" s="141" t="n"/>
      <c r="T934" s="141" t="n"/>
      <c r="U934" s="141" t="n"/>
      <c r="V934" s="141" t="n"/>
      <c r="W934" s="141" t="n"/>
      <c r="X934" s="141" t="n"/>
      <c r="Y934" s="136" t="n"/>
      <c r="Z934" s="136" t="n"/>
      <c r="AA934" s="136" t="n"/>
      <c r="AB934" s="136" t="n"/>
      <c r="AC934" s="136" t="n"/>
      <c r="AD934" s="136" t="n"/>
      <c r="AE934" s="136" t="n"/>
      <c r="AF934" s="136" t="n"/>
      <c r="AG934" s="136" t="n"/>
      <c r="AH934" s="136" t="n"/>
      <c r="AI934" s="136" t="n"/>
      <c r="AJ934" s="136" t="n"/>
      <c r="AK934" s="136" t="n"/>
      <c r="AL934" s="136" t="n"/>
      <c r="AM934" s="136" t="n"/>
      <c r="AN934" s="136" t="n"/>
      <c r="AO934" s="136" t="n"/>
      <c r="AP934" s="136" t="n"/>
      <c r="AQ934" s="136" t="n"/>
      <c r="AR934" s="136" t="n"/>
    </row>
    <row r="935" ht="13.5" customHeight="1" s="196">
      <c r="A935" s="136" t="n"/>
      <c r="B935" s="136" t="n"/>
      <c r="C935" s="136" t="n"/>
      <c r="D935" s="141" t="n"/>
      <c r="E935" s="141" t="n"/>
      <c r="F935" s="141" t="n"/>
      <c r="G935" s="141" t="n"/>
      <c r="H935" s="141" t="n"/>
      <c r="I935" s="141" t="n"/>
      <c r="J935" s="141" t="n"/>
      <c r="K935" s="141" t="n"/>
      <c r="L935" s="141" t="n"/>
      <c r="M935" s="141" t="n"/>
      <c r="N935" s="141" t="n"/>
      <c r="O935" s="141" t="n"/>
      <c r="P935" s="141" t="n"/>
      <c r="Q935" s="141" t="n"/>
      <c r="R935" s="141" t="n"/>
      <c r="S935" s="141" t="n"/>
      <c r="T935" s="141" t="n"/>
      <c r="U935" s="141" t="n"/>
      <c r="V935" s="141" t="n"/>
      <c r="W935" s="141" t="n"/>
      <c r="X935" s="141" t="n"/>
      <c r="Y935" s="136" t="n"/>
      <c r="Z935" s="136" t="n"/>
      <c r="AA935" s="136" t="n"/>
      <c r="AB935" s="136" t="n"/>
      <c r="AC935" s="136" t="n"/>
      <c r="AD935" s="136" t="n"/>
      <c r="AE935" s="136" t="n"/>
      <c r="AF935" s="136" t="n"/>
      <c r="AG935" s="136" t="n"/>
      <c r="AH935" s="136" t="n"/>
      <c r="AI935" s="136" t="n"/>
      <c r="AJ935" s="136" t="n"/>
      <c r="AK935" s="136" t="n"/>
      <c r="AL935" s="136" t="n"/>
      <c r="AM935" s="136" t="n"/>
      <c r="AN935" s="136" t="n"/>
      <c r="AO935" s="136" t="n"/>
      <c r="AP935" s="136" t="n"/>
      <c r="AQ935" s="136" t="n"/>
      <c r="AR935" s="136" t="n"/>
    </row>
    <row r="936" ht="13.5" customHeight="1" s="196">
      <c r="A936" s="136" t="n"/>
      <c r="B936" s="136" t="n"/>
      <c r="C936" s="136" t="n"/>
      <c r="D936" s="141" t="n"/>
      <c r="E936" s="141" t="n"/>
      <c r="F936" s="141" t="n"/>
      <c r="G936" s="141" t="n"/>
      <c r="H936" s="141" t="n"/>
      <c r="I936" s="141" t="n"/>
      <c r="J936" s="141" t="n"/>
      <c r="K936" s="141" t="n"/>
      <c r="L936" s="141" t="n"/>
      <c r="M936" s="141" t="n"/>
      <c r="N936" s="141" t="n"/>
      <c r="O936" s="141" t="n"/>
      <c r="P936" s="141" t="n"/>
      <c r="Q936" s="141" t="n"/>
      <c r="R936" s="141" t="n"/>
      <c r="S936" s="141" t="n"/>
      <c r="T936" s="141" t="n"/>
      <c r="U936" s="141" t="n"/>
      <c r="V936" s="141" t="n"/>
      <c r="W936" s="141" t="n"/>
      <c r="X936" s="141" t="n"/>
      <c r="Y936" s="136" t="n"/>
      <c r="Z936" s="136" t="n"/>
      <c r="AA936" s="136" t="n"/>
      <c r="AB936" s="136" t="n"/>
      <c r="AC936" s="136" t="n"/>
      <c r="AD936" s="136" t="n"/>
      <c r="AE936" s="136" t="n"/>
      <c r="AF936" s="136" t="n"/>
      <c r="AG936" s="136" t="n"/>
      <c r="AH936" s="136" t="n"/>
      <c r="AI936" s="136" t="n"/>
      <c r="AJ936" s="136" t="n"/>
      <c r="AK936" s="136" t="n"/>
      <c r="AL936" s="136" t="n"/>
      <c r="AM936" s="136" t="n"/>
      <c r="AN936" s="136" t="n"/>
      <c r="AO936" s="136" t="n"/>
      <c r="AP936" s="136" t="n"/>
      <c r="AQ936" s="136" t="n"/>
      <c r="AR936" s="136" t="n"/>
    </row>
    <row r="937" ht="13.5" customHeight="1" s="196">
      <c r="A937" s="136" t="n"/>
      <c r="B937" s="136" t="n"/>
      <c r="C937" s="136" t="n"/>
      <c r="D937" s="141" t="n"/>
      <c r="E937" s="141" t="n"/>
      <c r="F937" s="141" t="n"/>
      <c r="G937" s="141" t="n"/>
      <c r="H937" s="141" t="n"/>
      <c r="I937" s="141" t="n"/>
      <c r="J937" s="141" t="n"/>
      <c r="K937" s="141" t="n"/>
      <c r="L937" s="141" t="n"/>
      <c r="M937" s="141" t="n"/>
      <c r="N937" s="141" t="n"/>
      <c r="O937" s="141" t="n"/>
      <c r="P937" s="141" t="n"/>
      <c r="Q937" s="141" t="n"/>
      <c r="R937" s="141" t="n"/>
      <c r="S937" s="141" t="n"/>
      <c r="T937" s="141" t="n"/>
      <c r="U937" s="141" t="n"/>
      <c r="V937" s="141" t="n"/>
      <c r="W937" s="141" t="n"/>
      <c r="X937" s="141" t="n"/>
      <c r="Y937" s="136" t="n"/>
      <c r="Z937" s="136" t="n"/>
      <c r="AA937" s="136" t="n"/>
      <c r="AB937" s="136" t="n"/>
      <c r="AC937" s="136" t="n"/>
      <c r="AD937" s="136" t="n"/>
      <c r="AE937" s="136" t="n"/>
      <c r="AF937" s="136" t="n"/>
      <c r="AG937" s="136" t="n"/>
      <c r="AH937" s="136" t="n"/>
      <c r="AI937" s="136" t="n"/>
      <c r="AJ937" s="136" t="n"/>
      <c r="AK937" s="136" t="n"/>
      <c r="AL937" s="136" t="n"/>
      <c r="AM937" s="136" t="n"/>
      <c r="AN937" s="136" t="n"/>
      <c r="AO937" s="136" t="n"/>
      <c r="AP937" s="136" t="n"/>
      <c r="AQ937" s="136" t="n"/>
      <c r="AR937" s="136" t="n"/>
    </row>
    <row r="938" ht="13.5" customHeight="1" s="196">
      <c r="A938" s="136" t="n"/>
      <c r="B938" s="136" t="n"/>
      <c r="C938" s="136" t="n"/>
      <c r="D938" s="141" t="n"/>
      <c r="E938" s="141" t="n"/>
      <c r="F938" s="141" t="n"/>
      <c r="G938" s="141" t="n"/>
      <c r="H938" s="141" t="n"/>
      <c r="I938" s="141" t="n"/>
      <c r="J938" s="141" t="n"/>
      <c r="K938" s="141" t="n"/>
      <c r="L938" s="141" t="n"/>
      <c r="M938" s="141" t="n"/>
      <c r="N938" s="141" t="n"/>
      <c r="O938" s="141" t="n"/>
      <c r="P938" s="141" t="n"/>
      <c r="Q938" s="141" t="n"/>
      <c r="R938" s="141" t="n"/>
      <c r="S938" s="141" t="n"/>
      <c r="T938" s="141" t="n"/>
      <c r="U938" s="141" t="n"/>
      <c r="V938" s="141" t="n"/>
      <c r="W938" s="141" t="n"/>
      <c r="X938" s="141" t="n"/>
      <c r="Y938" s="136" t="n"/>
      <c r="Z938" s="136" t="n"/>
      <c r="AA938" s="136" t="n"/>
      <c r="AB938" s="136" t="n"/>
      <c r="AC938" s="136" t="n"/>
      <c r="AD938" s="136" t="n"/>
      <c r="AE938" s="136" t="n"/>
      <c r="AF938" s="136" t="n"/>
      <c r="AG938" s="136" t="n"/>
      <c r="AH938" s="136" t="n"/>
      <c r="AI938" s="136" t="n"/>
      <c r="AJ938" s="136" t="n"/>
      <c r="AK938" s="136" t="n"/>
      <c r="AL938" s="136" t="n"/>
      <c r="AM938" s="136" t="n"/>
      <c r="AN938" s="136" t="n"/>
      <c r="AO938" s="136" t="n"/>
      <c r="AP938" s="136" t="n"/>
      <c r="AQ938" s="136" t="n"/>
      <c r="AR938" s="136" t="n"/>
    </row>
    <row r="939" ht="13.5" customHeight="1" s="196">
      <c r="A939" s="136" t="n"/>
      <c r="B939" s="136" t="n"/>
      <c r="C939" s="136" t="n"/>
      <c r="D939" s="141" t="n"/>
      <c r="E939" s="141" t="n"/>
      <c r="F939" s="141" t="n"/>
      <c r="G939" s="141" t="n"/>
      <c r="H939" s="141" t="n"/>
      <c r="I939" s="141" t="n"/>
      <c r="J939" s="141" t="n"/>
      <c r="K939" s="141" t="n"/>
      <c r="L939" s="141" t="n"/>
      <c r="M939" s="141" t="n"/>
      <c r="N939" s="141" t="n"/>
      <c r="O939" s="141" t="n"/>
      <c r="P939" s="141" t="n"/>
      <c r="Q939" s="141" t="n"/>
      <c r="R939" s="141" t="n"/>
      <c r="S939" s="141" t="n"/>
      <c r="T939" s="141" t="n"/>
      <c r="U939" s="141" t="n"/>
      <c r="V939" s="141" t="n"/>
      <c r="W939" s="141" t="n"/>
      <c r="X939" s="141" t="n"/>
      <c r="Y939" s="136" t="n"/>
      <c r="Z939" s="136" t="n"/>
      <c r="AA939" s="136" t="n"/>
      <c r="AB939" s="136" t="n"/>
      <c r="AC939" s="136" t="n"/>
      <c r="AD939" s="136" t="n"/>
      <c r="AE939" s="136" t="n"/>
      <c r="AF939" s="136" t="n"/>
      <c r="AG939" s="136" t="n"/>
      <c r="AH939" s="136" t="n"/>
      <c r="AI939" s="136" t="n"/>
      <c r="AJ939" s="136" t="n"/>
      <c r="AK939" s="136" t="n"/>
      <c r="AL939" s="136" t="n"/>
      <c r="AM939" s="136" t="n"/>
      <c r="AN939" s="136" t="n"/>
      <c r="AO939" s="136" t="n"/>
      <c r="AP939" s="136" t="n"/>
      <c r="AQ939" s="136" t="n"/>
      <c r="AR939" s="136" t="n"/>
    </row>
    <row r="940" ht="13.5" customHeight="1" s="196">
      <c r="A940" s="136" t="n"/>
      <c r="B940" s="136" t="n"/>
      <c r="C940" s="136" t="n"/>
      <c r="D940" s="141" t="n"/>
      <c r="E940" s="141" t="n"/>
      <c r="F940" s="141" t="n"/>
      <c r="G940" s="141" t="n"/>
      <c r="H940" s="141" t="n"/>
      <c r="I940" s="141" t="n"/>
      <c r="J940" s="141" t="n"/>
      <c r="K940" s="141" t="n"/>
      <c r="L940" s="141" t="n"/>
      <c r="M940" s="141" t="n"/>
      <c r="N940" s="141" t="n"/>
      <c r="O940" s="141" t="n"/>
      <c r="P940" s="141" t="n"/>
      <c r="Q940" s="141" t="n"/>
      <c r="R940" s="141" t="n"/>
      <c r="S940" s="141" t="n"/>
      <c r="T940" s="141" t="n"/>
      <c r="U940" s="141" t="n"/>
      <c r="V940" s="141" t="n"/>
      <c r="W940" s="141" t="n"/>
      <c r="X940" s="141" t="n"/>
      <c r="Y940" s="136" t="n"/>
      <c r="Z940" s="136" t="n"/>
      <c r="AA940" s="136" t="n"/>
      <c r="AB940" s="136" t="n"/>
      <c r="AC940" s="136" t="n"/>
      <c r="AD940" s="136" t="n"/>
      <c r="AE940" s="136" t="n"/>
      <c r="AF940" s="136" t="n"/>
      <c r="AG940" s="136" t="n"/>
      <c r="AH940" s="136" t="n"/>
      <c r="AI940" s="136" t="n"/>
      <c r="AJ940" s="136" t="n"/>
      <c r="AK940" s="136" t="n"/>
      <c r="AL940" s="136" t="n"/>
      <c r="AM940" s="136" t="n"/>
      <c r="AN940" s="136" t="n"/>
      <c r="AO940" s="136" t="n"/>
      <c r="AP940" s="136" t="n"/>
      <c r="AQ940" s="136" t="n"/>
      <c r="AR940" s="136" t="n"/>
    </row>
    <row r="941" ht="13.5" customHeight="1" s="196">
      <c r="A941" s="136" t="n"/>
      <c r="B941" s="136" t="n"/>
      <c r="C941" s="136" t="n"/>
      <c r="D941" s="141" t="n"/>
      <c r="E941" s="141" t="n"/>
      <c r="F941" s="141" t="n"/>
      <c r="G941" s="141" t="n"/>
      <c r="H941" s="141" t="n"/>
      <c r="I941" s="141" t="n"/>
      <c r="J941" s="141" t="n"/>
      <c r="K941" s="141" t="n"/>
      <c r="L941" s="141" t="n"/>
      <c r="M941" s="141" t="n"/>
      <c r="N941" s="141" t="n"/>
      <c r="O941" s="141" t="n"/>
      <c r="P941" s="141" t="n"/>
      <c r="Q941" s="141" t="n"/>
      <c r="R941" s="141" t="n"/>
      <c r="S941" s="141" t="n"/>
      <c r="T941" s="141" t="n"/>
      <c r="U941" s="141" t="n"/>
      <c r="V941" s="141" t="n"/>
      <c r="W941" s="141" t="n"/>
      <c r="X941" s="141" t="n"/>
      <c r="Y941" s="136" t="n"/>
      <c r="Z941" s="136" t="n"/>
      <c r="AA941" s="136" t="n"/>
      <c r="AB941" s="136" t="n"/>
      <c r="AC941" s="136" t="n"/>
      <c r="AD941" s="136" t="n"/>
      <c r="AE941" s="136" t="n"/>
      <c r="AF941" s="136" t="n"/>
      <c r="AG941" s="136" t="n"/>
      <c r="AH941" s="136" t="n"/>
      <c r="AI941" s="136" t="n"/>
      <c r="AJ941" s="136" t="n"/>
      <c r="AK941" s="136" t="n"/>
      <c r="AL941" s="136" t="n"/>
      <c r="AM941" s="136" t="n"/>
      <c r="AN941" s="136" t="n"/>
      <c r="AO941" s="136" t="n"/>
      <c r="AP941" s="136" t="n"/>
      <c r="AQ941" s="136" t="n"/>
      <c r="AR941" s="136" t="n"/>
    </row>
    <row r="942" ht="13.5" customHeight="1" s="196">
      <c r="A942" s="136" t="n"/>
      <c r="B942" s="136" t="n"/>
      <c r="C942" s="136" t="n"/>
      <c r="D942" s="141" t="n"/>
      <c r="E942" s="141" t="n"/>
      <c r="F942" s="141" t="n"/>
      <c r="G942" s="141" t="n"/>
      <c r="H942" s="141" t="n"/>
      <c r="I942" s="141" t="n"/>
      <c r="J942" s="141" t="n"/>
      <c r="K942" s="141" t="n"/>
      <c r="L942" s="141" t="n"/>
      <c r="M942" s="141" t="n"/>
      <c r="N942" s="141" t="n"/>
      <c r="O942" s="141" t="n"/>
      <c r="P942" s="141" t="n"/>
      <c r="Q942" s="141" t="n"/>
      <c r="R942" s="141" t="n"/>
      <c r="S942" s="141" t="n"/>
      <c r="T942" s="141" t="n"/>
      <c r="U942" s="141" t="n"/>
      <c r="V942" s="141" t="n"/>
      <c r="W942" s="141" t="n"/>
      <c r="X942" s="141" t="n"/>
      <c r="Y942" s="136" t="n"/>
      <c r="Z942" s="136" t="n"/>
      <c r="AA942" s="136" t="n"/>
      <c r="AB942" s="136" t="n"/>
      <c r="AC942" s="136" t="n"/>
      <c r="AD942" s="136" t="n"/>
      <c r="AE942" s="136" t="n"/>
      <c r="AF942" s="136" t="n"/>
      <c r="AG942" s="136" t="n"/>
      <c r="AH942" s="136" t="n"/>
      <c r="AI942" s="136" t="n"/>
      <c r="AJ942" s="136" t="n"/>
      <c r="AK942" s="136" t="n"/>
      <c r="AL942" s="136" t="n"/>
      <c r="AM942" s="136" t="n"/>
      <c r="AN942" s="136" t="n"/>
      <c r="AO942" s="136" t="n"/>
      <c r="AP942" s="136" t="n"/>
      <c r="AQ942" s="136" t="n"/>
      <c r="AR942" s="136" t="n"/>
    </row>
    <row r="943" ht="13.5" customHeight="1" s="196">
      <c r="A943" s="136" t="n"/>
      <c r="B943" s="136" t="n"/>
      <c r="C943" s="136" t="n"/>
      <c r="D943" s="141" t="n"/>
      <c r="E943" s="141" t="n"/>
      <c r="F943" s="141" t="n"/>
      <c r="G943" s="141" t="n"/>
      <c r="H943" s="141" t="n"/>
      <c r="I943" s="141" t="n"/>
      <c r="J943" s="141" t="n"/>
      <c r="K943" s="141" t="n"/>
      <c r="L943" s="141" t="n"/>
      <c r="M943" s="141" t="n"/>
      <c r="N943" s="141" t="n"/>
      <c r="O943" s="141" t="n"/>
      <c r="P943" s="141" t="n"/>
      <c r="Q943" s="141" t="n"/>
      <c r="R943" s="141" t="n"/>
      <c r="S943" s="141" t="n"/>
      <c r="T943" s="141" t="n"/>
      <c r="U943" s="141" t="n"/>
      <c r="V943" s="141" t="n"/>
      <c r="W943" s="141" t="n"/>
      <c r="X943" s="141" t="n"/>
      <c r="Y943" s="136" t="n"/>
      <c r="Z943" s="136" t="n"/>
      <c r="AA943" s="136" t="n"/>
      <c r="AB943" s="136" t="n"/>
      <c r="AC943" s="136" t="n"/>
      <c r="AD943" s="136" t="n"/>
      <c r="AE943" s="136" t="n"/>
      <c r="AF943" s="136" t="n"/>
      <c r="AG943" s="136" t="n"/>
      <c r="AH943" s="136" t="n"/>
      <c r="AI943" s="136" t="n"/>
      <c r="AJ943" s="136" t="n"/>
      <c r="AK943" s="136" t="n"/>
      <c r="AL943" s="136" t="n"/>
      <c r="AM943" s="136" t="n"/>
      <c r="AN943" s="136" t="n"/>
      <c r="AO943" s="136" t="n"/>
      <c r="AP943" s="136" t="n"/>
      <c r="AQ943" s="136" t="n"/>
      <c r="AR943" s="136" t="n"/>
    </row>
    <row r="944" ht="13.5" customHeight="1" s="196">
      <c r="A944" s="136" t="n"/>
      <c r="B944" s="136" t="n"/>
      <c r="C944" s="136" t="n"/>
      <c r="D944" s="141" t="n"/>
      <c r="E944" s="141" t="n"/>
      <c r="F944" s="141" t="n"/>
      <c r="G944" s="141" t="n"/>
      <c r="H944" s="141" t="n"/>
      <c r="I944" s="141" t="n"/>
      <c r="J944" s="141" t="n"/>
      <c r="K944" s="141" t="n"/>
      <c r="L944" s="141" t="n"/>
      <c r="M944" s="141" t="n"/>
      <c r="N944" s="141" t="n"/>
      <c r="O944" s="141" t="n"/>
      <c r="P944" s="141" t="n"/>
      <c r="Q944" s="141" t="n"/>
      <c r="R944" s="141" t="n"/>
      <c r="S944" s="141" t="n"/>
      <c r="T944" s="141" t="n"/>
      <c r="U944" s="141" t="n"/>
      <c r="V944" s="141" t="n"/>
      <c r="W944" s="141" t="n"/>
      <c r="X944" s="141" t="n"/>
      <c r="Y944" s="136" t="n"/>
      <c r="Z944" s="136" t="n"/>
      <c r="AA944" s="136" t="n"/>
      <c r="AB944" s="136" t="n"/>
      <c r="AC944" s="136" t="n"/>
      <c r="AD944" s="136" t="n"/>
      <c r="AE944" s="136" t="n"/>
      <c r="AF944" s="136" t="n"/>
      <c r="AG944" s="136" t="n"/>
      <c r="AH944" s="136" t="n"/>
      <c r="AI944" s="136" t="n"/>
      <c r="AJ944" s="136" t="n"/>
      <c r="AK944" s="136" t="n"/>
      <c r="AL944" s="136" t="n"/>
      <c r="AM944" s="136" t="n"/>
      <c r="AN944" s="136" t="n"/>
      <c r="AO944" s="136" t="n"/>
      <c r="AP944" s="136" t="n"/>
      <c r="AQ944" s="136" t="n"/>
      <c r="AR944" s="136" t="n"/>
    </row>
    <row r="945" ht="13.5" customHeight="1" s="196">
      <c r="A945" s="136" t="n"/>
      <c r="B945" s="136" t="n"/>
      <c r="C945" s="136" t="n"/>
      <c r="D945" s="141" t="n"/>
      <c r="E945" s="141" t="n"/>
      <c r="F945" s="141" t="n"/>
      <c r="G945" s="141" t="n"/>
      <c r="H945" s="141" t="n"/>
      <c r="I945" s="141" t="n"/>
      <c r="J945" s="141" t="n"/>
      <c r="K945" s="141" t="n"/>
      <c r="L945" s="141" t="n"/>
      <c r="M945" s="141" t="n"/>
      <c r="N945" s="141" t="n"/>
      <c r="O945" s="141" t="n"/>
      <c r="P945" s="141" t="n"/>
      <c r="Q945" s="141" t="n"/>
      <c r="R945" s="141" t="n"/>
      <c r="S945" s="141" t="n"/>
      <c r="T945" s="141" t="n"/>
      <c r="U945" s="141" t="n"/>
      <c r="V945" s="141" t="n"/>
      <c r="W945" s="141" t="n"/>
      <c r="X945" s="141" t="n"/>
      <c r="Y945" s="136" t="n"/>
      <c r="Z945" s="136" t="n"/>
      <c r="AA945" s="136" t="n"/>
      <c r="AB945" s="136" t="n"/>
      <c r="AC945" s="136" t="n"/>
      <c r="AD945" s="136" t="n"/>
      <c r="AE945" s="136" t="n"/>
      <c r="AF945" s="136" t="n"/>
      <c r="AG945" s="136" t="n"/>
      <c r="AH945" s="136" t="n"/>
      <c r="AI945" s="136" t="n"/>
      <c r="AJ945" s="136" t="n"/>
      <c r="AK945" s="136" t="n"/>
      <c r="AL945" s="136" t="n"/>
      <c r="AM945" s="136" t="n"/>
      <c r="AN945" s="136" t="n"/>
      <c r="AO945" s="136" t="n"/>
      <c r="AP945" s="136" t="n"/>
      <c r="AQ945" s="136" t="n"/>
      <c r="AR945" s="136" t="n"/>
    </row>
    <row r="946" ht="13.5" customHeight="1" s="196">
      <c r="A946" s="136" t="n"/>
      <c r="B946" s="136" t="n"/>
      <c r="C946" s="136" t="n"/>
      <c r="D946" s="141" t="n"/>
      <c r="E946" s="141" t="n"/>
      <c r="F946" s="141" t="n"/>
      <c r="G946" s="141" t="n"/>
      <c r="H946" s="141" t="n"/>
      <c r="I946" s="141" t="n"/>
      <c r="J946" s="141" t="n"/>
      <c r="K946" s="141" t="n"/>
      <c r="L946" s="141" t="n"/>
      <c r="M946" s="141" t="n"/>
      <c r="N946" s="141" t="n"/>
      <c r="O946" s="141" t="n"/>
      <c r="P946" s="141" t="n"/>
      <c r="Q946" s="141" t="n"/>
      <c r="R946" s="141" t="n"/>
      <c r="S946" s="141" t="n"/>
      <c r="T946" s="141" t="n"/>
      <c r="U946" s="141" t="n"/>
      <c r="V946" s="141" t="n"/>
      <c r="W946" s="141" t="n"/>
      <c r="X946" s="141" t="n"/>
      <c r="Y946" s="136" t="n"/>
      <c r="Z946" s="136" t="n"/>
      <c r="AA946" s="136" t="n"/>
      <c r="AB946" s="136" t="n"/>
      <c r="AC946" s="136" t="n"/>
      <c r="AD946" s="136" t="n"/>
      <c r="AE946" s="136" t="n"/>
      <c r="AF946" s="136" t="n"/>
      <c r="AG946" s="136" t="n"/>
      <c r="AH946" s="136" t="n"/>
      <c r="AI946" s="136" t="n"/>
      <c r="AJ946" s="136" t="n"/>
      <c r="AK946" s="136" t="n"/>
      <c r="AL946" s="136" t="n"/>
      <c r="AM946" s="136" t="n"/>
      <c r="AN946" s="136" t="n"/>
      <c r="AO946" s="136" t="n"/>
      <c r="AP946" s="136" t="n"/>
      <c r="AQ946" s="136" t="n"/>
      <c r="AR946" s="136" t="n"/>
    </row>
    <row r="947" ht="13.5" customHeight="1" s="196">
      <c r="A947" s="136" t="n"/>
      <c r="B947" s="136" t="n"/>
      <c r="C947" s="136" t="n"/>
      <c r="D947" s="141" t="n"/>
      <c r="E947" s="141" t="n"/>
      <c r="F947" s="141" t="n"/>
      <c r="G947" s="141" t="n"/>
      <c r="H947" s="141" t="n"/>
      <c r="I947" s="141" t="n"/>
      <c r="J947" s="141" t="n"/>
      <c r="K947" s="141" t="n"/>
      <c r="L947" s="141" t="n"/>
      <c r="M947" s="141" t="n"/>
      <c r="N947" s="141" t="n"/>
      <c r="O947" s="141" t="n"/>
      <c r="P947" s="141" t="n"/>
      <c r="Q947" s="141" t="n"/>
      <c r="R947" s="141" t="n"/>
      <c r="S947" s="141" t="n"/>
      <c r="T947" s="141" t="n"/>
      <c r="U947" s="141" t="n"/>
      <c r="V947" s="141" t="n"/>
      <c r="W947" s="141" t="n"/>
      <c r="X947" s="141" t="n"/>
      <c r="Y947" s="136" t="n"/>
      <c r="Z947" s="136" t="n"/>
      <c r="AA947" s="136" t="n"/>
      <c r="AB947" s="136" t="n"/>
      <c r="AC947" s="136" t="n"/>
      <c r="AD947" s="136" t="n"/>
      <c r="AE947" s="136" t="n"/>
      <c r="AF947" s="136" t="n"/>
      <c r="AG947" s="136" t="n"/>
      <c r="AH947" s="136" t="n"/>
      <c r="AI947" s="136" t="n"/>
      <c r="AJ947" s="136" t="n"/>
      <c r="AK947" s="136" t="n"/>
      <c r="AL947" s="136" t="n"/>
      <c r="AM947" s="136" t="n"/>
      <c r="AN947" s="136" t="n"/>
      <c r="AO947" s="136" t="n"/>
      <c r="AP947" s="136" t="n"/>
      <c r="AQ947" s="136" t="n"/>
      <c r="AR947" s="136" t="n"/>
    </row>
    <row r="948" ht="13.5" customHeight="1" s="196">
      <c r="A948" s="136" t="n"/>
      <c r="B948" s="136" t="n"/>
      <c r="C948" s="136" t="n"/>
      <c r="D948" s="141" t="n"/>
      <c r="E948" s="141" t="n"/>
      <c r="F948" s="141" t="n"/>
      <c r="G948" s="141" t="n"/>
      <c r="H948" s="141" t="n"/>
      <c r="I948" s="141" t="n"/>
      <c r="J948" s="141" t="n"/>
      <c r="K948" s="141" t="n"/>
      <c r="L948" s="141" t="n"/>
      <c r="M948" s="141" t="n"/>
      <c r="N948" s="141" t="n"/>
      <c r="O948" s="141" t="n"/>
      <c r="P948" s="141" t="n"/>
      <c r="Q948" s="141" t="n"/>
      <c r="R948" s="141" t="n"/>
      <c r="S948" s="141" t="n"/>
      <c r="T948" s="141" t="n"/>
      <c r="U948" s="141" t="n"/>
      <c r="V948" s="141" t="n"/>
      <c r="W948" s="141" t="n"/>
      <c r="X948" s="141" t="n"/>
      <c r="Y948" s="136" t="n"/>
      <c r="Z948" s="136" t="n"/>
      <c r="AA948" s="136" t="n"/>
      <c r="AB948" s="136" t="n"/>
      <c r="AC948" s="136" t="n"/>
      <c r="AD948" s="136" t="n"/>
      <c r="AE948" s="136" t="n"/>
      <c r="AF948" s="136" t="n"/>
      <c r="AG948" s="136" t="n"/>
      <c r="AH948" s="136" t="n"/>
      <c r="AI948" s="136" t="n"/>
      <c r="AJ948" s="136" t="n"/>
      <c r="AK948" s="136" t="n"/>
      <c r="AL948" s="136" t="n"/>
      <c r="AM948" s="136" t="n"/>
      <c r="AN948" s="136" t="n"/>
      <c r="AO948" s="136" t="n"/>
      <c r="AP948" s="136" t="n"/>
      <c r="AQ948" s="136" t="n"/>
      <c r="AR948" s="136" t="n"/>
    </row>
    <row r="949" ht="13.5" customHeight="1" s="196">
      <c r="A949" s="136" t="n"/>
      <c r="B949" s="136" t="n"/>
      <c r="C949" s="136" t="n"/>
      <c r="D949" s="141" t="n"/>
      <c r="E949" s="141" t="n"/>
      <c r="F949" s="141" t="n"/>
      <c r="G949" s="141" t="n"/>
      <c r="H949" s="141" t="n"/>
      <c r="I949" s="141" t="n"/>
      <c r="J949" s="141" t="n"/>
      <c r="K949" s="141" t="n"/>
      <c r="L949" s="141" t="n"/>
      <c r="M949" s="141" t="n"/>
      <c r="N949" s="141" t="n"/>
      <c r="O949" s="141" t="n"/>
      <c r="P949" s="141" t="n"/>
      <c r="Q949" s="141" t="n"/>
      <c r="R949" s="141" t="n"/>
      <c r="S949" s="141" t="n"/>
      <c r="T949" s="141" t="n"/>
      <c r="U949" s="141" t="n"/>
      <c r="V949" s="141" t="n"/>
      <c r="W949" s="141" t="n"/>
      <c r="X949" s="141" t="n"/>
      <c r="Y949" s="136" t="n"/>
      <c r="Z949" s="136" t="n"/>
      <c r="AA949" s="136" t="n"/>
      <c r="AB949" s="136" t="n"/>
      <c r="AC949" s="136" t="n"/>
      <c r="AD949" s="136" t="n"/>
      <c r="AE949" s="136" t="n"/>
      <c r="AF949" s="136" t="n"/>
      <c r="AG949" s="136" t="n"/>
      <c r="AH949" s="136" t="n"/>
      <c r="AI949" s="136" t="n"/>
      <c r="AJ949" s="136" t="n"/>
      <c r="AK949" s="136" t="n"/>
      <c r="AL949" s="136" t="n"/>
      <c r="AM949" s="136" t="n"/>
      <c r="AN949" s="136" t="n"/>
      <c r="AO949" s="136" t="n"/>
      <c r="AP949" s="136" t="n"/>
      <c r="AQ949" s="136" t="n"/>
      <c r="AR949" s="136" t="n"/>
    </row>
    <row r="950" ht="13.5" customHeight="1" s="196">
      <c r="A950" s="136" t="n"/>
      <c r="B950" s="136" t="n"/>
      <c r="C950" s="136" t="n"/>
      <c r="D950" s="141" t="n"/>
      <c r="E950" s="141" t="n"/>
      <c r="F950" s="141" t="n"/>
      <c r="G950" s="141" t="n"/>
      <c r="H950" s="141" t="n"/>
      <c r="I950" s="141" t="n"/>
      <c r="J950" s="141" t="n"/>
      <c r="K950" s="141" t="n"/>
      <c r="L950" s="141" t="n"/>
      <c r="M950" s="141" t="n"/>
      <c r="N950" s="141" t="n"/>
      <c r="O950" s="141" t="n"/>
      <c r="P950" s="141" t="n"/>
      <c r="Q950" s="141" t="n"/>
      <c r="R950" s="141" t="n"/>
      <c r="S950" s="141" t="n"/>
      <c r="T950" s="141" t="n"/>
      <c r="U950" s="141" t="n"/>
      <c r="V950" s="141" t="n"/>
      <c r="W950" s="141" t="n"/>
      <c r="X950" s="141" t="n"/>
      <c r="Y950" s="136" t="n"/>
      <c r="Z950" s="136" t="n"/>
      <c r="AA950" s="136" t="n"/>
      <c r="AB950" s="136" t="n"/>
      <c r="AC950" s="136" t="n"/>
      <c r="AD950" s="136" t="n"/>
      <c r="AE950" s="136" t="n"/>
      <c r="AF950" s="136" t="n"/>
      <c r="AG950" s="136" t="n"/>
      <c r="AH950" s="136" t="n"/>
      <c r="AI950" s="136" t="n"/>
      <c r="AJ950" s="136" t="n"/>
      <c r="AK950" s="136" t="n"/>
      <c r="AL950" s="136" t="n"/>
      <c r="AM950" s="136" t="n"/>
      <c r="AN950" s="136" t="n"/>
      <c r="AO950" s="136" t="n"/>
      <c r="AP950" s="136" t="n"/>
      <c r="AQ950" s="136" t="n"/>
      <c r="AR950" s="136" t="n"/>
    </row>
    <row r="951" ht="13.5" customHeight="1" s="196">
      <c r="A951" s="136" t="n"/>
      <c r="B951" s="136" t="n"/>
      <c r="C951" s="136" t="n"/>
      <c r="D951" s="141" t="n"/>
      <c r="E951" s="141" t="n"/>
      <c r="F951" s="141" t="n"/>
      <c r="G951" s="141" t="n"/>
      <c r="H951" s="141" t="n"/>
      <c r="I951" s="141" t="n"/>
      <c r="J951" s="141" t="n"/>
      <c r="K951" s="141" t="n"/>
      <c r="L951" s="141" t="n"/>
      <c r="M951" s="141" t="n"/>
      <c r="N951" s="141" t="n"/>
      <c r="O951" s="141" t="n"/>
      <c r="P951" s="141" t="n"/>
      <c r="Q951" s="141" t="n"/>
      <c r="R951" s="141" t="n"/>
      <c r="S951" s="141" t="n"/>
      <c r="T951" s="141" t="n"/>
      <c r="U951" s="141" t="n"/>
      <c r="V951" s="141" t="n"/>
      <c r="W951" s="141" t="n"/>
      <c r="X951" s="141" t="n"/>
      <c r="Y951" s="136" t="n"/>
      <c r="Z951" s="136" t="n"/>
      <c r="AA951" s="136" t="n"/>
      <c r="AB951" s="136" t="n"/>
      <c r="AC951" s="136" t="n"/>
      <c r="AD951" s="136" t="n"/>
      <c r="AE951" s="136" t="n"/>
      <c r="AF951" s="136" t="n"/>
      <c r="AG951" s="136" t="n"/>
      <c r="AH951" s="136" t="n"/>
      <c r="AI951" s="136" t="n"/>
      <c r="AJ951" s="136" t="n"/>
      <c r="AK951" s="136" t="n"/>
      <c r="AL951" s="136" t="n"/>
      <c r="AM951" s="136" t="n"/>
      <c r="AN951" s="136" t="n"/>
      <c r="AO951" s="136" t="n"/>
      <c r="AP951" s="136" t="n"/>
      <c r="AQ951" s="136" t="n"/>
      <c r="AR951" s="136" t="n"/>
    </row>
    <row r="952" ht="13.5" customHeight="1" s="196">
      <c r="A952" s="136" t="n"/>
      <c r="B952" s="136" t="n"/>
      <c r="C952" s="136" t="n"/>
      <c r="D952" s="141" t="n"/>
      <c r="E952" s="141" t="n"/>
      <c r="F952" s="141" t="n"/>
      <c r="G952" s="141" t="n"/>
      <c r="H952" s="141" t="n"/>
      <c r="I952" s="141" t="n"/>
      <c r="J952" s="141" t="n"/>
      <c r="K952" s="141" t="n"/>
      <c r="L952" s="141" t="n"/>
      <c r="M952" s="141" t="n"/>
      <c r="N952" s="141" t="n"/>
      <c r="O952" s="141" t="n"/>
      <c r="P952" s="141" t="n"/>
      <c r="Q952" s="141" t="n"/>
      <c r="R952" s="141" t="n"/>
      <c r="S952" s="141" t="n"/>
      <c r="T952" s="141" t="n"/>
      <c r="U952" s="141" t="n"/>
      <c r="V952" s="141" t="n"/>
      <c r="W952" s="141" t="n"/>
      <c r="X952" s="141" t="n"/>
      <c r="Y952" s="136" t="n"/>
      <c r="Z952" s="136" t="n"/>
      <c r="AA952" s="136" t="n"/>
      <c r="AB952" s="136" t="n"/>
      <c r="AC952" s="136" t="n"/>
      <c r="AD952" s="136" t="n"/>
      <c r="AE952" s="136" t="n"/>
      <c r="AF952" s="136" t="n"/>
      <c r="AG952" s="136" t="n"/>
      <c r="AH952" s="136" t="n"/>
      <c r="AI952" s="136" t="n"/>
      <c r="AJ952" s="136" t="n"/>
      <c r="AK952" s="136" t="n"/>
      <c r="AL952" s="136" t="n"/>
      <c r="AM952" s="136" t="n"/>
      <c r="AN952" s="136" t="n"/>
      <c r="AO952" s="136" t="n"/>
      <c r="AP952" s="136" t="n"/>
      <c r="AQ952" s="136" t="n"/>
      <c r="AR952" s="136" t="n"/>
    </row>
    <row r="953" ht="13.5" customHeight="1" s="196">
      <c r="A953" s="136" t="n"/>
      <c r="B953" s="136" t="n"/>
      <c r="C953" s="136" t="n"/>
      <c r="D953" s="141" t="n"/>
      <c r="E953" s="141" t="n"/>
      <c r="F953" s="141" t="n"/>
      <c r="G953" s="141" t="n"/>
      <c r="H953" s="141" t="n"/>
      <c r="I953" s="141" t="n"/>
      <c r="J953" s="141" t="n"/>
      <c r="K953" s="141" t="n"/>
      <c r="L953" s="141" t="n"/>
      <c r="M953" s="141" t="n"/>
      <c r="N953" s="141" t="n"/>
      <c r="O953" s="141" t="n"/>
      <c r="P953" s="141" t="n"/>
      <c r="Q953" s="141" t="n"/>
      <c r="R953" s="141" t="n"/>
      <c r="S953" s="141" t="n"/>
      <c r="T953" s="141" t="n"/>
      <c r="U953" s="141" t="n"/>
      <c r="V953" s="141" t="n"/>
      <c r="W953" s="141" t="n"/>
      <c r="X953" s="141" t="n"/>
      <c r="Y953" s="136" t="n"/>
      <c r="Z953" s="136" t="n"/>
      <c r="AA953" s="136" t="n"/>
      <c r="AB953" s="136" t="n"/>
      <c r="AC953" s="136" t="n"/>
      <c r="AD953" s="136" t="n"/>
      <c r="AE953" s="136" t="n"/>
      <c r="AF953" s="136" t="n"/>
      <c r="AG953" s="136" t="n"/>
      <c r="AH953" s="136" t="n"/>
      <c r="AI953" s="136" t="n"/>
      <c r="AJ953" s="136" t="n"/>
      <c r="AK953" s="136" t="n"/>
      <c r="AL953" s="136" t="n"/>
      <c r="AM953" s="136" t="n"/>
      <c r="AN953" s="136" t="n"/>
      <c r="AO953" s="136" t="n"/>
      <c r="AP953" s="136" t="n"/>
      <c r="AQ953" s="136" t="n"/>
      <c r="AR953" s="136" t="n"/>
    </row>
    <row r="954" ht="13.5" customHeight="1" s="196">
      <c r="A954" s="136" t="n"/>
      <c r="B954" s="136" t="n"/>
      <c r="C954" s="136" t="n"/>
      <c r="D954" s="141" t="n"/>
      <c r="E954" s="141" t="n"/>
      <c r="F954" s="141" t="n"/>
      <c r="G954" s="141" t="n"/>
      <c r="H954" s="141" t="n"/>
      <c r="I954" s="141" t="n"/>
      <c r="J954" s="141" t="n"/>
      <c r="K954" s="141" t="n"/>
      <c r="L954" s="141" t="n"/>
      <c r="M954" s="141" t="n"/>
      <c r="N954" s="141" t="n"/>
      <c r="O954" s="141" t="n"/>
      <c r="P954" s="141" t="n"/>
      <c r="Q954" s="141" t="n"/>
      <c r="R954" s="141" t="n"/>
      <c r="S954" s="141" t="n"/>
      <c r="T954" s="141" t="n"/>
      <c r="U954" s="141" t="n"/>
      <c r="V954" s="141" t="n"/>
      <c r="W954" s="141" t="n"/>
      <c r="X954" s="141" t="n"/>
      <c r="Y954" s="136" t="n"/>
      <c r="Z954" s="136" t="n"/>
      <c r="AA954" s="136" t="n"/>
      <c r="AB954" s="136" t="n"/>
      <c r="AC954" s="136" t="n"/>
      <c r="AD954" s="136" t="n"/>
      <c r="AE954" s="136" t="n"/>
      <c r="AF954" s="136" t="n"/>
      <c r="AG954" s="136" t="n"/>
      <c r="AH954" s="136" t="n"/>
      <c r="AI954" s="136" t="n"/>
      <c r="AJ954" s="136" t="n"/>
      <c r="AK954" s="136" t="n"/>
      <c r="AL954" s="136" t="n"/>
      <c r="AM954" s="136" t="n"/>
      <c r="AN954" s="136" t="n"/>
      <c r="AO954" s="136" t="n"/>
      <c r="AP954" s="136" t="n"/>
      <c r="AQ954" s="136" t="n"/>
      <c r="AR954" s="136" t="n"/>
    </row>
    <row r="955" ht="13.5" customHeight="1" s="196">
      <c r="A955" s="136" t="n"/>
      <c r="B955" s="136" t="n"/>
      <c r="C955" s="136" t="n"/>
      <c r="D955" s="141" t="n"/>
      <c r="E955" s="141" t="n"/>
      <c r="F955" s="141" t="n"/>
      <c r="G955" s="141" t="n"/>
      <c r="H955" s="141" t="n"/>
      <c r="I955" s="141" t="n"/>
      <c r="J955" s="141" t="n"/>
      <c r="K955" s="141" t="n"/>
      <c r="L955" s="141" t="n"/>
      <c r="M955" s="141" t="n"/>
      <c r="N955" s="141" t="n"/>
      <c r="O955" s="141" t="n"/>
      <c r="P955" s="141" t="n"/>
      <c r="Q955" s="141" t="n"/>
      <c r="R955" s="141" t="n"/>
      <c r="S955" s="141" t="n"/>
      <c r="T955" s="141" t="n"/>
      <c r="U955" s="141" t="n"/>
      <c r="V955" s="141" t="n"/>
      <c r="W955" s="141" t="n"/>
      <c r="X955" s="141" t="n"/>
      <c r="Y955" s="136" t="n"/>
      <c r="Z955" s="136" t="n"/>
      <c r="AA955" s="136" t="n"/>
      <c r="AB955" s="136" t="n"/>
      <c r="AC955" s="136" t="n"/>
      <c r="AD955" s="136" t="n"/>
      <c r="AE955" s="136" t="n"/>
      <c r="AF955" s="136" t="n"/>
      <c r="AG955" s="136" t="n"/>
      <c r="AH955" s="136" t="n"/>
      <c r="AI955" s="136" t="n"/>
      <c r="AJ955" s="136" t="n"/>
      <c r="AK955" s="136" t="n"/>
      <c r="AL955" s="136" t="n"/>
      <c r="AM955" s="136" t="n"/>
      <c r="AN955" s="136" t="n"/>
      <c r="AO955" s="136" t="n"/>
      <c r="AP955" s="136" t="n"/>
      <c r="AQ955" s="136" t="n"/>
      <c r="AR955" s="136" t="n"/>
    </row>
    <row r="956" ht="13.5" customHeight="1" s="196">
      <c r="A956" s="136" t="n"/>
      <c r="B956" s="136" t="n"/>
      <c r="C956" s="136" t="n"/>
      <c r="D956" s="141" t="n"/>
      <c r="E956" s="141" t="n"/>
      <c r="F956" s="141" t="n"/>
      <c r="G956" s="141" t="n"/>
      <c r="H956" s="141" t="n"/>
      <c r="I956" s="141" t="n"/>
      <c r="J956" s="141" t="n"/>
      <c r="K956" s="141" t="n"/>
      <c r="L956" s="141" t="n"/>
      <c r="M956" s="141" t="n"/>
      <c r="N956" s="141" t="n"/>
      <c r="O956" s="141" t="n"/>
      <c r="P956" s="141" t="n"/>
      <c r="Q956" s="141" t="n"/>
      <c r="R956" s="141" t="n"/>
      <c r="S956" s="141" t="n"/>
      <c r="T956" s="141" t="n"/>
      <c r="U956" s="141" t="n"/>
      <c r="V956" s="141" t="n"/>
      <c r="W956" s="141" t="n"/>
      <c r="X956" s="141" t="n"/>
      <c r="Y956" s="136" t="n"/>
      <c r="Z956" s="136" t="n"/>
      <c r="AA956" s="136" t="n"/>
      <c r="AB956" s="136" t="n"/>
      <c r="AC956" s="136" t="n"/>
      <c r="AD956" s="136" t="n"/>
      <c r="AE956" s="136" t="n"/>
      <c r="AF956" s="136" t="n"/>
      <c r="AG956" s="136" t="n"/>
      <c r="AH956" s="136" t="n"/>
      <c r="AI956" s="136" t="n"/>
      <c r="AJ956" s="136" t="n"/>
      <c r="AK956" s="136" t="n"/>
      <c r="AL956" s="136" t="n"/>
      <c r="AM956" s="136" t="n"/>
      <c r="AN956" s="136" t="n"/>
      <c r="AO956" s="136" t="n"/>
      <c r="AP956" s="136" t="n"/>
      <c r="AQ956" s="136" t="n"/>
      <c r="AR956" s="136" t="n"/>
    </row>
    <row r="957" ht="13.5" customHeight="1" s="196">
      <c r="A957" s="136" t="n"/>
      <c r="B957" s="136" t="n"/>
      <c r="C957" s="136" t="n"/>
      <c r="D957" s="141" t="n"/>
      <c r="E957" s="141" t="n"/>
      <c r="F957" s="141" t="n"/>
      <c r="G957" s="141" t="n"/>
      <c r="H957" s="141" t="n"/>
      <c r="I957" s="141" t="n"/>
      <c r="J957" s="141" t="n"/>
      <c r="K957" s="141" t="n"/>
      <c r="L957" s="141" t="n"/>
      <c r="M957" s="141" t="n"/>
      <c r="N957" s="141" t="n"/>
      <c r="O957" s="141" t="n"/>
      <c r="P957" s="141" t="n"/>
      <c r="Q957" s="141" t="n"/>
      <c r="R957" s="141" t="n"/>
      <c r="S957" s="141" t="n"/>
      <c r="T957" s="141" t="n"/>
      <c r="U957" s="141" t="n"/>
      <c r="V957" s="141" t="n"/>
      <c r="W957" s="141" t="n"/>
      <c r="X957" s="141" t="n"/>
      <c r="Y957" s="136" t="n"/>
      <c r="Z957" s="136" t="n"/>
      <c r="AA957" s="136" t="n"/>
      <c r="AB957" s="136" t="n"/>
      <c r="AC957" s="136" t="n"/>
      <c r="AD957" s="136" t="n"/>
      <c r="AE957" s="136" t="n"/>
      <c r="AF957" s="136" t="n"/>
      <c r="AG957" s="136" t="n"/>
      <c r="AH957" s="136" t="n"/>
      <c r="AI957" s="136" t="n"/>
      <c r="AJ957" s="136" t="n"/>
      <c r="AK957" s="136" t="n"/>
      <c r="AL957" s="136" t="n"/>
      <c r="AM957" s="136" t="n"/>
      <c r="AN957" s="136" t="n"/>
      <c r="AO957" s="136" t="n"/>
      <c r="AP957" s="136" t="n"/>
      <c r="AQ957" s="136" t="n"/>
      <c r="AR957" s="136" t="n"/>
    </row>
    <row r="958" ht="13.5" customHeight="1" s="196">
      <c r="A958" s="136" t="n"/>
      <c r="B958" s="136" t="n"/>
      <c r="C958" s="136" t="n"/>
      <c r="D958" s="141" t="n"/>
      <c r="E958" s="141" t="n"/>
      <c r="F958" s="141" t="n"/>
      <c r="G958" s="141" t="n"/>
      <c r="H958" s="141" t="n"/>
      <c r="I958" s="141" t="n"/>
      <c r="J958" s="141" t="n"/>
      <c r="K958" s="141" t="n"/>
      <c r="L958" s="141" t="n"/>
      <c r="M958" s="141" t="n"/>
      <c r="N958" s="141" t="n"/>
      <c r="O958" s="141" t="n"/>
      <c r="P958" s="141" t="n"/>
      <c r="Q958" s="141" t="n"/>
      <c r="R958" s="141" t="n"/>
      <c r="S958" s="141" t="n"/>
      <c r="T958" s="141" t="n"/>
      <c r="U958" s="141" t="n"/>
      <c r="V958" s="141" t="n"/>
      <c r="W958" s="141" t="n"/>
      <c r="X958" s="141" t="n"/>
      <c r="Y958" s="136" t="n"/>
      <c r="Z958" s="136" t="n"/>
      <c r="AA958" s="136" t="n"/>
      <c r="AB958" s="136" t="n"/>
      <c r="AC958" s="136" t="n"/>
      <c r="AD958" s="136" t="n"/>
      <c r="AE958" s="136" t="n"/>
      <c r="AF958" s="136" t="n"/>
      <c r="AG958" s="136" t="n"/>
      <c r="AH958" s="136" t="n"/>
      <c r="AI958" s="136" t="n"/>
      <c r="AJ958" s="136" t="n"/>
      <c r="AK958" s="136" t="n"/>
      <c r="AL958" s="136" t="n"/>
      <c r="AM958" s="136" t="n"/>
      <c r="AN958" s="136" t="n"/>
      <c r="AO958" s="136" t="n"/>
      <c r="AP958" s="136" t="n"/>
      <c r="AQ958" s="136" t="n"/>
      <c r="AR958" s="136" t="n"/>
    </row>
    <row r="959" ht="13.5" customHeight="1" s="196">
      <c r="A959" s="136" t="n"/>
      <c r="B959" s="136" t="n"/>
      <c r="C959" s="136" t="n"/>
      <c r="D959" s="141" t="n"/>
      <c r="E959" s="141" t="n"/>
      <c r="F959" s="141" t="n"/>
      <c r="G959" s="141" t="n"/>
      <c r="H959" s="141" t="n"/>
      <c r="I959" s="141" t="n"/>
      <c r="J959" s="141" t="n"/>
      <c r="K959" s="141" t="n"/>
      <c r="L959" s="141" t="n"/>
      <c r="M959" s="141" t="n"/>
      <c r="N959" s="141" t="n"/>
      <c r="O959" s="141" t="n"/>
      <c r="P959" s="141" t="n"/>
      <c r="Q959" s="141" t="n"/>
      <c r="R959" s="141" t="n"/>
      <c r="S959" s="141" t="n"/>
      <c r="T959" s="141" t="n"/>
      <c r="U959" s="141" t="n"/>
      <c r="V959" s="141" t="n"/>
      <c r="W959" s="141" t="n"/>
      <c r="X959" s="141" t="n"/>
      <c r="Y959" s="136" t="n"/>
      <c r="Z959" s="136" t="n"/>
      <c r="AA959" s="136" t="n"/>
      <c r="AB959" s="136" t="n"/>
      <c r="AC959" s="136" t="n"/>
      <c r="AD959" s="136" t="n"/>
      <c r="AE959" s="136" t="n"/>
      <c r="AF959" s="136" t="n"/>
      <c r="AG959" s="136" t="n"/>
      <c r="AH959" s="136" t="n"/>
      <c r="AI959" s="136" t="n"/>
      <c r="AJ959" s="136" t="n"/>
      <c r="AK959" s="136" t="n"/>
      <c r="AL959" s="136" t="n"/>
      <c r="AM959" s="136" t="n"/>
      <c r="AN959" s="136" t="n"/>
      <c r="AO959" s="136" t="n"/>
      <c r="AP959" s="136" t="n"/>
      <c r="AQ959" s="136" t="n"/>
      <c r="AR959" s="136" t="n"/>
    </row>
    <row r="960" ht="13.5" customHeight="1" s="196">
      <c r="A960" s="136" t="n"/>
      <c r="B960" s="136" t="n"/>
      <c r="C960" s="136" t="n"/>
      <c r="D960" s="141" t="n"/>
      <c r="E960" s="141" t="n"/>
      <c r="F960" s="141" t="n"/>
      <c r="G960" s="141" t="n"/>
      <c r="H960" s="141" t="n"/>
      <c r="I960" s="141" t="n"/>
      <c r="J960" s="141" t="n"/>
      <c r="K960" s="141" t="n"/>
      <c r="L960" s="141" t="n"/>
      <c r="M960" s="141" t="n"/>
      <c r="N960" s="141" t="n"/>
      <c r="O960" s="141" t="n"/>
      <c r="P960" s="141" t="n"/>
      <c r="Q960" s="141" t="n"/>
      <c r="R960" s="141" t="n"/>
      <c r="S960" s="141" t="n"/>
      <c r="T960" s="141" t="n"/>
      <c r="U960" s="141" t="n"/>
      <c r="V960" s="141" t="n"/>
      <c r="W960" s="141" t="n"/>
      <c r="X960" s="141" t="n"/>
      <c r="Y960" s="136" t="n"/>
      <c r="Z960" s="136" t="n"/>
      <c r="AA960" s="136" t="n"/>
      <c r="AB960" s="136" t="n"/>
      <c r="AC960" s="136" t="n"/>
      <c r="AD960" s="136" t="n"/>
      <c r="AE960" s="136" t="n"/>
      <c r="AF960" s="136" t="n"/>
      <c r="AG960" s="136" t="n"/>
      <c r="AH960" s="136" t="n"/>
      <c r="AI960" s="136" t="n"/>
      <c r="AJ960" s="136" t="n"/>
      <c r="AK960" s="136" t="n"/>
      <c r="AL960" s="136" t="n"/>
      <c r="AM960" s="136" t="n"/>
      <c r="AN960" s="136" t="n"/>
      <c r="AO960" s="136" t="n"/>
      <c r="AP960" s="136" t="n"/>
      <c r="AQ960" s="136" t="n"/>
      <c r="AR960" s="136" t="n"/>
    </row>
    <row r="961" ht="13.5" customHeight="1" s="196">
      <c r="A961" s="136" t="n"/>
      <c r="B961" s="136" t="n"/>
      <c r="C961" s="136" t="n"/>
      <c r="D961" s="141" t="n"/>
      <c r="E961" s="141" t="n"/>
      <c r="F961" s="141" t="n"/>
      <c r="G961" s="141" t="n"/>
      <c r="H961" s="141" t="n"/>
      <c r="I961" s="141" t="n"/>
      <c r="J961" s="141" t="n"/>
      <c r="K961" s="141" t="n"/>
      <c r="L961" s="141" t="n"/>
      <c r="M961" s="141" t="n"/>
      <c r="N961" s="141" t="n"/>
      <c r="O961" s="141" t="n"/>
      <c r="P961" s="141" t="n"/>
      <c r="Q961" s="141" t="n"/>
      <c r="R961" s="141" t="n"/>
      <c r="S961" s="141" t="n"/>
      <c r="T961" s="141" t="n"/>
      <c r="U961" s="141" t="n"/>
      <c r="V961" s="141" t="n"/>
      <c r="W961" s="141" t="n"/>
      <c r="X961" s="141" t="n"/>
      <c r="Y961" s="136" t="n"/>
      <c r="Z961" s="136" t="n"/>
      <c r="AA961" s="136" t="n"/>
      <c r="AB961" s="136" t="n"/>
      <c r="AC961" s="136" t="n"/>
      <c r="AD961" s="136" t="n"/>
      <c r="AE961" s="136" t="n"/>
      <c r="AF961" s="136" t="n"/>
      <c r="AG961" s="136" t="n"/>
      <c r="AH961" s="136" t="n"/>
      <c r="AI961" s="136" t="n"/>
      <c r="AJ961" s="136" t="n"/>
      <c r="AK961" s="136" t="n"/>
      <c r="AL961" s="136" t="n"/>
      <c r="AM961" s="136" t="n"/>
      <c r="AN961" s="136" t="n"/>
      <c r="AO961" s="136" t="n"/>
      <c r="AP961" s="136" t="n"/>
      <c r="AQ961" s="136" t="n"/>
      <c r="AR961" s="136" t="n"/>
    </row>
    <row r="962" ht="13.5" customHeight="1" s="196">
      <c r="A962" s="136" t="n"/>
      <c r="B962" s="136" t="n"/>
      <c r="C962" s="136" t="n"/>
      <c r="D962" s="141" t="n"/>
      <c r="E962" s="141" t="n"/>
      <c r="F962" s="141" t="n"/>
      <c r="G962" s="141" t="n"/>
      <c r="H962" s="141" t="n"/>
      <c r="I962" s="141" t="n"/>
      <c r="J962" s="141" t="n"/>
      <c r="K962" s="141" t="n"/>
      <c r="L962" s="141" t="n"/>
      <c r="M962" s="141" t="n"/>
      <c r="N962" s="141" t="n"/>
      <c r="O962" s="141" t="n"/>
      <c r="P962" s="141" t="n"/>
      <c r="Q962" s="141" t="n"/>
      <c r="R962" s="141" t="n"/>
      <c r="S962" s="141" t="n"/>
      <c r="T962" s="141" t="n"/>
      <c r="U962" s="141" t="n"/>
      <c r="V962" s="141" t="n"/>
      <c r="W962" s="141" t="n"/>
      <c r="X962" s="141" t="n"/>
      <c r="Y962" s="136" t="n"/>
      <c r="Z962" s="136" t="n"/>
      <c r="AA962" s="136" t="n"/>
      <c r="AB962" s="136" t="n"/>
      <c r="AC962" s="136" t="n"/>
      <c r="AD962" s="136" t="n"/>
      <c r="AE962" s="136" t="n"/>
      <c r="AF962" s="136" t="n"/>
      <c r="AG962" s="136" t="n"/>
      <c r="AH962" s="136" t="n"/>
      <c r="AI962" s="136" t="n"/>
      <c r="AJ962" s="136" t="n"/>
      <c r="AK962" s="136" t="n"/>
      <c r="AL962" s="136" t="n"/>
      <c r="AM962" s="136" t="n"/>
      <c r="AN962" s="136" t="n"/>
      <c r="AO962" s="136" t="n"/>
      <c r="AP962" s="136" t="n"/>
      <c r="AQ962" s="136" t="n"/>
      <c r="AR962" s="136" t="n"/>
    </row>
    <row r="963" ht="13.5" customHeight="1" s="196">
      <c r="A963" s="136" t="n"/>
      <c r="B963" s="136" t="n"/>
      <c r="C963" s="136" t="n"/>
      <c r="D963" s="141" t="n"/>
      <c r="E963" s="141" t="n"/>
      <c r="F963" s="141" t="n"/>
      <c r="G963" s="141" t="n"/>
      <c r="H963" s="141" t="n"/>
      <c r="I963" s="141" t="n"/>
      <c r="J963" s="141" t="n"/>
      <c r="K963" s="141" t="n"/>
      <c r="L963" s="141" t="n"/>
      <c r="M963" s="141" t="n"/>
      <c r="N963" s="141" t="n"/>
      <c r="O963" s="141" t="n"/>
      <c r="P963" s="141" t="n"/>
      <c r="Q963" s="141" t="n"/>
      <c r="R963" s="141" t="n"/>
      <c r="S963" s="141" t="n"/>
      <c r="T963" s="141" t="n"/>
      <c r="U963" s="141" t="n"/>
      <c r="V963" s="141" t="n"/>
      <c r="W963" s="141" t="n"/>
      <c r="X963" s="141" t="n"/>
      <c r="Y963" s="136" t="n"/>
      <c r="Z963" s="136" t="n"/>
      <c r="AA963" s="136" t="n"/>
      <c r="AB963" s="136" t="n"/>
      <c r="AC963" s="136" t="n"/>
      <c r="AD963" s="136" t="n"/>
      <c r="AE963" s="136" t="n"/>
      <c r="AF963" s="136" t="n"/>
      <c r="AG963" s="136" t="n"/>
      <c r="AH963" s="136" t="n"/>
      <c r="AI963" s="136" t="n"/>
      <c r="AJ963" s="136" t="n"/>
      <c r="AK963" s="136" t="n"/>
      <c r="AL963" s="136" t="n"/>
      <c r="AM963" s="136" t="n"/>
      <c r="AN963" s="136" t="n"/>
      <c r="AO963" s="136" t="n"/>
      <c r="AP963" s="136" t="n"/>
      <c r="AQ963" s="136" t="n"/>
      <c r="AR963" s="136" t="n"/>
    </row>
    <row r="964" ht="13.5" customHeight="1" s="196">
      <c r="A964" s="136" t="n"/>
      <c r="B964" s="136" t="n"/>
      <c r="C964" s="136" t="n"/>
      <c r="D964" s="141" t="n"/>
      <c r="E964" s="141" t="n"/>
      <c r="F964" s="141" t="n"/>
      <c r="G964" s="141" t="n"/>
      <c r="H964" s="141" t="n"/>
      <c r="I964" s="141" t="n"/>
      <c r="J964" s="141" t="n"/>
      <c r="K964" s="141" t="n"/>
      <c r="L964" s="141" t="n"/>
      <c r="M964" s="141" t="n"/>
      <c r="N964" s="141" t="n"/>
      <c r="O964" s="141" t="n"/>
      <c r="P964" s="141" t="n"/>
      <c r="Q964" s="141" t="n"/>
      <c r="R964" s="141" t="n"/>
      <c r="S964" s="141" t="n"/>
      <c r="T964" s="141" t="n"/>
      <c r="U964" s="141" t="n"/>
      <c r="V964" s="141" t="n"/>
      <c r="W964" s="141" t="n"/>
      <c r="X964" s="141" t="n"/>
      <c r="Y964" s="136" t="n"/>
      <c r="Z964" s="136" t="n"/>
      <c r="AA964" s="136" t="n"/>
      <c r="AB964" s="136" t="n"/>
      <c r="AC964" s="136" t="n"/>
      <c r="AD964" s="136" t="n"/>
      <c r="AE964" s="136" t="n"/>
      <c r="AF964" s="136" t="n"/>
      <c r="AG964" s="136" t="n"/>
      <c r="AH964" s="136" t="n"/>
      <c r="AI964" s="136" t="n"/>
      <c r="AJ964" s="136" t="n"/>
      <c r="AK964" s="136" t="n"/>
      <c r="AL964" s="136" t="n"/>
      <c r="AM964" s="136" t="n"/>
      <c r="AN964" s="136" t="n"/>
      <c r="AO964" s="136" t="n"/>
      <c r="AP964" s="136" t="n"/>
      <c r="AQ964" s="136" t="n"/>
      <c r="AR964" s="136" t="n"/>
    </row>
    <row r="965" ht="13.5" customHeight="1" s="196">
      <c r="A965" s="136" t="n"/>
      <c r="B965" s="136" t="n"/>
      <c r="C965" s="136" t="n"/>
      <c r="D965" s="141" t="n"/>
      <c r="E965" s="141" t="n"/>
      <c r="F965" s="141" t="n"/>
      <c r="G965" s="141" t="n"/>
      <c r="H965" s="141" t="n"/>
      <c r="I965" s="141" t="n"/>
      <c r="J965" s="141" t="n"/>
      <c r="K965" s="141" t="n"/>
      <c r="L965" s="141" t="n"/>
      <c r="M965" s="141" t="n"/>
      <c r="N965" s="141" t="n"/>
      <c r="O965" s="141" t="n"/>
      <c r="P965" s="141" t="n"/>
      <c r="Q965" s="141" t="n"/>
      <c r="R965" s="141" t="n"/>
      <c r="S965" s="141" t="n"/>
      <c r="T965" s="141" t="n"/>
      <c r="U965" s="141" t="n"/>
      <c r="V965" s="141" t="n"/>
      <c r="W965" s="141" t="n"/>
      <c r="X965" s="141" t="n"/>
      <c r="Y965" s="136" t="n"/>
      <c r="Z965" s="136" t="n"/>
      <c r="AA965" s="136" t="n"/>
      <c r="AB965" s="136" t="n"/>
      <c r="AC965" s="136" t="n"/>
      <c r="AD965" s="136" t="n"/>
      <c r="AE965" s="136" t="n"/>
      <c r="AF965" s="136" t="n"/>
      <c r="AG965" s="136" t="n"/>
      <c r="AH965" s="136" t="n"/>
      <c r="AI965" s="136" t="n"/>
      <c r="AJ965" s="136" t="n"/>
      <c r="AK965" s="136" t="n"/>
      <c r="AL965" s="136" t="n"/>
      <c r="AM965" s="136" t="n"/>
      <c r="AN965" s="136" t="n"/>
      <c r="AO965" s="136" t="n"/>
      <c r="AP965" s="136" t="n"/>
      <c r="AQ965" s="136" t="n"/>
      <c r="AR965" s="136" t="n"/>
    </row>
    <row r="966" ht="13.5" customHeight="1" s="196">
      <c r="A966" s="136" t="n"/>
      <c r="B966" s="136" t="n"/>
      <c r="C966" s="136" t="n"/>
      <c r="D966" s="141" t="n"/>
      <c r="E966" s="141" t="n"/>
      <c r="F966" s="141" t="n"/>
      <c r="G966" s="141" t="n"/>
      <c r="H966" s="141" t="n"/>
      <c r="I966" s="141" t="n"/>
      <c r="J966" s="141" t="n"/>
      <c r="K966" s="141" t="n"/>
      <c r="L966" s="141" t="n"/>
      <c r="M966" s="141" t="n"/>
      <c r="N966" s="141" t="n"/>
      <c r="O966" s="141" t="n"/>
      <c r="P966" s="141" t="n"/>
      <c r="Q966" s="141" t="n"/>
      <c r="R966" s="141" t="n"/>
      <c r="S966" s="141" t="n"/>
      <c r="T966" s="141" t="n"/>
      <c r="U966" s="141" t="n"/>
      <c r="V966" s="141" t="n"/>
      <c r="W966" s="141" t="n"/>
      <c r="X966" s="141" t="n"/>
      <c r="Y966" s="136" t="n"/>
      <c r="Z966" s="136" t="n"/>
      <c r="AA966" s="136" t="n"/>
      <c r="AB966" s="136" t="n"/>
      <c r="AC966" s="136" t="n"/>
      <c r="AD966" s="136" t="n"/>
      <c r="AE966" s="136" t="n"/>
      <c r="AF966" s="136" t="n"/>
      <c r="AG966" s="136" t="n"/>
      <c r="AH966" s="136" t="n"/>
      <c r="AI966" s="136" t="n"/>
      <c r="AJ966" s="136" t="n"/>
      <c r="AK966" s="136" t="n"/>
      <c r="AL966" s="136" t="n"/>
      <c r="AM966" s="136" t="n"/>
      <c r="AN966" s="136" t="n"/>
      <c r="AO966" s="136" t="n"/>
      <c r="AP966" s="136" t="n"/>
      <c r="AQ966" s="136" t="n"/>
      <c r="AR966" s="136" t="n"/>
    </row>
    <row r="967" ht="13.5" customHeight="1" s="196">
      <c r="A967" s="136" t="n"/>
      <c r="B967" s="136" t="n"/>
      <c r="C967" s="136" t="n"/>
      <c r="D967" s="141" t="n"/>
      <c r="E967" s="141" t="n"/>
      <c r="F967" s="141" t="n"/>
      <c r="G967" s="141" t="n"/>
      <c r="H967" s="141" t="n"/>
      <c r="I967" s="141" t="n"/>
      <c r="J967" s="141" t="n"/>
      <c r="K967" s="141" t="n"/>
      <c r="L967" s="141" t="n"/>
      <c r="M967" s="141" t="n"/>
      <c r="N967" s="141" t="n"/>
      <c r="O967" s="141" t="n"/>
      <c r="P967" s="141" t="n"/>
      <c r="Q967" s="141" t="n"/>
      <c r="R967" s="141" t="n"/>
      <c r="S967" s="141" t="n"/>
      <c r="T967" s="141" t="n"/>
      <c r="U967" s="141" t="n"/>
      <c r="V967" s="141" t="n"/>
      <c r="W967" s="141" t="n"/>
      <c r="X967" s="141" t="n"/>
      <c r="Y967" s="136" t="n"/>
      <c r="Z967" s="136" t="n"/>
      <c r="AA967" s="136" t="n"/>
      <c r="AB967" s="136" t="n"/>
      <c r="AC967" s="136" t="n"/>
      <c r="AD967" s="136" t="n"/>
      <c r="AE967" s="136" t="n"/>
      <c r="AF967" s="136" t="n"/>
      <c r="AG967" s="136" t="n"/>
      <c r="AH967" s="136" t="n"/>
      <c r="AI967" s="136" t="n"/>
      <c r="AJ967" s="136" t="n"/>
      <c r="AK967" s="136" t="n"/>
      <c r="AL967" s="136" t="n"/>
      <c r="AM967" s="136" t="n"/>
      <c r="AN967" s="136" t="n"/>
      <c r="AO967" s="136" t="n"/>
      <c r="AP967" s="136" t="n"/>
      <c r="AQ967" s="136" t="n"/>
      <c r="AR967" s="136" t="n"/>
    </row>
    <row r="968" ht="13.5" customHeight="1" s="196">
      <c r="A968" s="136" t="n"/>
      <c r="B968" s="136" t="n"/>
      <c r="C968" s="136" t="n"/>
      <c r="D968" s="141" t="n"/>
      <c r="E968" s="141" t="n"/>
      <c r="F968" s="141" t="n"/>
      <c r="G968" s="141" t="n"/>
      <c r="H968" s="141" t="n"/>
      <c r="I968" s="141" t="n"/>
      <c r="J968" s="141" t="n"/>
      <c r="K968" s="141" t="n"/>
      <c r="L968" s="141" t="n"/>
      <c r="M968" s="141" t="n"/>
      <c r="N968" s="141" t="n"/>
      <c r="O968" s="141" t="n"/>
      <c r="P968" s="141" t="n"/>
      <c r="Q968" s="141" t="n"/>
      <c r="R968" s="141" t="n"/>
      <c r="S968" s="141" t="n"/>
      <c r="T968" s="141" t="n"/>
      <c r="U968" s="141" t="n"/>
      <c r="V968" s="141" t="n"/>
      <c r="W968" s="141" t="n"/>
      <c r="X968" s="141" t="n"/>
      <c r="Y968" s="136" t="n"/>
      <c r="Z968" s="136" t="n"/>
      <c r="AA968" s="136" t="n"/>
      <c r="AB968" s="136" t="n"/>
      <c r="AC968" s="136" t="n"/>
      <c r="AD968" s="136" t="n"/>
      <c r="AE968" s="136" t="n"/>
      <c r="AF968" s="136" t="n"/>
      <c r="AG968" s="136" t="n"/>
      <c r="AH968" s="136" t="n"/>
      <c r="AI968" s="136" t="n"/>
      <c r="AJ968" s="136" t="n"/>
      <c r="AK968" s="136" t="n"/>
      <c r="AL968" s="136" t="n"/>
      <c r="AM968" s="136" t="n"/>
      <c r="AN968" s="136" t="n"/>
      <c r="AO968" s="136" t="n"/>
      <c r="AP968" s="136" t="n"/>
      <c r="AQ968" s="136" t="n"/>
      <c r="AR968" s="136" t="n"/>
    </row>
    <row r="969" ht="13.5" customHeight="1" s="196">
      <c r="A969" s="136" t="n"/>
      <c r="B969" s="136" t="n"/>
      <c r="C969" s="136" t="n"/>
      <c r="D969" s="141" t="n"/>
      <c r="E969" s="141" t="n"/>
      <c r="F969" s="141" t="n"/>
      <c r="G969" s="141" t="n"/>
      <c r="H969" s="141" t="n"/>
      <c r="I969" s="141" t="n"/>
      <c r="J969" s="141" t="n"/>
      <c r="K969" s="141" t="n"/>
      <c r="L969" s="141" t="n"/>
      <c r="M969" s="141" t="n"/>
      <c r="N969" s="141" t="n"/>
      <c r="O969" s="141" t="n"/>
      <c r="P969" s="141" t="n"/>
      <c r="Q969" s="141" t="n"/>
      <c r="R969" s="141" t="n"/>
      <c r="S969" s="141" t="n"/>
      <c r="T969" s="141" t="n"/>
      <c r="U969" s="141" t="n"/>
      <c r="V969" s="141" t="n"/>
      <c r="W969" s="141" t="n"/>
      <c r="X969" s="141" t="n"/>
      <c r="Y969" s="136" t="n"/>
      <c r="Z969" s="136" t="n"/>
      <c r="AA969" s="136" t="n"/>
      <c r="AB969" s="136" t="n"/>
      <c r="AC969" s="136" t="n"/>
      <c r="AD969" s="136" t="n"/>
      <c r="AE969" s="136" t="n"/>
      <c r="AF969" s="136" t="n"/>
      <c r="AG969" s="136" t="n"/>
      <c r="AH969" s="136" t="n"/>
      <c r="AI969" s="136" t="n"/>
      <c r="AJ969" s="136" t="n"/>
      <c r="AK969" s="136" t="n"/>
      <c r="AL969" s="136" t="n"/>
      <c r="AM969" s="136" t="n"/>
      <c r="AN969" s="136" t="n"/>
      <c r="AO969" s="136" t="n"/>
      <c r="AP969" s="136" t="n"/>
      <c r="AQ969" s="136" t="n"/>
      <c r="AR969" s="136" t="n"/>
    </row>
    <row r="970" ht="13.5" customHeight="1" s="196">
      <c r="A970" s="136" t="n"/>
      <c r="B970" s="136" t="n"/>
      <c r="C970" s="136" t="n"/>
      <c r="D970" s="141" t="n"/>
      <c r="E970" s="141" t="n"/>
      <c r="F970" s="141" t="n"/>
      <c r="G970" s="141" t="n"/>
      <c r="H970" s="141" t="n"/>
      <c r="I970" s="141" t="n"/>
      <c r="J970" s="141" t="n"/>
      <c r="K970" s="141" t="n"/>
      <c r="L970" s="141" t="n"/>
      <c r="M970" s="141" t="n"/>
      <c r="N970" s="141" t="n"/>
      <c r="O970" s="141" t="n"/>
      <c r="P970" s="141" t="n"/>
      <c r="Q970" s="141" t="n"/>
      <c r="R970" s="141" t="n"/>
      <c r="S970" s="141" t="n"/>
      <c r="T970" s="141" t="n"/>
      <c r="U970" s="141" t="n"/>
      <c r="V970" s="141" t="n"/>
      <c r="W970" s="141" t="n"/>
      <c r="X970" s="141" t="n"/>
      <c r="Y970" s="136" t="n"/>
      <c r="Z970" s="136" t="n"/>
      <c r="AA970" s="136" t="n"/>
      <c r="AB970" s="136" t="n"/>
      <c r="AC970" s="136" t="n"/>
      <c r="AD970" s="136" t="n"/>
      <c r="AE970" s="136" t="n"/>
      <c r="AF970" s="136" t="n"/>
      <c r="AG970" s="136" t="n"/>
      <c r="AH970" s="136" t="n"/>
      <c r="AI970" s="136" t="n"/>
      <c r="AJ970" s="136" t="n"/>
      <c r="AK970" s="136" t="n"/>
      <c r="AL970" s="136" t="n"/>
      <c r="AM970" s="136" t="n"/>
      <c r="AN970" s="136" t="n"/>
      <c r="AO970" s="136" t="n"/>
      <c r="AP970" s="136" t="n"/>
      <c r="AQ970" s="136" t="n"/>
      <c r="AR970" s="136" t="n"/>
    </row>
    <row r="971" ht="13.5" customHeight="1" s="196">
      <c r="A971" s="136" t="n"/>
      <c r="B971" s="136" t="n"/>
      <c r="C971" s="136" t="n"/>
      <c r="D971" s="141" t="n"/>
      <c r="E971" s="141" t="n"/>
      <c r="F971" s="141" t="n"/>
      <c r="G971" s="141" t="n"/>
      <c r="H971" s="141" t="n"/>
      <c r="I971" s="141" t="n"/>
      <c r="J971" s="141" t="n"/>
      <c r="K971" s="141" t="n"/>
      <c r="L971" s="141" t="n"/>
      <c r="M971" s="141" t="n"/>
      <c r="N971" s="141" t="n"/>
      <c r="O971" s="141" t="n"/>
      <c r="P971" s="141" t="n"/>
      <c r="Q971" s="141" t="n"/>
      <c r="R971" s="141" t="n"/>
      <c r="S971" s="141" t="n"/>
      <c r="T971" s="141" t="n"/>
      <c r="U971" s="141" t="n"/>
      <c r="V971" s="141" t="n"/>
      <c r="W971" s="141" t="n"/>
      <c r="X971" s="141" t="n"/>
      <c r="Y971" s="136" t="n"/>
      <c r="Z971" s="136" t="n"/>
      <c r="AA971" s="136" t="n"/>
      <c r="AB971" s="136" t="n"/>
      <c r="AC971" s="136" t="n"/>
      <c r="AD971" s="136" t="n"/>
      <c r="AE971" s="136" t="n"/>
      <c r="AF971" s="136" t="n"/>
      <c r="AG971" s="136" t="n"/>
      <c r="AH971" s="136" t="n"/>
      <c r="AI971" s="136" t="n"/>
      <c r="AJ971" s="136" t="n"/>
      <c r="AK971" s="136" t="n"/>
      <c r="AL971" s="136" t="n"/>
      <c r="AM971" s="136" t="n"/>
      <c r="AN971" s="136" t="n"/>
      <c r="AO971" s="136" t="n"/>
      <c r="AP971" s="136" t="n"/>
      <c r="AQ971" s="136" t="n"/>
      <c r="AR971" s="136" t="n"/>
    </row>
    <row r="972" ht="13.5" customHeight="1" s="196">
      <c r="A972" s="136" t="n"/>
      <c r="B972" s="136" t="n"/>
      <c r="C972" s="136" t="n"/>
      <c r="D972" s="141" t="n"/>
      <c r="E972" s="141" t="n"/>
      <c r="F972" s="141" t="n"/>
      <c r="G972" s="141" t="n"/>
      <c r="H972" s="141" t="n"/>
      <c r="I972" s="141" t="n"/>
      <c r="J972" s="141" t="n"/>
      <c r="K972" s="141" t="n"/>
      <c r="L972" s="141" t="n"/>
      <c r="M972" s="141" t="n"/>
      <c r="N972" s="141" t="n"/>
      <c r="O972" s="141" t="n"/>
      <c r="P972" s="141" t="n"/>
      <c r="Q972" s="141" t="n"/>
      <c r="R972" s="141" t="n"/>
      <c r="S972" s="141" t="n"/>
      <c r="T972" s="141" t="n"/>
      <c r="U972" s="141" t="n"/>
      <c r="V972" s="141" t="n"/>
      <c r="W972" s="141" t="n"/>
      <c r="X972" s="141" t="n"/>
      <c r="Y972" s="136" t="n"/>
      <c r="Z972" s="136" t="n"/>
      <c r="AA972" s="136" t="n"/>
      <c r="AB972" s="136" t="n"/>
      <c r="AC972" s="136" t="n"/>
      <c r="AD972" s="136" t="n"/>
      <c r="AE972" s="136" t="n"/>
      <c r="AF972" s="136" t="n"/>
      <c r="AG972" s="136" t="n"/>
      <c r="AH972" s="136" t="n"/>
      <c r="AI972" s="136" t="n"/>
      <c r="AJ972" s="136" t="n"/>
      <c r="AK972" s="136" t="n"/>
      <c r="AL972" s="136" t="n"/>
      <c r="AM972" s="136" t="n"/>
      <c r="AN972" s="136" t="n"/>
      <c r="AO972" s="136" t="n"/>
      <c r="AP972" s="136" t="n"/>
      <c r="AQ972" s="136" t="n"/>
      <c r="AR972" s="136" t="n"/>
    </row>
    <row r="973" ht="13.5" customHeight="1" s="196">
      <c r="A973" s="136" t="n"/>
      <c r="B973" s="136" t="n"/>
      <c r="C973" s="136" t="n"/>
      <c r="D973" s="141" t="n"/>
      <c r="E973" s="141" t="n"/>
      <c r="F973" s="141" t="n"/>
      <c r="G973" s="141" t="n"/>
      <c r="H973" s="141" t="n"/>
      <c r="I973" s="141" t="n"/>
      <c r="J973" s="141" t="n"/>
      <c r="K973" s="141" t="n"/>
      <c r="L973" s="141" t="n"/>
      <c r="M973" s="141" t="n"/>
      <c r="N973" s="141" t="n"/>
      <c r="O973" s="141" t="n"/>
      <c r="P973" s="141" t="n"/>
      <c r="Q973" s="141" t="n"/>
      <c r="R973" s="141" t="n"/>
      <c r="S973" s="141" t="n"/>
      <c r="T973" s="141" t="n"/>
      <c r="U973" s="141" t="n"/>
      <c r="V973" s="141" t="n"/>
      <c r="W973" s="141" t="n"/>
      <c r="X973" s="141" t="n"/>
      <c r="Y973" s="136" t="n"/>
      <c r="Z973" s="136" t="n"/>
      <c r="AA973" s="136" t="n"/>
      <c r="AB973" s="136" t="n"/>
      <c r="AC973" s="136" t="n"/>
      <c r="AD973" s="136" t="n"/>
      <c r="AE973" s="136" t="n"/>
      <c r="AF973" s="136" t="n"/>
      <c r="AG973" s="136" t="n"/>
      <c r="AH973" s="136" t="n"/>
      <c r="AI973" s="136" t="n"/>
      <c r="AJ973" s="136" t="n"/>
      <c r="AK973" s="136" t="n"/>
      <c r="AL973" s="136" t="n"/>
      <c r="AM973" s="136" t="n"/>
      <c r="AN973" s="136" t="n"/>
      <c r="AO973" s="136" t="n"/>
      <c r="AP973" s="136" t="n"/>
      <c r="AQ973" s="136" t="n"/>
      <c r="AR973" s="136" t="n"/>
    </row>
    <row r="974" ht="13.5" customHeight="1" s="196">
      <c r="A974" s="136" t="n"/>
      <c r="B974" s="136" t="n"/>
      <c r="C974" s="136" t="n"/>
      <c r="D974" s="141" t="n"/>
      <c r="E974" s="141" t="n"/>
      <c r="F974" s="141" t="n"/>
      <c r="G974" s="141" t="n"/>
      <c r="H974" s="141" t="n"/>
      <c r="I974" s="141" t="n"/>
      <c r="J974" s="141" t="n"/>
      <c r="K974" s="141" t="n"/>
      <c r="L974" s="141" t="n"/>
      <c r="M974" s="141" t="n"/>
      <c r="N974" s="141" t="n"/>
      <c r="O974" s="141" t="n"/>
      <c r="P974" s="141" t="n"/>
      <c r="Q974" s="141" t="n"/>
      <c r="R974" s="141" t="n"/>
      <c r="S974" s="141" t="n"/>
      <c r="T974" s="141" t="n"/>
      <c r="U974" s="141" t="n"/>
      <c r="V974" s="141" t="n"/>
      <c r="W974" s="141" t="n"/>
      <c r="X974" s="141" t="n"/>
      <c r="Y974" s="136" t="n"/>
      <c r="Z974" s="136" t="n"/>
      <c r="AA974" s="136" t="n"/>
      <c r="AB974" s="136" t="n"/>
      <c r="AC974" s="136" t="n"/>
      <c r="AD974" s="136" t="n"/>
      <c r="AE974" s="136" t="n"/>
      <c r="AF974" s="136" t="n"/>
      <c r="AG974" s="136" t="n"/>
      <c r="AH974" s="136" t="n"/>
      <c r="AI974" s="136" t="n"/>
      <c r="AJ974" s="136" t="n"/>
      <c r="AK974" s="136" t="n"/>
      <c r="AL974" s="136" t="n"/>
      <c r="AM974" s="136" t="n"/>
      <c r="AN974" s="136" t="n"/>
      <c r="AO974" s="136" t="n"/>
      <c r="AP974" s="136" t="n"/>
      <c r="AQ974" s="136" t="n"/>
      <c r="AR974" s="136" t="n"/>
    </row>
    <row r="975" ht="13.5" customHeight="1" s="196">
      <c r="A975" s="136" t="n"/>
      <c r="B975" s="136" t="n"/>
      <c r="C975" s="136" t="n"/>
      <c r="D975" s="141" t="n"/>
      <c r="E975" s="141" t="n"/>
      <c r="F975" s="141" t="n"/>
      <c r="G975" s="141" t="n"/>
      <c r="H975" s="141" t="n"/>
      <c r="I975" s="141" t="n"/>
      <c r="J975" s="141" t="n"/>
      <c r="K975" s="141" t="n"/>
      <c r="L975" s="141" t="n"/>
      <c r="M975" s="141" t="n"/>
      <c r="N975" s="141" t="n"/>
      <c r="O975" s="141" t="n"/>
      <c r="P975" s="141" t="n"/>
      <c r="Q975" s="141" t="n"/>
      <c r="R975" s="141" t="n"/>
      <c r="S975" s="141" t="n"/>
      <c r="T975" s="141" t="n"/>
      <c r="U975" s="141" t="n"/>
      <c r="V975" s="141" t="n"/>
      <c r="W975" s="141" t="n"/>
      <c r="X975" s="141" t="n"/>
      <c r="Y975" s="136" t="n"/>
      <c r="Z975" s="136" t="n"/>
      <c r="AA975" s="136" t="n"/>
      <c r="AB975" s="136" t="n"/>
      <c r="AC975" s="136" t="n"/>
      <c r="AD975" s="136" t="n"/>
      <c r="AE975" s="136" t="n"/>
      <c r="AF975" s="136" t="n"/>
      <c r="AG975" s="136" t="n"/>
      <c r="AH975" s="136" t="n"/>
      <c r="AI975" s="136" t="n"/>
      <c r="AJ975" s="136" t="n"/>
      <c r="AK975" s="136" t="n"/>
      <c r="AL975" s="136" t="n"/>
      <c r="AM975" s="136" t="n"/>
      <c r="AN975" s="136" t="n"/>
      <c r="AO975" s="136" t="n"/>
      <c r="AP975" s="136" t="n"/>
      <c r="AQ975" s="136" t="n"/>
      <c r="AR975" s="136" t="n"/>
    </row>
    <row r="976" ht="13.5" customHeight="1" s="196">
      <c r="A976" s="136" t="n"/>
      <c r="B976" s="136" t="n"/>
      <c r="C976" s="136" t="n"/>
      <c r="D976" s="141" t="n"/>
      <c r="E976" s="141" t="n"/>
      <c r="F976" s="141" t="n"/>
      <c r="G976" s="141" t="n"/>
      <c r="H976" s="141" t="n"/>
      <c r="I976" s="141" t="n"/>
      <c r="J976" s="141" t="n"/>
      <c r="K976" s="141" t="n"/>
      <c r="L976" s="141" t="n"/>
      <c r="M976" s="141" t="n"/>
      <c r="N976" s="141" t="n"/>
      <c r="O976" s="141" t="n"/>
      <c r="P976" s="141" t="n"/>
      <c r="Q976" s="141" t="n"/>
      <c r="R976" s="141" t="n"/>
      <c r="S976" s="141" t="n"/>
      <c r="T976" s="141" t="n"/>
      <c r="U976" s="141" t="n"/>
      <c r="V976" s="141" t="n"/>
      <c r="W976" s="141" t="n"/>
      <c r="X976" s="141" t="n"/>
      <c r="Y976" s="136" t="n"/>
      <c r="Z976" s="136" t="n"/>
      <c r="AA976" s="136" t="n"/>
      <c r="AB976" s="136" t="n"/>
      <c r="AC976" s="136" t="n"/>
      <c r="AD976" s="136" t="n"/>
      <c r="AE976" s="136" t="n"/>
      <c r="AF976" s="136" t="n"/>
      <c r="AG976" s="136" t="n"/>
      <c r="AH976" s="136" t="n"/>
      <c r="AI976" s="136" t="n"/>
      <c r="AJ976" s="136" t="n"/>
      <c r="AK976" s="136" t="n"/>
      <c r="AL976" s="136" t="n"/>
      <c r="AM976" s="136" t="n"/>
      <c r="AN976" s="136" t="n"/>
      <c r="AO976" s="136" t="n"/>
      <c r="AP976" s="136" t="n"/>
      <c r="AQ976" s="136" t="n"/>
      <c r="AR976" s="136" t="n"/>
    </row>
    <row r="977" ht="13.5" customHeight="1" s="196">
      <c r="A977" s="136" t="n"/>
      <c r="B977" s="136" t="n"/>
      <c r="C977" s="136" t="n"/>
      <c r="D977" s="141" t="n"/>
      <c r="E977" s="141" t="n"/>
      <c r="F977" s="141" t="n"/>
      <c r="G977" s="141" t="n"/>
      <c r="H977" s="141" t="n"/>
      <c r="I977" s="141" t="n"/>
      <c r="J977" s="141" t="n"/>
      <c r="K977" s="141" t="n"/>
      <c r="L977" s="141" t="n"/>
      <c r="M977" s="141" t="n"/>
      <c r="N977" s="141" t="n"/>
      <c r="O977" s="141" t="n"/>
      <c r="P977" s="141" t="n"/>
      <c r="Q977" s="141" t="n"/>
      <c r="R977" s="141" t="n"/>
      <c r="S977" s="141" t="n"/>
      <c r="T977" s="141" t="n"/>
      <c r="U977" s="141" t="n"/>
      <c r="V977" s="141" t="n"/>
      <c r="W977" s="141" t="n"/>
      <c r="X977" s="141" t="n"/>
      <c r="Y977" s="136" t="n"/>
      <c r="Z977" s="136" t="n"/>
      <c r="AA977" s="136" t="n"/>
      <c r="AB977" s="136" t="n"/>
      <c r="AC977" s="136" t="n"/>
      <c r="AD977" s="136" t="n"/>
      <c r="AE977" s="136" t="n"/>
      <c r="AF977" s="136" t="n"/>
      <c r="AG977" s="136" t="n"/>
      <c r="AH977" s="136" t="n"/>
      <c r="AI977" s="136" t="n"/>
      <c r="AJ977" s="136" t="n"/>
      <c r="AK977" s="136" t="n"/>
      <c r="AL977" s="136" t="n"/>
      <c r="AM977" s="136" t="n"/>
      <c r="AN977" s="136" t="n"/>
      <c r="AO977" s="136" t="n"/>
      <c r="AP977" s="136" t="n"/>
      <c r="AQ977" s="136" t="n"/>
      <c r="AR977" s="136" t="n"/>
    </row>
    <row r="978" ht="13.5" customHeight="1" s="196">
      <c r="A978" s="136" t="n"/>
      <c r="B978" s="136" t="n"/>
      <c r="C978" s="136" t="n"/>
      <c r="D978" s="141" t="n"/>
      <c r="E978" s="141" t="n"/>
      <c r="F978" s="141" t="n"/>
      <c r="G978" s="141" t="n"/>
      <c r="H978" s="141" t="n"/>
      <c r="I978" s="141" t="n"/>
      <c r="J978" s="141" t="n"/>
      <c r="K978" s="141" t="n"/>
      <c r="L978" s="141" t="n"/>
      <c r="M978" s="141" t="n"/>
      <c r="N978" s="141" t="n"/>
      <c r="O978" s="141" t="n"/>
      <c r="P978" s="141" t="n"/>
      <c r="Q978" s="141" t="n"/>
      <c r="R978" s="141" t="n"/>
      <c r="S978" s="141" t="n"/>
      <c r="T978" s="141" t="n"/>
      <c r="U978" s="141" t="n"/>
      <c r="V978" s="141" t="n"/>
      <c r="W978" s="141" t="n"/>
      <c r="X978" s="141" t="n"/>
      <c r="Y978" s="136" t="n"/>
      <c r="Z978" s="136" t="n"/>
      <c r="AA978" s="136" t="n"/>
      <c r="AB978" s="136" t="n"/>
      <c r="AC978" s="136" t="n"/>
      <c r="AD978" s="136" t="n"/>
      <c r="AE978" s="136" t="n"/>
      <c r="AF978" s="136" t="n"/>
      <c r="AG978" s="136" t="n"/>
      <c r="AH978" s="136" t="n"/>
      <c r="AI978" s="136" t="n"/>
      <c r="AJ978" s="136" t="n"/>
      <c r="AK978" s="136" t="n"/>
      <c r="AL978" s="136" t="n"/>
      <c r="AM978" s="136" t="n"/>
      <c r="AN978" s="136" t="n"/>
      <c r="AO978" s="136" t="n"/>
      <c r="AP978" s="136" t="n"/>
      <c r="AQ978" s="136" t="n"/>
      <c r="AR978" s="136" t="n"/>
    </row>
    <row r="979" ht="13.5" customHeight="1" s="196">
      <c r="A979" s="136" t="n"/>
      <c r="B979" s="136" t="n"/>
      <c r="C979" s="136" t="n"/>
      <c r="D979" s="141" t="n"/>
      <c r="E979" s="141" t="n"/>
      <c r="F979" s="141" t="n"/>
      <c r="G979" s="141" t="n"/>
      <c r="H979" s="141" t="n"/>
      <c r="I979" s="141" t="n"/>
      <c r="J979" s="141" t="n"/>
      <c r="K979" s="141" t="n"/>
      <c r="L979" s="141" t="n"/>
      <c r="M979" s="141" t="n"/>
      <c r="N979" s="141" t="n"/>
      <c r="O979" s="141" t="n"/>
      <c r="P979" s="141" t="n"/>
      <c r="Q979" s="141" t="n"/>
      <c r="R979" s="141" t="n"/>
      <c r="S979" s="141" t="n"/>
      <c r="T979" s="141" t="n"/>
      <c r="U979" s="141" t="n"/>
      <c r="V979" s="141" t="n"/>
      <c r="W979" s="141" t="n"/>
      <c r="X979" s="141" t="n"/>
      <c r="Y979" s="136" t="n"/>
      <c r="Z979" s="136" t="n"/>
      <c r="AA979" s="136" t="n"/>
      <c r="AB979" s="136" t="n"/>
      <c r="AC979" s="136" t="n"/>
      <c r="AD979" s="136" t="n"/>
      <c r="AE979" s="136" t="n"/>
      <c r="AF979" s="136" t="n"/>
      <c r="AG979" s="136" t="n"/>
      <c r="AH979" s="136" t="n"/>
      <c r="AI979" s="136" t="n"/>
      <c r="AJ979" s="136" t="n"/>
      <c r="AK979" s="136" t="n"/>
      <c r="AL979" s="136" t="n"/>
      <c r="AM979" s="136" t="n"/>
      <c r="AN979" s="136" t="n"/>
      <c r="AO979" s="136" t="n"/>
      <c r="AP979" s="136" t="n"/>
      <c r="AQ979" s="136" t="n"/>
      <c r="AR979" s="136" t="n"/>
    </row>
    <row r="980" ht="13.5" customHeight="1" s="196">
      <c r="A980" s="136" t="n"/>
      <c r="B980" s="136" t="n"/>
      <c r="C980" s="136" t="n"/>
      <c r="D980" s="141" t="n"/>
      <c r="E980" s="141" t="n"/>
      <c r="F980" s="141" t="n"/>
      <c r="G980" s="141" t="n"/>
      <c r="H980" s="141" t="n"/>
      <c r="I980" s="141" t="n"/>
      <c r="J980" s="141" t="n"/>
      <c r="K980" s="141" t="n"/>
      <c r="L980" s="141" t="n"/>
      <c r="M980" s="141" t="n"/>
      <c r="N980" s="141" t="n"/>
      <c r="O980" s="141" t="n"/>
      <c r="P980" s="141" t="n"/>
      <c r="Q980" s="141" t="n"/>
      <c r="R980" s="141" t="n"/>
      <c r="S980" s="141" t="n"/>
      <c r="T980" s="141" t="n"/>
      <c r="U980" s="141" t="n"/>
      <c r="V980" s="141" t="n"/>
      <c r="W980" s="141" t="n"/>
      <c r="X980" s="141" t="n"/>
      <c r="Y980" s="136" t="n"/>
      <c r="Z980" s="136" t="n"/>
      <c r="AA980" s="136" t="n"/>
      <c r="AB980" s="136" t="n"/>
      <c r="AC980" s="136" t="n"/>
      <c r="AD980" s="136" t="n"/>
      <c r="AE980" s="136" t="n"/>
      <c r="AF980" s="136" t="n"/>
      <c r="AG980" s="136" t="n"/>
      <c r="AH980" s="136" t="n"/>
      <c r="AI980" s="136" t="n"/>
      <c r="AJ980" s="136" t="n"/>
      <c r="AK980" s="136" t="n"/>
      <c r="AL980" s="136" t="n"/>
      <c r="AM980" s="136" t="n"/>
      <c r="AN980" s="136" t="n"/>
      <c r="AO980" s="136" t="n"/>
      <c r="AP980" s="136" t="n"/>
      <c r="AQ980" s="136" t="n"/>
      <c r="AR980" s="136" t="n"/>
    </row>
    <row r="981" ht="13.5" customHeight="1" s="196">
      <c r="A981" s="136" t="n"/>
      <c r="B981" s="136" t="n"/>
      <c r="C981" s="136" t="n"/>
      <c r="D981" s="141" t="n"/>
      <c r="E981" s="141" t="n"/>
      <c r="F981" s="141" t="n"/>
      <c r="G981" s="141" t="n"/>
      <c r="H981" s="141" t="n"/>
      <c r="I981" s="141" t="n"/>
      <c r="J981" s="141" t="n"/>
      <c r="K981" s="141" t="n"/>
      <c r="L981" s="141" t="n"/>
      <c r="M981" s="141" t="n"/>
      <c r="N981" s="141" t="n"/>
      <c r="O981" s="141" t="n"/>
      <c r="P981" s="141" t="n"/>
      <c r="Q981" s="141" t="n"/>
      <c r="R981" s="141" t="n"/>
      <c r="S981" s="141" t="n"/>
      <c r="T981" s="141" t="n"/>
      <c r="U981" s="141" t="n"/>
      <c r="V981" s="141" t="n"/>
      <c r="W981" s="141" t="n"/>
      <c r="X981" s="141" t="n"/>
      <c r="Y981" s="136" t="n"/>
      <c r="Z981" s="136" t="n"/>
      <c r="AA981" s="136" t="n"/>
      <c r="AB981" s="136" t="n"/>
      <c r="AC981" s="136" t="n"/>
      <c r="AD981" s="136" t="n"/>
      <c r="AE981" s="136" t="n"/>
      <c r="AF981" s="136" t="n"/>
      <c r="AG981" s="136" t="n"/>
      <c r="AH981" s="136" t="n"/>
      <c r="AI981" s="136" t="n"/>
      <c r="AJ981" s="136" t="n"/>
      <c r="AK981" s="136" t="n"/>
      <c r="AL981" s="136" t="n"/>
      <c r="AM981" s="136" t="n"/>
      <c r="AN981" s="136" t="n"/>
      <c r="AO981" s="136" t="n"/>
      <c r="AP981" s="136" t="n"/>
      <c r="AQ981" s="136" t="n"/>
      <c r="AR981" s="136" t="n"/>
    </row>
    <row r="982" ht="13.5" customHeight="1" s="196">
      <c r="A982" s="136" t="n"/>
      <c r="B982" s="136" t="n"/>
      <c r="C982" s="136" t="n"/>
      <c r="D982" s="141" t="n"/>
      <c r="E982" s="141" t="n"/>
      <c r="F982" s="141" t="n"/>
      <c r="G982" s="141" t="n"/>
      <c r="H982" s="141" t="n"/>
      <c r="I982" s="141" t="n"/>
      <c r="J982" s="141" t="n"/>
      <c r="K982" s="141" t="n"/>
      <c r="L982" s="141" t="n"/>
      <c r="M982" s="141" t="n"/>
      <c r="N982" s="141" t="n"/>
      <c r="O982" s="141" t="n"/>
      <c r="P982" s="141" t="n"/>
      <c r="Q982" s="141" t="n"/>
      <c r="R982" s="141" t="n"/>
      <c r="S982" s="141" t="n"/>
      <c r="T982" s="141" t="n"/>
      <c r="U982" s="141" t="n"/>
      <c r="V982" s="141" t="n"/>
      <c r="W982" s="141" t="n"/>
      <c r="X982" s="141" t="n"/>
      <c r="Y982" s="136" t="n"/>
      <c r="Z982" s="136" t="n"/>
      <c r="AA982" s="136" t="n"/>
      <c r="AB982" s="136" t="n"/>
      <c r="AC982" s="136" t="n"/>
      <c r="AD982" s="136" t="n"/>
      <c r="AE982" s="136" t="n"/>
      <c r="AF982" s="136" t="n"/>
      <c r="AG982" s="136" t="n"/>
      <c r="AH982" s="136" t="n"/>
      <c r="AI982" s="136" t="n"/>
      <c r="AJ982" s="136" t="n"/>
      <c r="AK982" s="136" t="n"/>
      <c r="AL982" s="136" t="n"/>
      <c r="AM982" s="136" t="n"/>
      <c r="AN982" s="136" t="n"/>
      <c r="AO982" s="136" t="n"/>
      <c r="AP982" s="136" t="n"/>
      <c r="AQ982" s="136" t="n"/>
      <c r="AR982" s="136" t="n"/>
    </row>
    <row r="983" ht="13.5" customHeight="1" s="196">
      <c r="A983" s="136" t="n"/>
      <c r="B983" s="136" t="n"/>
      <c r="C983" s="136" t="n"/>
      <c r="D983" s="141" t="n"/>
      <c r="E983" s="141" t="n"/>
      <c r="F983" s="141" t="n"/>
      <c r="G983" s="141" t="n"/>
      <c r="H983" s="141" t="n"/>
      <c r="I983" s="141" t="n"/>
      <c r="J983" s="141" t="n"/>
      <c r="K983" s="141" t="n"/>
      <c r="L983" s="141" t="n"/>
      <c r="M983" s="141" t="n"/>
      <c r="N983" s="141" t="n"/>
      <c r="O983" s="141" t="n"/>
      <c r="P983" s="141" t="n"/>
      <c r="Q983" s="141" t="n"/>
      <c r="R983" s="141" t="n"/>
      <c r="S983" s="141" t="n"/>
      <c r="T983" s="141" t="n"/>
      <c r="U983" s="141" t="n"/>
      <c r="V983" s="141" t="n"/>
      <c r="W983" s="141" t="n"/>
      <c r="X983" s="141" t="n"/>
      <c r="Y983" s="136" t="n"/>
      <c r="Z983" s="136" t="n"/>
      <c r="AA983" s="136" t="n"/>
      <c r="AB983" s="136" t="n"/>
      <c r="AC983" s="136" t="n"/>
      <c r="AD983" s="136" t="n"/>
      <c r="AE983" s="136" t="n"/>
      <c r="AF983" s="136" t="n"/>
      <c r="AG983" s="136" t="n"/>
      <c r="AH983" s="136" t="n"/>
      <c r="AI983" s="136" t="n"/>
      <c r="AJ983" s="136" t="n"/>
      <c r="AK983" s="136" t="n"/>
      <c r="AL983" s="136" t="n"/>
      <c r="AM983" s="136" t="n"/>
      <c r="AN983" s="136" t="n"/>
      <c r="AO983" s="136" t="n"/>
      <c r="AP983" s="136" t="n"/>
      <c r="AQ983" s="136" t="n"/>
      <c r="AR983" s="136" t="n"/>
    </row>
    <row r="984" ht="13.5" customHeight="1" s="196">
      <c r="A984" s="136" t="n"/>
      <c r="B984" s="136" t="n"/>
      <c r="C984" s="136" t="n"/>
      <c r="D984" s="141" t="n"/>
      <c r="E984" s="141" t="n"/>
      <c r="F984" s="141" t="n"/>
      <c r="G984" s="141" t="n"/>
      <c r="H984" s="141" t="n"/>
      <c r="I984" s="141" t="n"/>
      <c r="J984" s="141" t="n"/>
      <c r="K984" s="141" t="n"/>
      <c r="L984" s="141" t="n"/>
      <c r="M984" s="141" t="n"/>
      <c r="N984" s="141" t="n"/>
      <c r="O984" s="141" t="n"/>
      <c r="P984" s="141" t="n"/>
      <c r="Q984" s="141" t="n"/>
      <c r="R984" s="141" t="n"/>
      <c r="S984" s="141" t="n"/>
      <c r="T984" s="141" t="n"/>
      <c r="U984" s="141" t="n"/>
      <c r="V984" s="141" t="n"/>
      <c r="W984" s="141" t="n"/>
      <c r="X984" s="141" t="n"/>
      <c r="Y984" s="136" t="n"/>
      <c r="Z984" s="136" t="n"/>
      <c r="AA984" s="136" t="n"/>
      <c r="AB984" s="136" t="n"/>
      <c r="AC984" s="136" t="n"/>
      <c r="AD984" s="136" t="n"/>
      <c r="AE984" s="136" t="n"/>
      <c r="AF984" s="136" t="n"/>
      <c r="AG984" s="136" t="n"/>
      <c r="AH984" s="136" t="n"/>
      <c r="AI984" s="136" t="n"/>
      <c r="AJ984" s="136" t="n"/>
      <c r="AK984" s="136" t="n"/>
      <c r="AL984" s="136" t="n"/>
      <c r="AM984" s="136" t="n"/>
      <c r="AN984" s="136" t="n"/>
      <c r="AO984" s="136" t="n"/>
      <c r="AP984" s="136" t="n"/>
      <c r="AQ984" s="136" t="n"/>
      <c r="AR984" s="136" t="n"/>
    </row>
    <row r="985" ht="13.5" customHeight="1" s="196">
      <c r="A985" s="136" t="n"/>
      <c r="B985" s="136" t="n"/>
      <c r="C985" s="136" t="n"/>
      <c r="D985" s="141" t="n"/>
      <c r="E985" s="141" t="n"/>
      <c r="F985" s="141" t="n"/>
      <c r="G985" s="141" t="n"/>
      <c r="H985" s="141" t="n"/>
      <c r="I985" s="141" t="n"/>
      <c r="J985" s="141" t="n"/>
      <c r="K985" s="141" t="n"/>
      <c r="L985" s="141" t="n"/>
      <c r="M985" s="141" t="n"/>
      <c r="N985" s="141" t="n"/>
      <c r="O985" s="141" t="n"/>
      <c r="P985" s="141" t="n"/>
      <c r="Q985" s="141" t="n"/>
      <c r="R985" s="141" t="n"/>
      <c r="S985" s="141" t="n"/>
      <c r="T985" s="141" t="n"/>
      <c r="U985" s="141" t="n"/>
      <c r="V985" s="141" t="n"/>
      <c r="W985" s="141" t="n"/>
      <c r="X985" s="141" t="n"/>
      <c r="Y985" s="136" t="n"/>
      <c r="Z985" s="136" t="n"/>
      <c r="AA985" s="136" t="n"/>
      <c r="AB985" s="136" t="n"/>
      <c r="AC985" s="136" t="n"/>
      <c r="AD985" s="136" t="n"/>
      <c r="AE985" s="136" t="n"/>
      <c r="AF985" s="136" t="n"/>
      <c r="AG985" s="136" t="n"/>
      <c r="AH985" s="136" t="n"/>
      <c r="AI985" s="136" t="n"/>
      <c r="AJ985" s="136" t="n"/>
      <c r="AK985" s="136" t="n"/>
      <c r="AL985" s="136" t="n"/>
      <c r="AM985" s="136" t="n"/>
      <c r="AN985" s="136" t="n"/>
      <c r="AO985" s="136" t="n"/>
      <c r="AP985" s="136" t="n"/>
      <c r="AQ985" s="136" t="n"/>
      <c r="AR985" s="136" t="n"/>
    </row>
    <row r="986" ht="13.5" customHeight="1" s="196">
      <c r="A986" s="136" t="n"/>
      <c r="B986" s="136" t="n"/>
      <c r="C986" s="136" t="n"/>
      <c r="D986" s="141" t="n"/>
      <c r="E986" s="141" t="n"/>
      <c r="F986" s="141" t="n"/>
      <c r="G986" s="141" t="n"/>
      <c r="H986" s="141" t="n"/>
      <c r="I986" s="141" t="n"/>
      <c r="J986" s="141" t="n"/>
      <c r="K986" s="141" t="n"/>
      <c r="L986" s="141" t="n"/>
      <c r="M986" s="141" t="n"/>
      <c r="N986" s="141" t="n"/>
      <c r="O986" s="141" t="n"/>
      <c r="P986" s="141" t="n"/>
      <c r="Q986" s="141" t="n"/>
      <c r="R986" s="141" t="n"/>
      <c r="S986" s="141" t="n"/>
      <c r="T986" s="141" t="n"/>
      <c r="U986" s="141" t="n"/>
      <c r="V986" s="141" t="n"/>
      <c r="W986" s="141" t="n"/>
      <c r="X986" s="141" t="n"/>
      <c r="Y986" s="136" t="n"/>
      <c r="Z986" s="136" t="n"/>
      <c r="AA986" s="136" t="n"/>
      <c r="AB986" s="136" t="n"/>
      <c r="AC986" s="136" t="n"/>
      <c r="AD986" s="136" t="n"/>
      <c r="AE986" s="136" t="n"/>
      <c r="AF986" s="136" t="n"/>
      <c r="AG986" s="136" t="n"/>
      <c r="AH986" s="136" t="n"/>
      <c r="AI986" s="136" t="n"/>
      <c r="AJ986" s="136" t="n"/>
      <c r="AK986" s="136" t="n"/>
      <c r="AL986" s="136" t="n"/>
      <c r="AM986" s="136" t="n"/>
      <c r="AN986" s="136" t="n"/>
      <c r="AO986" s="136" t="n"/>
      <c r="AP986" s="136" t="n"/>
      <c r="AQ986" s="136" t="n"/>
      <c r="AR986" s="136" t="n"/>
    </row>
    <row r="987" ht="13.5" customHeight="1" s="196">
      <c r="A987" s="136" t="n"/>
      <c r="B987" s="136" t="n"/>
      <c r="C987" s="136" t="n"/>
      <c r="D987" s="141" t="n"/>
      <c r="E987" s="141" t="n"/>
      <c r="F987" s="141" t="n"/>
      <c r="G987" s="141" t="n"/>
      <c r="H987" s="141" t="n"/>
      <c r="I987" s="141" t="n"/>
      <c r="J987" s="141" t="n"/>
      <c r="K987" s="141" t="n"/>
      <c r="L987" s="141" t="n"/>
      <c r="M987" s="141" t="n"/>
      <c r="N987" s="141" t="n"/>
      <c r="O987" s="141" t="n"/>
      <c r="P987" s="141" t="n"/>
      <c r="Q987" s="141" t="n"/>
      <c r="R987" s="141" t="n"/>
      <c r="S987" s="141" t="n"/>
      <c r="T987" s="141" t="n"/>
      <c r="U987" s="141" t="n"/>
      <c r="V987" s="141" t="n"/>
      <c r="W987" s="141" t="n"/>
      <c r="X987" s="141" t="n"/>
      <c r="Y987" s="136" t="n"/>
      <c r="Z987" s="136" t="n"/>
      <c r="AA987" s="136" t="n"/>
      <c r="AB987" s="136" t="n"/>
      <c r="AC987" s="136" t="n"/>
      <c r="AD987" s="136" t="n"/>
      <c r="AE987" s="136" t="n"/>
      <c r="AF987" s="136" t="n"/>
      <c r="AG987" s="136" t="n"/>
      <c r="AH987" s="136" t="n"/>
      <c r="AI987" s="136" t="n"/>
      <c r="AJ987" s="136" t="n"/>
      <c r="AK987" s="136" t="n"/>
      <c r="AL987" s="136" t="n"/>
      <c r="AM987" s="136" t="n"/>
      <c r="AN987" s="136" t="n"/>
      <c r="AO987" s="136" t="n"/>
      <c r="AP987" s="136" t="n"/>
      <c r="AQ987" s="136" t="n"/>
      <c r="AR987" s="136" t="n"/>
    </row>
    <row r="988" ht="13.5" customHeight="1" s="196">
      <c r="A988" s="136" t="n"/>
      <c r="B988" s="136" t="n"/>
      <c r="C988" s="136" t="n"/>
      <c r="D988" s="141" t="n"/>
      <c r="E988" s="141" t="n"/>
      <c r="F988" s="141" t="n"/>
      <c r="G988" s="141" t="n"/>
      <c r="H988" s="141" t="n"/>
      <c r="I988" s="141" t="n"/>
      <c r="J988" s="141" t="n"/>
      <c r="K988" s="141" t="n"/>
      <c r="L988" s="141" t="n"/>
      <c r="M988" s="141" t="n"/>
      <c r="N988" s="141" t="n"/>
      <c r="O988" s="141" t="n"/>
      <c r="P988" s="141" t="n"/>
      <c r="Q988" s="141" t="n"/>
      <c r="R988" s="141" t="n"/>
      <c r="S988" s="141" t="n"/>
      <c r="T988" s="141" t="n"/>
      <c r="U988" s="141" t="n"/>
      <c r="V988" s="141" t="n"/>
      <c r="W988" s="141" t="n"/>
      <c r="X988" s="141" t="n"/>
      <c r="Y988" s="136" t="n"/>
      <c r="Z988" s="136" t="n"/>
      <c r="AA988" s="136" t="n"/>
      <c r="AB988" s="136" t="n"/>
      <c r="AC988" s="136" t="n"/>
      <c r="AD988" s="136" t="n"/>
      <c r="AE988" s="136" t="n"/>
      <c r="AF988" s="136" t="n"/>
      <c r="AG988" s="136" t="n"/>
      <c r="AH988" s="136" t="n"/>
      <c r="AI988" s="136" t="n"/>
      <c r="AJ988" s="136" t="n"/>
      <c r="AK988" s="136" t="n"/>
      <c r="AL988" s="136" t="n"/>
      <c r="AM988" s="136" t="n"/>
      <c r="AN988" s="136" t="n"/>
      <c r="AO988" s="136" t="n"/>
      <c r="AP988" s="136" t="n"/>
      <c r="AQ988" s="136" t="n"/>
      <c r="AR988" s="136" t="n"/>
    </row>
    <row r="989" ht="13.5" customHeight="1" s="196">
      <c r="A989" s="136" t="n"/>
      <c r="B989" s="136" t="n"/>
      <c r="C989" s="136" t="n"/>
      <c r="D989" s="141" t="n"/>
      <c r="E989" s="141" t="n"/>
      <c r="F989" s="141" t="n"/>
      <c r="G989" s="141" t="n"/>
      <c r="H989" s="141" t="n"/>
      <c r="I989" s="141" t="n"/>
      <c r="J989" s="141" t="n"/>
      <c r="K989" s="141" t="n"/>
      <c r="L989" s="141" t="n"/>
      <c r="M989" s="141" t="n"/>
      <c r="N989" s="141" t="n"/>
      <c r="O989" s="141" t="n"/>
      <c r="P989" s="141" t="n"/>
      <c r="Q989" s="141" t="n"/>
      <c r="R989" s="141" t="n"/>
      <c r="S989" s="141" t="n"/>
      <c r="T989" s="141" t="n"/>
      <c r="U989" s="141" t="n"/>
      <c r="V989" s="141" t="n"/>
      <c r="W989" s="141" t="n"/>
      <c r="X989" s="141" t="n"/>
      <c r="Y989" s="136" t="n"/>
      <c r="Z989" s="136" t="n"/>
      <c r="AA989" s="136" t="n"/>
      <c r="AB989" s="136" t="n"/>
      <c r="AC989" s="136" t="n"/>
      <c r="AD989" s="136" t="n"/>
      <c r="AE989" s="136" t="n"/>
      <c r="AF989" s="136" t="n"/>
      <c r="AG989" s="136" t="n"/>
      <c r="AH989" s="136" t="n"/>
      <c r="AI989" s="136" t="n"/>
      <c r="AJ989" s="136" t="n"/>
      <c r="AK989" s="136" t="n"/>
      <c r="AL989" s="136" t="n"/>
      <c r="AM989" s="136" t="n"/>
      <c r="AN989" s="136" t="n"/>
      <c r="AO989" s="136" t="n"/>
      <c r="AP989" s="136" t="n"/>
      <c r="AQ989" s="136" t="n"/>
      <c r="AR989" s="136" t="n"/>
    </row>
    <row r="990" ht="13.5" customHeight="1" s="196">
      <c r="A990" s="136" t="n"/>
      <c r="B990" s="136" t="n"/>
      <c r="C990" s="136" t="n"/>
      <c r="D990" s="141" t="n"/>
      <c r="E990" s="141" t="n"/>
      <c r="F990" s="141" t="n"/>
      <c r="G990" s="141" t="n"/>
      <c r="H990" s="141" t="n"/>
      <c r="I990" s="141" t="n"/>
      <c r="J990" s="141" t="n"/>
      <c r="K990" s="141" t="n"/>
      <c r="L990" s="141" t="n"/>
      <c r="M990" s="141" t="n"/>
      <c r="N990" s="141" t="n"/>
      <c r="O990" s="141" t="n"/>
      <c r="P990" s="141" t="n"/>
      <c r="Q990" s="141" t="n"/>
      <c r="R990" s="141" t="n"/>
      <c r="S990" s="141" t="n"/>
      <c r="T990" s="141" t="n"/>
      <c r="U990" s="141" t="n"/>
      <c r="V990" s="141" t="n"/>
      <c r="W990" s="141" t="n"/>
      <c r="X990" s="141" t="n"/>
      <c r="Y990" s="136" t="n"/>
      <c r="Z990" s="136" t="n"/>
      <c r="AA990" s="136" t="n"/>
      <c r="AB990" s="136" t="n"/>
      <c r="AC990" s="136" t="n"/>
      <c r="AD990" s="136" t="n"/>
      <c r="AE990" s="136" t="n"/>
      <c r="AF990" s="136" t="n"/>
      <c r="AG990" s="136" t="n"/>
      <c r="AH990" s="136" t="n"/>
      <c r="AI990" s="136" t="n"/>
      <c r="AJ990" s="136" t="n"/>
      <c r="AK990" s="136" t="n"/>
      <c r="AL990" s="136" t="n"/>
      <c r="AM990" s="136" t="n"/>
      <c r="AN990" s="136" t="n"/>
      <c r="AO990" s="136" t="n"/>
      <c r="AP990" s="136" t="n"/>
      <c r="AQ990" s="136" t="n"/>
      <c r="AR990" s="136" t="n"/>
    </row>
    <row r="991" ht="13.5" customHeight="1" s="196">
      <c r="A991" s="136" t="n"/>
      <c r="B991" s="136" t="n"/>
      <c r="C991" s="136" t="n"/>
      <c r="D991" s="141" t="n"/>
      <c r="E991" s="141" t="n"/>
      <c r="F991" s="141" t="n"/>
      <c r="G991" s="141" t="n"/>
      <c r="H991" s="141" t="n"/>
      <c r="I991" s="141" t="n"/>
      <c r="J991" s="141" t="n"/>
      <c r="K991" s="141" t="n"/>
      <c r="L991" s="141" t="n"/>
      <c r="M991" s="141" t="n"/>
      <c r="N991" s="141" t="n"/>
      <c r="O991" s="141" t="n"/>
      <c r="P991" s="141" t="n"/>
      <c r="Q991" s="141" t="n"/>
      <c r="R991" s="141" t="n"/>
      <c r="S991" s="141" t="n"/>
      <c r="T991" s="141" t="n"/>
      <c r="U991" s="141" t="n"/>
      <c r="V991" s="141" t="n"/>
      <c r="W991" s="141" t="n"/>
      <c r="X991" s="141" t="n"/>
      <c r="Y991" s="136" t="n"/>
      <c r="Z991" s="136" t="n"/>
      <c r="AA991" s="136" t="n"/>
      <c r="AB991" s="136" t="n"/>
      <c r="AC991" s="136" t="n"/>
      <c r="AD991" s="136" t="n"/>
      <c r="AE991" s="136" t="n"/>
      <c r="AF991" s="136" t="n"/>
      <c r="AG991" s="136" t="n"/>
      <c r="AH991" s="136" t="n"/>
      <c r="AI991" s="136" t="n"/>
      <c r="AJ991" s="136" t="n"/>
      <c r="AK991" s="136" t="n"/>
      <c r="AL991" s="136" t="n"/>
      <c r="AM991" s="136" t="n"/>
      <c r="AN991" s="136" t="n"/>
      <c r="AO991" s="136" t="n"/>
      <c r="AP991" s="136" t="n"/>
      <c r="AQ991" s="136" t="n"/>
      <c r="AR991" s="136" t="n"/>
    </row>
    <row r="992" ht="13.5" customHeight="1" s="196">
      <c r="A992" s="136" t="n"/>
      <c r="B992" s="136" t="n"/>
      <c r="C992" s="136" t="n"/>
      <c r="D992" s="141" t="n"/>
      <c r="E992" s="141" t="n"/>
      <c r="F992" s="141" t="n"/>
      <c r="G992" s="141" t="n"/>
      <c r="H992" s="141" t="n"/>
      <c r="I992" s="141" t="n"/>
      <c r="J992" s="141" t="n"/>
      <c r="K992" s="141" t="n"/>
      <c r="L992" s="141" t="n"/>
      <c r="M992" s="141" t="n"/>
      <c r="N992" s="141" t="n"/>
      <c r="O992" s="141" t="n"/>
      <c r="P992" s="141" t="n"/>
      <c r="Q992" s="141" t="n"/>
      <c r="R992" s="141" t="n"/>
      <c r="S992" s="141" t="n"/>
      <c r="T992" s="141" t="n"/>
      <c r="U992" s="141" t="n"/>
      <c r="V992" s="141" t="n"/>
      <c r="W992" s="141" t="n"/>
      <c r="X992" s="141" t="n"/>
      <c r="Y992" s="136" t="n"/>
      <c r="Z992" s="136" t="n"/>
      <c r="AA992" s="136" t="n"/>
      <c r="AB992" s="136" t="n"/>
      <c r="AC992" s="136" t="n"/>
      <c r="AD992" s="136" t="n"/>
      <c r="AE992" s="136" t="n"/>
      <c r="AF992" s="136" t="n"/>
      <c r="AG992" s="136" t="n"/>
      <c r="AH992" s="136" t="n"/>
      <c r="AI992" s="136" t="n"/>
      <c r="AJ992" s="136" t="n"/>
      <c r="AK992" s="136" t="n"/>
      <c r="AL992" s="136" t="n"/>
      <c r="AM992" s="136" t="n"/>
      <c r="AN992" s="136" t="n"/>
      <c r="AO992" s="136" t="n"/>
      <c r="AP992" s="136" t="n"/>
      <c r="AQ992" s="136" t="n"/>
      <c r="AR992" s="136" t="n"/>
    </row>
    <row r="993" ht="13.5" customHeight="1" s="196">
      <c r="A993" s="136" t="n"/>
      <c r="B993" s="136" t="n"/>
      <c r="C993" s="136" t="n"/>
      <c r="D993" s="141" t="n"/>
      <c r="E993" s="141" t="n"/>
      <c r="F993" s="141" t="n"/>
      <c r="G993" s="141" t="n"/>
      <c r="H993" s="141" t="n"/>
      <c r="I993" s="141" t="n"/>
      <c r="J993" s="141" t="n"/>
      <c r="K993" s="141" t="n"/>
      <c r="L993" s="141" t="n"/>
      <c r="M993" s="141" t="n"/>
      <c r="N993" s="141" t="n"/>
      <c r="O993" s="141" t="n"/>
      <c r="P993" s="141" t="n"/>
      <c r="Q993" s="141" t="n"/>
      <c r="R993" s="141" t="n"/>
      <c r="S993" s="141" t="n"/>
      <c r="T993" s="141" t="n"/>
      <c r="U993" s="141" t="n"/>
      <c r="V993" s="141" t="n"/>
      <c r="W993" s="141" t="n"/>
      <c r="X993" s="141" t="n"/>
      <c r="Y993" s="136" t="n"/>
      <c r="Z993" s="136" t="n"/>
      <c r="AA993" s="136" t="n"/>
      <c r="AB993" s="136" t="n"/>
      <c r="AC993" s="136" t="n"/>
      <c r="AD993" s="136" t="n"/>
      <c r="AE993" s="136" t="n"/>
      <c r="AF993" s="136" t="n"/>
      <c r="AG993" s="136" t="n"/>
      <c r="AH993" s="136" t="n"/>
      <c r="AI993" s="136" t="n"/>
      <c r="AJ993" s="136" t="n"/>
      <c r="AK993" s="136" t="n"/>
      <c r="AL993" s="136" t="n"/>
      <c r="AM993" s="136" t="n"/>
      <c r="AN993" s="136" t="n"/>
      <c r="AO993" s="136" t="n"/>
      <c r="AP993" s="136" t="n"/>
      <c r="AQ993" s="136" t="n"/>
      <c r="AR993" s="136" t="n"/>
    </row>
    <row r="994" ht="13.5" customHeight="1" s="196">
      <c r="A994" s="136" t="n"/>
      <c r="B994" s="136" t="n"/>
      <c r="C994" s="136" t="n"/>
      <c r="D994" s="141" t="n"/>
      <c r="E994" s="141" t="n"/>
      <c r="F994" s="141" t="n"/>
      <c r="G994" s="141" t="n"/>
      <c r="H994" s="141" t="n"/>
      <c r="I994" s="141" t="n"/>
      <c r="J994" s="141" t="n"/>
      <c r="K994" s="141" t="n"/>
      <c r="L994" s="141" t="n"/>
      <c r="M994" s="141" t="n"/>
      <c r="N994" s="141" t="n"/>
      <c r="O994" s="141" t="n"/>
      <c r="P994" s="141" t="n"/>
      <c r="Q994" s="141" t="n"/>
      <c r="R994" s="141" t="n"/>
      <c r="S994" s="141" t="n"/>
      <c r="T994" s="141" t="n"/>
      <c r="U994" s="141" t="n"/>
      <c r="V994" s="141" t="n"/>
      <c r="W994" s="141" t="n"/>
      <c r="X994" s="141" t="n"/>
      <c r="Y994" s="136" t="n"/>
      <c r="Z994" s="136" t="n"/>
      <c r="AA994" s="136" t="n"/>
      <c r="AB994" s="136" t="n"/>
      <c r="AC994" s="136" t="n"/>
      <c r="AD994" s="136" t="n"/>
      <c r="AE994" s="136" t="n"/>
      <c r="AF994" s="136" t="n"/>
      <c r="AG994" s="136" t="n"/>
      <c r="AH994" s="136" t="n"/>
      <c r="AI994" s="136" t="n"/>
      <c r="AJ994" s="136" t="n"/>
      <c r="AK994" s="136" t="n"/>
      <c r="AL994" s="136" t="n"/>
      <c r="AM994" s="136" t="n"/>
      <c r="AN994" s="136" t="n"/>
      <c r="AO994" s="136" t="n"/>
      <c r="AP994" s="136" t="n"/>
      <c r="AQ994" s="136" t="n"/>
      <c r="AR994" s="136" t="n"/>
    </row>
    <row r="995" ht="13.5" customHeight="1" s="196">
      <c r="A995" s="136" t="n"/>
      <c r="B995" s="136" t="n"/>
      <c r="C995" s="136" t="n"/>
      <c r="D995" s="141" t="n"/>
      <c r="E995" s="141" t="n"/>
      <c r="F995" s="141" t="n"/>
      <c r="G995" s="141" t="n"/>
      <c r="H995" s="141" t="n"/>
      <c r="I995" s="141" t="n"/>
      <c r="J995" s="141" t="n"/>
      <c r="K995" s="141" t="n"/>
      <c r="L995" s="141" t="n"/>
      <c r="M995" s="141" t="n"/>
      <c r="N995" s="141" t="n"/>
      <c r="O995" s="141" t="n"/>
      <c r="P995" s="141" t="n"/>
      <c r="Q995" s="141" t="n"/>
      <c r="R995" s="141" t="n"/>
      <c r="S995" s="141" t="n"/>
      <c r="T995" s="141" t="n"/>
      <c r="U995" s="141" t="n"/>
      <c r="V995" s="141" t="n"/>
      <c r="W995" s="141" t="n"/>
      <c r="X995" s="141" t="n"/>
      <c r="Y995" s="136" t="n"/>
      <c r="Z995" s="136" t="n"/>
      <c r="AA995" s="136" t="n"/>
      <c r="AB995" s="136" t="n"/>
      <c r="AC995" s="136" t="n"/>
      <c r="AD995" s="136" t="n"/>
      <c r="AE995" s="136" t="n"/>
      <c r="AF995" s="136" t="n"/>
      <c r="AG995" s="136" t="n"/>
      <c r="AH995" s="136" t="n"/>
      <c r="AI995" s="136" t="n"/>
      <c r="AJ995" s="136" t="n"/>
      <c r="AK995" s="136" t="n"/>
      <c r="AL995" s="136" t="n"/>
      <c r="AM995" s="136" t="n"/>
      <c r="AN995" s="136" t="n"/>
      <c r="AO995" s="136" t="n"/>
      <c r="AP995" s="136" t="n"/>
      <c r="AQ995" s="136" t="n"/>
      <c r="AR995" s="136" t="n"/>
    </row>
    <row r="996" ht="13.5" customHeight="1" s="196">
      <c r="A996" s="136" t="n"/>
      <c r="B996" s="136" t="n"/>
      <c r="C996" s="136" t="n"/>
      <c r="D996" s="141" t="n"/>
      <c r="E996" s="141" t="n"/>
      <c r="F996" s="141" t="n"/>
      <c r="G996" s="141" t="n"/>
      <c r="H996" s="141" t="n"/>
      <c r="I996" s="141" t="n"/>
      <c r="J996" s="141" t="n"/>
      <c r="K996" s="141" t="n"/>
      <c r="L996" s="141" t="n"/>
      <c r="M996" s="141" t="n"/>
      <c r="N996" s="141" t="n"/>
      <c r="O996" s="141" t="n"/>
      <c r="P996" s="141" t="n"/>
      <c r="Q996" s="141" t="n"/>
      <c r="R996" s="141" t="n"/>
      <c r="S996" s="141" t="n"/>
      <c r="T996" s="141" t="n"/>
      <c r="U996" s="141" t="n"/>
      <c r="V996" s="141" t="n"/>
      <c r="W996" s="141" t="n"/>
      <c r="X996" s="141" t="n"/>
      <c r="Y996" s="136" t="n"/>
      <c r="Z996" s="136" t="n"/>
      <c r="AA996" s="136" t="n"/>
      <c r="AB996" s="136" t="n"/>
      <c r="AC996" s="136" t="n"/>
      <c r="AD996" s="136" t="n"/>
      <c r="AE996" s="136" t="n"/>
      <c r="AF996" s="136" t="n"/>
      <c r="AG996" s="136" t="n"/>
      <c r="AH996" s="136" t="n"/>
      <c r="AI996" s="136" t="n"/>
      <c r="AJ996" s="136" t="n"/>
      <c r="AK996" s="136" t="n"/>
      <c r="AL996" s="136" t="n"/>
      <c r="AM996" s="136" t="n"/>
      <c r="AN996" s="136" t="n"/>
      <c r="AO996" s="136" t="n"/>
      <c r="AP996" s="136" t="n"/>
      <c r="AQ996" s="136" t="n"/>
      <c r="AR996" s="136" t="n"/>
    </row>
    <row r="997" ht="13.5" customHeight="1" s="196">
      <c r="A997" s="136" t="n"/>
      <c r="B997" s="136" t="n"/>
      <c r="C997" s="136" t="n"/>
      <c r="D997" s="141" t="n"/>
      <c r="E997" s="141" t="n"/>
      <c r="F997" s="141" t="n"/>
      <c r="G997" s="141" t="n"/>
      <c r="H997" s="141" t="n"/>
      <c r="I997" s="141" t="n"/>
      <c r="J997" s="141" t="n"/>
      <c r="K997" s="141" t="n"/>
      <c r="L997" s="141" t="n"/>
      <c r="M997" s="141" t="n"/>
      <c r="N997" s="141" t="n"/>
      <c r="O997" s="141" t="n"/>
      <c r="P997" s="141" t="n"/>
      <c r="Q997" s="141" t="n"/>
      <c r="R997" s="141" t="n"/>
      <c r="S997" s="141" t="n"/>
      <c r="T997" s="141" t="n"/>
      <c r="U997" s="141" t="n"/>
      <c r="V997" s="141" t="n"/>
      <c r="W997" s="141" t="n"/>
      <c r="X997" s="141" t="n"/>
      <c r="Y997" s="136" t="n"/>
      <c r="Z997" s="136" t="n"/>
      <c r="AA997" s="136" t="n"/>
      <c r="AB997" s="136" t="n"/>
      <c r="AC997" s="136" t="n"/>
      <c r="AD997" s="136" t="n"/>
      <c r="AE997" s="136" t="n"/>
      <c r="AF997" s="136" t="n"/>
      <c r="AG997" s="136" t="n"/>
      <c r="AH997" s="136" t="n"/>
      <c r="AI997" s="136" t="n"/>
      <c r="AJ997" s="136" t="n"/>
      <c r="AK997" s="136" t="n"/>
      <c r="AL997" s="136" t="n"/>
      <c r="AM997" s="136" t="n"/>
      <c r="AN997" s="136" t="n"/>
      <c r="AO997" s="136" t="n"/>
      <c r="AP997" s="136" t="n"/>
      <c r="AQ997" s="136" t="n"/>
      <c r="AR997" s="136" t="n"/>
    </row>
    <row r="998" ht="13.5" customHeight="1" s="196">
      <c r="A998" s="136" t="n"/>
      <c r="B998" s="136" t="n"/>
      <c r="C998" s="136" t="n"/>
      <c r="D998" s="141" t="n"/>
      <c r="E998" s="141" t="n"/>
      <c r="F998" s="141" t="n"/>
      <c r="G998" s="141" t="n"/>
      <c r="H998" s="141" t="n"/>
      <c r="I998" s="141" t="n"/>
      <c r="J998" s="141" t="n"/>
      <c r="K998" s="141" t="n"/>
      <c r="L998" s="141" t="n"/>
      <c r="M998" s="141" t="n"/>
      <c r="N998" s="141" t="n"/>
      <c r="O998" s="141" t="n"/>
      <c r="P998" s="141" t="n"/>
      <c r="Q998" s="141" t="n"/>
      <c r="R998" s="141" t="n"/>
      <c r="S998" s="141" t="n"/>
      <c r="T998" s="141" t="n"/>
      <c r="U998" s="141" t="n"/>
      <c r="V998" s="141" t="n"/>
      <c r="W998" s="141" t="n"/>
      <c r="X998" s="141" t="n"/>
      <c r="Y998" s="136" t="n"/>
      <c r="Z998" s="136" t="n"/>
      <c r="AA998" s="136" t="n"/>
      <c r="AB998" s="136" t="n"/>
      <c r="AC998" s="136" t="n"/>
      <c r="AD998" s="136" t="n"/>
      <c r="AE998" s="136" t="n"/>
      <c r="AF998" s="136" t="n"/>
      <c r="AG998" s="136" t="n"/>
      <c r="AH998" s="136" t="n"/>
      <c r="AI998" s="136" t="n"/>
      <c r="AJ998" s="136" t="n"/>
      <c r="AK998" s="136" t="n"/>
      <c r="AL998" s="136" t="n"/>
      <c r="AM998" s="136" t="n"/>
      <c r="AN998" s="136" t="n"/>
      <c r="AO998" s="136" t="n"/>
      <c r="AP998" s="136" t="n"/>
      <c r="AQ998" s="136" t="n"/>
      <c r="AR998" s="136" t="n"/>
    </row>
    <row r="999" ht="13.5" customHeight="1" s="196">
      <c r="A999" s="136" t="n"/>
      <c r="B999" s="136" t="n"/>
      <c r="C999" s="136" t="n"/>
      <c r="D999" s="141" t="n"/>
      <c r="E999" s="141" t="n"/>
      <c r="F999" s="141" t="n"/>
      <c r="G999" s="141" t="n"/>
      <c r="H999" s="141" t="n"/>
      <c r="I999" s="141" t="n"/>
      <c r="J999" s="141" t="n"/>
      <c r="K999" s="141" t="n"/>
      <c r="L999" s="141" t="n"/>
      <c r="M999" s="141" t="n"/>
      <c r="N999" s="141" t="n"/>
      <c r="O999" s="141" t="n"/>
      <c r="P999" s="141" t="n"/>
      <c r="Q999" s="141" t="n"/>
      <c r="R999" s="141" t="n"/>
      <c r="S999" s="141" t="n"/>
      <c r="T999" s="141" t="n"/>
      <c r="U999" s="141" t="n"/>
      <c r="V999" s="141" t="n"/>
      <c r="W999" s="141" t="n"/>
      <c r="X999" s="141" t="n"/>
      <c r="Y999" s="136" t="n"/>
      <c r="Z999" s="136" t="n"/>
      <c r="AA999" s="136" t="n"/>
      <c r="AB999" s="136" t="n"/>
      <c r="AC999" s="136" t="n"/>
      <c r="AD999" s="136" t="n"/>
      <c r="AE999" s="136" t="n"/>
      <c r="AF999" s="136" t="n"/>
      <c r="AG999" s="136" t="n"/>
      <c r="AH999" s="136" t="n"/>
      <c r="AI999" s="136" t="n"/>
      <c r="AJ999" s="136" t="n"/>
      <c r="AK999" s="136" t="n"/>
      <c r="AL999" s="136" t="n"/>
      <c r="AM999" s="136" t="n"/>
      <c r="AN999" s="136" t="n"/>
      <c r="AO999" s="136" t="n"/>
      <c r="AP999" s="136" t="n"/>
      <c r="AQ999" s="136" t="n"/>
      <c r="AR999" s="136" t="n"/>
    </row>
    <row r="1000" ht="13.5" customHeight="1" s="196">
      <c r="A1000" s="136" t="n"/>
      <c r="E1000" s="141" t="n"/>
      <c r="F1000" s="141" t="n"/>
      <c r="G1000" s="141" t="n"/>
      <c r="H1000" s="141" t="n"/>
      <c r="I1000" s="141" t="n"/>
      <c r="J1000" s="141" t="n"/>
      <c r="K1000" s="141" t="n"/>
      <c r="L1000" s="141" t="n"/>
      <c r="M1000" s="141" t="n"/>
      <c r="N1000" s="141" t="n"/>
      <c r="O1000" s="141" t="n"/>
      <c r="P1000" s="141" t="n"/>
      <c r="Q1000" s="141" t="n"/>
      <c r="R1000" s="141" t="n"/>
      <c r="S1000" s="141" t="n"/>
      <c r="T1000" s="141" t="n"/>
      <c r="U1000" s="141" t="n"/>
      <c r="V1000" s="141" t="n"/>
      <c r="W1000" s="141" t="n"/>
      <c r="X1000" s="141" t="n"/>
      <c r="Y1000" s="136" t="n"/>
      <c r="Z1000" s="136" t="n"/>
      <c r="AA1000" s="136" t="n"/>
      <c r="AB1000" s="136" t="n"/>
      <c r="AC1000" s="136" t="n"/>
      <c r="AD1000" s="136" t="n"/>
      <c r="AE1000" s="136" t="n"/>
      <c r="AF1000" s="136" t="n"/>
      <c r="AG1000" s="136" t="n"/>
      <c r="AH1000" s="136" t="n"/>
      <c r="AI1000" s="136" t="n"/>
      <c r="AJ1000" s="136" t="n"/>
      <c r="AK1000" s="136" t="n"/>
      <c r="AL1000" s="136" t="n"/>
      <c r="AM1000" s="136" t="n"/>
      <c r="AN1000" s="136" t="n"/>
      <c r="AO1000" s="136" t="n"/>
      <c r="AP1000" s="136" t="n"/>
      <c r="AQ1000" s="136" t="n"/>
      <c r="AR1000" s="136" t="n"/>
    </row>
  </sheetData>
  <mergeCells count="6">
    <mergeCell ref="V34:X34"/>
    <mergeCell ref="AJ33:AL33"/>
    <mergeCell ref="C1:D1"/>
    <mergeCell ref="B17:C17"/>
    <mergeCell ref="AK35:AM35"/>
    <mergeCell ref="B2:D2"/>
  </mergeCells>
  <conditionalFormatting sqref="A2:O2 B4:D6">
    <cfRule type="cellIs" priority="1" operator="equal" dxfId="2236">
      <formula>"N/A"</formula>
    </cfRule>
  </conditionalFormatting>
  <conditionalFormatting sqref="Y12:AD12">
    <cfRule type="cellIs" priority="5" operator="equal" dxfId="2235">
      <formula>"""N/A"""</formula>
    </cfRule>
    <cfRule type="cellIs" priority="6" operator="equal" dxfId="2236">
      <formula>"N/A"</formula>
    </cfRule>
    <cfRule type="cellIs" priority="7" operator="equal" dxfId="2235">
      <formula>"N/A"</formula>
    </cfRule>
  </conditionalFormatting>
  <conditionalFormatting sqref="AK51:AK54 AL17:AL31 AM37:AM50">
    <cfRule type="cellIs" priority="2" operator="equal" dxfId="2235">
      <formula>"""N/A"""</formula>
    </cfRule>
    <cfRule type="cellIs" priority="3" operator="equal" dxfId="2236">
      <formula>"N/A"</formula>
    </cfRule>
    <cfRule type="cellIs" priority="4" operator="equal" dxfId="2235">
      <formula>"N/A"</formula>
    </cfRule>
  </conditionalFormatting>
  <printOptions horizontalCentered="1"/>
  <pageMargins left="0.25" right="0.25" top="0.75" bottom="0.75" header="0" footer="0"/>
  <pageSetup orientation="landscape" paperSize="9"/>
  <headerFooter>
    <oddHeader/>
    <oddFooter>&amp;C&amp;P/</oddFooter>
    <evenHeader/>
    <evenFooter/>
    <firstHeader/>
    <firstFooter/>
  </headerFooter>
  <rowBreaks count="2" manualBreakCount="2">
    <brk id="69" min="0" max="16383" man="1"/>
    <brk id="31" min="0" max="16383" man="1"/>
  </rowBreaks>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2:Z79"/>
  <sheetViews>
    <sheetView zoomScale="85" zoomScaleNormal="85" workbookViewId="0">
      <selection activeCell="D3" sqref="D3:D5"/>
    </sheetView>
  </sheetViews>
  <sheetFormatPr baseColWidth="8" defaultColWidth="8.8984375" defaultRowHeight="13.8"/>
  <cols>
    <col width="1.796875" customWidth="1" style="233" min="1" max="1"/>
    <col width="12.8984375" customWidth="1" style="233" min="2" max="2"/>
    <col width="7.19921875" customWidth="1" style="233" min="3" max="3"/>
    <col width="40.796875" customWidth="1" style="233" min="4" max="4"/>
    <col width="3.796875" customWidth="1" style="234" min="5" max="5"/>
    <col width="13.796875" customWidth="1" style="234" min="6" max="20"/>
    <col width="8.8984375" customWidth="1" style="14" min="21" max="21"/>
    <col width="11" customWidth="1" style="68" min="22" max="22"/>
    <col width="8.8984375" customWidth="1" style="68" min="23" max="26"/>
    <col width="8.8984375" customWidth="1" style="14" min="27" max="27"/>
    <col width="8.8984375" customWidth="1" style="14" min="28" max="16384"/>
  </cols>
  <sheetData>
    <row r="1" ht="13.5" customHeight="1" s="196"/>
    <row r="2" ht="42" customHeight="1" s="196">
      <c r="A2" s="8" t="n"/>
      <c r="B2" s="312" t="inlineStr">
        <is>
          <t>Linux 취약점 진단 요약결과(67항목)</t>
        </is>
      </c>
      <c r="G2" s="232" t="n"/>
      <c r="H2" s="232" t="n"/>
      <c r="I2" s="232" t="n"/>
      <c r="J2" s="232" t="n"/>
      <c r="K2" s="232" t="n"/>
      <c r="L2" s="232" t="n"/>
      <c r="M2" s="232" t="n"/>
      <c r="N2" s="232" t="n"/>
      <c r="O2" s="232" t="n"/>
      <c r="P2" s="232" t="n"/>
      <c r="Q2" s="232" t="n"/>
      <c r="R2" s="232" t="n"/>
      <c r="S2" s="33" t="n"/>
      <c r="T2" s="33" t="n"/>
    </row>
    <row r="3" ht="16.5" customHeight="1" s="196">
      <c r="A3" s="9" t="n"/>
      <c r="B3" s="235" t="inlineStr">
        <is>
          <t>진단항목</t>
        </is>
      </c>
      <c r="C3" s="237" t="inlineStr">
        <is>
          <t>No.</t>
        </is>
      </c>
      <c r="D3" s="237" t="inlineStr">
        <is>
          <t>세부진단항목</t>
        </is>
      </c>
      <c r="E3" s="237" t="inlineStr">
        <is>
          <t>중요도</t>
        </is>
      </c>
      <c r="F3" s="237" t="n">
        <v>1</v>
      </c>
      <c r="G3" s="83" t="n">
        <v>2</v>
      </c>
      <c r="H3" s="83" t="n">
        <v>3</v>
      </c>
      <c r="I3" s="83" t="n">
        <v>4</v>
      </c>
      <c r="J3" s="83" t="n">
        <v>5</v>
      </c>
      <c r="K3" s="83" t="n">
        <v>6</v>
      </c>
      <c r="L3" s="83" t="n"/>
      <c r="M3" s="83" t="n"/>
      <c r="N3" s="83" t="n"/>
      <c r="O3" s="83" t="n"/>
      <c r="P3" s="83" t="n"/>
      <c r="Q3" s="83" t="n"/>
      <c r="R3" s="83" t="n"/>
      <c r="S3" s="83" t="n"/>
      <c r="T3" s="19" t="n"/>
    </row>
    <row r="4" ht="16.5" customHeight="1" s="196">
      <c r="A4" s="9" t="n"/>
      <c r="B4" s="236" t="n"/>
      <c r="C4" s="238" t="n"/>
      <c r="D4" s="238" t="n"/>
      <c r="E4" s="238" t="n"/>
      <c r="F4" s="13">
        <f>VLOOKUP(F3,'1. 진단 대상'!$B$5:$F$19,2,FALSE)</f>
        <v/>
      </c>
      <c r="G4" s="84">
        <f>VLOOKUP(G3,'1. 진단 대상'!$B$5:$F$19,2,FALSE)</f>
        <v/>
      </c>
      <c r="H4" s="84">
        <f>VLOOKUP(H3,'1. 진단 대상'!$B$5:$F$19,2,FALSE)</f>
        <v/>
      </c>
      <c r="I4" s="84">
        <f>VLOOKUP(I3,'1. 진단 대상'!$B$5:$F$19,2,FALSE)</f>
        <v/>
      </c>
      <c r="J4" s="84">
        <f>VLOOKUP(J3,'1. 진단 대상'!$B$5:$F$19,2,FALSE)</f>
        <v/>
      </c>
      <c r="K4" s="84">
        <f>VLOOKUP(K3,'1. 진단 대상'!$B$5:$F$19,2,FALSE)</f>
        <v/>
      </c>
      <c r="L4" s="84" t="n"/>
      <c r="M4" s="84" t="n"/>
      <c r="N4" s="84" t="n"/>
      <c r="O4" s="84" t="n"/>
      <c r="P4" s="84" t="n"/>
      <c r="Q4" s="84" t="n"/>
      <c r="R4" s="84" t="n"/>
      <c r="S4" s="84" t="n"/>
      <c r="T4" s="15" t="n"/>
    </row>
    <row r="5" ht="27" customHeight="1" s="196" thickBot="1">
      <c r="A5" s="9" t="n"/>
      <c r="B5" s="214" t="n"/>
      <c r="C5" s="239" t="n"/>
      <c r="D5" s="239" t="n"/>
      <c r="E5" s="239" t="n"/>
      <c r="F5" s="257">
        <f>VLOOKUP(F3,'1. 진단 대상'!$B$5:$F$19,3,FALSE)</f>
        <v/>
      </c>
      <c r="G5" s="266">
        <f>VLOOKUP(G3,'1. 진단 대상'!$B$5:$F$19,3,FALSE)</f>
        <v/>
      </c>
      <c r="H5" s="266">
        <f>VLOOKUP(H3,'1. 진단 대상'!$B$5:$F$19,3,FALSE)</f>
        <v/>
      </c>
      <c r="I5" s="266">
        <f>VLOOKUP(I3,'1. 진단 대상'!$B$5:$F$19,3,FALSE)</f>
        <v/>
      </c>
      <c r="J5" s="266">
        <f>VLOOKUP(J3,'1. 진단 대상'!$B$5:$F$19,3,FALSE)</f>
        <v/>
      </c>
      <c r="K5" s="266">
        <f>VLOOKUP(K3,'1. 진단 대상'!$B$5:$F$19,3,FALSE)</f>
        <v/>
      </c>
      <c r="L5" s="266" t="n"/>
      <c r="M5" s="266" t="n"/>
      <c r="N5" s="266" t="n"/>
      <c r="O5" s="266" t="n"/>
      <c r="P5" s="266" t="n"/>
      <c r="Q5" s="266" t="n"/>
      <c r="R5" s="266" t="n"/>
      <c r="S5" s="266" t="n"/>
      <c r="T5" s="46" t="n"/>
      <c r="U5" s="14" t="inlineStr">
        <is>
          <t> </t>
        </is>
      </c>
      <c r="V5" s="69" t="inlineStr">
        <is>
          <t>영역별점수</t>
        </is>
      </c>
      <c r="W5" s="70" t="inlineStr">
        <is>
          <t>점수</t>
        </is>
      </c>
      <c r="X5" s="70" t="inlineStr">
        <is>
          <t>양호</t>
        </is>
      </c>
      <c r="Y5" s="70" t="inlineStr">
        <is>
          <t>취약</t>
        </is>
      </c>
      <c r="Z5" s="71" t="inlineStr">
        <is>
          <t>N/A</t>
        </is>
      </c>
    </row>
    <row r="6" ht="16.5" customHeight="1" s="196" thickBot="1">
      <c r="A6" s="10" t="n"/>
      <c r="B6" s="235" t="inlineStr">
        <is>
          <t>1. 계정 관리</t>
        </is>
      </c>
      <c r="C6" s="37" t="inlineStr">
        <is>
          <t>U-01</t>
        </is>
      </c>
      <c r="D6" s="34" t="inlineStr">
        <is>
          <t>root 계정 원격 접속 제한</t>
        </is>
      </c>
      <c r="E6" s="37" t="inlineStr">
        <is>
          <t>상</t>
        </is>
      </c>
      <c r="F6" s="107">
        <f>HLOOKUP(F$3,'3-1. 진단 결과(Linux)'!$F$3:$Q$72,ROW(A4),FALSE)</f>
        <v/>
      </c>
      <c r="G6" s="107">
        <f>HLOOKUP(G$3,'3-1. 진단 결과(Linux)'!$F$3:$Q$72,ROW(A4),FALSE)</f>
        <v/>
      </c>
      <c r="H6" s="107">
        <f>HLOOKUP(H$3,'3-1. 진단 결과(Linux)'!$F$3:$Q$72,ROW(A4),FALSE)</f>
        <v/>
      </c>
      <c r="I6" s="107">
        <f>HLOOKUP(I$3,'3-1. 진단 결과(Linux)'!$F$3:$Q$72,ROW(A4),FALSE)</f>
        <v/>
      </c>
      <c r="J6" s="107">
        <f>HLOOKUP(J$3,'3-1. 진단 결과(Linux)'!$F$3:$Q$72,ROW(A4),FALSE)</f>
        <v/>
      </c>
      <c r="K6" s="107">
        <f>HLOOKUP(K$3,'3-1. 진단 결과(Linux)'!$F$3:$Q$72,ROW(A4),FALSE)</f>
        <v/>
      </c>
      <c r="L6" s="107" t="n"/>
      <c r="M6" s="107" t="n"/>
      <c r="N6" s="107" t="n"/>
      <c r="O6" s="107" t="n"/>
      <c r="P6" s="107" t="n"/>
      <c r="Q6" s="107" t="n"/>
      <c r="R6" s="107" t="n"/>
      <c r="S6" s="107" t="n"/>
      <c r="T6" s="108" t="n"/>
      <c r="V6" s="313">
        <f>IF(COUNTIF(W6:W18,"N/A")=COUNTA(W6:W18),"N/A",AVERAGE(W6:W18))</f>
        <v/>
      </c>
      <c r="W6" s="314">
        <f>IF(COUNTIF($F6:$T6,"N/A")=COUNTA($F6:$T6),"N/A",$X6/(COUNTA($F6:$T6)-$Z6))</f>
        <v/>
      </c>
      <c r="X6" s="73">
        <f>COUNTIF($F6:$T6,"양호")</f>
        <v/>
      </c>
      <c r="Y6" s="74">
        <f>COUNTIF($F6:$T6,"취약")</f>
        <v/>
      </c>
      <c r="Z6" s="75">
        <f>COUNTIF($F6:$T6,"N/A")</f>
        <v/>
      </c>
    </row>
    <row r="7" ht="16.5" customHeight="1" s="196" thickBot="1">
      <c r="A7" s="201" t="n"/>
      <c r="B7" s="236" t="n"/>
      <c r="C7" s="37" t="inlineStr">
        <is>
          <t>U-02</t>
        </is>
      </c>
      <c r="D7" s="35" t="inlineStr">
        <is>
          <t>비밀번호 관리정책 설정</t>
        </is>
      </c>
      <c r="E7" s="39" t="inlineStr">
        <is>
          <t>상</t>
        </is>
      </c>
      <c r="F7" s="30">
        <f>HLOOKUP(F$3,'3-1. 진단 결과(Linux)'!$F$3:$Q$72,ROW(A5),FALSE)</f>
        <v/>
      </c>
      <c r="G7" s="30">
        <f>HLOOKUP(G$3,'3-1. 진단 결과(Linux)'!$F$3:$Q$72,ROW(A5),FALSE)</f>
        <v/>
      </c>
      <c r="H7" s="30">
        <f>HLOOKUP(H$3,'3-1. 진단 결과(Linux)'!$F$3:$Q$72,ROW(A5),FALSE)</f>
        <v/>
      </c>
      <c r="I7" s="30">
        <f>HLOOKUP(I$3,'3-1. 진단 결과(Linux)'!$F$3:$Q$72,ROW(A5),FALSE)</f>
        <v/>
      </c>
      <c r="J7" s="30">
        <f>HLOOKUP(J$3,'3-1. 진단 결과(Linux)'!$F$3:$Q$72,ROW(A5),FALSE)</f>
        <v/>
      </c>
      <c r="K7" s="30">
        <f>HLOOKUP(K$3,'3-1. 진단 결과(Linux)'!$F$3:$Q$72,ROW(A5),FALSE)</f>
        <v/>
      </c>
      <c r="L7" s="30" t="n"/>
      <c r="M7" s="30" t="n"/>
      <c r="N7" s="30" t="n"/>
      <c r="O7" s="30" t="n"/>
      <c r="P7" s="30" t="n"/>
      <c r="Q7" s="30" t="n"/>
      <c r="R7" s="30" t="n"/>
      <c r="S7" s="30" t="n"/>
      <c r="T7" s="32" t="n"/>
      <c r="V7" s="236" t="n"/>
      <c r="W7" s="315">
        <f>IF(COUNTIF($F7:$T7,"N/A")=COUNTA($F7:$T7),"N/A",$X7/(COUNTA($F7:$T7)-$Z7))</f>
        <v/>
      </c>
      <c r="X7" s="182">
        <f>COUNTIF($F7:$T7,"양호")</f>
        <v/>
      </c>
      <c r="Y7" s="183">
        <f>COUNTIF($F7:$T7,"취약")</f>
        <v/>
      </c>
      <c r="Z7" s="184">
        <f>COUNTIF($F7:$T7,"N/A")</f>
        <v/>
      </c>
    </row>
    <row r="8" ht="16.5" customHeight="1" s="196" thickBot="1">
      <c r="A8" s="201" t="n"/>
      <c r="B8" s="236" t="n"/>
      <c r="C8" s="37" t="inlineStr">
        <is>
          <t>U-03</t>
        </is>
      </c>
      <c r="D8" s="35" t="inlineStr">
        <is>
          <t>계정 잠금 임계값 설정</t>
        </is>
      </c>
      <c r="E8" s="39" t="inlineStr">
        <is>
          <t>상</t>
        </is>
      </c>
      <c r="F8" s="30">
        <f>HLOOKUP(F$3,'3-1. 진단 결과(Linux)'!$F$3:$Q$72,ROW(A6),FALSE)</f>
        <v/>
      </c>
      <c r="G8" s="30">
        <f>HLOOKUP(G$3,'3-1. 진단 결과(Linux)'!$F$3:$Q$72,ROW(A6),FALSE)</f>
        <v/>
      </c>
      <c r="H8" s="30">
        <f>HLOOKUP(H$3,'3-1. 진단 결과(Linux)'!$F$3:$Q$72,ROW(A6),FALSE)</f>
        <v/>
      </c>
      <c r="I8" s="30">
        <f>HLOOKUP(I$3,'3-1. 진단 결과(Linux)'!$F$3:$Q$72,ROW(A6),FALSE)</f>
        <v/>
      </c>
      <c r="J8" s="30">
        <f>HLOOKUP(J$3,'3-1. 진단 결과(Linux)'!$F$3:$Q$72,ROW(A6),FALSE)</f>
        <v/>
      </c>
      <c r="K8" s="30">
        <f>HLOOKUP(K$3,'3-1. 진단 결과(Linux)'!$F$3:$Q$72,ROW(A6),FALSE)</f>
        <v/>
      </c>
      <c r="L8" s="30" t="n"/>
      <c r="M8" s="30" t="n"/>
      <c r="N8" s="30" t="n"/>
      <c r="O8" s="30" t="n"/>
      <c r="P8" s="30" t="n"/>
      <c r="Q8" s="30" t="n"/>
      <c r="R8" s="30" t="n"/>
      <c r="S8" s="30" t="n"/>
      <c r="T8" s="32" t="n"/>
      <c r="V8" s="236" t="n"/>
      <c r="W8" s="315">
        <f>IF(COUNTIF($F8:$T8,"N/A")=COUNTA($F8:$T8),"N/A",$X8/(COUNTA($F8:$T8)-$Z8))</f>
        <v/>
      </c>
      <c r="X8" s="182">
        <f>COUNTIF($F8:$T8,"양호")</f>
        <v/>
      </c>
      <c r="Y8" s="183">
        <f>COUNTIF($F8:$T8,"취약")</f>
        <v/>
      </c>
      <c r="Z8" s="184">
        <f>COUNTIF($F8:$T8,"N/A")</f>
        <v/>
      </c>
    </row>
    <row r="9" ht="16.5" customHeight="1" s="196" thickBot="1">
      <c r="A9" s="201" t="n"/>
      <c r="B9" s="236" t="n"/>
      <c r="C9" s="37" t="inlineStr">
        <is>
          <t>U-04</t>
        </is>
      </c>
      <c r="D9" s="35" t="inlineStr">
        <is>
          <t>비밀번호 파일 보호</t>
        </is>
      </c>
      <c r="E9" s="39" t="inlineStr">
        <is>
          <t>상</t>
        </is>
      </c>
      <c r="F9" s="30">
        <f>HLOOKUP(F$3,'3-1. 진단 결과(Linux)'!$F$3:$Q$72,ROW(A7),FALSE)</f>
        <v/>
      </c>
      <c r="G9" s="30">
        <f>HLOOKUP(G$3,'3-1. 진단 결과(Linux)'!$F$3:$Q$72,ROW(A7),FALSE)</f>
        <v/>
      </c>
      <c r="H9" s="30">
        <f>HLOOKUP(H$3,'3-1. 진단 결과(Linux)'!$F$3:$Q$72,ROW(A7),FALSE)</f>
        <v/>
      </c>
      <c r="I9" s="30">
        <f>HLOOKUP(I$3,'3-1. 진단 결과(Linux)'!$F$3:$Q$72,ROW(A7),FALSE)</f>
        <v/>
      </c>
      <c r="J9" s="30">
        <f>HLOOKUP(J$3,'3-1. 진단 결과(Linux)'!$F$3:$Q$72,ROW(A7),FALSE)</f>
        <v/>
      </c>
      <c r="K9" s="30">
        <f>HLOOKUP(K$3,'3-1. 진단 결과(Linux)'!$F$3:$Q$72,ROW(A7),FALSE)</f>
        <v/>
      </c>
      <c r="L9" s="30" t="n"/>
      <c r="M9" s="30" t="n"/>
      <c r="N9" s="30" t="n"/>
      <c r="O9" s="30" t="n"/>
      <c r="P9" s="30" t="n"/>
      <c r="Q9" s="30" t="n"/>
      <c r="R9" s="30" t="n"/>
      <c r="S9" s="30" t="n"/>
      <c r="T9" s="32" t="n"/>
      <c r="V9" s="236" t="n"/>
      <c r="W9" s="315">
        <f>IF(COUNTIF($F9:$T9,"N/A")=COUNTA($F9:$T9),"N/A",$X9/(COUNTA($F9:$T9)-$Z9))</f>
        <v/>
      </c>
      <c r="X9" s="182">
        <f>COUNTIF($F9:$T9,"양호")</f>
        <v/>
      </c>
      <c r="Y9" s="183">
        <f>COUNTIF($F9:$T9,"취약")</f>
        <v/>
      </c>
      <c r="Z9" s="184">
        <f>COUNTIF($F9:$T9,"N/A")</f>
        <v/>
      </c>
    </row>
    <row r="10" ht="16.5" customHeight="1" s="196" thickBot="1">
      <c r="A10" s="201" t="n"/>
      <c r="B10" s="236" t="n"/>
      <c r="C10" s="37" t="inlineStr">
        <is>
          <t>U-05</t>
        </is>
      </c>
      <c r="D10" s="35" t="inlineStr">
        <is>
          <t>root 이외의 UID가 '0' 금지</t>
        </is>
      </c>
      <c r="E10" s="39" t="inlineStr">
        <is>
          <t>상</t>
        </is>
      </c>
      <c r="F10" s="30">
        <f>HLOOKUP(F$3,'3-1. 진단 결과(Linux)'!$F$3:$Q$72,ROW(A8),FALSE)</f>
        <v/>
      </c>
      <c r="G10" s="30">
        <f>HLOOKUP(G$3,'3-1. 진단 결과(Linux)'!$F$3:$Q$72,ROW(A8),FALSE)</f>
        <v/>
      </c>
      <c r="H10" s="30">
        <f>HLOOKUP(H$3,'3-1. 진단 결과(Linux)'!$F$3:$Q$72,ROW(A8),FALSE)</f>
        <v/>
      </c>
      <c r="I10" s="30">
        <f>HLOOKUP(I$3,'3-1. 진단 결과(Linux)'!$F$3:$Q$72,ROW(A8),FALSE)</f>
        <v/>
      </c>
      <c r="J10" s="30">
        <f>HLOOKUP(J$3,'3-1. 진단 결과(Linux)'!$F$3:$Q$72,ROW(A8),FALSE)</f>
        <v/>
      </c>
      <c r="K10" s="30">
        <f>HLOOKUP(K$3,'3-1. 진단 결과(Linux)'!$F$3:$Q$72,ROW(A8),FALSE)</f>
        <v/>
      </c>
      <c r="L10" s="30" t="n"/>
      <c r="M10" s="30" t="n"/>
      <c r="N10" s="30" t="n"/>
      <c r="O10" s="30" t="n"/>
      <c r="P10" s="30" t="n"/>
      <c r="Q10" s="30" t="n"/>
      <c r="R10" s="30" t="n"/>
      <c r="S10" s="30" t="n"/>
      <c r="T10" s="32" t="n"/>
      <c r="V10" s="236" t="n"/>
      <c r="W10" s="315">
        <f>IF(COUNTIF($F10:$T10,"N/A")=COUNTA($F10:$T10),"N/A",$X10/(COUNTA($F10:$T10)-$Z10))</f>
        <v/>
      </c>
      <c r="X10" s="182">
        <f>COUNTIF($F10:$T10,"양호")</f>
        <v/>
      </c>
      <c r="Y10" s="183">
        <f>COUNTIF($F10:$T10,"취약")</f>
        <v/>
      </c>
      <c r="Z10" s="184">
        <f>COUNTIF($F10:$T10,"N/A")</f>
        <v/>
      </c>
    </row>
    <row r="11" ht="16.5" customHeight="1" s="196" thickBot="1">
      <c r="A11" s="201" t="n"/>
      <c r="B11" s="236" t="n"/>
      <c r="C11" s="37" t="inlineStr">
        <is>
          <t>U-06</t>
        </is>
      </c>
      <c r="D11" s="35" t="inlineStr">
        <is>
          <t>사용자 계정 su 기능 제한</t>
        </is>
      </c>
      <c r="E11" s="39" t="inlineStr">
        <is>
          <t>상</t>
        </is>
      </c>
      <c r="F11" s="30">
        <f>HLOOKUP(F$3,'3-1. 진단 결과(Linux)'!$F$3:$Q$72,ROW(A9),FALSE)</f>
        <v/>
      </c>
      <c r="G11" s="30">
        <f>HLOOKUP(G$3,'3-1. 진단 결과(Linux)'!$F$3:$Q$72,ROW(A9),FALSE)</f>
        <v/>
      </c>
      <c r="H11" s="30">
        <f>HLOOKUP(H$3,'3-1. 진단 결과(Linux)'!$F$3:$Q$72,ROW(A9),FALSE)</f>
        <v/>
      </c>
      <c r="I11" s="30">
        <f>HLOOKUP(I$3,'3-1. 진단 결과(Linux)'!$F$3:$Q$72,ROW(A9),FALSE)</f>
        <v/>
      </c>
      <c r="J11" s="30">
        <f>HLOOKUP(J$3,'3-1. 진단 결과(Linux)'!$F$3:$Q$72,ROW(A9),FALSE)</f>
        <v/>
      </c>
      <c r="K11" s="30">
        <f>HLOOKUP(K$3,'3-1. 진단 결과(Linux)'!$F$3:$Q$72,ROW(A9),FALSE)</f>
        <v/>
      </c>
      <c r="L11" s="30" t="n"/>
      <c r="M11" s="30" t="n"/>
      <c r="N11" s="30" t="n"/>
      <c r="O11" s="30" t="n"/>
      <c r="P11" s="30" t="n"/>
      <c r="Q11" s="30" t="n"/>
      <c r="R11" s="30" t="n"/>
      <c r="S11" s="30" t="n"/>
      <c r="T11" s="32" t="n"/>
      <c r="V11" s="236" t="n"/>
      <c r="W11" s="315">
        <f>IF(COUNTIF($F11:$T11,"N/A")=COUNTA($F11:$T11),"N/A",$X11/(COUNTA($F11:$T11)-$Z11))</f>
        <v/>
      </c>
      <c r="X11" s="182">
        <f>COUNTIF($F11:$T11,"양호")</f>
        <v/>
      </c>
      <c r="Y11" s="183">
        <f>COUNTIF($F11:$T11,"취약")</f>
        <v/>
      </c>
      <c r="Z11" s="184">
        <f>COUNTIF($F11:$T11,"N/A")</f>
        <v/>
      </c>
    </row>
    <row r="12" ht="16.5" customHeight="1" s="196" thickBot="1">
      <c r="A12" s="201" t="n"/>
      <c r="B12" s="236" t="n"/>
      <c r="C12" s="37" t="inlineStr">
        <is>
          <t>U-07</t>
        </is>
      </c>
      <c r="D12" s="35" t="inlineStr">
        <is>
          <t>불필요한 계정 제거</t>
        </is>
      </c>
      <c r="E12" s="39" t="inlineStr">
        <is>
          <t>하</t>
        </is>
      </c>
      <c r="F12" s="30">
        <f>HLOOKUP(F$3,'3-1. 진단 결과(Linux)'!$F$3:$Q$72,ROW(A10),FALSE)</f>
        <v/>
      </c>
      <c r="G12" s="30">
        <f>HLOOKUP(G$3,'3-1. 진단 결과(Linux)'!$F$3:$Q$72,ROW(A10),FALSE)</f>
        <v/>
      </c>
      <c r="H12" s="30">
        <f>HLOOKUP(H$3,'3-1. 진단 결과(Linux)'!$F$3:$Q$72,ROW(A10),FALSE)</f>
        <v/>
      </c>
      <c r="I12" s="30">
        <f>HLOOKUP(I$3,'3-1. 진단 결과(Linux)'!$F$3:$Q$72,ROW(A10),FALSE)</f>
        <v/>
      </c>
      <c r="J12" s="30">
        <f>HLOOKUP(J$3,'3-1. 진단 결과(Linux)'!$F$3:$Q$72,ROW(A10),FALSE)</f>
        <v/>
      </c>
      <c r="K12" s="30">
        <f>HLOOKUP(K$3,'3-1. 진단 결과(Linux)'!$F$3:$Q$72,ROW(A10),FALSE)</f>
        <v/>
      </c>
      <c r="L12" s="30" t="n"/>
      <c r="M12" s="30" t="n"/>
      <c r="N12" s="30" t="n"/>
      <c r="O12" s="30" t="n"/>
      <c r="P12" s="30" t="n"/>
      <c r="Q12" s="30" t="n"/>
      <c r="R12" s="30" t="n"/>
      <c r="S12" s="30" t="n"/>
      <c r="T12" s="32" t="n"/>
      <c r="V12" s="236" t="n"/>
      <c r="W12" s="315">
        <f>IF(COUNTIF($F12:$T12,"N/A")=COUNTA($F12:$T12),"N/A",$X12/(COUNTA($F12:$T12)-$Z12))</f>
        <v/>
      </c>
      <c r="X12" s="182">
        <f>COUNTIF($F12:$T12,"양호")</f>
        <v/>
      </c>
      <c r="Y12" s="183">
        <f>COUNTIF($F12:$T12,"취약")</f>
        <v/>
      </c>
      <c r="Z12" s="184">
        <f>COUNTIF($F12:$T12,"N/A")</f>
        <v/>
      </c>
    </row>
    <row r="13" ht="16.5" customHeight="1" s="196" thickBot="1">
      <c r="A13" s="201" t="n"/>
      <c r="B13" s="236" t="n"/>
      <c r="C13" s="37" t="inlineStr">
        <is>
          <t>U-08</t>
        </is>
      </c>
      <c r="D13" s="35" t="inlineStr">
        <is>
          <t>관리자 그룹에 최소한의 계정 포함</t>
        </is>
      </c>
      <c r="E13" s="39" t="inlineStr">
        <is>
          <t>중</t>
        </is>
      </c>
      <c r="F13" s="30">
        <f>HLOOKUP(F$3,'3-1. 진단 결과(Linux)'!$F$3:$Q$72,ROW(A11),FALSE)</f>
        <v/>
      </c>
      <c r="G13" s="30">
        <f>HLOOKUP(G$3,'3-1. 진단 결과(Linux)'!$F$3:$Q$72,ROW(A11),FALSE)</f>
        <v/>
      </c>
      <c r="H13" s="30">
        <f>HLOOKUP(H$3,'3-1. 진단 결과(Linux)'!$F$3:$Q$72,ROW(A11),FALSE)</f>
        <v/>
      </c>
      <c r="I13" s="30">
        <f>HLOOKUP(I$3,'3-1. 진단 결과(Linux)'!$F$3:$Q$72,ROW(A11),FALSE)</f>
        <v/>
      </c>
      <c r="J13" s="30">
        <f>HLOOKUP(J$3,'3-1. 진단 결과(Linux)'!$F$3:$Q$72,ROW(A11),FALSE)</f>
        <v/>
      </c>
      <c r="K13" s="30">
        <f>HLOOKUP(K$3,'3-1. 진단 결과(Linux)'!$F$3:$Q$72,ROW(A11),FALSE)</f>
        <v/>
      </c>
      <c r="L13" s="30" t="n"/>
      <c r="M13" s="30" t="n"/>
      <c r="N13" s="30" t="n"/>
      <c r="O13" s="30" t="n"/>
      <c r="P13" s="30" t="n"/>
      <c r="Q13" s="30" t="n"/>
      <c r="R13" s="30" t="n"/>
      <c r="S13" s="30" t="n"/>
      <c r="T13" s="32" t="n"/>
      <c r="V13" s="236" t="n"/>
      <c r="W13" s="315">
        <f>IF(COUNTIF($F13:$T13,"N/A")=COUNTA($F13:$T13),"N/A",$X13/(COUNTA($F13:$T13)-$Z13))</f>
        <v/>
      </c>
      <c r="X13" s="182">
        <f>COUNTIF($F13:$T13,"양호")</f>
        <v/>
      </c>
      <c r="Y13" s="183">
        <f>COUNTIF($F13:$T13,"취약")</f>
        <v/>
      </c>
      <c r="Z13" s="184">
        <f>COUNTIF($F13:$T13,"N/A")</f>
        <v/>
      </c>
    </row>
    <row r="14" ht="16.5" customHeight="1" s="196" thickBot="1">
      <c r="A14" s="201" t="n"/>
      <c r="B14" s="236" t="n"/>
      <c r="C14" s="37" t="inlineStr">
        <is>
          <t>U-09</t>
        </is>
      </c>
      <c r="D14" s="5" t="inlineStr">
        <is>
          <t>계정이 존재하지 않는 GID 금지</t>
        </is>
      </c>
      <c r="E14" s="6" t="inlineStr">
        <is>
          <t>하</t>
        </is>
      </c>
      <c r="F14" s="115">
        <f>HLOOKUP(F$3,'3-1. 진단 결과(Linux)'!$F$3:$Q$72,ROW(A12),FALSE)</f>
        <v/>
      </c>
      <c r="G14" s="115">
        <f>HLOOKUP(G$3,'3-1. 진단 결과(Linux)'!$F$3:$Q$72,ROW(A12),FALSE)</f>
        <v/>
      </c>
      <c r="H14" s="115">
        <f>HLOOKUP(H$3,'3-1. 진단 결과(Linux)'!$F$3:$Q$72,ROW(A12),FALSE)</f>
        <v/>
      </c>
      <c r="I14" s="115">
        <f>HLOOKUP(I$3,'3-1. 진단 결과(Linux)'!$F$3:$Q$72,ROW(A12),FALSE)</f>
        <v/>
      </c>
      <c r="J14" s="115">
        <f>HLOOKUP(J$3,'3-1. 진단 결과(Linux)'!$F$3:$Q$72,ROW(A12),FALSE)</f>
        <v/>
      </c>
      <c r="K14" s="115">
        <f>HLOOKUP(K$3,'3-1. 진단 결과(Linux)'!$F$3:$Q$72,ROW(A12),FALSE)</f>
        <v/>
      </c>
      <c r="L14" s="115" t="n"/>
      <c r="M14" s="115" t="n"/>
      <c r="N14" s="115" t="n"/>
      <c r="O14" s="115" t="n"/>
      <c r="P14" s="115" t="n"/>
      <c r="Q14" s="115" t="n"/>
      <c r="R14" s="115" t="n"/>
      <c r="S14" s="115" t="n"/>
      <c r="T14" s="116" t="n"/>
      <c r="V14" s="236" t="n"/>
      <c r="W14" s="315">
        <f>IF(COUNTIF($F14:$T14,"N/A")=COUNTA($F14:$T14),"N/A",$X14/(COUNTA($F14:$T14)-$Z14))</f>
        <v/>
      </c>
      <c r="X14" s="182">
        <f>COUNTIF($F14:$T14,"양호")</f>
        <v/>
      </c>
      <c r="Y14" s="183">
        <f>COUNTIF($F14:$T14,"취약")</f>
        <v/>
      </c>
      <c r="Z14" s="184">
        <f>COUNTIF($F14:$T14,"N/A")</f>
        <v/>
      </c>
    </row>
    <row r="15" ht="16.5" customHeight="1" s="196" thickBot="1">
      <c r="A15" s="201" t="n"/>
      <c r="B15" s="236" t="n"/>
      <c r="C15" s="37" t="inlineStr">
        <is>
          <t>U-10</t>
        </is>
      </c>
      <c r="D15" s="44" t="inlineStr">
        <is>
          <t>동일한 UID 금지</t>
        </is>
      </c>
      <c r="E15" s="38" t="inlineStr">
        <is>
          <t>중</t>
        </is>
      </c>
      <c r="F15" s="30">
        <f>HLOOKUP(F$3,'3-1. 진단 결과(Linux)'!$F$3:$Q$72,ROW(A13),FALSE)</f>
        <v/>
      </c>
      <c r="G15" s="30">
        <f>HLOOKUP(G$3,'3-1. 진단 결과(Linux)'!$F$3:$Q$72,ROW(A13),FALSE)</f>
        <v/>
      </c>
      <c r="H15" s="30">
        <f>HLOOKUP(H$3,'3-1. 진단 결과(Linux)'!$F$3:$Q$72,ROW(A13),FALSE)</f>
        <v/>
      </c>
      <c r="I15" s="30">
        <f>HLOOKUP(I$3,'3-1. 진단 결과(Linux)'!$F$3:$Q$72,ROW(A13),FALSE)</f>
        <v/>
      </c>
      <c r="J15" s="30">
        <f>HLOOKUP(J$3,'3-1. 진단 결과(Linux)'!$F$3:$Q$72,ROW(A13),FALSE)</f>
        <v/>
      </c>
      <c r="K15" s="30">
        <f>HLOOKUP(K$3,'3-1. 진단 결과(Linux)'!$F$3:$Q$72,ROW(A13),FALSE)</f>
        <v/>
      </c>
      <c r="L15" s="30" t="n"/>
      <c r="M15" s="30" t="n"/>
      <c r="N15" s="30" t="n"/>
      <c r="O15" s="30" t="n"/>
      <c r="P15" s="30" t="n"/>
      <c r="Q15" s="30" t="n"/>
      <c r="R15" s="30" t="n"/>
      <c r="S15" s="30" t="n"/>
      <c r="T15" s="32" t="n"/>
      <c r="V15" s="236" t="n"/>
      <c r="W15" s="315">
        <f>IF(COUNTIF($F15:$T15,"N/A")=COUNTA($F15:$T15),"N/A",$X15/(COUNTA($F15:$T15)-$Z15))</f>
        <v/>
      </c>
      <c r="X15" s="182">
        <f>COUNTIF($F15:$T15,"양호")</f>
        <v/>
      </c>
      <c r="Y15" s="183">
        <f>COUNTIF($F15:$T15,"취약")</f>
        <v/>
      </c>
      <c r="Z15" s="184">
        <f>COUNTIF($F15:$T15,"N/A")</f>
        <v/>
      </c>
    </row>
    <row r="16" ht="16.5" customHeight="1" s="196" thickBot="1">
      <c r="A16" s="201" t="n"/>
      <c r="B16" s="236" t="n"/>
      <c r="C16" s="37" t="inlineStr">
        <is>
          <t>U-11</t>
        </is>
      </c>
      <c r="D16" s="5" t="inlineStr">
        <is>
          <t>사용자 Shell 점검</t>
        </is>
      </c>
      <c r="E16" s="6" t="inlineStr">
        <is>
          <t>하</t>
        </is>
      </c>
      <c r="F16" s="30">
        <f>HLOOKUP(F$3,'3-1. 진단 결과(Linux)'!$F$3:$Q$72,ROW(A14),FALSE)</f>
        <v/>
      </c>
      <c r="G16" s="30">
        <f>HLOOKUP(G$3,'3-1. 진단 결과(Linux)'!$F$3:$Q$72,ROW(A14),FALSE)</f>
        <v/>
      </c>
      <c r="H16" s="30">
        <f>HLOOKUP(H$3,'3-1. 진단 결과(Linux)'!$F$3:$Q$72,ROW(A14),FALSE)</f>
        <v/>
      </c>
      <c r="I16" s="30">
        <f>HLOOKUP(I$3,'3-1. 진단 결과(Linux)'!$F$3:$Q$72,ROW(A14),FALSE)</f>
        <v/>
      </c>
      <c r="J16" s="30">
        <f>HLOOKUP(J$3,'3-1. 진단 결과(Linux)'!$F$3:$Q$72,ROW(A14),FALSE)</f>
        <v/>
      </c>
      <c r="K16" s="30">
        <f>HLOOKUP(K$3,'3-1. 진단 결과(Linux)'!$F$3:$Q$72,ROW(A14),FALSE)</f>
        <v/>
      </c>
      <c r="L16" s="30" t="n"/>
      <c r="M16" s="30" t="n"/>
      <c r="N16" s="30" t="n"/>
      <c r="O16" s="30" t="n"/>
      <c r="P16" s="30" t="n"/>
      <c r="Q16" s="30" t="n"/>
      <c r="R16" s="30" t="n"/>
      <c r="S16" s="30" t="n"/>
      <c r="T16" s="32" t="n"/>
      <c r="V16" s="236" t="n"/>
      <c r="W16" s="315">
        <f>IF(COUNTIF($F16:$T16,"N/A")=COUNTA($F16:$T16),"N/A",$X16/(COUNTA($F16:$T16)-$Z16))</f>
        <v/>
      </c>
      <c r="X16" s="182">
        <f>COUNTIF($F16:$T16,"양호")</f>
        <v/>
      </c>
      <c r="Y16" s="183">
        <f>COUNTIF($F16:$T16,"취약")</f>
        <v/>
      </c>
      <c r="Z16" s="184">
        <f>COUNTIF($F16:$T16,"N/A")</f>
        <v/>
      </c>
    </row>
    <row r="17" ht="16.5" customHeight="1" s="196" thickBot="1">
      <c r="A17" s="201" t="n"/>
      <c r="B17" s="236" t="n"/>
      <c r="C17" s="37" t="inlineStr">
        <is>
          <t>U-12</t>
        </is>
      </c>
      <c r="D17" s="5" t="inlineStr">
        <is>
          <t>세션 종료 시간 설정</t>
        </is>
      </c>
      <c r="E17" s="6" t="inlineStr">
        <is>
          <t>하</t>
        </is>
      </c>
      <c r="F17" s="30">
        <f>HLOOKUP(F$3,'3-1. 진단 결과(Linux)'!$F$3:$Q$72,ROW(A15),FALSE)</f>
        <v/>
      </c>
      <c r="G17" s="30">
        <f>HLOOKUP(G$3,'3-1. 진단 결과(Linux)'!$F$3:$Q$72,ROW(A15),FALSE)</f>
        <v/>
      </c>
      <c r="H17" s="30">
        <f>HLOOKUP(H$3,'3-1. 진단 결과(Linux)'!$F$3:$Q$72,ROW(A15),FALSE)</f>
        <v/>
      </c>
      <c r="I17" s="30">
        <f>HLOOKUP(I$3,'3-1. 진단 결과(Linux)'!$F$3:$Q$72,ROW(A15),FALSE)</f>
        <v/>
      </c>
      <c r="J17" s="30">
        <f>HLOOKUP(J$3,'3-1. 진단 결과(Linux)'!$F$3:$Q$72,ROW(A15),FALSE)</f>
        <v/>
      </c>
      <c r="K17" s="30">
        <f>HLOOKUP(K$3,'3-1. 진단 결과(Linux)'!$F$3:$Q$72,ROW(A15),FALSE)</f>
        <v/>
      </c>
      <c r="L17" s="30" t="n"/>
      <c r="M17" s="30" t="n"/>
      <c r="N17" s="30" t="n"/>
      <c r="O17" s="30" t="n"/>
      <c r="P17" s="30" t="n"/>
      <c r="Q17" s="30" t="n"/>
      <c r="R17" s="30" t="n"/>
      <c r="S17" s="30" t="n"/>
      <c r="T17" s="32" t="n"/>
      <c r="V17" s="236" t="n"/>
      <c r="W17" s="315">
        <f>IF(COUNTIF($F17:$T17,"N/A")=COUNTA($F17:$T17),"N/A",$X17/(COUNTA($F17:$T17)-$Z17))</f>
        <v/>
      </c>
      <c r="X17" s="182">
        <f>COUNTIF($F17:$T17,"양호")</f>
        <v/>
      </c>
      <c r="Y17" s="183">
        <f>COUNTIF($F17:$T17,"취약")</f>
        <v/>
      </c>
      <c r="Z17" s="184">
        <f>COUNTIF($F17:$T17,"N/A")</f>
        <v/>
      </c>
    </row>
    <row r="18" ht="16.5" customHeight="1" s="196" thickBot="1">
      <c r="A18" s="201" t="n"/>
      <c r="B18" s="214" t="n"/>
      <c r="C18" s="37" t="inlineStr">
        <is>
          <t>U-13</t>
        </is>
      </c>
      <c r="D18" s="112" t="inlineStr">
        <is>
          <t>안전한 비밀번호 암호화 알고리즘 사용</t>
        </is>
      </c>
      <c r="E18" s="111" t="inlineStr">
        <is>
          <t>중</t>
        </is>
      </c>
      <c r="F18" s="113">
        <f>HLOOKUP(F$3,'3-1. 진단 결과(Linux)'!$F$3:$Q$72,ROW(A16),FALSE)</f>
        <v/>
      </c>
      <c r="G18" s="113">
        <f>HLOOKUP(G$3,'3-1. 진단 결과(Linux)'!$F$3:$Q$72,ROW(A16),FALSE)</f>
        <v/>
      </c>
      <c r="H18" s="113">
        <f>HLOOKUP(H$3,'3-1. 진단 결과(Linux)'!$F$3:$Q$72,ROW(A16),FALSE)</f>
        <v/>
      </c>
      <c r="I18" s="113">
        <f>HLOOKUP(I$3,'3-1. 진단 결과(Linux)'!$F$3:$Q$72,ROW(A16),FALSE)</f>
        <v/>
      </c>
      <c r="J18" s="113">
        <f>HLOOKUP(J$3,'3-1. 진단 결과(Linux)'!$F$3:$Q$72,ROW(A16),FALSE)</f>
        <v/>
      </c>
      <c r="K18" s="113">
        <f>HLOOKUP(K$3,'3-1. 진단 결과(Linux)'!$F$3:$Q$72,ROW(A16),FALSE)</f>
        <v/>
      </c>
      <c r="L18" s="113" t="n"/>
      <c r="M18" s="113" t="n"/>
      <c r="N18" s="113" t="n"/>
      <c r="O18" s="113" t="n"/>
      <c r="P18" s="113" t="n"/>
      <c r="Q18" s="113" t="n"/>
      <c r="R18" s="113" t="n"/>
      <c r="S18" s="113" t="n"/>
      <c r="T18" s="114" t="n"/>
      <c r="V18" s="214" t="n"/>
      <c r="W18" s="316">
        <f>IF(COUNTIF($F18:$T18,"N/A")=COUNTA($F18:$T18),"N/A",$X18/(COUNTA($F18:$T18)-$Z18))</f>
        <v/>
      </c>
      <c r="X18" s="186">
        <f>COUNTIF($F18:$T18,"양호")</f>
        <v/>
      </c>
      <c r="Y18" s="187">
        <f>COUNTIF($F18:$T18,"취약")</f>
        <v/>
      </c>
      <c r="Z18" s="188">
        <f>COUNTIF($F18:$T18,"N/A")</f>
        <v/>
      </c>
    </row>
    <row r="19" ht="16.5" customHeight="1" s="196" thickBot="1">
      <c r="A19" s="201" t="n"/>
      <c r="B19" s="317" t="inlineStr">
        <is>
          <t>2. 파일 및 
디렉토리 관리</t>
        </is>
      </c>
      <c r="C19" s="37" t="inlineStr">
        <is>
          <t>U-14</t>
        </is>
      </c>
      <c r="D19" s="190" t="inlineStr">
        <is>
          <t>root 홈, 패스 디렉터리 권한 및 패스 설정</t>
        </is>
      </c>
      <c r="E19" s="189" t="inlineStr">
        <is>
          <t>상</t>
        </is>
      </c>
      <c r="F19" s="191">
        <f>HLOOKUP(F$3,'3-1. 진단 결과(Linux)'!$F$3:$Q$72,ROW(A17),FALSE)</f>
        <v/>
      </c>
      <c r="G19" s="191">
        <f>HLOOKUP(G$3,'3-1. 진단 결과(Linux)'!$F$3:$Q$72,ROW(A17),FALSE)</f>
        <v/>
      </c>
      <c r="H19" s="191">
        <f>HLOOKUP(H$3,'3-1. 진단 결과(Linux)'!$F$3:$Q$72,ROW(A17),FALSE)</f>
        <v/>
      </c>
      <c r="I19" s="191">
        <f>HLOOKUP(I$3,'3-1. 진단 결과(Linux)'!$F$3:$Q$72,ROW(A17),FALSE)</f>
        <v/>
      </c>
      <c r="J19" s="191">
        <f>HLOOKUP(J$3,'3-1. 진단 결과(Linux)'!$F$3:$Q$72,ROW(A17),FALSE)</f>
        <v/>
      </c>
      <c r="K19" s="191">
        <f>HLOOKUP(K$3,'3-1. 진단 결과(Linux)'!$F$3:$Q$72,ROW(A17),FALSE)</f>
        <v/>
      </c>
      <c r="L19" s="191" t="n"/>
      <c r="M19" s="191" t="n"/>
      <c r="N19" s="191" t="n"/>
      <c r="O19" s="191" t="n"/>
      <c r="P19" s="191" t="n"/>
      <c r="Q19" s="191" t="n"/>
      <c r="R19" s="191" t="n"/>
      <c r="S19" s="191" t="n"/>
      <c r="T19" s="192" t="n"/>
      <c r="V19" s="250">
        <f>IF(COUNTIF(W19:W38,"N/A")=COUNTA(W19:W38),"N/A",AVERAGE(W19:W38))</f>
        <v/>
      </c>
      <c r="W19" s="314">
        <f>IF(COUNTIF($F19:$T19,"N/A")=COUNTA($F19:$T19),"N/A",$X19/(COUNTA($F19:$T19)-$Z19))</f>
        <v/>
      </c>
      <c r="X19" s="73">
        <f>COUNTIF($F19:$T19,"양호")</f>
        <v/>
      </c>
      <c r="Y19" s="74">
        <f>COUNTIF($F19:$T19,"취약")</f>
        <v/>
      </c>
      <c r="Z19" s="75">
        <f>COUNTIF($F19:$T19,"N/A")</f>
        <v/>
      </c>
    </row>
    <row r="20" ht="16.5" customHeight="1" s="196" thickBot="1">
      <c r="A20" s="201" t="n"/>
      <c r="B20" s="236" t="n"/>
      <c r="C20" s="37" t="inlineStr">
        <is>
          <t>U-15</t>
        </is>
      </c>
      <c r="D20" s="5" t="inlineStr">
        <is>
          <t>파일 및 디렉터리 소유자 설정</t>
        </is>
      </c>
      <c r="E20" s="6" t="inlineStr">
        <is>
          <t>상</t>
        </is>
      </c>
      <c r="F20" s="115">
        <f>HLOOKUP(F$3,'3-1. 진단 결과(Linux)'!$F$3:$Q$72,ROW(A18),FALSE)</f>
        <v/>
      </c>
      <c r="G20" s="115">
        <f>HLOOKUP(G$3,'3-1. 진단 결과(Linux)'!$F$3:$Q$72,ROW(A18),FALSE)</f>
        <v/>
      </c>
      <c r="H20" s="115">
        <f>HLOOKUP(H$3,'3-1. 진단 결과(Linux)'!$F$3:$Q$72,ROW(A18),FALSE)</f>
        <v/>
      </c>
      <c r="I20" s="115">
        <f>HLOOKUP(I$3,'3-1. 진단 결과(Linux)'!$F$3:$Q$72,ROW(A18),FALSE)</f>
        <v/>
      </c>
      <c r="J20" s="115">
        <f>HLOOKUP(J$3,'3-1. 진단 결과(Linux)'!$F$3:$Q$72,ROW(A18),FALSE)</f>
        <v/>
      </c>
      <c r="K20" s="115">
        <f>HLOOKUP(K$3,'3-1. 진단 결과(Linux)'!$F$3:$Q$72,ROW(A18),FALSE)</f>
        <v/>
      </c>
      <c r="L20" s="115" t="n"/>
      <c r="M20" s="115" t="n"/>
      <c r="N20" s="115" t="n"/>
      <c r="O20" s="115" t="n"/>
      <c r="P20" s="115" t="n"/>
      <c r="Q20" s="115" t="n"/>
      <c r="R20" s="115" t="n"/>
      <c r="S20" s="115" t="n"/>
      <c r="T20" s="116" t="n"/>
      <c r="V20" s="236" t="n"/>
      <c r="W20" s="315">
        <f>IF(COUNTIF($F20:$T20,"N/A")=COUNTA($F20:$T20),"N/A",$X20/(COUNTA($F20:$T20)-$Z20))</f>
        <v/>
      </c>
      <c r="X20" s="182">
        <f>COUNTIF($F20:$T20,"양호")</f>
        <v/>
      </c>
      <c r="Y20" s="183">
        <f>COUNTIF($F20:$T20,"취약")</f>
        <v/>
      </c>
      <c r="Z20" s="184">
        <f>COUNTIF($F20:$T20,"N/A")</f>
        <v/>
      </c>
    </row>
    <row r="21" ht="16.5" customHeight="1" s="196" thickBot="1">
      <c r="A21" s="201" t="n"/>
      <c r="B21" s="236" t="n"/>
      <c r="C21" s="37" t="inlineStr">
        <is>
          <t>U-16</t>
        </is>
      </c>
      <c r="D21" s="5" t="inlineStr">
        <is>
          <t>/etc/passwd 파일 소유자 및 권한 설정</t>
        </is>
      </c>
      <c r="E21" s="6" t="inlineStr">
        <is>
          <t>상</t>
        </is>
      </c>
      <c r="F21" s="115">
        <f>HLOOKUP(F$3,'3-1. 진단 결과(Linux)'!$F$3:$Q$72,ROW(A19),FALSE)</f>
        <v/>
      </c>
      <c r="G21" s="115">
        <f>HLOOKUP(G$3,'3-1. 진단 결과(Linux)'!$F$3:$Q$72,ROW(A19),FALSE)</f>
        <v/>
      </c>
      <c r="H21" s="115">
        <f>HLOOKUP(H$3,'3-1. 진단 결과(Linux)'!$F$3:$Q$72,ROW(A19),FALSE)</f>
        <v/>
      </c>
      <c r="I21" s="115">
        <f>HLOOKUP(I$3,'3-1. 진단 결과(Linux)'!$F$3:$Q$72,ROW(A19),FALSE)</f>
        <v/>
      </c>
      <c r="J21" s="115">
        <f>HLOOKUP(J$3,'3-1. 진단 결과(Linux)'!$F$3:$Q$72,ROW(A19),FALSE)</f>
        <v/>
      </c>
      <c r="K21" s="115">
        <f>HLOOKUP(K$3,'3-1. 진단 결과(Linux)'!$F$3:$Q$72,ROW(A19),FALSE)</f>
        <v/>
      </c>
      <c r="L21" s="115" t="n"/>
      <c r="M21" s="115" t="n"/>
      <c r="N21" s="115" t="n"/>
      <c r="O21" s="115" t="n"/>
      <c r="P21" s="115" t="n"/>
      <c r="Q21" s="115" t="n"/>
      <c r="R21" s="115" t="n"/>
      <c r="S21" s="115" t="n"/>
      <c r="T21" s="116" t="n"/>
      <c r="V21" s="236" t="n"/>
      <c r="W21" s="315">
        <f>IF(COUNTIF($F21:$T21,"N/A")=COUNTA($F21:$T21),"N/A",$X21/(COUNTA($F21:$T21)-$Z21))</f>
        <v/>
      </c>
      <c r="X21" s="182">
        <f>COUNTIF($F21:$T21,"양호")</f>
        <v/>
      </c>
      <c r="Y21" s="183">
        <f>COUNTIF($F21:$T21,"취약")</f>
        <v/>
      </c>
      <c r="Z21" s="184">
        <f>COUNTIF($F21:$T21,"N/A")</f>
        <v/>
      </c>
    </row>
    <row r="22" ht="16.5" customHeight="1" s="196" thickBot="1">
      <c r="A22" s="201" t="n"/>
      <c r="B22" s="236" t="n"/>
      <c r="C22" s="37" t="inlineStr">
        <is>
          <t>U-17</t>
        </is>
      </c>
      <c r="D22" s="5" t="inlineStr">
        <is>
          <t>시스템 시작 스크립트 권한 설정</t>
        </is>
      </c>
      <c r="E22" s="6" t="inlineStr">
        <is>
          <t>상</t>
        </is>
      </c>
      <c r="F22" s="115">
        <f>HLOOKUP(F$3,'3-1. 진단 결과(Linux)'!$F$3:$Q$72,ROW(A20),FALSE)</f>
        <v/>
      </c>
      <c r="G22" s="115">
        <f>HLOOKUP(G$3,'3-1. 진단 결과(Linux)'!$F$3:$Q$72,ROW(A20),FALSE)</f>
        <v/>
      </c>
      <c r="H22" s="115">
        <f>HLOOKUP(H$3,'3-1. 진단 결과(Linux)'!$F$3:$Q$72,ROW(A20),FALSE)</f>
        <v/>
      </c>
      <c r="I22" s="115">
        <f>HLOOKUP(I$3,'3-1. 진단 결과(Linux)'!$F$3:$Q$72,ROW(A20),FALSE)</f>
        <v/>
      </c>
      <c r="J22" s="115">
        <f>HLOOKUP(J$3,'3-1. 진단 결과(Linux)'!$F$3:$Q$72,ROW(A20),FALSE)</f>
        <v/>
      </c>
      <c r="K22" s="115">
        <f>HLOOKUP(K$3,'3-1. 진단 결과(Linux)'!$F$3:$Q$72,ROW(A20),FALSE)</f>
        <v/>
      </c>
      <c r="L22" s="115" t="n"/>
      <c r="M22" s="115" t="n"/>
      <c r="N22" s="115" t="n"/>
      <c r="O22" s="115" t="n"/>
      <c r="P22" s="115" t="n"/>
      <c r="Q22" s="115" t="n"/>
      <c r="R22" s="115" t="n"/>
      <c r="S22" s="115" t="n"/>
      <c r="T22" s="116" t="n"/>
      <c r="V22" s="236" t="n"/>
      <c r="W22" s="315">
        <f>IF(COUNTIF($F22:$T22,"N/A")=COUNTA($F22:$T22),"N/A",$X22/(COUNTA($F22:$T22)-$Z22))</f>
        <v/>
      </c>
      <c r="X22" s="182">
        <f>COUNTIF($F22:$T22,"양호")</f>
        <v/>
      </c>
      <c r="Y22" s="183">
        <f>COUNTIF($F22:$T22,"취약")</f>
        <v/>
      </c>
      <c r="Z22" s="184">
        <f>COUNTIF($F22:$T22,"N/A")</f>
        <v/>
      </c>
    </row>
    <row r="23" ht="16.5" customHeight="1" s="196" thickBot="1">
      <c r="A23" s="201" t="n"/>
      <c r="B23" s="236" t="n"/>
      <c r="C23" s="37" t="inlineStr">
        <is>
          <t>U-18</t>
        </is>
      </c>
      <c r="D23" s="5" t="inlineStr">
        <is>
          <t>/etc/shadow 파일 소유자 및 권한 설정</t>
        </is>
      </c>
      <c r="E23" s="6" t="inlineStr">
        <is>
          <t>상</t>
        </is>
      </c>
      <c r="F23" s="115">
        <f>HLOOKUP(F$3,'3-1. 진단 결과(Linux)'!$F$3:$Q$72,ROW(A21),FALSE)</f>
        <v/>
      </c>
      <c r="G23" s="115">
        <f>HLOOKUP(G$3,'3-1. 진단 결과(Linux)'!$F$3:$Q$72,ROW(A21),FALSE)</f>
        <v/>
      </c>
      <c r="H23" s="115">
        <f>HLOOKUP(H$3,'3-1. 진단 결과(Linux)'!$F$3:$Q$72,ROW(A21),FALSE)</f>
        <v/>
      </c>
      <c r="I23" s="115">
        <f>HLOOKUP(I$3,'3-1. 진단 결과(Linux)'!$F$3:$Q$72,ROW(A21),FALSE)</f>
        <v/>
      </c>
      <c r="J23" s="115">
        <f>HLOOKUP(J$3,'3-1. 진단 결과(Linux)'!$F$3:$Q$72,ROW(A21),FALSE)</f>
        <v/>
      </c>
      <c r="K23" s="115">
        <f>HLOOKUP(K$3,'3-1. 진단 결과(Linux)'!$F$3:$Q$72,ROW(A21),FALSE)</f>
        <v/>
      </c>
      <c r="L23" s="115" t="n"/>
      <c r="M23" s="115" t="n"/>
      <c r="N23" s="115" t="n"/>
      <c r="O23" s="115" t="n"/>
      <c r="P23" s="115" t="n"/>
      <c r="Q23" s="115" t="n"/>
      <c r="R23" s="115" t="n"/>
      <c r="S23" s="115" t="n"/>
      <c r="T23" s="116" t="n"/>
      <c r="V23" s="236" t="n"/>
      <c r="W23" s="315">
        <f>IF(COUNTIF($F23:$T23,"N/A")=COUNTA($F23:$T23),"N/A",$X23/(COUNTA($F23:$T23)-$Z23))</f>
        <v/>
      </c>
      <c r="X23" s="182">
        <f>COUNTIF($F23:$T23,"양호")</f>
        <v/>
      </c>
      <c r="Y23" s="183">
        <f>COUNTIF($F23:$T23,"취약")</f>
        <v/>
      </c>
      <c r="Z23" s="184">
        <f>COUNTIF($F23:$T23,"N/A")</f>
        <v/>
      </c>
    </row>
    <row r="24" ht="16.5" customHeight="1" s="196" thickBot="1">
      <c r="A24" s="201" t="n"/>
      <c r="B24" s="236" t="n"/>
      <c r="C24" s="37" t="inlineStr">
        <is>
          <t>U-19</t>
        </is>
      </c>
      <c r="D24" s="5" t="inlineStr">
        <is>
          <t>/etc/hosts 파일 소유자 및 권한 설정</t>
        </is>
      </c>
      <c r="E24" s="6" t="inlineStr">
        <is>
          <t>상</t>
        </is>
      </c>
      <c r="F24" s="115">
        <f>HLOOKUP(F$3,'3-1. 진단 결과(Linux)'!$F$3:$Q$72,ROW(A22),FALSE)</f>
        <v/>
      </c>
      <c r="G24" s="115">
        <f>HLOOKUP(G$3,'3-1. 진단 결과(Linux)'!$F$3:$Q$72,ROW(A22),FALSE)</f>
        <v/>
      </c>
      <c r="H24" s="115">
        <f>HLOOKUP(H$3,'3-1. 진단 결과(Linux)'!$F$3:$Q$72,ROW(A22),FALSE)</f>
        <v/>
      </c>
      <c r="I24" s="115">
        <f>HLOOKUP(I$3,'3-1. 진단 결과(Linux)'!$F$3:$Q$72,ROW(A22),FALSE)</f>
        <v/>
      </c>
      <c r="J24" s="115">
        <f>HLOOKUP(J$3,'3-1. 진단 결과(Linux)'!$F$3:$Q$72,ROW(A22),FALSE)</f>
        <v/>
      </c>
      <c r="K24" s="115">
        <f>HLOOKUP(K$3,'3-1. 진단 결과(Linux)'!$F$3:$Q$72,ROW(A22),FALSE)</f>
        <v/>
      </c>
      <c r="L24" s="115" t="n"/>
      <c r="M24" s="115" t="n"/>
      <c r="N24" s="115" t="n"/>
      <c r="O24" s="115" t="n"/>
      <c r="P24" s="115" t="n"/>
      <c r="Q24" s="115" t="n"/>
      <c r="R24" s="115" t="n"/>
      <c r="S24" s="115" t="n"/>
      <c r="T24" s="116" t="n"/>
      <c r="V24" s="236" t="n"/>
      <c r="W24" s="315">
        <f>IF(COUNTIF($F24:$T24,"N/A")=COUNTA($F24:$T24),"N/A",$X24/(COUNTA($F24:$T24)-$Z24))</f>
        <v/>
      </c>
      <c r="X24" s="182">
        <f>COUNTIF($F24:$T24,"양호")</f>
        <v/>
      </c>
      <c r="Y24" s="183">
        <f>COUNTIF($F24:$T24,"취약")</f>
        <v/>
      </c>
      <c r="Z24" s="184">
        <f>COUNTIF($F24:$T24,"N/A")</f>
        <v/>
      </c>
    </row>
    <row r="25" ht="16.5" customHeight="1" s="196" thickBot="1">
      <c r="A25" s="201" t="n"/>
      <c r="B25" s="236" t="n"/>
      <c r="C25" s="37" t="inlineStr">
        <is>
          <t>U-20</t>
        </is>
      </c>
      <c r="D25" s="5" t="inlineStr">
        <is>
          <t>/etc/(x)inetd.conf 파일 소유자 및 권한 설정</t>
        </is>
      </c>
      <c r="E25" s="6" t="inlineStr">
        <is>
          <t>상</t>
        </is>
      </c>
      <c r="F25" s="115">
        <f>HLOOKUP(F$3,'3-1. 진단 결과(Linux)'!$F$3:$Q$72,ROW(A23),FALSE)</f>
        <v/>
      </c>
      <c r="G25" s="115">
        <f>HLOOKUP(G$3,'3-1. 진단 결과(Linux)'!$F$3:$Q$72,ROW(A23),FALSE)</f>
        <v/>
      </c>
      <c r="H25" s="115">
        <f>HLOOKUP(H$3,'3-1. 진단 결과(Linux)'!$F$3:$Q$72,ROW(A23),FALSE)</f>
        <v/>
      </c>
      <c r="I25" s="115">
        <f>HLOOKUP(I$3,'3-1. 진단 결과(Linux)'!$F$3:$Q$72,ROW(A23),FALSE)</f>
        <v/>
      </c>
      <c r="J25" s="115">
        <f>HLOOKUP(J$3,'3-1. 진단 결과(Linux)'!$F$3:$Q$72,ROW(A23),FALSE)</f>
        <v/>
      </c>
      <c r="K25" s="115">
        <f>HLOOKUP(K$3,'3-1. 진단 결과(Linux)'!$F$3:$Q$72,ROW(A23),FALSE)</f>
        <v/>
      </c>
      <c r="L25" s="115" t="n"/>
      <c r="M25" s="115" t="n"/>
      <c r="N25" s="115" t="n"/>
      <c r="O25" s="115" t="n"/>
      <c r="P25" s="115" t="n"/>
      <c r="Q25" s="115" t="n"/>
      <c r="R25" s="115" t="n"/>
      <c r="S25" s="115" t="n"/>
      <c r="T25" s="116" t="n"/>
      <c r="V25" s="236" t="n"/>
      <c r="W25" s="315">
        <f>IF(COUNTIF($F25:$T25,"N/A")=COUNTA($F25:$T25),"N/A",$X25/(COUNTA($F25:$T25)-$Z25))</f>
        <v/>
      </c>
      <c r="X25" s="182">
        <f>COUNTIF($F25:$T25,"양호")</f>
        <v/>
      </c>
      <c r="Y25" s="183">
        <f>COUNTIF($F25:$T25,"취약")</f>
        <v/>
      </c>
      <c r="Z25" s="184">
        <f>COUNTIF($F25:$T25,"N/A")</f>
        <v/>
      </c>
    </row>
    <row r="26" ht="16.5" customHeight="1" s="196" thickBot="1">
      <c r="A26" s="201" t="n"/>
      <c r="B26" s="236" t="n"/>
      <c r="C26" s="37" t="inlineStr">
        <is>
          <t>U-21</t>
        </is>
      </c>
      <c r="D26" s="5" t="inlineStr">
        <is>
          <t>/etc/(r)syslog.conf 파일 소유자 및 권한 설정</t>
        </is>
      </c>
      <c r="E26" s="6" t="inlineStr">
        <is>
          <t>상</t>
        </is>
      </c>
      <c r="F26" s="115">
        <f>HLOOKUP(F$3,'3-1. 진단 결과(Linux)'!$F$3:$Q$72,ROW(A24),FALSE)</f>
        <v/>
      </c>
      <c r="G26" s="115">
        <f>HLOOKUP(G$3,'3-1. 진단 결과(Linux)'!$F$3:$Q$72,ROW(A24),FALSE)</f>
        <v/>
      </c>
      <c r="H26" s="115">
        <f>HLOOKUP(H$3,'3-1. 진단 결과(Linux)'!$F$3:$Q$72,ROW(A24),FALSE)</f>
        <v/>
      </c>
      <c r="I26" s="115">
        <f>HLOOKUP(I$3,'3-1. 진단 결과(Linux)'!$F$3:$Q$72,ROW(A24),FALSE)</f>
        <v/>
      </c>
      <c r="J26" s="115">
        <f>HLOOKUP(J$3,'3-1. 진단 결과(Linux)'!$F$3:$Q$72,ROW(A24),FALSE)</f>
        <v/>
      </c>
      <c r="K26" s="115">
        <f>HLOOKUP(K$3,'3-1. 진단 결과(Linux)'!$F$3:$Q$72,ROW(A24),FALSE)</f>
        <v/>
      </c>
      <c r="L26" s="115" t="n"/>
      <c r="M26" s="115" t="n"/>
      <c r="N26" s="115" t="n"/>
      <c r="O26" s="115" t="n"/>
      <c r="P26" s="115" t="n"/>
      <c r="Q26" s="115" t="n"/>
      <c r="R26" s="115" t="n"/>
      <c r="S26" s="115" t="n"/>
      <c r="T26" s="116" t="n"/>
      <c r="V26" s="236" t="n"/>
      <c r="W26" s="315">
        <f>IF(COUNTIF($F26:$T26,"N/A")=COUNTA($F26:$T26),"N/A",$X26/(COUNTA($F26:$T26)-$Z26))</f>
        <v/>
      </c>
      <c r="X26" s="182">
        <f>COUNTIF($F26:$T26,"양호")</f>
        <v/>
      </c>
      <c r="Y26" s="183">
        <f>COUNTIF($F26:$T26,"취약")</f>
        <v/>
      </c>
      <c r="Z26" s="184">
        <f>COUNTIF($F26:$T26,"N/A")</f>
        <v/>
      </c>
    </row>
    <row r="27" ht="16.5" customHeight="1" s="196" thickBot="1">
      <c r="A27" s="201" t="n"/>
      <c r="B27" s="236" t="n"/>
      <c r="C27" s="37" t="inlineStr">
        <is>
          <t>U-22</t>
        </is>
      </c>
      <c r="D27" s="5" t="inlineStr">
        <is>
          <t>/etc/services 파일 소유자 및 권한 설정</t>
        </is>
      </c>
      <c r="E27" s="6" t="inlineStr">
        <is>
          <t>상</t>
        </is>
      </c>
      <c r="F27" s="115">
        <f>HLOOKUP(F$3,'3-1. 진단 결과(Linux)'!$F$3:$Q$72,ROW(A25),FALSE)</f>
        <v/>
      </c>
      <c r="G27" s="115">
        <f>HLOOKUP(G$3,'3-1. 진단 결과(Linux)'!$F$3:$Q$72,ROW(A25),FALSE)</f>
        <v/>
      </c>
      <c r="H27" s="115">
        <f>HLOOKUP(H$3,'3-1. 진단 결과(Linux)'!$F$3:$Q$72,ROW(A25),FALSE)</f>
        <v/>
      </c>
      <c r="I27" s="115">
        <f>HLOOKUP(I$3,'3-1. 진단 결과(Linux)'!$F$3:$Q$72,ROW(A25),FALSE)</f>
        <v/>
      </c>
      <c r="J27" s="115">
        <f>HLOOKUP(J$3,'3-1. 진단 결과(Linux)'!$F$3:$Q$72,ROW(A25),FALSE)</f>
        <v/>
      </c>
      <c r="K27" s="115">
        <f>HLOOKUP(K$3,'3-1. 진단 결과(Linux)'!$F$3:$Q$72,ROW(A25),FALSE)</f>
        <v/>
      </c>
      <c r="L27" s="115" t="n"/>
      <c r="M27" s="115" t="n"/>
      <c r="N27" s="115" t="n"/>
      <c r="O27" s="115" t="n"/>
      <c r="P27" s="115" t="n"/>
      <c r="Q27" s="115" t="n"/>
      <c r="R27" s="115" t="n"/>
      <c r="S27" s="115" t="n"/>
      <c r="T27" s="116" t="n"/>
      <c r="V27" s="236" t="n"/>
      <c r="W27" s="315">
        <f>IF(COUNTIF($F27:$T27,"N/A")=COUNTA($F27:$T27),"N/A",$X27/(COUNTA($F27:$T27)-$Z27))</f>
        <v/>
      </c>
      <c r="X27" s="182">
        <f>COUNTIF($F27:$T27,"양호")</f>
        <v/>
      </c>
      <c r="Y27" s="183">
        <f>COUNTIF($F27:$T27,"취약")</f>
        <v/>
      </c>
      <c r="Z27" s="184">
        <f>COUNTIF($F27:$T27,"N/A")</f>
        <v/>
      </c>
    </row>
    <row r="28" ht="16.5" customHeight="1" s="196" thickBot="1">
      <c r="A28" s="201" t="n"/>
      <c r="B28" s="236" t="n"/>
      <c r="C28" s="37" t="inlineStr">
        <is>
          <t>U-23</t>
        </is>
      </c>
      <c r="D28" s="5" t="inlineStr">
        <is>
          <t>SUID, SGID, Sticky bit 설정 파일 점검</t>
        </is>
      </c>
      <c r="E28" s="6" t="inlineStr">
        <is>
          <t>상</t>
        </is>
      </c>
      <c r="F28" s="115">
        <f>HLOOKUP(F$3,'3-1. 진단 결과(Linux)'!$F$3:$Q$72,ROW(A26),FALSE)</f>
        <v/>
      </c>
      <c r="G28" s="115">
        <f>HLOOKUP(G$3,'3-1. 진단 결과(Linux)'!$F$3:$Q$72,ROW(A26),FALSE)</f>
        <v/>
      </c>
      <c r="H28" s="115">
        <f>HLOOKUP(H$3,'3-1. 진단 결과(Linux)'!$F$3:$Q$72,ROW(A26),FALSE)</f>
        <v/>
      </c>
      <c r="I28" s="115">
        <f>HLOOKUP(I$3,'3-1. 진단 결과(Linux)'!$F$3:$Q$72,ROW(A26),FALSE)</f>
        <v/>
      </c>
      <c r="J28" s="115">
        <f>HLOOKUP(J$3,'3-1. 진단 결과(Linux)'!$F$3:$Q$72,ROW(A26),FALSE)</f>
        <v/>
      </c>
      <c r="K28" s="115">
        <f>HLOOKUP(K$3,'3-1. 진단 결과(Linux)'!$F$3:$Q$72,ROW(A26),FALSE)</f>
        <v/>
      </c>
      <c r="L28" s="115" t="n"/>
      <c r="M28" s="115" t="n"/>
      <c r="N28" s="115" t="n"/>
      <c r="O28" s="115" t="n"/>
      <c r="P28" s="115" t="n"/>
      <c r="Q28" s="115" t="n"/>
      <c r="R28" s="115" t="n"/>
      <c r="S28" s="115" t="n"/>
      <c r="T28" s="116" t="n"/>
      <c r="V28" s="236" t="n"/>
      <c r="W28" s="315">
        <f>IF(COUNTIF($F28:$T28,"N/A")=COUNTA($F28:$T28),"N/A",$X28/(COUNTA($F28:$T28)-$Z28))</f>
        <v/>
      </c>
      <c r="X28" s="182">
        <f>COUNTIF($F28:$T28,"양호")</f>
        <v/>
      </c>
      <c r="Y28" s="183">
        <f>COUNTIF($F28:$T28,"취약")</f>
        <v/>
      </c>
      <c r="Z28" s="184">
        <f>COUNTIF($F28:$T28,"N/A")</f>
        <v/>
      </c>
    </row>
    <row r="29" ht="16.5" customHeight="1" s="196" thickBot="1">
      <c r="A29" s="201" t="n"/>
      <c r="B29" s="236" t="n"/>
      <c r="C29" s="37" t="inlineStr">
        <is>
          <t>U-24</t>
        </is>
      </c>
      <c r="D29" s="5" t="inlineStr">
        <is>
          <t>사용자, 시스템 환경변수 파일 소유자 및 권한 설정</t>
        </is>
      </c>
      <c r="E29" s="6" t="inlineStr">
        <is>
          <t>상</t>
        </is>
      </c>
      <c r="F29" s="115">
        <f>HLOOKUP(F$3,'3-1. 진단 결과(Linux)'!$F$3:$Q$72,ROW(A27),FALSE)</f>
        <v/>
      </c>
      <c r="G29" s="115">
        <f>HLOOKUP(G$3,'3-1. 진단 결과(Linux)'!$F$3:$Q$72,ROW(A27),FALSE)</f>
        <v/>
      </c>
      <c r="H29" s="115">
        <f>HLOOKUP(H$3,'3-1. 진단 결과(Linux)'!$F$3:$Q$72,ROW(A27),FALSE)</f>
        <v/>
      </c>
      <c r="I29" s="115">
        <f>HLOOKUP(I$3,'3-1. 진단 결과(Linux)'!$F$3:$Q$72,ROW(A27),FALSE)</f>
        <v/>
      </c>
      <c r="J29" s="115">
        <f>HLOOKUP(J$3,'3-1. 진단 결과(Linux)'!$F$3:$Q$72,ROW(A27),FALSE)</f>
        <v/>
      </c>
      <c r="K29" s="115">
        <f>HLOOKUP(K$3,'3-1. 진단 결과(Linux)'!$F$3:$Q$72,ROW(A27),FALSE)</f>
        <v/>
      </c>
      <c r="L29" s="115" t="n"/>
      <c r="M29" s="115" t="n"/>
      <c r="N29" s="115" t="n"/>
      <c r="O29" s="115" t="n"/>
      <c r="P29" s="115" t="n"/>
      <c r="Q29" s="115" t="n"/>
      <c r="R29" s="115" t="n"/>
      <c r="S29" s="115" t="n"/>
      <c r="T29" s="116" t="n"/>
      <c r="V29" s="236" t="n"/>
      <c r="W29" s="315">
        <f>IF(COUNTIF($F29:$T29,"N/A")=COUNTA($F29:$T29),"N/A",$X29/(COUNTA($F29:$T29)-$Z29))</f>
        <v/>
      </c>
      <c r="X29" s="182">
        <f>COUNTIF($F29:$T29,"양호")</f>
        <v/>
      </c>
      <c r="Y29" s="183">
        <f>COUNTIF($F29:$T29,"취약")</f>
        <v/>
      </c>
      <c r="Z29" s="184">
        <f>COUNTIF($F29:$T29,"N/A")</f>
        <v/>
      </c>
    </row>
    <row r="30" ht="16.5" customHeight="1" s="196" thickBot="1">
      <c r="A30" s="201" t="n"/>
      <c r="B30" s="236" t="n"/>
      <c r="C30" s="37" t="inlineStr">
        <is>
          <t>U-25</t>
        </is>
      </c>
      <c r="D30" s="5" t="inlineStr">
        <is>
          <t>world writable 파일 점검</t>
        </is>
      </c>
      <c r="E30" s="6" t="inlineStr">
        <is>
          <t>상</t>
        </is>
      </c>
      <c r="F30" s="115">
        <f>HLOOKUP(F$3,'3-1. 진단 결과(Linux)'!$F$3:$Q$72,ROW(A28),FALSE)</f>
        <v/>
      </c>
      <c r="G30" s="115">
        <f>HLOOKUP(G$3,'3-1. 진단 결과(Linux)'!$F$3:$Q$72,ROW(A28),FALSE)</f>
        <v/>
      </c>
      <c r="H30" s="115">
        <f>HLOOKUP(H$3,'3-1. 진단 결과(Linux)'!$F$3:$Q$72,ROW(A28),FALSE)</f>
        <v/>
      </c>
      <c r="I30" s="115">
        <f>HLOOKUP(I$3,'3-1. 진단 결과(Linux)'!$F$3:$Q$72,ROW(A28),FALSE)</f>
        <v/>
      </c>
      <c r="J30" s="115">
        <f>HLOOKUP(J$3,'3-1. 진단 결과(Linux)'!$F$3:$Q$72,ROW(A28),FALSE)</f>
        <v/>
      </c>
      <c r="K30" s="115">
        <f>HLOOKUP(K$3,'3-1. 진단 결과(Linux)'!$F$3:$Q$72,ROW(A28),FALSE)</f>
        <v/>
      </c>
      <c r="L30" s="115" t="n"/>
      <c r="M30" s="115" t="n"/>
      <c r="N30" s="115" t="n"/>
      <c r="O30" s="115" t="n"/>
      <c r="P30" s="115" t="n"/>
      <c r="Q30" s="115" t="n"/>
      <c r="R30" s="115" t="n"/>
      <c r="S30" s="115" t="n"/>
      <c r="T30" s="116" t="n"/>
      <c r="V30" s="236" t="n"/>
      <c r="W30" s="315">
        <f>IF(COUNTIF($F30:$T30,"N/A")=COUNTA($F30:$T30),"N/A",$X30/(COUNTA($F30:$T30)-$Z30))</f>
        <v/>
      </c>
      <c r="X30" s="182">
        <f>COUNTIF($F30:$T30,"양호")</f>
        <v/>
      </c>
      <c r="Y30" s="183">
        <f>COUNTIF($F30:$T30,"취약")</f>
        <v/>
      </c>
      <c r="Z30" s="184">
        <f>COUNTIF($F30:$T30,"N/A")</f>
        <v/>
      </c>
    </row>
    <row r="31" ht="16.5" customHeight="1" s="196" thickBot="1">
      <c r="A31" s="201" t="n"/>
      <c r="B31" s="236" t="n"/>
      <c r="C31" s="37" t="inlineStr">
        <is>
          <t>U-26</t>
        </is>
      </c>
      <c r="D31" s="5" t="inlineStr">
        <is>
          <t>/dev에 존재하지 않는 device 파일 점검</t>
        </is>
      </c>
      <c r="E31" s="6" t="inlineStr">
        <is>
          <t>상</t>
        </is>
      </c>
      <c r="F31" s="115">
        <f>HLOOKUP(F$3,'3-1. 진단 결과(Linux)'!$F$3:$Q$72,ROW(A29),FALSE)</f>
        <v/>
      </c>
      <c r="G31" s="115">
        <f>HLOOKUP(G$3,'3-1. 진단 결과(Linux)'!$F$3:$Q$72,ROW(A29),FALSE)</f>
        <v/>
      </c>
      <c r="H31" s="115">
        <f>HLOOKUP(H$3,'3-1. 진단 결과(Linux)'!$F$3:$Q$72,ROW(A29),FALSE)</f>
        <v/>
      </c>
      <c r="I31" s="115">
        <f>HLOOKUP(I$3,'3-1. 진단 결과(Linux)'!$F$3:$Q$72,ROW(A29),FALSE)</f>
        <v/>
      </c>
      <c r="J31" s="115">
        <f>HLOOKUP(J$3,'3-1. 진단 결과(Linux)'!$F$3:$Q$72,ROW(A29),FALSE)</f>
        <v/>
      </c>
      <c r="K31" s="115">
        <f>HLOOKUP(K$3,'3-1. 진단 결과(Linux)'!$F$3:$Q$72,ROW(A29),FALSE)</f>
        <v/>
      </c>
      <c r="L31" s="115" t="n"/>
      <c r="M31" s="115" t="n"/>
      <c r="N31" s="115" t="n"/>
      <c r="O31" s="115" t="n"/>
      <c r="P31" s="115" t="n"/>
      <c r="Q31" s="115" t="n"/>
      <c r="R31" s="115" t="n"/>
      <c r="S31" s="115" t="n"/>
      <c r="T31" s="116" t="n"/>
      <c r="V31" s="236" t="n"/>
      <c r="W31" s="315">
        <f>IF(COUNTIF($F31:$T31,"N/A")=COUNTA($F31:$T31),"N/A",$X31/(COUNTA($F31:$T31)-$Z31))</f>
        <v/>
      </c>
      <c r="X31" s="182">
        <f>COUNTIF($F31:$T31,"양호")</f>
        <v/>
      </c>
      <c r="Y31" s="183">
        <f>COUNTIF($F31:$T31,"취약")</f>
        <v/>
      </c>
      <c r="Z31" s="184">
        <f>COUNTIF($F31:$T31,"N/A")</f>
        <v/>
      </c>
    </row>
    <row r="32" ht="16.5" customHeight="1" s="196" thickBot="1">
      <c r="A32" s="201" t="n"/>
      <c r="B32" s="236" t="n"/>
      <c r="C32" s="37" t="inlineStr">
        <is>
          <t>U-27</t>
        </is>
      </c>
      <c r="D32" s="5" t="inlineStr">
        <is>
          <t>$HOME/.rhosts, hosts.equiv 사용 금지</t>
        </is>
      </c>
      <c r="E32" s="6" t="inlineStr">
        <is>
          <t>상</t>
        </is>
      </c>
      <c r="F32" s="115">
        <f>HLOOKUP(F$3,'3-1. 진단 결과(Linux)'!$F$3:$Q$72,ROW(A30),FALSE)</f>
        <v/>
      </c>
      <c r="G32" s="115">
        <f>HLOOKUP(G$3,'3-1. 진단 결과(Linux)'!$F$3:$Q$72,ROW(A30),FALSE)</f>
        <v/>
      </c>
      <c r="H32" s="115">
        <f>HLOOKUP(H$3,'3-1. 진단 결과(Linux)'!$F$3:$Q$72,ROW(A30),FALSE)</f>
        <v/>
      </c>
      <c r="I32" s="115">
        <f>HLOOKUP(I$3,'3-1. 진단 결과(Linux)'!$F$3:$Q$72,ROW(A30),FALSE)</f>
        <v/>
      </c>
      <c r="J32" s="115">
        <f>HLOOKUP(J$3,'3-1. 진단 결과(Linux)'!$F$3:$Q$72,ROW(A30),FALSE)</f>
        <v/>
      </c>
      <c r="K32" s="115">
        <f>HLOOKUP(K$3,'3-1. 진단 결과(Linux)'!$F$3:$Q$72,ROW(A30),FALSE)</f>
        <v/>
      </c>
      <c r="L32" s="115" t="n"/>
      <c r="M32" s="115" t="n"/>
      <c r="N32" s="115" t="n"/>
      <c r="O32" s="115" t="n"/>
      <c r="P32" s="115" t="n"/>
      <c r="Q32" s="115" t="n"/>
      <c r="R32" s="115" t="n"/>
      <c r="S32" s="115" t="n"/>
      <c r="T32" s="116" t="n"/>
      <c r="V32" s="236" t="n"/>
      <c r="W32" s="315">
        <f>IF(COUNTIF($F32:$T32,"N/A")=COUNTA($F32:$T32),"N/A",$X32/(COUNTA($F32:$T32)-$Z32))</f>
        <v/>
      </c>
      <c r="X32" s="182">
        <f>COUNTIF($F32:$T32,"양호")</f>
        <v/>
      </c>
      <c r="Y32" s="183">
        <f>COUNTIF($F32:$T32,"취약")</f>
        <v/>
      </c>
      <c r="Z32" s="184">
        <f>COUNTIF($F32:$T32,"N/A")</f>
        <v/>
      </c>
    </row>
    <row r="33" ht="16.5" customHeight="1" s="196" thickBot="1">
      <c r="A33" s="201" t="n"/>
      <c r="B33" s="236" t="n"/>
      <c r="C33" s="37" t="inlineStr">
        <is>
          <t>U-28</t>
        </is>
      </c>
      <c r="D33" s="5" t="inlineStr">
        <is>
          <t>접속 IP 및 포트 제한</t>
        </is>
      </c>
      <c r="E33" s="6" t="inlineStr">
        <is>
          <t>상</t>
        </is>
      </c>
      <c r="F33" s="115">
        <f>HLOOKUP(F$3,'3-1. 진단 결과(Linux)'!$F$3:$Q$72,ROW(A31),FALSE)</f>
        <v/>
      </c>
      <c r="G33" s="115">
        <f>HLOOKUP(G$3,'3-1. 진단 결과(Linux)'!$F$3:$Q$72,ROW(A31),FALSE)</f>
        <v/>
      </c>
      <c r="H33" s="115">
        <f>HLOOKUP(H$3,'3-1. 진단 결과(Linux)'!$F$3:$Q$72,ROW(A31),FALSE)</f>
        <v/>
      </c>
      <c r="I33" s="115">
        <f>HLOOKUP(I$3,'3-1. 진단 결과(Linux)'!$F$3:$Q$72,ROW(A31),FALSE)</f>
        <v/>
      </c>
      <c r="J33" s="115">
        <f>HLOOKUP(J$3,'3-1. 진단 결과(Linux)'!$F$3:$Q$72,ROW(A31),FALSE)</f>
        <v/>
      </c>
      <c r="K33" s="115">
        <f>HLOOKUP(K$3,'3-1. 진단 결과(Linux)'!$F$3:$Q$72,ROW(A31),FALSE)</f>
        <v/>
      </c>
      <c r="L33" s="115" t="n"/>
      <c r="M33" s="115" t="n"/>
      <c r="N33" s="115" t="n"/>
      <c r="O33" s="115" t="n"/>
      <c r="P33" s="115" t="n"/>
      <c r="Q33" s="115" t="n"/>
      <c r="R33" s="115" t="n"/>
      <c r="S33" s="115" t="n"/>
      <c r="T33" s="116" t="n"/>
      <c r="V33" s="236" t="n"/>
      <c r="W33" s="315">
        <f>IF(COUNTIF($F33:$T33,"N/A")=COUNTA($F33:$T33),"N/A",$X33/(COUNTA($F33:$T33)-$Z33))</f>
        <v/>
      </c>
      <c r="X33" s="182">
        <f>COUNTIF($F33:$T33,"양호")</f>
        <v/>
      </c>
      <c r="Y33" s="183">
        <f>COUNTIF($F33:$T33,"취약")</f>
        <v/>
      </c>
      <c r="Z33" s="184">
        <f>COUNTIF($F33:$T33,"N/A")</f>
        <v/>
      </c>
    </row>
    <row r="34" ht="16.5" customHeight="1" s="196" thickBot="1">
      <c r="A34" s="10" t="n"/>
      <c r="B34" s="236" t="n"/>
      <c r="C34" s="37" t="inlineStr">
        <is>
          <t>U-29</t>
        </is>
      </c>
      <c r="D34" s="5" t="inlineStr">
        <is>
          <t>hosts.lpd 파일 소유자 및 권한 설정</t>
        </is>
      </c>
      <c r="E34" s="6" t="inlineStr">
        <is>
          <t>하</t>
        </is>
      </c>
      <c r="F34" s="115">
        <f>HLOOKUP(F$3,'3-1. 진단 결과(Linux)'!$F$3:$Q$72,ROW(A32),FALSE)</f>
        <v/>
      </c>
      <c r="G34" s="115">
        <f>HLOOKUP(G$3,'3-1. 진단 결과(Linux)'!$F$3:$Q$72,ROW(A32),FALSE)</f>
        <v/>
      </c>
      <c r="H34" s="115">
        <f>HLOOKUP(H$3,'3-1. 진단 결과(Linux)'!$F$3:$Q$72,ROW(A32),FALSE)</f>
        <v/>
      </c>
      <c r="I34" s="115">
        <f>HLOOKUP(I$3,'3-1. 진단 결과(Linux)'!$F$3:$Q$72,ROW(A32),FALSE)</f>
        <v/>
      </c>
      <c r="J34" s="115">
        <f>HLOOKUP(J$3,'3-1. 진단 결과(Linux)'!$F$3:$Q$72,ROW(A32),FALSE)</f>
        <v/>
      </c>
      <c r="K34" s="115">
        <f>HLOOKUP(K$3,'3-1. 진단 결과(Linux)'!$F$3:$Q$72,ROW(A32),FALSE)</f>
        <v/>
      </c>
      <c r="L34" s="115" t="n"/>
      <c r="M34" s="115" t="n"/>
      <c r="N34" s="115" t="n"/>
      <c r="O34" s="115" t="n"/>
      <c r="P34" s="115" t="n"/>
      <c r="Q34" s="115" t="n"/>
      <c r="R34" s="115" t="n"/>
      <c r="S34" s="115" t="n"/>
      <c r="T34" s="116" t="n"/>
      <c r="V34" s="236" t="n"/>
      <c r="W34" s="315">
        <f>IF(COUNTIF($F34:$T34,"N/A")=COUNTA($F34:$T34),"N/A",$X34/(COUNTA($F34:$T34)-$Z34))</f>
        <v/>
      </c>
      <c r="X34" s="182">
        <f>COUNTIF($F34:$T34,"양호")</f>
        <v/>
      </c>
      <c r="Y34" s="183">
        <f>COUNTIF($F34:$T34,"취약")</f>
        <v/>
      </c>
      <c r="Z34" s="184">
        <f>COUNTIF($F34:$T34,"N/A")</f>
        <v/>
      </c>
    </row>
    <row r="35" ht="16.5" customHeight="1" s="196" thickBot="1">
      <c r="A35" s="10" t="n"/>
      <c r="B35" s="236" t="n"/>
      <c r="C35" s="37" t="inlineStr">
        <is>
          <t>U-30</t>
        </is>
      </c>
      <c r="D35" s="5" t="inlineStr">
        <is>
          <t>UMASK 설정 관리</t>
        </is>
      </c>
      <c r="E35" s="6" t="inlineStr">
        <is>
          <t>중</t>
        </is>
      </c>
      <c r="F35" s="115">
        <f>HLOOKUP(F$3,'3-1. 진단 결과(Linux)'!$F$3:$Q$72,ROW(A33),FALSE)</f>
        <v/>
      </c>
      <c r="G35" s="115">
        <f>HLOOKUP(G$3,'3-1. 진단 결과(Linux)'!$F$3:$Q$72,ROW(A33),FALSE)</f>
        <v/>
      </c>
      <c r="H35" s="115">
        <f>HLOOKUP(H$3,'3-1. 진단 결과(Linux)'!$F$3:$Q$72,ROW(A33),FALSE)</f>
        <v/>
      </c>
      <c r="I35" s="115">
        <f>HLOOKUP(I$3,'3-1. 진단 결과(Linux)'!$F$3:$Q$72,ROW(A33),FALSE)</f>
        <v/>
      </c>
      <c r="J35" s="115">
        <f>HLOOKUP(J$3,'3-1. 진단 결과(Linux)'!$F$3:$Q$72,ROW(A33),FALSE)</f>
        <v/>
      </c>
      <c r="K35" s="115">
        <f>HLOOKUP(K$3,'3-1. 진단 결과(Linux)'!$F$3:$Q$72,ROW(A33),FALSE)</f>
        <v/>
      </c>
      <c r="L35" s="115" t="n"/>
      <c r="M35" s="115" t="n"/>
      <c r="N35" s="115" t="n"/>
      <c r="O35" s="115" t="n"/>
      <c r="P35" s="115" t="n"/>
      <c r="Q35" s="115" t="n"/>
      <c r="R35" s="115" t="n"/>
      <c r="S35" s="115" t="n"/>
      <c r="T35" s="116" t="n"/>
      <c r="V35" s="236" t="n"/>
      <c r="W35" s="315">
        <f>IF(COUNTIF($F35:$T35,"N/A")=COUNTA($F35:$T35),"N/A",$X35/(COUNTA($F35:$T35)-$Z35))</f>
        <v/>
      </c>
      <c r="X35" s="182">
        <f>COUNTIF($F35:$T35,"양호")</f>
        <v/>
      </c>
      <c r="Y35" s="183">
        <f>COUNTIF($F35:$T35,"취약")</f>
        <v/>
      </c>
      <c r="Z35" s="184">
        <f>COUNTIF($F35:$T35,"N/A")</f>
        <v/>
      </c>
    </row>
    <row r="36" ht="16.5" customHeight="1" s="196" thickBot="1">
      <c r="A36" s="10" t="n"/>
      <c r="B36" s="236" t="n"/>
      <c r="C36" s="37" t="inlineStr">
        <is>
          <t>U-31</t>
        </is>
      </c>
      <c r="D36" s="5" t="inlineStr">
        <is>
          <t>홈 디렉토리 소유자 및 권한 설정</t>
        </is>
      </c>
      <c r="E36" s="6" t="inlineStr">
        <is>
          <t>중</t>
        </is>
      </c>
      <c r="F36" s="115">
        <f>HLOOKUP(F$3,'3-1. 진단 결과(Linux)'!$F$3:$Q$72,ROW(A34),FALSE)</f>
        <v/>
      </c>
      <c r="G36" s="115">
        <f>HLOOKUP(G$3,'3-1. 진단 결과(Linux)'!$F$3:$Q$72,ROW(A34),FALSE)</f>
        <v/>
      </c>
      <c r="H36" s="115">
        <f>HLOOKUP(H$3,'3-1. 진단 결과(Linux)'!$F$3:$Q$72,ROW(A34),FALSE)</f>
        <v/>
      </c>
      <c r="I36" s="115">
        <f>HLOOKUP(I$3,'3-1. 진단 결과(Linux)'!$F$3:$Q$72,ROW(A34),FALSE)</f>
        <v/>
      </c>
      <c r="J36" s="115">
        <f>HLOOKUP(J$3,'3-1. 진단 결과(Linux)'!$F$3:$Q$72,ROW(A34),FALSE)</f>
        <v/>
      </c>
      <c r="K36" s="115">
        <f>HLOOKUP(K$3,'3-1. 진단 결과(Linux)'!$F$3:$Q$72,ROW(A34),FALSE)</f>
        <v/>
      </c>
      <c r="L36" s="115" t="n"/>
      <c r="M36" s="115" t="n"/>
      <c r="N36" s="115" t="n"/>
      <c r="O36" s="115" t="n"/>
      <c r="P36" s="115" t="n"/>
      <c r="Q36" s="115" t="n"/>
      <c r="R36" s="115" t="n"/>
      <c r="S36" s="115" t="n"/>
      <c r="T36" s="116" t="n"/>
      <c r="V36" s="236" t="n"/>
      <c r="W36" s="315">
        <f>IF(COUNTIF($F36:$T36,"N/A")=COUNTA($F36:$T36),"N/A",$X36/(COUNTA($F36:$T36)-$Z36))</f>
        <v/>
      </c>
      <c r="X36" s="182">
        <f>COUNTIF($F36:$T36,"양호")</f>
        <v/>
      </c>
      <c r="Y36" s="183">
        <f>COUNTIF($F36:$T36,"취약")</f>
        <v/>
      </c>
      <c r="Z36" s="184">
        <f>COUNTIF($F36:$T36,"N/A")</f>
        <v/>
      </c>
    </row>
    <row r="37" ht="16.5" customHeight="1" s="196" thickBot="1">
      <c r="A37" s="10" t="n"/>
      <c r="B37" s="236" t="n"/>
      <c r="C37" s="37" t="inlineStr">
        <is>
          <t>U-32</t>
        </is>
      </c>
      <c r="D37" s="5" t="inlineStr">
        <is>
          <t>홈 디렉토리로 지정한 디렉토리의 존재 관리</t>
        </is>
      </c>
      <c r="E37" s="6" t="inlineStr">
        <is>
          <t>중</t>
        </is>
      </c>
      <c r="F37" s="115">
        <f>HLOOKUP(F$3,'3-1. 진단 결과(Linux)'!$F$3:$Q$72,ROW(A35),FALSE)</f>
        <v/>
      </c>
      <c r="G37" s="115">
        <f>HLOOKUP(G$3,'3-1. 진단 결과(Linux)'!$F$3:$Q$72,ROW(A35),FALSE)</f>
        <v/>
      </c>
      <c r="H37" s="115">
        <f>HLOOKUP(H$3,'3-1. 진단 결과(Linux)'!$F$3:$Q$72,ROW(A35),FALSE)</f>
        <v/>
      </c>
      <c r="I37" s="115">
        <f>HLOOKUP(I$3,'3-1. 진단 결과(Linux)'!$F$3:$Q$72,ROW(A35),FALSE)</f>
        <v/>
      </c>
      <c r="J37" s="115">
        <f>HLOOKUP(J$3,'3-1. 진단 결과(Linux)'!$F$3:$Q$72,ROW(A35),FALSE)</f>
        <v/>
      </c>
      <c r="K37" s="115">
        <f>HLOOKUP(K$3,'3-1. 진단 결과(Linux)'!$F$3:$Q$72,ROW(A35),FALSE)</f>
        <v/>
      </c>
      <c r="L37" s="115" t="n"/>
      <c r="M37" s="115" t="n"/>
      <c r="N37" s="115" t="n"/>
      <c r="O37" s="115" t="n"/>
      <c r="P37" s="115" t="n"/>
      <c r="Q37" s="115" t="n"/>
      <c r="R37" s="115" t="n"/>
      <c r="S37" s="115" t="n"/>
      <c r="T37" s="116" t="n"/>
      <c r="V37" s="236" t="n"/>
      <c r="W37" s="315">
        <f>IF(COUNTIF($F37:$T37,"N/A")=COUNTA($F37:$T37),"N/A",$X37/(COUNTA($F37:$T37)-$Z37))</f>
        <v/>
      </c>
      <c r="X37" s="182">
        <f>COUNTIF($F37:$T37,"양호")</f>
        <v/>
      </c>
      <c r="Y37" s="183">
        <f>COUNTIF($F37:$T37,"취약")</f>
        <v/>
      </c>
      <c r="Z37" s="184">
        <f>COUNTIF($F37:$T37,"N/A")</f>
        <v/>
      </c>
    </row>
    <row r="38" ht="16.5" customHeight="1" s="196" thickBot="1">
      <c r="A38" s="10" t="n"/>
      <c r="B38" s="252" t="n"/>
      <c r="C38" s="37" t="inlineStr">
        <is>
          <t>U-33</t>
        </is>
      </c>
      <c r="D38" s="112" t="inlineStr">
        <is>
          <t>숨겨진 파일 및 디렉토리 검색 및 제거</t>
        </is>
      </c>
      <c r="E38" s="111" t="inlineStr">
        <is>
          <t>하</t>
        </is>
      </c>
      <c r="F38" s="113">
        <f>HLOOKUP(F$3,'3-1. 진단 결과(Linux)'!$F$3:$Q$72,ROW(A36),FALSE)</f>
        <v/>
      </c>
      <c r="G38" s="113">
        <f>HLOOKUP(G$3,'3-1. 진단 결과(Linux)'!$F$3:$Q$72,ROW(A36),FALSE)</f>
        <v/>
      </c>
      <c r="H38" s="113">
        <f>HLOOKUP(H$3,'3-1. 진단 결과(Linux)'!$F$3:$Q$72,ROW(A36),FALSE)</f>
        <v/>
      </c>
      <c r="I38" s="113">
        <f>HLOOKUP(I$3,'3-1. 진단 결과(Linux)'!$F$3:$Q$72,ROW(A36),FALSE)</f>
        <v/>
      </c>
      <c r="J38" s="113">
        <f>HLOOKUP(J$3,'3-1. 진단 결과(Linux)'!$F$3:$Q$72,ROW(A36),FALSE)</f>
        <v/>
      </c>
      <c r="K38" s="113">
        <f>HLOOKUP(K$3,'3-1. 진단 결과(Linux)'!$F$3:$Q$72,ROW(A36),FALSE)</f>
        <v/>
      </c>
      <c r="L38" s="113" t="n"/>
      <c r="M38" s="113" t="n"/>
      <c r="N38" s="113" t="n"/>
      <c r="O38" s="113" t="n"/>
      <c r="P38" s="113" t="n"/>
      <c r="Q38" s="113" t="n"/>
      <c r="R38" s="113" t="n"/>
      <c r="S38" s="113" t="n"/>
      <c r="T38" s="114" t="n"/>
      <c r="V38" s="252" t="n"/>
      <c r="W38" s="316">
        <f>IF(COUNTIF($F38:$T38,"N/A")=COUNTA($F38:$T38),"N/A",$X38/(COUNTA($F38:$T38)-$Z38))</f>
        <v/>
      </c>
      <c r="X38" s="186">
        <f>COUNTIF($F38:$T38,"양호")</f>
        <v/>
      </c>
      <c r="Y38" s="187">
        <f>COUNTIF($F38:$T38,"취약")</f>
        <v/>
      </c>
      <c r="Z38" s="188">
        <f>COUNTIF($F38:$T38,"N/A")</f>
        <v/>
      </c>
    </row>
    <row r="39" ht="16.5" customHeight="1" s="196" thickBot="1">
      <c r="A39" s="10" t="n"/>
      <c r="B39" s="247" t="inlineStr">
        <is>
          <t>3. 서비스 관리</t>
        </is>
      </c>
      <c r="C39" s="37" t="inlineStr">
        <is>
          <t>U-34</t>
        </is>
      </c>
      <c r="D39" s="44" t="inlineStr">
        <is>
          <t>Finger 서비스 비활성화</t>
        </is>
      </c>
      <c r="E39" s="38" t="inlineStr">
        <is>
          <t>상</t>
        </is>
      </c>
      <c r="F39" s="30">
        <f>HLOOKUP(F$3,'3-1. 진단 결과(Linux)'!$F$3:$Q$72,ROW(A37),FALSE)</f>
        <v/>
      </c>
      <c r="G39" s="30">
        <f>HLOOKUP(G$3,'3-1. 진단 결과(Linux)'!$F$3:$Q$72,ROW(A37),FALSE)</f>
        <v/>
      </c>
      <c r="H39" s="30">
        <f>HLOOKUP(H$3,'3-1. 진단 결과(Linux)'!$F$3:$Q$72,ROW(A37),FALSE)</f>
        <v/>
      </c>
      <c r="I39" s="30">
        <f>HLOOKUP(I$3,'3-1. 진단 결과(Linux)'!$F$3:$Q$72,ROW(A37),FALSE)</f>
        <v/>
      </c>
      <c r="J39" s="30">
        <f>HLOOKUP(J$3,'3-1. 진단 결과(Linux)'!$F$3:$Q$72,ROW(A37),FALSE)</f>
        <v/>
      </c>
      <c r="K39" s="30">
        <f>HLOOKUP(K$3,'3-1. 진단 결과(Linux)'!$F$3:$Q$72,ROW(A37),FALSE)</f>
        <v/>
      </c>
      <c r="L39" s="30" t="n"/>
      <c r="M39" s="30" t="n"/>
      <c r="N39" s="30" t="n"/>
      <c r="O39" s="30" t="n"/>
      <c r="P39" s="30" t="n"/>
      <c r="Q39" s="30" t="n"/>
      <c r="R39" s="30" t="n"/>
      <c r="S39" s="30" t="n"/>
      <c r="T39" s="32" t="n"/>
      <c r="V39" s="250">
        <f>IF(COUNTIF(W69:W69,"N/A")=COUNTA(W69:W69),"N/A",AVERAGE(W69:W69))</f>
        <v/>
      </c>
      <c r="W39" s="314">
        <f>IF(COUNTIF($F39:$T39,"N/A")=COUNTA($F39:$T39),"N/A",$X39/(COUNTA($F39:$T39)-$Z39))</f>
        <v/>
      </c>
      <c r="X39" s="73">
        <f>COUNTIF($F39:$T39,"양호")</f>
        <v/>
      </c>
      <c r="Y39" s="74">
        <f>COUNTIF($F39:$T39,"취약")</f>
        <v/>
      </c>
      <c r="Z39" s="75">
        <f>COUNTIF($F39:$T39,"N/A")</f>
        <v/>
      </c>
    </row>
    <row r="40" ht="16.5" customHeight="1" s="196" thickBot="1">
      <c r="A40" s="10" t="n"/>
      <c r="B40" s="236" t="n"/>
      <c r="C40" s="37" t="inlineStr">
        <is>
          <t>U-35</t>
        </is>
      </c>
      <c r="D40" s="5" t="inlineStr">
        <is>
          <t>공유 서비스에 대한 익명 접근 제한 설정</t>
        </is>
      </c>
      <c r="E40" s="6" t="inlineStr">
        <is>
          <t>상</t>
        </is>
      </c>
      <c r="F40" s="30">
        <f>HLOOKUP(F$3,'3-1. 진단 결과(Linux)'!$F$3:$Q$72,ROW(A38),FALSE)</f>
        <v/>
      </c>
      <c r="G40" s="30">
        <f>HLOOKUP(G$3,'3-1. 진단 결과(Linux)'!$F$3:$Q$72,ROW(A38),FALSE)</f>
        <v/>
      </c>
      <c r="H40" s="30">
        <f>HLOOKUP(H$3,'3-1. 진단 결과(Linux)'!$F$3:$Q$72,ROW(A38),FALSE)</f>
        <v/>
      </c>
      <c r="I40" s="30">
        <f>HLOOKUP(I$3,'3-1. 진단 결과(Linux)'!$F$3:$Q$72,ROW(A38),FALSE)</f>
        <v/>
      </c>
      <c r="J40" s="30">
        <f>HLOOKUP(J$3,'3-1. 진단 결과(Linux)'!$F$3:$Q$72,ROW(A38),FALSE)</f>
        <v/>
      </c>
      <c r="K40" s="30">
        <f>HLOOKUP(K$3,'3-1. 진단 결과(Linux)'!$F$3:$Q$72,ROW(A38),FALSE)</f>
        <v/>
      </c>
      <c r="L40" s="30" t="n"/>
      <c r="M40" s="30" t="n"/>
      <c r="N40" s="30" t="n"/>
      <c r="O40" s="30" t="n"/>
      <c r="P40" s="30" t="n"/>
      <c r="Q40" s="30" t="n"/>
      <c r="R40" s="30" t="n"/>
      <c r="S40" s="30" t="n"/>
      <c r="T40" s="32" t="n"/>
      <c r="V40" s="236" t="n"/>
      <c r="W40" s="315">
        <f>IF(COUNTIF($F40:$T40,"N/A")=COUNTA($F40:$T40),"N/A",$X40/(COUNTA($F40:$T40)-$Z40))</f>
        <v/>
      </c>
      <c r="X40" s="182">
        <f>COUNTIF($F40:$T40,"양호")</f>
        <v/>
      </c>
      <c r="Y40" s="183">
        <f>COUNTIF($F40:$T40,"취약")</f>
        <v/>
      </c>
      <c r="Z40" s="184">
        <f>COUNTIF($F40:$T40,"N/A")</f>
        <v/>
      </c>
    </row>
    <row r="41" ht="16.5" customHeight="1" s="196" thickBot="1">
      <c r="A41" s="10" t="n"/>
      <c r="B41" s="236" t="n"/>
      <c r="C41" s="37" t="inlineStr">
        <is>
          <t>U-36</t>
        </is>
      </c>
      <c r="D41" s="5" t="inlineStr">
        <is>
          <t>r 계열 서비스 비활성화</t>
        </is>
      </c>
      <c r="E41" s="6" t="inlineStr">
        <is>
          <t>상</t>
        </is>
      </c>
      <c r="F41" s="30">
        <f>HLOOKUP(F$3,'3-1. 진단 결과(Linux)'!$F$3:$Q$72,ROW(A39),FALSE)</f>
        <v/>
      </c>
      <c r="G41" s="30">
        <f>HLOOKUP(G$3,'3-1. 진단 결과(Linux)'!$F$3:$Q$72,ROW(A39),FALSE)</f>
        <v/>
      </c>
      <c r="H41" s="30">
        <f>HLOOKUP(H$3,'3-1. 진단 결과(Linux)'!$F$3:$Q$72,ROW(A39),FALSE)</f>
        <v/>
      </c>
      <c r="I41" s="30">
        <f>HLOOKUP(I$3,'3-1. 진단 결과(Linux)'!$F$3:$Q$72,ROW(A39),FALSE)</f>
        <v/>
      </c>
      <c r="J41" s="30">
        <f>HLOOKUP(J$3,'3-1. 진단 결과(Linux)'!$F$3:$Q$72,ROW(A39),FALSE)</f>
        <v/>
      </c>
      <c r="K41" s="30">
        <f>HLOOKUP(K$3,'3-1. 진단 결과(Linux)'!$F$3:$Q$72,ROW(A39),FALSE)</f>
        <v/>
      </c>
      <c r="L41" s="30" t="n"/>
      <c r="M41" s="30" t="n"/>
      <c r="N41" s="30" t="n"/>
      <c r="O41" s="30" t="n"/>
      <c r="P41" s="30" t="n"/>
      <c r="Q41" s="30" t="n"/>
      <c r="R41" s="30" t="n"/>
      <c r="S41" s="30" t="n"/>
      <c r="T41" s="32" t="n"/>
      <c r="V41" s="236" t="n"/>
      <c r="W41" s="315">
        <f>IF(COUNTIF($F41:$T41,"N/A")=COUNTA($F41:$T41),"N/A",$X41/(COUNTA($F41:$T41)-$Z41))</f>
        <v/>
      </c>
      <c r="X41" s="182">
        <f>COUNTIF($F41:$T41,"양호")</f>
        <v/>
      </c>
      <c r="Y41" s="183">
        <f>COUNTIF($F41:$T41,"취약")</f>
        <v/>
      </c>
      <c r="Z41" s="184">
        <f>COUNTIF($F41:$T41,"N/A")</f>
        <v/>
      </c>
    </row>
    <row r="42" ht="16.5" customHeight="1" s="196" thickBot="1">
      <c r="A42" s="10" t="n"/>
      <c r="B42" s="236" t="n"/>
      <c r="C42" s="37" t="inlineStr">
        <is>
          <t>U-37</t>
        </is>
      </c>
      <c r="D42" s="5" t="inlineStr">
        <is>
          <t>crontab 설정파일 권한 설정 미흡</t>
        </is>
      </c>
      <c r="E42" s="6" t="inlineStr">
        <is>
          <t>상</t>
        </is>
      </c>
      <c r="F42" s="115">
        <f>HLOOKUP(F$3,'3-1. 진단 결과(Linux)'!$F$3:$Q$72,ROW(A40),FALSE)</f>
        <v/>
      </c>
      <c r="G42" s="115">
        <f>HLOOKUP(G$3,'3-1. 진단 결과(Linux)'!$F$3:$Q$72,ROW(A40),FALSE)</f>
        <v/>
      </c>
      <c r="H42" s="115">
        <f>HLOOKUP(H$3,'3-1. 진단 결과(Linux)'!$F$3:$Q$72,ROW(A40),FALSE)</f>
        <v/>
      </c>
      <c r="I42" s="115">
        <f>HLOOKUP(I$3,'3-1. 진단 결과(Linux)'!$F$3:$Q$72,ROW(A40),FALSE)</f>
        <v/>
      </c>
      <c r="J42" s="115">
        <f>HLOOKUP(J$3,'3-1. 진단 결과(Linux)'!$F$3:$Q$72,ROW(A40),FALSE)</f>
        <v/>
      </c>
      <c r="K42" s="115">
        <f>HLOOKUP(K$3,'3-1. 진단 결과(Linux)'!$F$3:$Q$72,ROW(A40),FALSE)</f>
        <v/>
      </c>
      <c r="L42" s="115" t="n"/>
      <c r="M42" s="115" t="n"/>
      <c r="N42" s="115" t="n"/>
      <c r="O42" s="115" t="n"/>
      <c r="P42" s="115" t="n"/>
      <c r="Q42" s="115" t="n"/>
      <c r="R42" s="115" t="n"/>
      <c r="S42" s="115" t="n"/>
      <c r="T42" s="116" t="n"/>
      <c r="V42" s="236" t="n"/>
      <c r="W42" s="315">
        <f>IF(COUNTIF($F42:$T42,"N/A")=COUNTA($F42:$T42),"N/A",$X42/(COUNTA($F42:$T42)-$Z42))</f>
        <v/>
      </c>
      <c r="X42" s="182">
        <f>COUNTIF($F42:$T42,"양호")</f>
        <v/>
      </c>
      <c r="Y42" s="183">
        <f>COUNTIF($F42:$T42,"취약")</f>
        <v/>
      </c>
      <c r="Z42" s="184">
        <f>COUNTIF($F42:$T42,"N/A")</f>
        <v/>
      </c>
    </row>
    <row r="43" ht="16.5" customHeight="1" s="196" thickBot="1">
      <c r="A43" s="10" t="n"/>
      <c r="B43" s="236" t="n"/>
      <c r="C43" s="37" t="inlineStr">
        <is>
          <t>U-38</t>
        </is>
      </c>
      <c r="D43" s="44" t="inlineStr">
        <is>
          <t>DoS 공격에 취약한 서비스 비활성화</t>
        </is>
      </c>
      <c r="E43" s="38" t="inlineStr">
        <is>
          <t>상</t>
        </is>
      </c>
      <c r="F43" s="30">
        <f>HLOOKUP(F$3,'3-1. 진단 결과(Linux)'!$F$3:$Q$72,ROW(A41),FALSE)</f>
        <v/>
      </c>
      <c r="G43" s="30">
        <f>HLOOKUP(G$3,'3-1. 진단 결과(Linux)'!$F$3:$Q$72,ROW(A41),FALSE)</f>
        <v/>
      </c>
      <c r="H43" s="30">
        <f>HLOOKUP(H$3,'3-1. 진단 결과(Linux)'!$F$3:$Q$72,ROW(A41),FALSE)</f>
        <v/>
      </c>
      <c r="I43" s="30">
        <f>HLOOKUP(I$3,'3-1. 진단 결과(Linux)'!$F$3:$Q$72,ROW(A41),FALSE)</f>
        <v/>
      </c>
      <c r="J43" s="30">
        <f>HLOOKUP(J$3,'3-1. 진단 결과(Linux)'!$F$3:$Q$72,ROW(A41),FALSE)</f>
        <v/>
      </c>
      <c r="K43" s="30">
        <f>HLOOKUP(K$3,'3-1. 진단 결과(Linux)'!$F$3:$Q$72,ROW(A41),FALSE)</f>
        <v/>
      </c>
      <c r="L43" s="30" t="n"/>
      <c r="M43" s="30" t="n"/>
      <c r="N43" s="30" t="n"/>
      <c r="O43" s="30" t="n"/>
      <c r="P43" s="30" t="n"/>
      <c r="Q43" s="30" t="n"/>
      <c r="R43" s="30" t="n"/>
      <c r="S43" s="30" t="n"/>
      <c r="T43" s="32" t="n"/>
      <c r="V43" s="236" t="n"/>
      <c r="W43" s="315">
        <f>IF(COUNTIF($F43:$T43,"N/A")=COUNTA($F43:$T43),"N/A",$X43/(COUNTA($F43:$T43)-$Z43))</f>
        <v/>
      </c>
      <c r="X43" s="182">
        <f>COUNTIF($F43:$T43,"양호")</f>
        <v/>
      </c>
      <c r="Y43" s="183">
        <f>COUNTIF($F43:$T43,"취약")</f>
        <v/>
      </c>
      <c r="Z43" s="184">
        <f>COUNTIF($F43:$T43,"N/A")</f>
        <v/>
      </c>
    </row>
    <row r="44" ht="16.5" customHeight="1" s="196" thickBot="1">
      <c r="A44" s="10" t="n"/>
      <c r="B44" s="236" t="n"/>
      <c r="C44" s="37" t="inlineStr">
        <is>
          <t>U-39</t>
        </is>
      </c>
      <c r="D44" s="5" t="inlineStr">
        <is>
          <t>불필요한 NFS 서비스 비활성화</t>
        </is>
      </c>
      <c r="E44" s="6" t="inlineStr">
        <is>
          <t>상</t>
        </is>
      </c>
      <c r="F44" s="115">
        <f>HLOOKUP(F$3,'3-1. 진단 결과(Linux)'!$F$3:$Q$72,ROW(A42),FALSE)</f>
        <v/>
      </c>
      <c r="G44" s="115">
        <f>HLOOKUP(G$3,'3-1. 진단 결과(Linux)'!$F$3:$Q$72,ROW(A42),FALSE)</f>
        <v/>
      </c>
      <c r="H44" s="115">
        <f>HLOOKUP(H$3,'3-1. 진단 결과(Linux)'!$F$3:$Q$72,ROW(A42),FALSE)</f>
        <v/>
      </c>
      <c r="I44" s="115">
        <f>HLOOKUP(I$3,'3-1. 진단 결과(Linux)'!$F$3:$Q$72,ROW(A42),FALSE)</f>
        <v/>
      </c>
      <c r="J44" s="115">
        <f>HLOOKUP(J$3,'3-1. 진단 결과(Linux)'!$F$3:$Q$72,ROW(A42),FALSE)</f>
        <v/>
      </c>
      <c r="K44" s="115">
        <f>HLOOKUP(K$3,'3-1. 진단 결과(Linux)'!$F$3:$Q$72,ROW(A42),FALSE)</f>
        <v/>
      </c>
      <c r="L44" s="115" t="n"/>
      <c r="M44" s="115" t="n"/>
      <c r="N44" s="115" t="n"/>
      <c r="O44" s="115" t="n"/>
      <c r="P44" s="115" t="n"/>
      <c r="Q44" s="115" t="n"/>
      <c r="R44" s="115" t="n"/>
      <c r="S44" s="115" t="n"/>
      <c r="T44" s="116" t="n"/>
      <c r="V44" s="236" t="n"/>
      <c r="W44" s="315">
        <f>IF(COUNTIF($F44:$T44,"N/A")=COUNTA($F44:$T44),"N/A",$X44/(COUNTA($F44:$T44)-$Z44))</f>
        <v/>
      </c>
      <c r="X44" s="182">
        <f>COUNTIF($F44:$T44,"양호")</f>
        <v/>
      </c>
      <c r="Y44" s="183">
        <f>COUNTIF($F44:$T44,"취약")</f>
        <v/>
      </c>
      <c r="Z44" s="184">
        <f>COUNTIF($F44:$T44,"N/A")</f>
        <v/>
      </c>
    </row>
    <row r="45" ht="16.5" customHeight="1" s="196" thickBot="1">
      <c r="A45" s="10" t="n"/>
      <c r="B45" s="236" t="n"/>
      <c r="C45" s="37" t="inlineStr">
        <is>
          <t>U-40</t>
        </is>
      </c>
      <c r="D45" s="44" t="inlineStr">
        <is>
          <t>NFS 접근 통제</t>
        </is>
      </c>
      <c r="E45" s="38" t="inlineStr">
        <is>
          <t>상</t>
        </is>
      </c>
      <c r="F45" s="30">
        <f>HLOOKUP(F$3,'3-1. 진단 결과(Linux)'!$F$3:$Q$72,ROW(A43),FALSE)</f>
        <v/>
      </c>
      <c r="G45" s="30">
        <f>HLOOKUP(G$3,'3-1. 진단 결과(Linux)'!$F$3:$Q$72,ROW(A43),FALSE)</f>
        <v/>
      </c>
      <c r="H45" s="30">
        <f>HLOOKUP(H$3,'3-1. 진단 결과(Linux)'!$F$3:$Q$72,ROW(A43),FALSE)</f>
        <v/>
      </c>
      <c r="I45" s="30">
        <f>HLOOKUP(I$3,'3-1. 진단 결과(Linux)'!$F$3:$Q$72,ROW(A43),FALSE)</f>
        <v/>
      </c>
      <c r="J45" s="30">
        <f>HLOOKUP(J$3,'3-1. 진단 결과(Linux)'!$F$3:$Q$72,ROW(A43),FALSE)</f>
        <v/>
      </c>
      <c r="K45" s="30">
        <f>HLOOKUP(K$3,'3-1. 진단 결과(Linux)'!$F$3:$Q$72,ROW(A43),FALSE)</f>
        <v/>
      </c>
      <c r="L45" s="30" t="n"/>
      <c r="M45" s="30" t="n"/>
      <c r="N45" s="30" t="n"/>
      <c r="O45" s="30" t="n"/>
      <c r="P45" s="30" t="n"/>
      <c r="Q45" s="30" t="n"/>
      <c r="R45" s="30" t="n"/>
      <c r="S45" s="30" t="n"/>
      <c r="T45" s="32" t="n"/>
      <c r="V45" s="236" t="n"/>
      <c r="W45" s="315">
        <f>IF(COUNTIF($F45:$T45,"N/A")=COUNTA($F45:$T45),"N/A",$X45/(COUNTA($F45:$T45)-$Z45))</f>
        <v/>
      </c>
      <c r="X45" s="182">
        <f>COUNTIF($F45:$T45,"양호")</f>
        <v/>
      </c>
      <c r="Y45" s="183">
        <f>COUNTIF($F45:$T45,"취약")</f>
        <v/>
      </c>
      <c r="Z45" s="184">
        <f>COUNTIF($F45:$T45,"N/A")</f>
        <v/>
      </c>
    </row>
    <row r="46" ht="16.5" customHeight="1" s="196" thickBot="1">
      <c r="A46" s="10" t="n"/>
      <c r="B46" s="236" t="n"/>
      <c r="C46" s="37" t="inlineStr">
        <is>
          <t>U-41</t>
        </is>
      </c>
      <c r="D46" s="5" t="inlineStr">
        <is>
          <t>불필요한 automountd 제거</t>
        </is>
      </c>
      <c r="E46" s="6" t="inlineStr">
        <is>
          <t>상</t>
        </is>
      </c>
      <c r="F46" s="30">
        <f>HLOOKUP(F$3,'3-1. 진단 결과(Linux)'!$F$3:$Q$72,ROW(A44),FALSE)</f>
        <v/>
      </c>
      <c r="G46" s="30">
        <f>HLOOKUP(G$3,'3-1. 진단 결과(Linux)'!$F$3:$Q$72,ROW(A44),FALSE)</f>
        <v/>
      </c>
      <c r="H46" s="30">
        <f>HLOOKUP(H$3,'3-1. 진단 결과(Linux)'!$F$3:$Q$72,ROW(A44),FALSE)</f>
        <v/>
      </c>
      <c r="I46" s="30">
        <f>HLOOKUP(I$3,'3-1. 진단 결과(Linux)'!$F$3:$Q$72,ROW(A44),FALSE)</f>
        <v/>
      </c>
      <c r="J46" s="30">
        <f>HLOOKUP(J$3,'3-1. 진단 결과(Linux)'!$F$3:$Q$72,ROW(A44),FALSE)</f>
        <v/>
      </c>
      <c r="K46" s="30">
        <f>HLOOKUP(K$3,'3-1. 진단 결과(Linux)'!$F$3:$Q$72,ROW(A44),FALSE)</f>
        <v/>
      </c>
      <c r="L46" s="30" t="n"/>
      <c r="M46" s="30" t="n"/>
      <c r="N46" s="30" t="n"/>
      <c r="O46" s="30" t="n"/>
      <c r="P46" s="30" t="n"/>
      <c r="Q46" s="30" t="n"/>
      <c r="R46" s="30" t="n"/>
      <c r="S46" s="30" t="n"/>
      <c r="T46" s="32" t="n"/>
      <c r="V46" s="236" t="n"/>
      <c r="W46" s="315">
        <f>IF(COUNTIF($F46:$T46,"N/A")=COUNTA($F46:$T46),"N/A",$X46/(COUNTA($F46:$T46)-$Z46))</f>
        <v/>
      </c>
      <c r="X46" s="182">
        <f>COUNTIF($F46:$T46,"양호")</f>
        <v/>
      </c>
      <c r="Y46" s="183">
        <f>COUNTIF($F46:$T46,"취약")</f>
        <v/>
      </c>
      <c r="Z46" s="184">
        <f>COUNTIF($F46:$T46,"N/A")</f>
        <v/>
      </c>
    </row>
    <row r="47" ht="16.5" customHeight="1" s="196" thickBot="1">
      <c r="A47" s="10" t="n"/>
      <c r="B47" s="236" t="n"/>
      <c r="C47" s="37" t="inlineStr">
        <is>
          <t>U-42</t>
        </is>
      </c>
      <c r="D47" s="5" t="inlineStr">
        <is>
          <t>불필요한 RPC 서비스 비활성화</t>
        </is>
      </c>
      <c r="E47" s="6" t="inlineStr">
        <is>
          <t>상</t>
        </is>
      </c>
      <c r="F47" s="30">
        <f>HLOOKUP(F$3,'3-1. 진단 결과(Linux)'!$F$3:$Q$72,ROW(A45),FALSE)</f>
        <v/>
      </c>
      <c r="G47" s="30">
        <f>HLOOKUP(G$3,'3-1. 진단 결과(Linux)'!$F$3:$Q$72,ROW(A45),FALSE)</f>
        <v/>
      </c>
      <c r="H47" s="30">
        <f>HLOOKUP(H$3,'3-1. 진단 결과(Linux)'!$F$3:$Q$72,ROW(A45),FALSE)</f>
        <v/>
      </c>
      <c r="I47" s="30">
        <f>HLOOKUP(I$3,'3-1. 진단 결과(Linux)'!$F$3:$Q$72,ROW(A45),FALSE)</f>
        <v/>
      </c>
      <c r="J47" s="30">
        <f>HLOOKUP(J$3,'3-1. 진단 결과(Linux)'!$F$3:$Q$72,ROW(A45),FALSE)</f>
        <v/>
      </c>
      <c r="K47" s="30">
        <f>HLOOKUP(K$3,'3-1. 진단 결과(Linux)'!$F$3:$Q$72,ROW(A45),FALSE)</f>
        <v/>
      </c>
      <c r="L47" s="30" t="n"/>
      <c r="M47" s="30" t="n"/>
      <c r="N47" s="30" t="n"/>
      <c r="O47" s="30" t="n"/>
      <c r="P47" s="30" t="n"/>
      <c r="Q47" s="30" t="n"/>
      <c r="R47" s="30" t="n"/>
      <c r="S47" s="30" t="n"/>
      <c r="T47" s="32" t="n"/>
      <c r="V47" s="236" t="n"/>
      <c r="W47" s="315">
        <f>IF(COUNTIF($F47:$T47,"N/A")=COUNTA($F47:$T47),"N/A",$X47/(COUNTA($F47:$T47)-$Z47))</f>
        <v/>
      </c>
      <c r="X47" s="182">
        <f>COUNTIF($F47:$T47,"양호")</f>
        <v/>
      </c>
      <c r="Y47" s="183">
        <f>COUNTIF($F47:$T47,"취약")</f>
        <v/>
      </c>
      <c r="Z47" s="184">
        <f>COUNTIF($F47:$T47,"N/A")</f>
        <v/>
      </c>
    </row>
    <row r="48" ht="16.5" customHeight="1" s="196" thickBot="1">
      <c r="A48" s="10" t="n"/>
      <c r="B48" s="236" t="n"/>
      <c r="C48" s="37" t="inlineStr">
        <is>
          <t>U-43</t>
        </is>
      </c>
      <c r="D48" s="5" t="inlineStr">
        <is>
          <t>NIS, NIS+ 점검</t>
        </is>
      </c>
      <c r="E48" s="6" t="inlineStr">
        <is>
          <t>상</t>
        </is>
      </c>
      <c r="F48" s="30">
        <f>HLOOKUP(F$3,'3-1. 진단 결과(Linux)'!$F$3:$Q$72,ROW(A46),FALSE)</f>
        <v/>
      </c>
      <c r="G48" s="30">
        <f>HLOOKUP(G$3,'3-1. 진단 결과(Linux)'!$F$3:$Q$72,ROW(A46),FALSE)</f>
        <v/>
      </c>
      <c r="H48" s="30">
        <f>HLOOKUP(H$3,'3-1. 진단 결과(Linux)'!$F$3:$Q$72,ROW(A46),FALSE)</f>
        <v/>
      </c>
      <c r="I48" s="30">
        <f>HLOOKUP(I$3,'3-1. 진단 결과(Linux)'!$F$3:$Q$72,ROW(A46),FALSE)</f>
        <v/>
      </c>
      <c r="J48" s="30">
        <f>HLOOKUP(J$3,'3-1. 진단 결과(Linux)'!$F$3:$Q$72,ROW(A46),FALSE)</f>
        <v/>
      </c>
      <c r="K48" s="30">
        <f>HLOOKUP(K$3,'3-1. 진단 결과(Linux)'!$F$3:$Q$72,ROW(A46),FALSE)</f>
        <v/>
      </c>
      <c r="L48" s="30" t="n"/>
      <c r="M48" s="30" t="n"/>
      <c r="N48" s="30" t="n"/>
      <c r="O48" s="30" t="n"/>
      <c r="P48" s="30" t="n"/>
      <c r="Q48" s="30" t="n"/>
      <c r="R48" s="30" t="n"/>
      <c r="S48" s="30" t="n"/>
      <c r="T48" s="32" t="n"/>
      <c r="V48" s="236" t="n"/>
      <c r="W48" s="315">
        <f>IF(COUNTIF($F48:$T48,"N/A")=COUNTA($F48:$T48),"N/A",$X48/(COUNTA($F48:$T48)-$Z48))</f>
        <v/>
      </c>
      <c r="X48" s="182">
        <f>COUNTIF($F48:$T48,"양호")</f>
        <v/>
      </c>
      <c r="Y48" s="183">
        <f>COUNTIF($F48:$T48,"취약")</f>
        <v/>
      </c>
      <c r="Z48" s="184">
        <f>COUNTIF($F48:$T48,"N/A")</f>
        <v/>
      </c>
    </row>
    <row r="49" ht="16.5" customHeight="1" s="196" thickBot="1">
      <c r="A49" s="10" t="n"/>
      <c r="B49" s="236" t="n"/>
      <c r="C49" s="37" t="inlineStr">
        <is>
          <t>U-44</t>
        </is>
      </c>
      <c r="D49" s="5" t="inlineStr">
        <is>
          <t>tftp, talk 서비스 비활성화</t>
        </is>
      </c>
      <c r="E49" s="6" t="inlineStr">
        <is>
          <t>상</t>
        </is>
      </c>
      <c r="F49" s="30">
        <f>HLOOKUP(F$3,'3-1. 진단 결과(Linux)'!$F$3:$Q$72,ROW(A47),FALSE)</f>
        <v/>
      </c>
      <c r="G49" s="30">
        <f>HLOOKUP(G$3,'3-1. 진단 결과(Linux)'!$F$3:$Q$72,ROW(A47),FALSE)</f>
        <v/>
      </c>
      <c r="H49" s="30">
        <f>HLOOKUP(H$3,'3-1. 진단 결과(Linux)'!$F$3:$Q$72,ROW(A47),FALSE)</f>
        <v/>
      </c>
      <c r="I49" s="30">
        <f>HLOOKUP(I$3,'3-1. 진단 결과(Linux)'!$F$3:$Q$72,ROW(A47),FALSE)</f>
        <v/>
      </c>
      <c r="J49" s="30">
        <f>HLOOKUP(J$3,'3-1. 진단 결과(Linux)'!$F$3:$Q$72,ROW(A47),FALSE)</f>
        <v/>
      </c>
      <c r="K49" s="30">
        <f>HLOOKUP(K$3,'3-1. 진단 결과(Linux)'!$F$3:$Q$72,ROW(A47),FALSE)</f>
        <v/>
      </c>
      <c r="L49" s="30" t="n"/>
      <c r="M49" s="30" t="n"/>
      <c r="N49" s="30" t="n"/>
      <c r="O49" s="30" t="n"/>
      <c r="P49" s="30" t="n"/>
      <c r="Q49" s="30" t="n"/>
      <c r="R49" s="30" t="n"/>
      <c r="S49" s="30" t="n"/>
      <c r="T49" s="32" t="n"/>
      <c r="V49" s="236" t="n"/>
      <c r="W49" s="315">
        <f>IF(COUNTIF($F49:$T49,"N/A")=COUNTA($F49:$T49),"N/A",$X49/(COUNTA($F49:$T49)-$Z49))</f>
        <v/>
      </c>
      <c r="X49" s="182">
        <f>COUNTIF($F49:$T49,"양호")</f>
        <v/>
      </c>
      <c r="Y49" s="183">
        <f>COUNTIF($F49:$T49,"취약")</f>
        <v/>
      </c>
      <c r="Z49" s="184">
        <f>COUNTIF($F49:$T49,"N/A")</f>
        <v/>
      </c>
    </row>
    <row r="50" ht="16.5" customHeight="1" s="196" thickBot="1">
      <c r="A50" s="201" t="n"/>
      <c r="B50" s="236" t="n"/>
      <c r="C50" s="37" t="inlineStr">
        <is>
          <t>U-45</t>
        </is>
      </c>
      <c r="D50" s="35" t="inlineStr">
        <is>
          <t>메일 서비스 버전 점검</t>
        </is>
      </c>
      <c r="E50" s="39" t="inlineStr">
        <is>
          <t>상</t>
        </is>
      </c>
      <c r="F50" s="117">
        <f>HLOOKUP(F$3,'3-1. 진단 결과(Linux)'!$F$3:$Q$72,ROW(A48),FALSE)</f>
        <v/>
      </c>
      <c r="G50" s="117">
        <f>HLOOKUP(G$3,'3-1. 진단 결과(Linux)'!$F$3:$Q$72,ROW(A48),FALSE)</f>
        <v/>
      </c>
      <c r="H50" s="117">
        <f>HLOOKUP(H$3,'3-1. 진단 결과(Linux)'!$F$3:$Q$72,ROW(A48),FALSE)</f>
        <v/>
      </c>
      <c r="I50" s="117">
        <f>HLOOKUP(I$3,'3-1. 진단 결과(Linux)'!$F$3:$Q$72,ROW(A48),FALSE)</f>
        <v/>
      </c>
      <c r="J50" s="117">
        <f>HLOOKUP(J$3,'3-1. 진단 결과(Linux)'!$F$3:$Q$72,ROW(A48),FALSE)</f>
        <v/>
      </c>
      <c r="K50" s="117">
        <f>HLOOKUP(K$3,'3-1. 진단 결과(Linux)'!$F$3:$Q$72,ROW(A48),FALSE)</f>
        <v/>
      </c>
      <c r="L50" s="117" t="n"/>
      <c r="M50" s="117" t="n"/>
      <c r="N50" s="117" t="n"/>
      <c r="O50" s="117" t="n"/>
      <c r="P50" s="117" t="n"/>
      <c r="Q50" s="117" t="n"/>
      <c r="R50" s="117" t="n"/>
      <c r="S50" s="117" t="n"/>
      <c r="T50" s="118" t="n"/>
      <c r="V50" s="236" t="n"/>
      <c r="W50" s="315">
        <f>IF(COUNTIF($F50:$T50,"N/A")=COUNTA($F50:$T50),"N/A",$X50/(COUNTA($F50:$T50)-$Z50))</f>
        <v/>
      </c>
      <c r="X50" s="182">
        <f>COUNTIF($F50:$T50,"양호")</f>
        <v/>
      </c>
      <c r="Y50" s="183">
        <f>COUNTIF($F50:$T50,"취약")</f>
        <v/>
      </c>
      <c r="Z50" s="184">
        <f>COUNTIF($F50:$T50,"N/A")</f>
        <v/>
      </c>
    </row>
    <row r="51" ht="16.5" customHeight="1" s="196" thickBot="1">
      <c r="A51" s="201" t="n"/>
      <c r="B51" s="236" t="n"/>
      <c r="C51" s="37" t="inlineStr">
        <is>
          <t>U-46</t>
        </is>
      </c>
      <c r="D51" s="5" t="inlineStr">
        <is>
          <t>일반 사용자의 메일 서비스 실행 방지</t>
        </is>
      </c>
      <c r="E51" s="6" t="inlineStr">
        <is>
          <t>상</t>
        </is>
      </c>
      <c r="F51" s="115">
        <f>HLOOKUP(F$3,'3-1. 진단 결과(Linux)'!$F$3:$Q$72,ROW(A49),FALSE)</f>
        <v/>
      </c>
      <c r="G51" s="115">
        <f>HLOOKUP(G$3,'3-1. 진단 결과(Linux)'!$F$3:$Q$72,ROW(A49),FALSE)</f>
        <v/>
      </c>
      <c r="H51" s="115">
        <f>HLOOKUP(H$3,'3-1. 진단 결과(Linux)'!$F$3:$Q$72,ROW(A49),FALSE)</f>
        <v/>
      </c>
      <c r="I51" s="115">
        <f>HLOOKUP(I$3,'3-1. 진단 결과(Linux)'!$F$3:$Q$72,ROW(A49),FALSE)</f>
        <v/>
      </c>
      <c r="J51" s="115">
        <f>HLOOKUP(J$3,'3-1. 진단 결과(Linux)'!$F$3:$Q$72,ROW(A49),FALSE)</f>
        <v/>
      </c>
      <c r="K51" s="115">
        <f>HLOOKUP(K$3,'3-1. 진단 결과(Linux)'!$F$3:$Q$72,ROW(A49),FALSE)</f>
        <v/>
      </c>
      <c r="L51" s="115" t="n"/>
      <c r="M51" s="115" t="n"/>
      <c r="N51" s="115" t="n"/>
      <c r="O51" s="115" t="n"/>
      <c r="P51" s="115" t="n"/>
      <c r="Q51" s="115" t="n"/>
      <c r="R51" s="115" t="n"/>
      <c r="S51" s="115" t="n"/>
      <c r="T51" s="122" t="n"/>
      <c r="V51" s="236" t="n"/>
      <c r="W51" s="315">
        <f>IF(COUNTIF($F51:$T51,"N/A")=COUNTA($F51:$T51),"N/A",$X51/(COUNTA($F51:$T51)-$Z51))</f>
        <v/>
      </c>
      <c r="X51" s="182">
        <f>COUNTIF($F51:$T51,"양호")</f>
        <v/>
      </c>
      <c r="Y51" s="183">
        <f>COUNTIF($F51:$T51,"취약")</f>
        <v/>
      </c>
      <c r="Z51" s="184">
        <f>COUNTIF($F51:$T51,"N/A")</f>
        <v/>
      </c>
    </row>
    <row r="52" ht="16.5" customHeight="1" s="196" thickBot="1">
      <c r="A52" s="201" t="n"/>
      <c r="B52" s="236" t="n"/>
      <c r="C52" s="37" t="inlineStr">
        <is>
          <t>U-47</t>
        </is>
      </c>
      <c r="D52" s="5" t="inlineStr">
        <is>
          <t>스팸 메일 릴레이 제한</t>
        </is>
      </c>
      <c r="E52" s="6" t="inlineStr">
        <is>
          <t>상</t>
        </is>
      </c>
      <c r="F52" s="115">
        <f>HLOOKUP(F$3,'3-1. 진단 결과(Linux)'!$F$3:$Q$72,ROW(A50),FALSE)</f>
        <v/>
      </c>
      <c r="G52" s="115">
        <f>HLOOKUP(G$3,'3-1. 진단 결과(Linux)'!$F$3:$Q$72,ROW(A50),FALSE)</f>
        <v/>
      </c>
      <c r="H52" s="115">
        <f>HLOOKUP(H$3,'3-1. 진단 결과(Linux)'!$F$3:$Q$72,ROW(A50),FALSE)</f>
        <v/>
      </c>
      <c r="I52" s="115">
        <f>HLOOKUP(I$3,'3-1. 진단 결과(Linux)'!$F$3:$Q$72,ROW(A50),FALSE)</f>
        <v/>
      </c>
      <c r="J52" s="115">
        <f>HLOOKUP(J$3,'3-1. 진단 결과(Linux)'!$F$3:$Q$72,ROW(A50),FALSE)</f>
        <v/>
      </c>
      <c r="K52" s="115">
        <f>HLOOKUP(K$3,'3-1. 진단 결과(Linux)'!$F$3:$Q$72,ROW(A50),FALSE)</f>
        <v/>
      </c>
      <c r="L52" s="115" t="n"/>
      <c r="M52" s="115" t="n"/>
      <c r="N52" s="115" t="n"/>
      <c r="O52" s="115" t="n"/>
      <c r="P52" s="115" t="n"/>
      <c r="Q52" s="115" t="n"/>
      <c r="R52" s="115" t="n"/>
      <c r="S52" s="115" t="n"/>
      <c r="T52" s="122" t="n"/>
      <c r="V52" s="236" t="n"/>
      <c r="W52" s="315">
        <f>IF(COUNTIF($F52:$T52,"N/A")=COUNTA($F52:$T52),"N/A",$X52/(COUNTA($F52:$T52)-$Z52))</f>
        <v/>
      </c>
      <c r="X52" s="182">
        <f>COUNTIF($F52:$T52,"양호")</f>
        <v/>
      </c>
      <c r="Y52" s="183">
        <f>COUNTIF($F52:$T52,"취약")</f>
        <v/>
      </c>
      <c r="Z52" s="184">
        <f>COUNTIF($F52:$T52,"N/A")</f>
        <v/>
      </c>
    </row>
    <row r="53" ht="16.5" customHeight="1" s="196" thickBot="1">
      <c r="A53" s="201" t="n"/>
      <c r="B53" s="236" t="n"/>
      <c r="C53" s="37" t="inlineStr">
        <is>
          <t>U-48</t>
        </is>
      </c>
      <c r="D53" s="5" t="inlineStr">
        <is>
          <t>expn, vrfy 명령어 제한</t>
        </is>
      </c>
      <c r="E53" s="6" t="inlineStr">
        <is>
          <t>중</t>
        </is>
      </c>
      <c r="F53" s="115">
        <f>HLOOKUP(F$3,'3-1. 진단 결과(Linux)'!$F$3:$Q$72,ROW(A51),FALSE)</f>
        <v/>
      </c>
      <c r="G53" s="115">
        <f>HLOOKUP(G$3,'3-1. 진단 결과(Linux)'!$F$3:$Q$72,ROW(A51),FALSE)</f>
        <v/>
      </c>
      <c r="H53" s="115">
        <f>HLOOKUP(H$3,'3-1. 진단 결과(Linux)'!$F$3:$Q$72,ROW(A51),FALSE)</f>
        <v/>
      </c>
      <c r="I53" s="115">
        <f>HLOOKUP(I$3,'3-1. 진단 결과(Linux)'!$F$3:$Q$72,ROW(A51),FALSE)</f>
        <v/>
      </c>
      <c r="J53" s="115">
        <f>HLOOKUP(J$3,'3-1. 진단 결과(Linux)'!$F$3:$Q$72,ROW(A51),FALSE)</f>
        <v/>
      </c>
      <c r="K53" s="115">
        <f>HLOOKUP(K$3,'3-1. 진단 결과(Linux)'!$F$3:$Q$72,ROW(A51),FALSE)</f>
        <v/>
      </c>
      <c r="L53" s="115" t="n"/>
      <c r="M53" s="115" t="n"/>
      <c r="N53" s="115" t="n"/>
      <c r="O53" s="115" t="n"/>
      <c r="P53" s="115" t="n"/>
      <c r="Q53" s="115" t="n"/>
      <c r="R53" s="115" t="n"/>
      <c r="S53" s="115" t="n"/>
      <c r="T53" s="122" t="n"/>
      <c r="V53" s="236" t="n"/>
      <c r="W53" s="315">
        <f>IF(COUNTIF($F53:$T53,"N/A")=COUNTA($F53:$T53),"N/A",$X53/(COUNTA($F53:$T53)-$Z53))</f>
        <v/>
      </c>
      <c r="X53" s="182">
        <f>COUNTIF($F53:$T53,"양호")</f>
        <v/>
      </c>
      <c r="Y53" s="183">
        <f>COUNTIF($F53:$T53,"취약")</f>
        <v/>
      </c>
      <c r="Z53" s="184">
        <f>COUNTIF($F53:$T53,"N/A")</f>
        <v/>
      </c>
    </row>
    <row r="54" ht="16.5" customHeight="1" s="196" thickBot="1">
      <c r="A54" s="201" t="n"/>
      <c r="B54" s="236" t="n"/>
      <c r="C54" s="37" t="inlineStr">
        <is>
          <t>U-49</t>
        </is>
      </c>
      <c r="D54" s="5" t="inlineStr">
        <is>
          <t>DNS 보안 버전 패치</t>
        </is>
      </c>
      <c r="E54" s="6" t="inlineStr">
        <is>
          <t>상</t>
        </is>
      </c>
      <c r="F54" s="115">
        <f>HLOOKUP(F$3,'3-1. 진단 결과(Linux)'!$F$3:$Q$72,ROW(A52),FALSE)</f>
        <v/>
      </c>
      <c r="G54" s="115">
        <f>HLOOKUP(G$3,'3-1. 진단 결과(Linux)'!$F$3:$Q$72,ROW(A52),FALSE)</f>
        <v/>
      </c>
      <c r="H54" s="115">
        <f>HLOOKUP(H$3,'3-1. 진단 결과(Linux)'!$F$3:$Q$72,ROW(A52),FALSE)</f>
        <v/>
      </c>
      <c r="I54" s="115">
        <f>HLOOKUP(I$3,'3-1. 진단 결과(Linux)'!$F$3:$Q$72,ROW(A52),FALSE)</f>
        <v/>
      </c>
      <c r="J54" s="115">
        <f>HLOOKUP(J$3,'3-1. 진단 결과(Linux)'!$F$3:$Q$72,ROW(A52),FALSE)</f>
        <v/>
      </c>
      <c r="K54" s="115">
        <f>HLOOKUP(K$3,'3-1. 진단 결과(Linux)'!$F$3:$Q$72,ROW(A52),FALSE)</f>
        <v/>
      </c>
      <c r="L54" s="115" t="n"/>
      <c r="M54" s="115" t="n"/>
      <c r="N54" s="115" t="n"/>
      <c r="O54" s="115" t="n"/>
      <c r="P54" s="115" t="n"/>
      <c r="Q54" s="115" t="n"/>
      <c r="R54" s="115" t="n"/>
      <c r="S54" s="115" t="n"/>
      <c r="T54" s="122" t="n"/>
      <c r="V54" s="236" t="n"/>
      <c r="W54" s="315">
        <f>IF(COUNTIF($F54:$T54,"N/A")=COUNTA($F54:$T54),"N/A",$X54/(COUNTA($F54:$T54)-$Z54))</f>
        <v/>
      </c>
      <c r="X54" s="182">
        <f>COUNTIF($F54:$T54,"양호")</f>
        <v/>
      </c>
      <c r="Y54" s="183">
        <f>COUNTIF($F54:$T54,"취약")</f>
        <v/>
      </c>
      <c r="Z54" s="184">
        <f>COUNTIF($F54:$T54,"N/A")</f>
        <v/>
      </c>
    </row>
    <row r="55" ht="16.5" customHeight="1" s="196" thickBot="1">
      <c r="A55" s="201" t="n"/>
      <c r="B55" s="236" t="n"/>
      <c r="C55" s="37" t="inlineStr">
        <is>
          <t>U-50</t>
        </is>
      </c>
      <c r="D55" s="5" t="inlineStr">
        <is>
          <t>DNS Zone Transfer 설정</t>
        </is>
      </c>
      <c r="E55" s="6" t="inlineStr">
        <is>
          <t>상</t>
        </is>
      </c>
      <c r="F55" s="115">
        <f>HLOOKUP(F$3,'3-1. 진단 결과(Linux)'!$F$3:$Q$72,ROW(A53),FALSE)</f>
        <v/>
      </c>
      <c r="G55" s="115">
        <f>HLOOKUP(G$3,'3-1. 진단 결과(Linux)'!$F$3:$Q$72,ROW(A53),FALSE)</f>
        <v/>
      </c>
      <c r="H55" s="115">
        <f>HLOOKUP(H$3,'3-1. 진단 결과(Linux)'!$F$3:$Q$72,ROW(A53),FALSE)</f>
        <v/>
      </c>
      <c r="I55" s="115">
        <f>HLOOKUP(I$3,'3-1. 진단 결과(Linux)'!$F$3:$Q$72,ROW(A53),FALSE)</f>
        <v/>
      </c>
      <c r="J55" s="115">
        <f>HLOOKUP(J$3,'3-1. 진단 결과(Linux)'!$F$3:$Q$72,ROW(A53),FALSE)</f>
        <v/>
      </c>
      <c r="K55" s="115">
        <f>HLOOKUP(K$3,'3-1. 진단 결과(Linux)'!$F$3:$Q$72,ROW(A53),FALSE)</f>
        <v/>
      </c>
      <c r="L55" s="115" t="n"/>
      <c r="M55" s="115" t="n"/>
      <c r="N55" s="115" t="n"/>
      <c r="O55" s="115" t="n"/>
      <c r="P55" s="115" t="n"/>
      <c r="Q55" s="115" t="n"/>
      <c r="R55" s="115" t="n"/>
      <c r="S55" s="115" t="n"/>
      <c r="T55" s="122" t="n"/>
      <c r="V55" s="236" t="n"/>
      <c r="W55" s="315">
        <f>IF(COUNTIF($F55:$T55,"N/A")=COUNTA($F55:$T55),"N/A",$X55/(COUNTA($F55:$T55)-$Z55))</f>
        <v/>
      </c>
      <c r="X55" s="182">
        <f>COUNTIF($F55:$T55,"양호")</f>
        <v/>
      </c>
      <c r="Y55" s="183">
        <f>COUNTIF($F55:$T55,"취약")</f>
        <v/>
      </c>
      <c r="Z55" s="184">
        <f>COUNTIF($F55:$T55,"N/A")</f>
        <v/>
      </c>
    </row>
    <row r="56" ht="16.5" customHeight="1" s="196" thickBot="1">
      <c r="A56" s="201" t="n"/>
      <c r="B56" s="236" t="n"/>
      <c r="C56" s="37" t="inlineStr">
        <is>
          <t>U-51</t>
        </is>
      </c>
      <c r="D56" s="5" t="inlineStr">
        <is>
          <t>DNS 서비스의 취약한 동적 업데이트 설정 금지</t>
        </is>
      </c>
      <c r="E56" s="6" t="inlineStr">
        <is>
          <t>중</t>
        </is>
      </c>
      <c r="F56" s="115">
        <f>HLOOKUP(F$3,'3-1. 진단 결과(Linux)'!$F$3:$Q$72,ROW(A54),FALSE)</f>
        <v/>
      </c>
      <c r="G56" s="115">
        <f>HLOOKUP(G$3,'3-1. 진단 결과(Linux)'!$F$3:$Q$72,ROW(A54),FALSE)</f>
        <v/>
      </c>
      <c r="H56" s="115">
        <f>HLOOKUP(H$3,'3-1. 진단 결과(Linux)'!$F$3:$Q$72,ROW(A54),FALSE)</f>
        <v/>
      </c>
      <c r="I56" s="115">
        <f>HLOOKUP(I$3,'3-1. 진단 결과(Linux)'!$F$3:$Q$72,ROW(A54),FALSE)</f>
        <v/>
      </c>
      <c r="J56" s="115">
        <f>HLOOKUP(J$3,'3-1. 진단 결과(Linux)'!$F$3:$Q$72,ROW(A54),FALSE)</f>
        <v/>
      </c>
      <c r="K56" s="115">
        <f>HLOOKUP(K$3,'3-1. 진단 결과(Linux)'!$F$3:$Q$72,ROW(A54),FALSE)</f>
        <v/>
      </c>
      <c r="L56" s="115" t="n"/>
      <c r="M56" s="115" t="n"/>
      <c r="N56" s="115" t="n"/>
      <c r="O56" s="115" t="n"/>
      <c r="P56" s="115" t="n"/>
      <c r="Q56" s="115" t="n"/>
      <c r="R56" s="115" t="n"/>
      <c r="S56" s="115" t="n"/>
      <c r="T56" s="122" t="n"/>
      <c r="V56" s="236" t="n"/>
      <c r="W56" s="315">
        <f>IF(COUNTIF($F56:$T56,"N/A")=COUNTA($F56:$T56),"N/A",$X56/(COUNTA($F56:$T56)-$Z56))</f>
        <v/>
      </c>
      <c r="X56" s="182">
        <f>COUNTIF($F56:$T56,"양호")</f>
        <v/>
      </c>
      <c r="Y56" s="183">
        <f>COUNTIF($F56:$T56,"취약")</f>
        <v/>
      </c>
      <c r="Z56" s="184">
        <f>COUNTIF($F56:$T56,"N/A")</f>
        <v/>
      </c>
    </row>
    <row r="57" ht="16.5" customHeight="1" s="196" thickBot="1">
      <c r="A57" s="201" t="n"/>
      <c r="B57" s="236" t="n"/>
      <c r="C57" s="37" t="inlineStr">
        <is>
          <t>U-52</t>
        </is>
      </c>
      <c r="D57" s="5" t="inlineStr">
        <is>
          <t>Telnet 서비스 비활성화</t>
        </is>
      </c>
      <c r="E57" s="6" t="inlineStr">
        <is>
          <t>중</t>
        </is>
      </c>
      <c r="F57" s="115">
        <f>HLOOKUP(F$3,'3-1. 진단 결과(Linux)'!$F$3:$Q$72,ROW(A55),FALSE)</f>
        <v/>
      </c>
      <c r="G57" s="115">
        <f>HLOOKUP(G$3,'3-1. 진단 결과(Linux)'!$F$3:$Q$72,ROW(A55),FALSE)</f>
        <v/>
      </c>
      <c r="H57" s="115">
        <f>HLOOKUP(H$3,'3-1. 진단 결과(Linux)'!$F$3:$Q$72,ROW(A55),FALSE)</f>
        <v/>
      </c>
      <c r="I57" s="115">
        <f>HLOOKUP(I$3,'3-1. 진단 결과(Linux)'!$F$3:$Q$72,ROW(A55),FALSE)</f>
        <v/>
      </c>
      <c r="J57" s="115">
        <f>HLOOKUP(J$3,'3-1. 진단 결과(Linux)'!$F$3:$Q$72,ROW(A55),FALSE)</f>
        <v/>
      </c>
      <c r="K57" s="115">
        <f>HLOOKUP(K$3,'3-1. 진단 결과(Linux)'!$F$3:$Q$72,ROW(A55),FALSE)</f>
        <v/>
      </c>
      <c r="L57" s="115" t="n"/>
      <c r="M57" s="115" t="n"/>
      <c r="N57" s="115" t="n"/>
      <c r="O57" s="115" t="n"/>
      <c r="P57" s="115" t="n"/>
      <c r="Q57" s="115" t="n"/>
      <c r="R57" s="115" t="n"/>
      <c r="S57" s="115" t="n"/>
      <c r="T57" s="122" t="n"/>
      <c r="V57" s="236" t="n"/>
      <c r="W57" s="315">
        <f>IF(COUNTIF($F57:$T57,"N/A")=COUNTA($F57:$T57),"N/A",$X57/(COUNTA($F57:$T57)-$Z57))</f>
        <v/>
      </c>
      <c r="X57" s="182">
        <f>COUNTIF($F57:$T57,"양호")</f>
        <v/>
      </c>
      <c r="Y57" s="183">
        <f>COUNTIF($F57:$T57,"취약")</f>
        <v/>
      </c>
      <c r="Z57" s="184">
        <f>COUNTIF($F57:$T57,"N/A")</f>
        <v/>
      </c>
    </row>
    <row r="58" ht="16.5" customHeight="1" s="196" thickBot="1">
      <c r="A58" s="201" t="n"/>
      <c r="B58" s="236" t="n"/>
      <c r="C58" s="37" t="inlineStr">
        <is>
          <t>U-53</t>
        </is>
      </c>
      <c r="D58" s="5" t="inlineStr">
        <is>
          <t>FTP 서비스 정보 노출 제한</t>
        </is>
      </c>
      <c r="E58" s="6" t="inlineStr">
        <is>
          <t>하</t>
        </is>
      </c>
      <c r="F58" s="115">
        <f>HLOOKUP(F$3,'3-1. 진단 결과(Linux)'!$F$3:$Q$72,ROW(A56),FALSE)</f>
        <v/>
      </c>
      <c r="G58" s="115">
        <f>HLOOKUP(G$3,'3-1. 진단 결과(Linux)'!$F$3:$Q$72,ROW(A56),FALSE)</f>
        <v/>
      </c>
      <c r="H58" s="115">
        <f>HLOOKUP(H$3,'3-1. 진단 결과(Linux)'!$F$3:$Q$72,ROW(A56),FALSE)</f>
        <v/>
      </c>
      <c r="I58" s="115">
        <f>HLOOKUP(I$3,'3-1. 진단 결과(Linux)'!$F$3:$Q$72,ROW(A56),FALSE)</f>
        <v/>
      </c>
      <c r="J58" s="115">
        <f>HLOOKUP(J$3,'3-1. 진단 결과(Linux)'!$F$3:$Q$72,ROW(A56),FALSE)</f>
        <v/>
      </c>
      <c r="K58" s="115">
        <f>HLOOKUP(K$3,'3-1. 진단 결과(Linux)'!$F$3:$Q$72,ROW(A56),FALSE)</f>
        <v/>
      </c>
      <c r="L58" s="115" t="n"/>
      <c r="M58" s="115" t="n"/>
      <c r="N58" s="115" t="n"/>
      <c r="O58" s="115" t="n"/>
      <c r="P58" s="115" t="n"/>
      <c r="Q58" s="115" t="n"/>
      <c r="R58" s="115" t="n"/>
      <c r="S58" s="115" t="n"/>
      <c r="T58" s="122" t="n"/>
      <c r="V58" s="236" t="n"/>
      <c r="W58" s="315">
        <f>IF(COUNTIF($F58:$T58,"N/A")=COUNTA($F58:$T58),"N/A",$X58/(COUNTA($F58:$T58)-$Z58))</f>
        <v/>
      </c>
      <c r="X58" s="182">
        <f>COUNTIF($F58:$T58,"양호")</f>
        <v/>
      </c>
      <c r="Y58" s="183">
        <f>COUNTIF($F58:$T58,"취약")</f>
        <v/>
      </c>
      <c r="Z58" s="184">
        <f>COUNTIF($F58:$T58,"N/A")</f>
        <v/>
      </c>
    </row>
    <row r="59" ht="16.5" customHeight="1" s="196" thickBot="1">
      <c r="A59" s="201" t="n"/>
      <c r="B59" s="236" t="n"/>
      <c r="C59" s="37" t="inlineStr">
        <is>
          <t>U-54</t>
        </is>
      </c>
      <c r="D59" s="5" t="inlineStr">
        <is>
          <t>암호화되지 않는 FTP 서비스 비활성화</t>
        </is>
      </c>
      <c r="E59" s="6" t="inlineStr">
        <is>
          <t>중</t>
        </is>
      </c>
      <c r="F59" s="115">
        <f>HLOOKUP(F$3,'3-1. 진단 결과(Linux)'!$F$3:$Q$72,ROW(A57),FALSE)</f>
        <v/>
      </c>
      <c r="G59" s="115">
        <f>HLOOKUP(G$3,'3-1. 진단 결과(Linux)'!$F$3:$Q$72,ROW(A57),FALSE)</f>
        <v/>
      </c>
      <c r="H59" s="115">
        <f>HLOOKUP(H$3,'3-1. 진단 결과(Linux)'!$F$3:$Q$72,ROW(A57),FALSE)</f>
        <v/>
      </c>
      <c r="I59" s="115">
        <f>HLOOKUP(I$3,'3-1. 진단 결과(Linux)'!$F$3:$Q$72,ROW(A57),FALSE)</f>
        <v/>
      </c>
      <c r="J59" s="115">
        <f>HLOOKUP(J$3,'3-1. 진단 결과(Linux)'!$F$3:$Q$72,ROW(A57),FALSE)</f>
        <v/>
      </c>
      <c r="K59" s="115">
        <f>HLOOKUP(K$3,'3-1. 진단 결과(Linux)'!$F$3:$Q$72,ROW(A57),FALSE)</f>
        <v/>
      </c>
      <c r="L59" s="115" t="n"/>
      <c r="M59" s="115" t="n"/>
      <c r="N59" s="115" t="n"/>
      <c r="O59" s="115" t="n"/>
      <c r="P59" s="115" t="n"/>
      <c r="Q59" s="115" t="n"/>
      <c r="R59" s="115" t="n"/>
      <c r="S59" s="115" t="n"/>
      <c r="T59" s="122" t="n"/>
      <c r="V59" s="236" t="n"/>
      <c r="W59" s="315">
        <f>IF(COUNTIF($F59:$T59,"N/A")=COUNTA($F59:$T59),"N/A",$X59/(COUNTA($F59:$T59)-$Z59))</f>
        <v/>
      </c>
      <c r="X59" s="182">
        <f>COUNTIF($F59:$T59,"양호")</f>
        <v/>
      </c>
      <c r="Y59" s="183">
        <f>COUNTIF($F59:$T59,"취약")</f>
        <v/>
      </c>
      <c r="Z59" s="184">
        <f>COUNTIF($F59:$T59,"N/A")</f>
        <v/>
      </c>
    </row>
    <row r="60" ht="16.5" customHeight="1" s="196" thickBot="1">
      <c r="A60" s="201" t="n"/>
      <c r="B60" s="236" t="n"/>
      <c r="C60" s="37" t="inlineStr">
        <is>
          <t>U-55</t>
        </is>
      </c>
      <c r="D60" s="5" t="inlineStr">
        <is>
          <t>FTP 계정 Shell 제한</t>
        </is>
      </c>
      <c r="E60" s="6" t="inlineStr">
        <is>
          <t>중</t>
        </is>
      </c>
      <c r="F60" s="115">
        <f>HLOOKUP(F$3,'3-1. 진단 결과(Linux)'!$F$3:$Q$72,ROW(A58),FALSE)</f>
        <v/>
      </c>
      <c r="G60" s="115">
        <f>HLOOKUP(G$3,'3-1. 진단 결과(Linux)'!$F$3:$Q$72,ROW(A58),FALSE)</f>
        <v/>
      </c>
      <c r="H60" s="115">
        <f>HLOOKUP(H$3,'3-1. 진단 결과(Linux)'!$F$3:$Q$72,ROW(A58),FALSE)</f>
        <v/>
      </c>
      <c r="I60" s="115">
        <f>HLOOKUP(I$3,'3-1. 진단 결과(Linux)'!$F$3:$Q$72,ROW(A58),FALSE)</f>
        <v/>
      </c>
      <c r="J60" s="115">
        <f>HLOOKUP(J$3,'3-1. 진단 결과(Linux)'!$F$3:$Q$72,ROW(A58),FALSE)</f>
        <v/>
      </c>
      <c r="K60" s="115">
        <f>HLOOKUP(K$3,'3-1. 진단 결과(Linux)'!$F$3:$Q$72,ROW(A58),FALSE)</f>
        <v/>
      </c>
      <c r="L60" s="115" t="n"/>
      <c r="M60" s="115" t="n"/>
      <c r="N60" s="115" t="n"/>
      <c r="O60" s="115" t="n"/>
      <c r="P60" s="115" t="n"/>
      <c r="Q60" s="115" t="n"/>
      <c r="R60" s="115" t="n"/>
      <c r="S60" s="115" t="n"/>
      <c r="T60" s="122" t="n"/>
      <c r="V60" s="236" t="n"/>
      <c r="W60" s="315">
        <f>IF(COUNTIF($F60:$T60,"N/A")=COUNTA($F60:$T60),"N/A",$X60/(COUNTA($F60:$T60)-$Z60))</f>
        <v/>
      </c>
      <c r="X60" s="182">
        <f>COUNTIF($F60:$T60,"양호")</f>
        <v/>
      </c>
      <c r="Y60" s="183">
        <f>COUNTIF($F60:$T60,"취약")</f>
        <v/>
      </c>
      <c r="Z60" s="184">
        <f>COUNTIF($F60:$T60,"N/A")</f>
        <v/>
      </c>
    </row>
    <row r="61" ht="16.5" customHeight="1" s="196" thickBot="1">
      <c r="A61" s="201" t="n"/>
      <c r="B61" s="236" t="n"/>
      <c r="C61" s="37" t="inlineStr">
        <is>
          <t>U-56</t>
        </is>
      </c>
      <c r="D61" s="5" t="inlineStr">
        <is>
          <t>FTP 서비스 접근 제어 설정</t>
        </is>
      </c>
      <c r="E61" s="6" t="inlineStr">
        <is>
          <t>하</t>
        </is>
      </c>
      <c r="F61" s="115">
        <f>HLOOKUP(F$3,'3-1. 진단 결과(Linux)'!$F$3:$Q$72,ROW(A59),FALSE)</f>
        <v/>
      </c>
      <c r="G61" s="115">
        <f>HLOOKUP(G$3,'3-1. 진단 결과(Linux)'!$F$3:$Q$72,ROW(A59),FALSE)</f>
        <v/>
      </c>
      <c r="H61" s="115">
        <f>HLOOKUP(H$3,'3-1. 진단 결과(Linux)'!$F$3:$Q$72,ROW(A59),FALSE)</f>
        <v/>
      </c>
      <c r="I61" s="115">
        <f>HLOOKUP(I$3,'3-1. 진단 결과(Linux)'!$F$3:$Q$72,ROW(A59),FALSE)</f>
        <v/>
      </c>
      <c r="J61" s="115">
        <f>HLOOKUP(J$3,'3-1. 진단 결과(Linux)'!$F$3:$Q$72,ROW(A59),FALSE)</f>
        <v/>
      </c>
      <c r="K61" s="115">
        <f>HLOOKUP(K$3,'3-1. 진단 결과(Linux)'!$F$3:$Q$72,ROW(A59),FALSE)</f>
        <v/>
      </c>
      <c r="L61" s="115" t="n"/>
      <c r="M61" s="115" t="n"/>
      <c r="N61" s="115" t="n"/>
      <c r="O61" s="115" t="n"/>
      <c r="P61" s="115" t="n"/>
      <c r="Q61" s="115" t="n"/>
      <c r="R61" s="115" t="n"/>
      <c r="S61" s="115" t="n"/>
      <c r="T61" s="122" t="n"/>
      <c r="V61" s="236" t="n"/>
      <c r="W61" s="315">
        <f>IF(COUNTIF($F61:$T61,"N/A")=COUNTA($F61:$T61),"N/A",$X61/(COUNTA($F61:$T61)-$Z61))</f>
        <v/>
      </c>
      <c r="X61" s="182">
        <f>COUNTIF($F61:$T61,"양호")</f>
        <v/>
      </c>
      <c r="Y61" s="183">
        <f>COUNTIF($F61:$T61,"취약")</f>
        <v/>
      </c>
      <c r="Z61" s="184">
        <f>COUNTIF($F61:$T61,"N/A")</f>
        <v/>
      </c>
    </row>
    <row r="62" ht="16.5" customHeight="1" s="196" thickBot="1">
      <c r="A62" s="201" t="n"/>
      <c r="B62" s="236" t="n"/>
      <c r="C62" s="37" t="inlineStr">
        <is>
          <t>U-57</t>
        </is>
      </c>
      <c r="D62" s="5" t="inlineStr">
        <is>
          <t>Ftpusers 파일 설정</t>
        </is>
      </c>
      <c r="E62" s="6" t="inlineStr">
        <is>
          <t>중</t>
        </is>
      </c>
      <c r="F62" s="115">
        <f>HLOOKUP(F$3,'3-1. 진단 결과(Linux)'!$F$3:$Q$72,ROW(A60),FALSE)</f>
        <v/>
      </c>
      <c r="G62" s="115">
        <f>HLOOKUP(G$3,'3-1. 진단 결과(Linux)'!$F$3:$Q$72,ROW(A60),FALSE)</f>
        <v/>
      </c>
      <c r="H62" s="115">
        <f>HLOOKUP(H$3,'3-1. 진단 결과(Linux)'!$F$3:$Q$72,ROW(A60),FALSE)</f>
        <v/>
      </c>
      <c r="I62" s="115">
        <f>HLOOKUP(I$3,'3-1. 진단 결과(Linux)'!$F$3:$Q$72,ROW(A60),FALSE)</f>
        <v/>
      </c>
      <c r="J62" s="115">
        <f>HLOOKUP(J$3,'3-1. 진단 결과(Linux)'!$F$3:$Q$72,ROW(A60),FALSE)</f>
        <v/>
      </c>
      <c r="K62" s="115">
        <f>HLOOKUP(K$3,'3-1. 진단 결과(Linux)'!$F$3:$Q$72,ROW(A60),FALSE)</f>
        <v/>
      </c>
      <c r="L62" s="115" t="n"/>
      <c r="M62" s="115" t="n"/>
      <c r="N62" s="115" t="n"/>
      <c r="O62" s="115" t="n"/>
      <c r="P62" s="115" t="n"/>
      <c r="Q62" s="115" t="n"/>
      <c r="R62" s="115" t="n"/>
      <c r="S62" s="115" t="n"/>
      <c r="T62" s="122" t="n"/>
      <c r="V62" s="236" t="n"/>
      <c r="W62" s="315">
        <f>IF(COUNTIF($F62:$T62,"N/A")=COUNTA($F62:$T62),"N/A",$X62/(COUNTA($F62:$T62)-$Z62))</f>
        <v/>
      </c>
      <c r="X62" s="182">
        <f>COUNTIF($F62:$T62,"양호")</f>
        <v/>
      </c>
      <c r="Y62" s="183">
        <f>COUNTIF($F62:$T62,"취약")</f>
        <v/>
      </c>
      <c r="Z62" s="184">
        <f>COUNTIF($F62:$T62,"N/A")</f>
        <v/>
      </c>
    </row>
    <row r="63" ht="16.5" customHeight="1" s="196" thickBot="1">
      <c r="A63" s="201" t="n"/>
      <c r="B63" s="236" t="n"/>
      <c r="C63" s="37" t="inlineStr">
        <is>
          <t>U-58</t>
        </is>
      </c>
      <c r="D63" s="5" t="inlineStr">
        <is>
          <t>불필요한 SNMP 서비스 구동 점검</t>
        </is>
      </c>
      <c r="E63" s="6" t="inlineStr">
        <is>
          <t>중</t>
        </is>
      </c>
      <c r="F63" s="115">
        <f>HLOOKUP(F$3,'3-1. 진단 결과(Linux)'!$F$3:$Q$72,ROW(A61),FALSE)</f>
        <v/>
      </c>
      <c r="G63" s="115">
        <f>HLOOKUP(G$3,'3-1. 진단 결과(Linux)'!$F$3:$Q$72,ROW(A61),FALSE)</f>
        <v/>
      </c>
      <c r="H63" s="115">
        <f>HLOOKUP(H$3,'3-1. 진단 결과(Linux)'!$F$3:$Q$72,ROW(A61),FALSE)</f>
        <v/>
      </c>
      <c r="I63" s="115">
        <f>HLOOKUP(I$3,'3-1. 진단 결과(Linux)'!$F$3:$Q$72,ROW(A61),FALSE)</f>
        <v/>
      </c>
      <c r="J63" s="115">
        <f>HLOOKUP(J$3,'3-1. 진단 결과(Linux)'!$F$3:$Q$72,ROW(A61),FALSE)</f>
        <v/>
      </c>
      <c r="K63" s="115">
        <f>HLOOKUP(K$3,'3-1. 진단 결과(Linux)'!$F$3:$Q$72,ROW(A61),FALSE)</f>
        <v/>
      </c>
      <c r="L63" s="115" t="n"/>
      <c r="M63" s="115" t="n"/>
      <c r="N63" s="115" t="n"/>
      <c r="O63" s="115" t="n"/>
      <c r="P63" s="115" t="n"/>
      <c r="Q63" s="115" t="n"/>
      <c r="R63" s="115" t="n"/>
      <c r="S63" s="115" t="n"/>
      <c r="T63" s="122" t="n"/>
      <c r="V63" s="236" t="n"/>
      <c r="W63" s="315">
        <f>IF(COUNTIF($F63:$T63,"N/A")=COUNTA($F63:$T63),"N/A",$X63/(COUNTA($F63:$T63)-$Z63))</f>
        <v/>
      </c>
      <c r="X63" s="182">
        <f>COUNTIF($F63:$T63,"양호")</f>
        <v/>
      </c>
      <c r="Y63" s="183">
        <f>COUNTIF($F63:$T63,"취약")</f>
        <v/>
      </c>
      <c r="Z63" s="184">
        <f>COUNTIF($F63:$T63,"N/A")</f>
        <v/>
      </c>
    </row>
    <row r="64" ht="16.5" customHeight="1" s="196" thickBot="1">
      <c r="A64" s="201" t="n"/>
      <c r="B64" s="236" t="n"/>
      <c r="C64" s="37" t="inlineStr">
        <is>
          <t>U-59</t>
        </is>
      </c>
      <c r="D64" s="5" t="inlineStr">
        <is>
          <t>안전한 SNMP 버전 사용</t>
        </is>
      </c>
      <c r="E64" s="6" t="inlineStr">
        <is>
          <t>상</t>
        </is>
      </c>
      <c r="F64" s="115">
        <f>HLOOKUP(F$3,'3-1. 진단 결과(Linux)'!$F$3:$Q$72,ROW(A62),FALSE)</f>
        <v/>
      </c>
      <c r="G64" s="115">
        <f>HLOOKUP(G$3,'3-1. 진단 결과(Linux)'!$F$3:$Q$72,ROW(A62),FALSE)</f>
        <v/>
      </c>
      <c r="H64" s="115">
        <f>HLOOKUP(H$3,'3-1. 진단 결과(Linux)'!$F$3:$Q$72,ROW(A62),FALSE)</f>
        <v/>
      </c>
      <c r="I64" s="115">
        <f>HLOOKUP(I$3,'3-1. 진단 결과(Linux)'!$F$3:$Q$72,ROW(A62),FALSE)</f>
        <v/>
      </c>
      <c r="J64" s="115">
        <f>HLOOKUP(J$3,'3-1. 진단 결과(Linux)'!$F$3:$Q$72,ROW(A62),FALSE)</f>
        <v/>
      </c>
      <c r="K64" s="115">
        <f>HLOOKUP(K$3,'3-1. 진단 결과(Linux)'!$F$3:$Q$72,ROW(A62),FALSE)</f>
        <v/>
      </c>
      <c r="L64" s="115" t="n"/>
      <c r="M64" s="115" t="n"/>
      <c r="N64" s="115" t="n"/>
      <c r="O64" s="115" t="n"/>
      <c r="P64" s="115" t="n"/>
      <c r="Q64" s="115" t="n"/>
      <c r="R64" s="115" t="n"/>
      <c r="S64" s="115" t="n"/>
      <c r="T64" s="122" t="n"/>
      <c r="V64" s="236" t="n"/>
      <c r="W64" s="315">
        <f>IF(COUNTIF($F64:$T64,"N/A")=COUNTA($F64:$T64),"N/A",$X64/(COUNTA($F64:$T64)-$Z64))</f>
        <v/>
      </c>
      <c r="X64" s="182">
        <f>COUNTIF($F64:$T64,"양호")</f>
        <v/>
      </c>
      <c r="Y64" s="183">
        <f>COUNTIF($F64:$T64,"취약")</f>
        <v/>
      </c>
      <c r="Z64" s="184">
        <f>COUNTIF($F64:$T64,"N/A")</f>
        <v/>
      </c>
    </row>
    <row r="65" ht="16.5" customHeight="1" s="196" thickBot="1">
      <c r="A65" s="201" t="n"/>
      <c r="B65" s="236" t="n"/>
      <c r="C65" s="37" t="inlineStr">
        <is>
          <t>U-60</t>
        </is>
      </c>
      <c r="D65" s="5" t="inlineStr">
        <is>
          <t>SNMP Community String 복잡성 설정</t>
        </is>
      </c>
      <c r="E65" s="6" t="inlineStr">
        <is>
          <t>중</t>
        </is>
      </c>
      <c r="F65" s="115">
        <f>HLOOKUP(F$3,'3-1. 진단 결과(Linux)'!$F$3:$Q$72,ROW(A63),FALSE)</f>
        <v/>
      </c>
      <c r="G65" s="115">
        <f>HLOOKUP(G$3,'3-1. 진단 결과(Linux)'!$F$3:$Q$72,ROW(A63),FALSE)</f>
        <v/>
      </c>
      <c r="H65" s="115">
        <f>HLOOKUP(H$3,'3-1. 진단 결과(Linux)'!$F$3:$Q$72,ROW(A63),FALSE)</f>
        <v/>
      </c>
      <c r="I65" s="115">
        <f>HLOOKUP(I$3,'3-1. 진단 결과(Linux)'!$F$3:$Q$72,ROW(A63),FALSE)</f>
        <v/>
      </c>
      <c r="J65" s="115">
        <f>HLOOKUP(J$3,'3-1. 진단 결과(Linux)'!$F$3:$Q$72,ROW(A63),FALSE)</f>
        <v/>
      </c>
      <c r="K65" s="115">
        <f>HLOOKUP(K$3,'3-1. 진단 결과(Linux)'!$F$3:$Q$72,ROW(A63),FALSE)</f>
        <v/>
      </c>
      <c r="L65" s="115" t="n"/>
      <c r="M65" s="115" t="n"/>
      <c r="N65" s="115" t="n"/>
      <c r="O65" s="115" t="n"/>
      <c r="P65" s="115" t="n"/>
      <c r="Q65" s="115" t="n"/>
      <c r="R65" s="115" t="n"/>
      <c r="S65" s="115" t="n"/>
      <c r="T65" s="122" t="n"/>
      <c r="V65" s="236" t="n"/>
      <c r="W65" s="315">
        <f>IF(COUNTIF($F65:$T65,"N/A")=COUNTA($F65:$T65),"N/A",$X65/(COUNTA($F65:$T65)-$Z65))</f>
        <v/>
      </c>
      <c r="X65" s="182">
        <f>COUNTIF($F65:$T65,"양호")</f>
        <v/>
      </c>
      <c r="Y65" s="183">
        <f>COUNTIF($F65:$T65,"취약")</f>
        <v/>
      </c>
      <c r="Z65" s="184">
        <f>COUNTIF($F65:$T65,"N/A")</f>
        <v/>
      </c>
    </row>
    <row r="66" ht="16.5" customHeight="1" s="196" thickBot="1">
      <c r="A66" s="201" t="n"/>
      <c r="B66" s="236" t="n"/>
      <c r="C66" s="37" t="inlineStr">
        <is>
          <t>U-61</t>
        </is>
      </c>
      <c r="D66" s="5" t="inlineStr">
        <is>
          <t>SNMP Access Control 설정</t>
        </is>
      </c>
      <c r="E66" s="6" t="inlineStr">
        <is>
          <t>상</t>
        </is>
      </c>
      <c r="F66" s="115">
        <f>HLOOKUP(F$3,'3-1. 진단 결과(Linux)'!$F$3:$Q$72,ROW(A64),FALSE)</f>
        <v/>
      </c>
      <c r="G66" s="115">
        <f>HLOOKUP(G$3,'3-1. 진단 결과(Linux)'!$F$3:$Q$72,ROW(A64),FALSE)</f>
        <v/>
      </c>
      <c r="H66" s="115">
        <f>HLOOKUP(H$3,'3-1. 진단 결과(Linux)'!$F$3:$Q$72,ROW(A64),FALSE)</f>
        <v/>
      </c>
      <c r="I66" s="115">
        <f>HLOOKUP(I$3,'3-1. 진단 결과(Linux)'!$F$3:$Q$72,ROW(A64),FALSE)</f>
        <v/>
      </c>
      <c r="J66" s="115">
        <f>HLOOKUP(J$3,'3-1. 진단 결과(Linux)'!$F$3:$Q$72,ROW(A64),FALSE)</f>
        <v/>
      </c>
      <c r="K66" s="115">
        <f>HLOOKUP(K$3,'3-1. 진단 결과(Linux)'!$F$3:$Q$72,ROW(A64),FALSE)</f>
        <v/>
      </c>
      <c r="L66" s="115" t="n"/>
      <c r="M66" s="115" t="n"/>
      <c r="N66" s="115" t="n"/>
      <c r="O66" s="115" t="n"/>
      <c r="P66" s="115" t="n"/>
      <c r="Q66" s="115" t="n"/>
      <c r="R66" s="115" t="n"/>
      <c r="S66" s="115" t="n"/>
      <c r="T66" s="122" t="n"/>
      <c r="V66" s="236" t="n"/>
      <c r="W66" s="315">
        <f>IF(COUNTIF($F66:$T66,"N/A")=COUNTA($F66:$T66),"N/A",$X66/(COUNTA($F66:$T66)-$Z66))</f>
        <v/>
      </c>
      <c r="X66" s="182">
        <f>COUNTIF($F66:$T66,"양호")</f>
        <v/>
      </c>
      <c r="Y66" s="183">
        <f>COUNTIF($F66:$T66,"취약")</f>
        <v/>
      </c>
      <c r="Z66" s="184">
        <f>COUNTIF($F66:$T66,"N/A")</f>
        <v/>
      </c>
    </row>
    <row r="67" ht="16.5" customHeight="1" s="196" thickBot="1">
      <c r="A67" s="201" t="n"/>
      <c r="B67" s="236" t="n"/>
      <c r="C67" s="37" t="inlineStr">
        <is>
          <t>U-62</t>
        </is>
      </c>
      <c r="D67" s="5" t="inlineStr">
        <is>
          <t>로그인 시 경고 메시지 설정</t>
        </is>
      </c>
      <c r="E67" s="6" t="inlineStr">
        <is>
          <t>하</t>
        </is>
      </c>
      <c r="F67" s="115">
        <f>HLOOKUP(F$3,'3-1. 진단 결과(Linux)'!$F$3:$Q$72,ROW(A65),FALSE)</f>
        <v/>
      </c>
      <c r="G67" s="115">
        <f>HLOOKUP(G$3,'3-1. 진단 결과(Linux)'!$F$3:$Q$72,ROW(A65),FALSE)</f>
        <v/>
      </c>
      <c r="H67" s="115">
        <f>HLOOKUP(H$3,'3-1. 진단 결과(Linux)'!$F$3:$Q$72,ROW(A65),FALSE)</f>
        <v/>
      </c>
      <c r="I67" s="115">
        <f>HLOOKUP(I$3,'3-1. 진단 결과(Linux)'!$F$3:$Q$72,ROW(A65),FALSE)</f>
        <v/>
      </c>
      <c r="J67" s="115">
        <f>HLOOKUP(J$3,'3-1. 진단 결과(Linux)'!$F$3:$Q$72,ROW(A65),FALSE)</f>
        <v/>
      </c>
      <c r="K67" s="115">
        <f>HLOOKUP(K$3,'3-1. 진단 결과(Linux)'!$F$3:$Q$72,ROW(A65),FALSE)</f>
        <v/>
      </c>
      <c r="L67" s="115" t="n"/>
      <c r="M67" s="115" t="n"/>
      <c r="N67" s="115" t="n"/>
      <c r="O67" s="115" t="n"/>
      <c r="P67" s="115" t="n"/>
      <c r="Q67" s="115" t="n"/>
      <c r="R67" s="115" t="n"/>
      <c r="S67" s="115" t="n"/>
      <c r="T67" s="122" t="n"/>
      <c r="V67" s="236" t="n"/>
      <c r="W67" s="315">
        <f>IF(COUNTIF($F67:$T67,"N/A")=COUNTA($F67:$T67),"N/A",$X67/(COUNTA($F67:$T67)-$Z67))</f>
        <v/>
      </c>
      <c r="X67" s="182">
        <f>COUNTIF($F67:$T67,"양호")</f>
        <v/>
      </c>
      <c r="Y67" s="183">
        <f>COUNTIF($F67:$T67,"취약")</f>
        <v/>
      </c>
      <c r="Z67" s="184">
        <f>COUNTIF($F67:$T67,"N/A")</f>
        <v/>
      </c>
    </row>
    <row r="68" ht="16.5" customHeight="1" s="196" thickBot="1">
      <c r="A68" s="201" t="n"/>
      <c r="B68" s="252" t="n"/>
      <c r="C68" s="37" t="inlineStr">
        <is>
          <t>U-63</t>
        </is>
      </c>
      <c r="D68" s="112" t="inlineStr">
        <is>
          <t>sudo 명령어 접근 관리</t>
        </is>
      </c>
      <c r="E68" s="111" t="inlineStr">
        <is>
          <t>중</t>
        </is>
      </c>
      <c r="F68" s="113">
        <f>HLOOKUP(F$3,'3-1. 진단 결과(Linux)'!$F$3:$Q$72,ROW(A66),FALSE)</f>
        <v/>
      </c>
      <c r="G68" s="113">
        <f>HLOOKUP(G$3,'3-1. 진단 결과(Linux)'!$F$3:$Q$72,ROW(A66),FALSE)</f>
        <v/>
      </c>
      <c r="H68" s="113">
        <f>HLOOKUP(H$3,'3-1. 진단 결과(Linux)'!$F$3:$Q$72,ROW(A66),FALSE)</f>
        <v/>
      </c>
      <c r="I68" s="113">
        <f>HLOOKUP(I$3,'3-1. 진단 결과(Linux)'!$F$3:$Q$72,ROW(A66),FALSE)</f>
        <v/>
      </c>
      <c r="J68" s="113">
        <f>HLOOKUP(J$3,'3-1. 진단 결과(Linux)'!$F$3:$Q$72,ROW(A66),FALSE)</f>
        <v/>
      </c>
      <c r="K68" s="113">
        <f>HLOOKUP(K$3,'3-1. 진단 결과(Linux)'!$F$3:$Q$72,ROW(A66),FALSE)</f>
        <v/>
      </c>
      <c r="L68" s="113" t="n"/>
      <c r="M68" s="113" t="n"/>
      <c r="N68" s="113" t="n"/>
      <c r="O68" s="113" t="n"/>
      <c r="P68" s="113" t="n"/>
      <c r="Q68" s="113" t="n"/>
      <c r="R68" s="113" t="n"/>
      <c r="S68" s="113" t="n"/>
      <c r="T68" s="123" t="n"/>
      <c r="V68" s="252" t="n"/>
      <c r="W68" s="316">
        <f>IF(COUNTIF($F68:$T68,"N/A")=COUNTA($F68:$T68),"N/A",$X68/(COUNTA($F68:$T68)-$Z68))</f>
        <v/>
      </c>
      <c r="X68" s="186">
        <f>COUNTIF($F68:$T68,"양호")</f>
        <v/>
      </c>
      <c r="Y68" s="187">
        <f>COUNTIF($F68:$T68,"취약")</f>
        <v/>
      </c>
      <c r="Z68" s="188">
        <f>COUNTIF($F68:$T68,"N/A")</f>
        <v/>
      </c>
    </row>
    <row r="69" ht="16.5" customHeight="1" s="196" thickBot="1">
      <c r="A69" s="201" t="n"/>
      <c r="B69" s="251" t="inlineStr">
        <is>
          <t>4. 패치 관리</t>
        </is>
      </c>
      <c r="C69" s="37" t="inlineStr">
        <is>
          <t>U-64</t>
        </is>
      </c>
      <c r="D69" s="120" t="inlineStr">
        <is>
          <t>주기적 보안 패치 및 벤더 권고사항 적용</t>
        </is>
      </c>
      <c r="E69" s="119" t="inlineStr">
        <is>
          <t>상</t>
        </is>
      </c>
      <c r="F69" s="121">
        <f>HLOOKUP(F$3,'3-1. 진단 결과(Linux)'!$F$3:$Q$72,ROW(A67),FALSE)</f>
        <v/>
      </c>
      <c r="G69" s="121">
        <f>HLOOKUP(G$3,'3-1. 진단 결과(Linux)'!$F$3:$Q$72,ROW(A67),FALSE)</f>
        <v/>
      </c>
      <c r="H69" s="121">
        <f>HLOOKUP(H$3,'3-1. 진단 결과(Linux)'!$F$3:$Q$72,ROW(A67),FALSE)</f>
        <v/>
      </c>
      <c r="I69" s="121">
        <f>HLOOKUP(I$3,'3-1. 진단 결과(Linux)'!$F$3:$Q$72,ROW(A67),FALSE)</f>
        <v/>
      </c>
      <c r="J69" s="121">
        <f>HLOOKUP(J$3,'3-1. 진단 결과(Linux)'!$F$3:$Q$72,ROW(A67),FALSE)</f>
        <v/>
      </c>
      <c r="K69" s="121">
        <f>HLOOKUP(K$3,'3-1. 진단 결과(Linux)'!$F$3:$Q$72,ROW(A67),FALSE)</f>
        <v/>
      </c>
      <c r="L69" s="121" t="n"/>
      <c r="M69" s="121" t="n"/>
      <c r="N69" s="121" t="n"/>
      <c r="O69" s="121" t="n"/>
      <c r="P69" s="121" t="n"/>
      <c r="Q69" s="121" t="n"/>
      <c r="R69" s="121" t="n"/>
      <c r="S69" s="121" t="n"/>
      <c r="T69" s="124" t="n"/>
      <c r="V69" s="318">
        <f>IF(COUNTIF(W69:W69,"N/A")=COUNTA(W69:W69),"N/A",AVERAGE(W69:W69))</f>
        <v/>
      </c>
      <c r="W69" s="319">
        <f>IF(COUNTIF($F69:$T69,"N/A")=COUNTA($F69:$T69),"N/A",$X69/(COUNTA($F69:$T69)-$Z69))</f>
        <v/>
      </c>
      <c r="X69" s="89">
        <f>COUNTIF($F69:$T69,"양호")</f>
        <v/>
      </c>
      <c r="Y69" s="90">
        <f>COUNTIF($F69:$T69,"취약")</f>
        <v/>
      </c>
      <c r="Z69" s="91">
        <f>COUNTIF($F69:$T69,"N/A")</f>
        <v/>
      </c>
    </row>
    <row r="70" ht="16.5" customHeight="1" s="196" thickBot="1">
      <c r="A70" s="201" t="n"/>
      <c r="B70" s="251" t="inlineStr">
        <is>
          <t>5. 로그 관리</t>
        </is>
      </c>
      <c r="C70" s="37" t="inlineStr">
        <is>
          <t>U-65</t>
        </is>
      </c>
      <c r="D70" s="44" t="inlineStr">
        <is>
          <t>NTP 및 시각 동기화 설정</t>
        </is>
      </c>
      <c r="E70" s="38" t="inlineStr">
        <is>
          <t>중</t>
        </is>
      </c>
      <c r="F70" s="30">
        <f>HLOOKUP(F$3,'3-1. 진단 결과(Linux)'!$F$3:$Q$72,ROW(A68),FALSE)</f>
        <v/>
      </c>
      <c r="G70" s="30">
        <f>HLOOKUP(G$3,'3-1. 진단 결과(Linux)'!$F$3:$Q$72,ROW(A68),FALSE)</f>
        <v/>
      </c>
      <c r="H70" s="30">
        <f>HLOOKUP(H$3,'3-1. 진단 결과(Linux)'!$F$3:$Q$72,ROW(A68),FALSE)</f>
        <v/>
      </c>
      <c r="I70" s="30">
        <f>HLOOKUP(I$3,'3-1. 진단 결과(Linux)'!$F$3:$Q$72,ROW(A68),FALSE)</f>
        <v/>
      </c>
      <c r="J70" s="30">
        <f>HLOOKUP(J$3,'3-1. 진단 결과(Linux)'!$F$3:$Q$72,ROW(A68),FALSE)</f>
        <v/>
      </c>
      <c r="K70" s="30">
        <f>HLOOKUP(K$3,'3-1. 진단 결과(Linux)'!$F$3:$Q$72,ROW(A68),FALSE)</f>
        <v/>
      </c>
      <c r="L70" s="30" t="n"/>
      <c r="M70" s="30" t="n"/>
      <c r="N70" s="30" t="n"/>
      <c r="O70" s="30" t="n"/>
      <c r="P70" s="30" t="n"/>
      <c r="Q70" s="30" t="n"/>
      <c r="R70" s="30" t="n"/>
      <c r="S70" s="30" t="n"/>
      <c r="T70" s="125" t="n"/>
      <c r="V70" s="320">
        <f>IF(COUNTIF(W70:W72,"N/A")=COUNTA(W70:W72),"N/A",AVERAGE(W70:W72))</f>
        <v/>
      </c>
      <c r="W70" s="314">
        <f>IF(COUNTIF($F70:$T70,"N/A")=COUNTA($F70:$T70),"N/A",$X70/(COUNTA($F70:$T70)-$Z70))</f>
        <v/>
      </c>
      <c r="X70" s="73">
        <f>COUNTIF($F70:$T70,"양호")</f>
        <v/>
      </c>
      <c r="Y70" s="74">
        <f>COUNTIF($F70:$T70,"취약")</f>
        <v/>
      </c>
      <c r="Z70" s="75">
        <f>COUNTIF($F70:$T70,"N/A")</f>
        <v/>
      </c>
    </row>
    <row r="71" ht="16.5" customHeight="1" s="196" thickBot="1">
      <c r="A71" s="201" t="n"/>
      <c r="B71" s="236" t="n"/>
      <c r="C71" s="37" t="inlineStr">
        <is>
          <t>U-66</t>
        </is>
      </c>
      <c r="D71" s="5" t="inlineStr">
        <is>
          <t>정책에 따른 시스템 로깅 설정</t>
        </is>
      </c>
      <c r="E71" s="6" t="inlineStr">
        <is>
          <t>중</t>
        </is>
      </c>
      <c r="F71" s="115">
        <f>HLOOKUP(F$3,'3-1. 진단 결과(Linux)'!$F$3:$Q$72,ROW(A69),FALSE)</f>
        <v/>
      </c>
      <c r="G71" s="115">
        <f>HLOOKUP(G$3,'3-1. 진단 결과(Linux)'!$F$3:$Q$72,ROW(A69),FALSE)</f>
        <v/>
      </c>
      <c r="H71" s="115">
        <f>HLOOKUP(H$3,'3-1. 진단 결과(Linux)'!$F$3:$Q$72,ROW(A69),FALSE)</f>
        <v/>
      </c>
      <c r="I71" s="115">
        <f>HLOOKUP(I$3,'3-1. 진단 결과(Linux)'!$F$3:$Q$72,ROW(A69),FALSE)</f>
        <v/>
      </c>
      <c r="J71" s="115">
        <f>HLOOKUP(J$3,'3-1. 진단 결과(Linux)'!$F$3:$Q$72,ROW(A69),FALSE)</f>
        <v/>
      </c>
      <c r="K71" s="115">
        <f>HLOOKUP(K$3,'3-1. 진단 결과(Linux)'!$F$3:$Q$72,ROW(A69),FALSE)</f>
        <v/>
      </c>
      <c r="L71" s="115" t="n"/>
      <c r="M71" s="115" t="n"/>
      <c r="N71" s="115" t="n"/>
      <c r="O71" s="115" t="n"/>
      <c r="P71" s="115" t="n"/>
      <c r="Q71" s="115" t="n"/>
      <c r="R71" s="115" t="n"/>
      <c r="S71" s="115" t="n"/>
      <c r="T71" s="122" t="n"/>
      <c r="V71" s="236" t="n"/>
      <c r="W71" s="315">
        <f>IF(COUNTIF($F71:$T71,"N/A")=COUNTA($F71:$T71),"N/A",$X71/(COUNTA($F71:$T71)-$Z71))</f>
        <v/>
      </c>
      <c r="X71" s="182">
        <f>COUNTIF($F71:$T71,"양호")</f>
        <v/>
      </c>
      <c r="Y71" s="183">
        <f>COUNTIF($F71:$T71,"취약")</f>
        <v/>
      </c>
      <c r="Z71" s="184">
        <f>COUNTIF($F71:$T71,"N/A")</f>
        <v/>
      </c>
    </row>
    <row r="72" ht="16.5" customHeight="1" s="196" thickBot="1">
      <c r="A72" s="201" t="n"/>
      <c r="B72" s="252" t="n"/>
      <c r="C72" s="37" t="inlineStr">
        <is>
          <t>U-67</t>
        </is>
      </c>
      <c r="D72" s="112" t="inlineStr">
        <is>
          <t>로그 디렉터리 소유자 및 권한 설정</t>
        </is>
      </c>
      <c r="E72" s="111" t="inlineStr">
        <is>
          <t>중</t>
        </is>
      </c>
      <c r="F72" s="113" t="inlineStr">
        <is>
          <t>양호</t>
        </is>
      </c>
      <c r="G72" s="113">
        <f>HLOOKUP(G$3,'3-1. 진단 결과(Linux)'!$F$3:$Q$72,ROW(A70),FALSE)</f>
        <v/>
      </c>
      <c r="H72" s="113">
        <f>HLOOKUP(H$3,'3-1. 진단 결과(Linux)'!$F$3:$Q$72,ROW(A70),FALSE)</f>
        <v/>
      </c>
      <c r="I72" s="113">
        <f>HLOOKUP(I$3,'3-1. 진단 결과(Linux)'!$F$3:$Q$72,ROW(A70),FALSE)</f>
        <v/>
      </c>
      <c r="J72" s="113">
        <f>HLOOKUP(J$3,'3-1. 진단 결과(Linux)'!$F$3:$Q$72,ROW(A70),FALSE)</f>
        <v/>
      </c>
      <c r="K72" s="113">
        <f>HLOOKUP(K$3,'3-1. 진단 결과(Linux)'!$F$3:$Q$72,ROW(A70),FALSE)</f>
        <v/>
      </c>
      <c r="L72" s="113" t="n"/>
      <c r="M72" s="113" t="n"/>
      <c r="N72" s="113" t="n"/>
      <c r="O72" s="113" t="n"/>
      <c r="P72" s="113" t="n"/>
      <c r="Q72" s="113" t="n"/>
      <c r="R72" s="113" t="n"/>
      <c r="S72" s="113" t="n"/>
      <c r="T72" s="123" t="n"/>
      <c r="V72" s="252" t="n"/>
      <c r="W72" s="316">
        <f>IF(COUNTIF($F72:$T72,"N/A")=COUNTA($F72:$T72),"N/A",$X72/(COUNTA($F72:$T72)-$Z72))</f>
        <v/>
      </c>
      <c r="X72" s="186">
        <f>COUNTIF($F72:$T72,"양호")</f>
        <v/>
      </c>
      <c r="Y72" s="187">
        <f>COUNTIF($F72:$T72,"취약")</f>
        <v/>
      </c>
      <c r="Z72" s="188">
        <f>COUNTIF($F72:$T72,"N/A")</f>
        <v/>
      </c>
    </row>
    <row r="73" ht="15.6" customHeight="1" s="196">
      <c r="A73" s="201" t="n"/>
      <c r="B73" s="235" t="inlineStr">
        <is>
          <t>점검결과</t>
        </is>
      </c>
      <c r="C73" s="254" t="inlineStr">
        <is>
          <t xml:space="preserve">
취약항목 개수
</t>
        </is>
      </c>
      <c r="D73" s="255" t="n"/>
      <c r="E73" s="256" t="n"/>
      <c r="F73" s="321">
        <f>COUNTIF(F$6:F$72,"취약")</f>
        <v/>
      </c>
      <c r="G73" s="321">
        <f>COUNTIF(G$6:G$72,"취약")</f>
        <v/>
      </c>
      <c r="H73" s="321">
        <f>COUNTIF(H$6:H$72,"취약")</f>
        <v/>
      </c>
      <c r="I73" s="321">
        <f>COUNTIF(I$6:I$72,"취약")</f>
        <v/>
      </c>
      <c r="J73" s="321">
        <f>COUNTIF(J$6:J$72,"취약")</f>
        <v/>
      </c>
      <c r="K73" s="321">
        <f>COUNTIF(K$6:K$72,"취약")</f>
        <v/>
      </c>
      <c r="L73" s="321" t="n"/>
      <c r="M73" s="321" t="n"/>
      <c r="N73" s="321" t="n"/>
      <c r="O73" s="321" t="n"/>
      <c r="P73" s="321" t="n"/>
      <c r="Q73" s="321" t="n"/>
      <c r="R73" s="321" t="n"/>
      <c r="S73" s="321" t="n"/>
      <c r="T73" s="322" t="n"/>
    </row>
    <row r="74" ht="16.2" customHeight="1" s="196" thickBot="1">
      <c r="A74" s="201" t="n"/>
      <c r="B74" s="214" t="n"/>
      <c r="C74" s="257" t="inlineStr">
        <is>
          <t>보안 적용율 (양호항목 / 진단항목) %</t>
        </is>
      </c>
      <c r="D74" s="323" t="n"/>
      <c r="E74" s="324" t="n"/>
      <c r="F74" s="325">
        <f>(COUNTIF(F$6:F$72,"양호"))/(COUNTA(F$6:F$72)-COUNTIF(F$6:F$72,"N/A"))</f>
        <v/>
      </c>
      <c r="G74" s="325">
        <f>(COUNTIF(G$6:G$72,"양호"))/(COUNTA(G$6:G$72)-COUNTIF(G$6:G$72,"N/A"))</f>
        <v/>
      </c>
      <c r="H74" s="325">
        <f>(COUNTIF(H$6:H$72,"양호"))/(COUNTA(H$6:H$72)-COUNTIF(H$6:H$72,"N/A"))</f>
        <v/>
      </c>
      <c r="I74" s="325">
        <f>(COUNTIF(I$6:I$72,"양호"))/(COUNTA(I$6:I$72)-COUNTIF(I$6:I$72,"N/A"))</f>
        <v/>
      </c>
      <c r="J74" s="325">
        <f>(COUNTIF(J$6:J$72,"양호"))/(COUNTA(J$6:J$72)-COUNTIF(J$6:J$72,"N/A"))</f>
        <v/>
      </c>
      <c r="K74" s="325">
        <f>(COUNTIF(K$6:K$72,"양호"))/(COUNTA(K$6:K$72)-COUNTIF(K$6:K$72,"N/A"))</f>
        <v/>
      </c>
      <c r="L74" s="325" t="n"/>
      <c r="M74" s="325" t="n"/>
      <c r="N74" s="325" t="n"/>
      <c r="O74" s="325" t="n"/>
      <c r="P74" s="325" t="n"/>
      <c r="Q74" s="325" t="n"/>
      <c r="R74" s="325" t="n"/>
      <c r="S74" s="325" t="n"/>
      <c r="T74" s="326" t="n"/>
    </row>
    <row r="76">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row>
    <row r="77">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row>
    <row r="78">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row>
    <row r="79">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row>
  </sheetData>
  <mergeCells count="16">
    <mergeCell ref="B70:B72"/>
    <mergeCell ref="B39:B68"/>
    <mergeCell ref="V70:V72"/>
    <mergeCell ref="C74:E74"/>
    <mergeCell ref="B2:F2"/>
    <mergeCell ref="V39:V68"/>
    <mergeCell ref="C3:C5"/>
    <mergeCell ref="V6:V18"/>
    <mergeCell ref="C73:E73"/>
    <mergeCell ref="E3:E5"/>
    <mergeCell ref="B6:B18"/>
    <mergeCell ref="D3:D5"/>
    <mergeCell ref="B3:B5"/>
    <mergeCell ref="B73:B74"/>
    <mergeCell ref="B19:B38"/>
    <mergeCell ref="V19:V38"/>
  </mergeCells>
  <conditionalFormatting sqref="A7:A14">
    <cfRule type="cellIs" priority="6" operator="equal" dxfId="0">
      <formula>"미흡"</formula>
    </cfRule>
  </conditionalFormatting>
  <conditionalFormatting sqref="A16:A33">
    <cfRule type="cellIs" priority="4" operator="equal" dxfId="0">
      <formula>"미흡"</formula>
    </cfRule>
  </conditionalFormatting>
  <conditionalFormatting sqref="A35:A42">
    <cfRule type="cellIs" priority="8" operator="equal" dxfId="0">
      <formula>"미흡"</formula>
    </cfRule>
  </conditionalFormatting>
  <conditionalFormatting sqref="A2:B2">
    <cfRule type="cellIs" priority="19" operator="equal" dxfId="0">
      <formula>"미흡"</formula>
    </cfRule>
  </conditionalFormatting>
  <conditionalFormatting sqref="A4:E6 A15:B15 A34:B34 A43:B43 A45:B45 A46:A50 A51:B51 C7:C72">
    <cfRule type="cellIs" priority="27" operator="equal" dxfId="0">
      <formula>"미흡"</formula>
    </cfRule>
  </conditionalFormatting>
  <conditionalFormatting sqref="B52">
    <cfRule type="cellIs" priority="18" operator="equal" dxfId="0">
      <formula>"미흡"</formula>
    </cfRule>
  </conditionalFormatting>
  <conditionalFormatting sqref="D7:E51">
    <cfRule type="cellIs" priority="1" operator="equal" dxfId="0">
      <formula>"미흡"</formula>
    </cfRule>
  </conditionalFormatting>
  <conditionalFormatting sqref="F1:T1048576">
    <cfRule type="cellIs" priority="2" operator="equal" dxfId="154">
      <formula>"인터뷰"</formula>
    </cfRule>
    <cfRule type="cellIs" priority="3" operator="equal" dxfId="2226">
      <formula>"확인"</formula>
    </cfRule>
  </conditionalFormatting>
  <conditionalFormatting sqref="F4:T5">
    <cfRule type="cellIs" priority="25" operator="equal" dxfId="0">
      <formula>"미흡"</formula>
    </cfRule>
  </conditionalFormatting>
  <conditionalFormatting sqref="F4:T51">
    <cfRule type="cellIs" priority="26" operator="equal" dxfId="4">
      <formula>"취약"</formula>
    </cfRule>
  </conditionalFormatting>
  <conditionalFormatting sqref="F6:T51">
    <cfRule type="cellIs" priority="77" operator="equal" dxfId="2223">
      <formula>"N/A"</formula>
    </cfRule>
  </conditionalFormatting>
  <conditionalFormatting sqref="F53:T53">
    <cfRule type="cellIs" priority="20" operator="equal" dxfId="2222">
      <formula>"N/A"</formula>
    </cfRule>
    <cfRule type="cellIs" priority="21" operator="equal" dxfId="2220">
      <formula>"N/A"</formula>
    </cfRule>
    <cfRule type="cellIs" priority="22" operator="equal" dxfId="2220">
      <formula>"""N/A"""</formula>
    </cfRule>
  </conditionalFormatting>
  <conditionalFormatting sqref="A3:S3 A44 A52:A53 A54:B72 A73:T1048576 D54:T72 F52:T52 S2:T3">
    <cfRule type="cellIs" priority="13" operator="equal" dxfId="0">
      <formula>"미흡"</formula>
    </cfRule>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2:AI76"/>
  <sheetViews>
    <sheetView tabSelected="1" zoomScale="70" zoomScaleNormal="70" workbookViewId="0">
      <selection activeCell="G6" sqref="G6"/>
    </sheetView>
  </sheetViews>
  <sheetFormatPr baseColWidth="8" defaultColWidth="8.8984375" defaultRowHeight="13.8"/>
  <cols>
    <col width="1.796875" customWidth="1" style="233" min="1" max="1"/>
    <col width="12.8984375" customWidth="1" style="233" min="2" max="2"/>
    <col width="10" customWidth="1" style="233" min="3" max="3"/>
    <col width="40.796875" customWidth="1" style="233" min="4" max="4"/>
    <col width="35.796875" customWidth="1" style="234" min="5" max="5"/>
    <col width="7.69921875" bestFit="1" customWidth="1" style="234" min="6" max="6"/>
    <col width="35.796875" customWidth="1" style="14" min="7" max="7"/>
    <col width="7.69921875" bestFit="1" customWidth="1" style="14" min="8" max="8"/>
    <col width="35.796875" customWidth="1" style="14" min="9" max="9"/>
    <col width="7.69921875" bestFit="1" customWidth="1" style="14" min="10" max="10"/>
    <col width="35.796875" customWidth="1" style="14" min="11" max="11"/>
    <col width="7.69921875" bestFit="1" customWidth="1" style="14" min="12" max="12"/>
    <col width="35.796875" customWidth="1" style="14" min="13" max="13"/>
    <col width="7.69921875" bestFit="1" customWidth="1" style="14" min="14" max="14"/>
    <col width="35.796875" customWidth="1" style="14" min="15" max="15"/>
    <col width="7.69921875" bestFit="1" customWidth="1" style="14" min="16" max="16"/>
    <col width="35.796875" customWidth="1" style="14" min="17" max="17"/>
    <col width="5.8984375" customWidth="1" style="14" min="18" max="18"/>
    <col width="35.796875" customWidth="1" style="14" min="19" max="19"/>
    <col width="5.8984375" customWidth="1" style="14" min="20" max="20"/>
    <col width="35.796875" customWidth="1" style="14" min="21" max="21"/>
    <col width="5.8984375" customWidth="1" style="14" min="22" max="22"/>
    <col width="35.796875" customWidth="1" style="14" min="23" max="23"/>
    <col width="5.8984375" customWidth="1" style="14" min="24" max="24"/>
    <col width="35.796875" customWidth="1" style="14" min="25" max="25"/>
    <col width="5.8984375" customWidth="1" style="14" min="26" max="26"/>
    <col width="35.796875" customWidth="1" style="14" min="27" max="27"/>
    <col width="5.8984375" customWidth="1" style="14" min="28" max="28"/>
    <col width="35.796875" customWidth="1" style="14" min="29" max="29"/>
    <col width="5.8984375" customWidth="1" style="14" min="30" max="30"/>
    <col width="35.796875" customWidth="1" style="14" min="31" max="31"/>
    <col width="5.8984375" customWidth="1" style="14" min="32" max="32"/>
    <col width="35.796875" customWidth="1" style="14" min="33" max="33"/>
    <col width="5.8984375" customWidth="1" style="14" min="34" max="34"/>
    <col width="35.796875" customWidth="1" style="14" min="35" max="35"/>
    <col width="8.8984375" customWidth="1" style="14" min="36" max="36"/>
    <col width="8.8984375" customWidth="1" style="14" min="37" max="16384"/>
  </cols>
  <sheetData>
    <row r="1" ht="12" customHeight="1" s="196"/>
    <row r="2" ht="21.6" customHeight="1" s="196" thickBot="1">
      <c r="A2" s="2" t="n"/>
      <c r="B2" s="312" t="inlineStr">
        <is>
          <t>Linux 취약점 진단 상세결과(67항목)</t>
        </is>
      </c>
      <c r="F2" s="33" t="n"/>
      <c r="G2" s="52" t="n"/>
    </row>
    <row r="3" ht="17.25" customHeight="1" s="196" thickBot="1">
      <c r="A3" s="3" t="n"/>
      <c r="B3" s="260" t="inlineStr">
        <is>
          <t>진단항목</t>
        </is>
      </c>
      <c r="C3" s="261" t="inlineStr">
        <is>
          <t>No.</t>
        </is>
      </c>
      <c r="D3" s="261" t="inlineStr">
        <is>
          <t>세부 진단항목</t>
        </is>
      </c>
      <c r="E3" s="261" t="inlineStr">
        <is>
          <t>진단기준</t>
        </is>
      </c>
      <c r="F3" s="237" t="n">
        <v>1</v>
      </c>
      <c r="G3" s="237">
        <f>VLOOKUP(F3,'1. 진단 대상'!$B$5:$F$19,2,FALSE)</f>
        <v/>
      </c>
      <c r="H3" s="237" t="n">
        <v>2</v>
      </c>
      <c r="I3" s="19">
        <f>VLOOKUP(H3,'1. 진단 대상'!$B$5:$F$19,2,FALSE)</f>
        <v/>
      </c>
      <c r="J3" s="237" t="n">
        <v>3</v>
      </c>
      <c r="K3" s="19">
        <f>VLOOKUP(J3,'1. 진단 대상'!$B$5:$F$19,2,FALSE)</f>
        <v/>
      </c>
      <c r="L3" s="237" t="n">
        <v>4</v>
      </c>
      <c r="M3" s="19">
        <f>VLOOKUP(L3,'1. 진단 대상'!$B$5:$F$19,2,FALSE)</f>
        <v/>
      </c>
      <c r="N3" s="237" t="n">
        <v>5</v>
      </c>
      <c r="O3" s="19">
        <f>VLOOKUP(N3,'1. 진단 대상'!$B$5:$F$19,2,FALSE)</f>
        <v/>
      </c>
      <c r="P3" s="237" t="n">
        <v>6</v>
      </c>
      <c r="Q3" s="19">
        <f>VLOOKUP(P3,'1. 진단 대상'!$B$5:$F$19,2,FALSE)</f>
        <v/>
      </c>
      <c r="R3" s="237" t="n">
        <v>7</v>
      </c>
      <c r="S3" s="19" t="n"/>
      <c r="T3" s="237" t="n"/>
      <c r="U3" s="19" t="n"/>
      <c r="V3" s="237" t="n"/>
      <c r="W3" s="19" t="n"/>
      <c r="X3" s="237" t="n"/>
      <c r="Y3" s="19" t="n"/>
      <c r="Z3" s="237" t="n"/>
      <c r="AA3" s="19" t="n"/>
      <c r="AB3" s="237" t="n"/>
      <c r="AC3" s="19" t="n"/>
      <c r="AD3" s="237" t="n"/>
      <c r="AE3" s="19" t="n"/>
      <c r="AF3" s="237" t="n"/>
      <c r="AG3" s="19" t="n"/>
      <c r="AH3" s="237" t="n"/>
      <c r="AI3" s="19" t="n"/>
    </row>
    <row r="4" ht="17.25" customHeight="1" s="196">
      <c r="A4" s="3" t="n"/>
      <c r="B4" s="236" t="n"/>
      <c r="C4" s="238" t="n"/>
      <c r="D4" s="238" t="n"/>
      <c r="E4" s="238" t="n"/>
      <c r="F4" s="238" t="n"/>
      <c r="G4" s="13">
        <f>VLOOKUP(F3,'1. 진단 대상'!$B$5:$F$19,3,FALSE)</f>
        <v/>
      </c>
      <c r="H4" s="238" t="n"/>
      <c r="I4" s="15">
        <f>VLOOKUP(H3,'1. 진단 대상'!$B$5:$F$19,3,FALSE)</f>
        <v/>
      </c>
      <c r="J4" s="238" t="n"/>
      <c r="K4" s="15">
        <f>VLOOKUP(J3,'1. 진단 대상'!$B$5:$F$19,3,FALSE)</f>
        <v/>
      </c>
      <c r="L4" s="238" t="n"/>
      <c r="M4" s="15">
        <f>VLOOKUP(L3,'1. 진단 대상'!$B$5:$F$19,3,FALSE)</f>
        <v/>
      </c>
      <c r="N4" s="238" t="n"/>
      <c r="O4" s="15">
        <f>VLOOKUP(N3,'1. 진단 대상'!$B$5:$F$19,3,FALSE)</f>
        <v/>
      </c>
      <c r="P4" s="238" t="n"/>
      <c r="Q4" s="15">
        <f>VLOOKUP(P3,'1. 진단 대상'!$B$5:$F$19,3,FALSE)</f>
        <v/>
      </c>
      <c r="R4" s="238" t="n"/>
      <c r="S4" s="15" t="n"/>
      <c r="T4" s="238" t="n"/>
      <c r="U4" s="15" t="n"/>
      <c r="V4" s="238" t="n"/>
      <c r="W4" s="15" t="n"/>
      <c r="X4" s="238" t="n"/>
      <c r="Y4" s="15" t="n"/>
      <c r="Z4" s="238" t="n"/>
      <c r="AA4" s="15" t="n"/>
      <c r="AB4" s="238" t="n"/>
      <c r="AC4" s="15" t="n"/>
      <c r="AD4" s="238" t="n"/>
      <c r="AE4" s="15" t="n"/>
      <c r="AF4" s="238" t="n"/>
      <c r="AG4" s="15" t="n"/>
      <c r="AH4" s="238" t="n"/>
      <c r="AI4" s="15" t="n"/>
    </row>
    <row r="5" ht="17.25" customHeight="1" s="196" thickBot="1">
      <c r="A5" s="3" t="n"/>
      <c r="B5" s="252" t="n"/>
      <c r="C5" s="262" t="n"/>
      <c r="D5" s="262" t="n"/>
      <c r="E5" s="262" t="n"/>
      <c r="F5" s="239" t="n"/>
      <c r="G5" s="257">
        <f>VLOOKUP(F3,'1. 진단 대상'!$B$5:$F$19,5,FALSE)</f>
        <v/>
      </c>
      <c r="H5" s="239" t="n"/>
      <c r="I5" s="46">
        <f>VLOOKUP(H3,'1. 진단 대상'!$B$5:$F$19,5,FALSE)</f>
        <v/>
      </c>
      <c r="J5" s="239" t="n"/>
      <c r="K5" s="46">
        <f>VLOOKUP(J3,'1. 진단 대상'!$B$5:$F$19,5,FALSE)</f>
        <v/>
      </c>
      <c r="L5" s="239" t="n"/>
      <c r="M5" s="46">
        <f>VLOOKUP(L3,'1. 진단 대상'!$B$5:$F$19,5,FALSE)</f>
        <v/>
      </c>
      <c r="N5" s="239" t="n"/>
      <c r="O5" s="46">
        <f>VLOOKUP(N3,'1. 진단 대상'!$B$5:$F$19,5,FALSE)</f>
        <v/>
      </c>
      <c r="P5" s="239" t="n"/>
      <c r="Q5" s="46">
        <f>VLOOKUP(P3,'1. 진단 대상'!$B$5:$F$19,5,FALSE)</f>
        <v/>
      </c>
      <c r="R5" s="239" t="n"/>
      <c r="S5" s="46" t="n"/>
      <c r="T5" s="239" t="n"/>
      <c r="U5" s="46" t="n"/>
      <c r="V5" s="239" t="n"/>
      <c r="W5" s="46" t="n"/>
      <c r="X5" s="239" t="n"/>
      <c r="Y5" s="46" t="n"/>
      <c r="Z5" s="239" t="n"/>
      <c r="AA5" s="46" t="n"/>
      <c r="AB5" s="239" t="n"/>
      <c r="AC5" s="46" t="n"/>
      <c r="AD5" s="239" t="n"/>
      <c r="AE5" s="46" t="n"/>
      <c r="AF5" s="239" t="n"/>
      <c r="AG5" s="46" t="n"/>
      <c r="AH5" s="239" t="n"/>
      <c r="AI5" s="46" t="n"/>
    </row>
    <row r="6" ht="35.25" customHeight="1" s="196">
      <c r="A6" s="4" t="n"/>
      <c r="B6" s="269" t="inlineStr">
        <is>
          <t>1. 계정 관리</t>
        </is>
      </c>
      <c r="C6" s="38" t="inlineStr">
        <is>
          <t>U-01</t>
        </is>
      </c>
      <c r="D6" s="44" t="inlineStr">
        <is>
          <t>root 계정 원격 접속 제한</t>
        </is>
      </c>
      <c r="E6" s="44" t="inlineStr">
        <is>
          <t>양호 - 원격터미널 서비스를 사용하지 않거나, 사용 시 root 직접 접속을 차단한 경우
취약 - 원격터미널 서비스 사용 시 root 직접 접속을 허용한 경우</t>
        </is>
      </c>
      <c r="F6" s="38" t="n"/>
      <c r="G6" s="278" t="n"/>
      <c r="H6" s="38" t="n"/>
      <c r="I6" s="278" t="n"/>
      <c r="J6" s="38" t="n"/>
      <c r="K6" s="278" t="n"/>
      <c r="L6" s="38" t="n"/>
      <c r="M6" s="278" t="n"/>
      <c r="N6" s="38" t="n"/>
      <c r="O6" s="44" t="n"/>
      <c r="P6" s="38" t="n"/>
      <c r="Q6" s="44" t="n"/>
      <c r="R6" s="38" t="n"/>
      <c r="S6" s="44" t="n"/>
      <c r="T6" s="38" t="n"/>
      <c r="U6" s="44" t="n"/>
      <c r="V6" s="38" t="n"/>
      <c r="W6" s="44" t="n"/>
      <c r="X6" s="38" t="n"/>
      <c r="Y6" s="44" t="n"/>
      <c r="Z6" s="38" t="n"/>
      <c r="AA6" s="44" t="n"/>
      <c r="AB6" s="38" t="n"/>
      <c r="AC6" s="44" t="n"/>
      <c r="AD6" s="38" t="n"/>
      <c r="AE6" s="44" t="n"/>
      <c r="AF6" s="38" t="n"/>
      <c r="AG6" s="44" t="n"/>
      <c r="AH6" s="38" t="n"/>
      <c r="AI6" s="93" t="n"/>
    </row>
    <row r="7" ht="35.25" customHeight="1" s="196">
      <c r="B7" s="236" t="n"/>
      <c r="C7" s="38" t="inlineStr">
        <is>
          <t>U-02</t>
        </is>
      </c>
      <c r="D7" s="35" t="inlineStr">
        <is>
          <t>비밀번호 관리정책 설정</t>
        </is>
      </c>
      <c r="E7" s="35" t="inlineStr">
        <is>
          <t>양호 - 비밀번호 관리 정책이 설정된 경우
취약 - 비밀번호 관리 정책이 설정되지 않은 경우</t>
        </is>
      </c>
      <c r="F7" s="47" t="n"/>
      <c r="G7" s="278" t="n"/>
      <c r="H7" s="47" t="n"/>
      <c r="I7" s="278" t="n"/>
      <c r="J7" s="47" t="n"/>
      <c r="K7" s="278" t="n"/>
      <c r="L7" s="47" t="n"/>
      <c r="M7" s="278" t="n"/>
      <c r="N7" s="47" t="n"/>
      <c r="O7" s="44" t="n"/>
      <c r="P7" s="47" t="n"/>
      <c r="Q7" s="44" t="n"/>
      <c r="R7" s="47" t="n"/>
      <c r="S7" s="44" t="n"/>
      <c r="T7" s="47" t="n"/>
      <c r="U7" s="44" t="n"/>
      <c r="V7" s="47" t="n"/>
      <c r="W7" s="44" t="n"/>
      <c r="X7" s="47" t="n"/>
      <c r="Y7" s="44" t="n"/>
      <c r="Z7" s="47" t="n"/>
      <c r="AA7" s="44" t="n"/>
      <c r="AB7" s="47" t="n"/>
      <c r="AC7" s="44" t="n"/>
      <c r="AD7" s="47" t="n"/>
      <c r="AE7" s="44" t="n"/>
      <c r="AF7" s="47" t="n"/>
      <c r="AG7" s="44" t="n"/>
      <c r="AH7" s="47" t="n"/>
      <c r="AI7" s="93" t="n"/>
    </row>
    <row r="8" ht="35.25" customHeight="1" s="196">
      <c r="A8" s="4" t="n"/>
      <c r="B8" s="236" t="n"/>
      <c r="C8" s="38" t="inlineStr">
        <is>
          <t>U-03</t>
        </is>
      </c>
      <c r="D8" s="35" t="inlineStr">
        <is>
          <t>계정 잠금 임계값 설정</t>
        </is>
      </c>
      <c r="E8" s="35" t="inlineStr">
        <is>
          <t>양호 - 계정 잠금 임계값이 10회 이하의 값으로 설정된 경우
취약 - 계정 잠금 임계값이 설정되어 있지 않거나, 10회 이하의 값으로 설정되지 않은 경우</t>
        </is>
      </c>
      <c r="F8" s="47" t="n"/>
      <c r="G8" s="279" t="n"/>
      <c r="H8" s="47" t="n"/>
      <c r="I8" s="279" t="n"/>
      <c r="J8" s="47" t="n"/>
      <c r="K8" s="279" t="n"/>
      <c r="L8" s="47" t="n"/>
      <c r="M8" s="279" t="n"/>
      <c r="N8" s="47" t="n"/>
      <c r="O8" s="44" t="n"/>
      <c r="P8" s="47" t="n"/>
      <c r="Q8" s="44" t="n"/>
      <c r="R8" s="47" t="n"/>
      <c r="S8" s="44" t="n"/>
      <c r="T8" s="47" t="n"/>
      <c r="U8" s="44" t="n"/>
      <c r="V8" s="47" t="n"/>
      <c r="W8" s="44" t="n"/>
      <c r="X8" s="47" t="n"/>
      <c r="Y8" s="44" t="n"/>
      <c r="Z8" s="47" t="n"/>
      <c r="AA8" s="44" t="n"/>
      <c r="AB8" s="47" t="n"/>
      <c r="AC8" s="44" t="n"/>
      <c r="AD8" s="47" t="n"/>
      <c r="AE8" s="44" t="n"/>
      <c r="AF8" s="47" t="n"/>
      <c r="AG8" s="44" t="n"/>
      <c r="AH8" s="47" t="n"/>
      <c r="AI8" s="93" t="n"/>
    </row>
    <row r="9" ht="35.25" customHeight="1" s="196">
      <c r="B9" s="236" t="n"/>
      <c r="C9" s="38" t="inlineStr">
        <is>
          <t>U-04</t>
        </is>
      </c>
      <c r="D9" s="35" t="inlineStr">
        <is>
          <t>비밀번호 파일 보호</t>
        </is>
      </c>
      <c r="E9" s="35" t="inlineStr">
        <is>
          <t>양호 - 쉐도우 비밀번호를 사용하거나, 비밀번호를 암호화하여 저장하는 경우
취약 - 쉐도우 비밀번호를 사용하지 않고, 비밀번호를 암호화하여 저장하지 않는 경우</t>
        </is>
      </c>
      <c r="F9" s="47" t="n"/>
      <c r="G9" s="44" t="n"/>
      <c r="H9" s="47" t="n"/>
      <c r="I9" s="44" t="n"/>
      <c r="J9" s="47" t="n"/>
      <c r="K9" s="44" t="n"/>
      <c r="L9" s="47" t="n"/>
      <c r="M9" s="44" t="n"/>
      <c r="N9" s="47" t="n"/>
      <c r="O9" s="44" t="n"/>
      <c r="P9" s="47" t="n"/>
      <c r="Q9" s="44" t="n"/>
      <c r="R9" s="47" t="n"/>
      <c r="S9" s="44" t="n"/>
      <c r="T9" s="47" t="n"/>
      <c r="U9" s="44" t="n"/>
      <c r="V9" s="47" t="n"/>
      <c r="W9" s="44" t="n"/>
      <c r="X9" s="47" t="n"/>
      <c r="Y9" s="44" t="n"/>
      <c r="Z9" s="47" t="n"/>
      <c r="AA9" s="44" t="n"/>
      <c r="AB9" s="47" t="n"/>
      <c r="AC9" s="44" t="n"/>
      <c r="AD9" s="47" t="n"/>
      <c r="AE9" s="44" t="n"/>
      <c r="AF9" s="47" t="n"/>
      <c r="AG9" s="44" t="n"/>
      <c r="AH9" s="47" t="n"/>
      <c r="AI9" s="93" t="n"/>
    </row>
    <row r="10" ht="35.25" customHeight="1" s="196">
      <c r="A10" s="4" t="n"/>
      <c r="B10" s="236" t="n"/>
      <c r="C10" s="38" t="inlineStr">
        <is>
          <t>U-05</t>
        </is>
      </c>
      <c r="D10" s="35" t="inlineStr">
        <is>
          <t>root 이외의 UID가 '0' 금지</t>
        </is>
      </c>
      <c r="E10" s="35" t="inlineStr">
        <is>
          <t>양호 - root 계정과 동일한 UID를 갖는 계정이 존재하지 않는 경우
취약 - root 계정과 동일한 UID를 갖는 계정이 존재하는 경우</t>
        </is>
      </c>
      <c r="F10" s="47" t="n"/>
      <c r="G10" s="279" t="n"/>
      <c r="H10" s="47" t="n"/>
      <c r="I10" s="279" t="n"/>
      <c r="J10" s="47" t="n"/>
      <c r="K10" s="279" t="n"/>
      <c r="L10" s="47" t="n"/>
      <c r="M10" s="279" t="n"/>
      <c r="N10" s="47" t="n"/>
      <c r="O10" s="44" t="n"/>
      <c r="P10" s="47" t="n"/>
      <c r="Q10" s="44" t="n"/>
      <c r="R10" s="47" t="n"/>
      <c r="S10" s="44" t="n"/>
      <c r="T10" s="47" t="n"/>
      <c r="U10" s="44" t="n"/>
      <c r="V10" s="47" t="n"/>
      <c r="W10" s="44" t="n"/>
      <c r="X10" s="47" t="n"/>
      <c r="Y10" s="44" t="n"/>
      <c r="Z10" s="47" t="n"/>
      <c r="AA10" s="44" t="n"/>
      <c r="AB10" s="47" t="n"/>
      <c r="AC10" s="44" t="n"/>
      <c r="AD10" s="47" t="n"/>
      <c r="AE10" s="44" t="n"/>
      <c r="AF10" s="47" t="n"/>
      <c r="AG10" s="44" t="n"/>
      <c r="AH10" s="47" t="n"/>
      <c r="AI10" s="93" t="n"/>
    </row>
    <row r="11" ht="35.25" customHeight="1" s="196">
      <c r="B11" s="236" t="n"/>
      <c r="C11" s="38" t="inlineStr">
        <is>
          <t>U-06</t>
        </is>
      </c>
      <c r="D11" s="35" t="inlineStr">
        <is>
          <t>사용자 계정 su 기능 제한</t>
        </is>
      </c>
      <c r="E11" s="35" t="inlineStr">
        <is>
          <t>양호 - su 명령어를 특정 그룹에 속한 사용자만 사용하도록 제한된 경우※ 일반 사용자 계정 없이 root 계정만 사용하는 경우 su 명령어 사용 제한 불필요
취약 - su 명령어를 모든 사용자가 사용하도록 설정된 경우</t>
        </is>
      </c>
      <c r="F11" s="47" t="n"/>
      <c r="G11" s="279" t="n"/>
      <c r="H11" s="47" t="n"/>
      <c r="I11" s="279" t="n"/>
      <c r="J11" s="47" t="n"/>
      <c r="K11" s="279" t="n"/>
      <c r="L11" s="47" t="n"/>
      <c r="M11" s="279" t="n"/>
      <c r="N11" s="47" t="n"/>
      <c r="O11" s="44" t="n"/>
      <c r="P11" s="47" t="n"/>
      <c r="Q11" s="44" t="n"/>
      <c r="R11" s="47" t="n"/>
      <c r="S11" s="44" t="n"/>
      <c r="T11" s="47" t="n"/>
      <c r="U11" s="44" t="n"/>
      <c r="V11" s="47" t="n"/>
      <c r="W11" s="44" t="n"/>
      <c r="X11" s="47" t="n"/>
      <c r="Y11" s="44" t="n"/>
      <c r="Z11" s="47" t="n"/>
      <c r="AA11" s="44" t="n"/>
      <c r="AB11" s="47" t="n"/>
      <c r="AC11" s="44" t="n"/>
      <c r="AD11" s="47" t="n"/>
      <c r="AE11" s="44" t="n"/>
      <c r="AF11" s="47" t="n"/>
      <c r="AG11" s="44" t="n"/>
      <c r="AH11" s="47" t="n"/>
      <c r="AI11" s="93" t="n"/>
    </row>
    <row r="12" ht="35.25" customHeight="1" s="196">
      <c r="A12" s="4" t="n"/>
      <c r="B12" s="236" t="n"/>
      <c r="C12" s="38" t="inlineStr">
        <is>
          <t>U-07</t>
        </is>
      </c>
      <c r="D12" s="35" t="inlineStr">
        <is>
          <t>불필요한 계정 제거</t>
        </is>
      </c>
      <c r="E12" s="35" t="inlineStr">
        <is>
          <t>양호 - 불필요한 계정이 존재하지 않는 경우
취약 - 불필요한 계정이 존재하는 경우</t>
        </is>
      </c>
      <c r="F12" s="47" t="n"/>
      <c r="G12" s="280" t="n"/>
      <c r="H12" s="47" t="n"/>
      <c r="I12" s="44" t="n"/>
      <c r="J12" s="47" t="n"/>
      <c r="K12" s="278" t="n"/>
      <c r="L12" s="47" t="n"/>
      <c r="M12" s="44" t="n"/>
      <c r="N12" s="47" t="n"/>
      <c r="O12" s="44" t="n"/>
      <c r="P12" s="47" t="n"/>
      <c r="Q12" s="44" t="n"/>
      <c r="R12" s="47" t="n"/>
      <c r="S12" s="44" t="n"/>
      <c r="T12" s="47" t="n"/>
      <c r="U12" s="44" t="n"/>
      <c r="V12" s="47" t="n"/>
      <c r="W12" s="44" t="n"/>
      <c r="X12" s="47" t="n"/>
      <c r="Y12" s="44" t="n"/>
      <c r="Z12" s="47" t="n"/>
      <c r="AA12" s="44" t="n"/>
      <c r="AB12" s="47" t="n"/>
      <c r="AC12" s="44" t="n"/>
      <c r="AD12" s="47" t="n"/>
      <c r="AE12" s="44" t="n"/>
      <c r="AF12" s="47" t="n"/>
      <c r="AG12" s="44" t="n"/>
      <c r="AH12" s="47" t="n"/>
      <c r="AI12" s="93" t="n"/>
    </row>
    <row r="13" ht="35.25" customHeight="1" s="196">
      <c r="B13" s="236" t="n"/>
      <c r="C13" s="38" t="inlineStr">
        <is>
          <t>U-08</t>
        </is>
      </c>
      <c r="D13" s="35" t="inlineStr">
        <is>
          <t>관리자 그룹에 최소한의 계정 포함</t>
        </is>
      </c>
      <c r="E13" s="35" t="inlineStr">
        <is>
          <t>양호 - 관리자 그룹에 불필요한 계정이 등록되어 있지 않은 경우
취약 - 관리자 그룹에 불필요한 계정이 등록된 경우</t>
        </is>
      </c>
      <c r="F13" s="47" t="n"/>
      <c r="G13" s="279" t="n"/>
      <c r="H13" s="47" t="n"/>
      <c r="I13" s="279" t="n"/>
      <c r="J13" s="47" t="n"/>
      <c r="K13" s="279" t="n"/>
      <c r="L13" s="47" t="n"/>
      <c r="M13" s="279" t="n"/>
      <c r="N13" s="47" t="n"/>
      <c r="O13" s="44" t="n"/>
      <c r="P13" s="47" t="n"/>
      <c r="Q13" s="44" t="n"/>
      <c r="R13" s="47" t="n"/>
      <c r="S13" s="44" t="n"/>
      <c r="T13" s="47" t="n"/>
      <c r="U13" s="44" t="n"/>
      <c r="V13" s="47" t="n"/>
      <c r="W13" s="44" t="n"/>
      <c r="X13" s="47" t="n"/>
      <c r="Y13" s="44" t="n"/>
      <c r="Z13" s="47" t="n"/>
      <c r="AA13" s="44" t="n"/>
      <c r="AB13" s="47" t="n"/>
      <c r="AC13" s="44" t="n"/>
      <c r="AD13" s="47" t="n"/>
      <c r="AE13" s="44" t="n"/>
      <c r="AF13" s="47" t="n"/>
      <c r="AG13" s="44" t="n"/>
      <c r="AH13" s="47" t="n"/>
      <c r="AI13" s="93" t="n"/>
    </row>
    <row r="14" ht="35.25" customHeight="1" s="196">
      <c r="A14" s="4" t="n"/>
      <c r="B14" s="236" t="n"/>
      <c r="C14" s="38" t="inlineStr">
        <is>
          <t>U-09</t>
        </is>
      </c>
      <c r="D14" s="35" t="inlineStr">
        <is>
          <t>계정이 존재하지 않는 GID 금지</t>
        </is>
      </c>
      <c r="E14" s="35" t="inlineStr">
        <is>
          <t>양호 - 시스템 관리나 운용에 불필요한 그룹이 제거된 경우
취약 - 시스템 관리나 운용에 불필요한 그룹이 존재하는 경우</t>
        </is>
      </c>
      <c r="F14" s="47" t="n"/>
      <c r="G14" s="279" t="n"/>
      <c r="H14" s="47" t="n"/>
      <c r="I14" s="279" t="n"/>
      <c r="J14" s="47" t="n"/>
      <c r="K14" s="279" t="n"/>
      <c r="L14" s="47" t="n"/>
      <c r="M14" s="279" t="n"/>
      <c r="N14" s="47" t="n"/>
      <c r="O14" s="96" t="n"/>
      <c r="P14" s="47" t="n"/>
      <c r="Q14" s="96" t="n"/>
      <c r="R14" s="47" t="n"/>
      <c r="S14" s="96" t="n"/>
      <c r="T14" s="47" t="n"/>
      <c r="U14" s="96" t="n"/>
      <c r="V14" s="47" t="n"/>
      <c r="W14" s="96" t="n"/>
      <c r="X14" s="47" t="n"/>
      <c r="Y14" s="96" t="n"/>
      <c r="Z14" s="47" t="n"/>
      <c r="AA14" s="96" t="n"/>
      <c r="AB14" s="47" t="n"/>
      <c r="AC14" s="96" t="n"/>
      <c r="AD14" s="47" t="n"/>
      <c r="AE14" s="96" t="n"/>
      <c r="AF14" s="47" t="n"/>
      <c r="AG14" s="96" t="n"/>
      <c r="AH14" s="47" t="n"/>
      <c r="AI14" s="97" t="n"/>
    </row>
    <row r="15" ht="35.25" customHeight="1" s="196">
      <c r="B15" s="236" t="n"/>
      <c r="C15" s="38" t="inlineStr">
        <is>
          <t>U-10</t>
        </is>
      </c>
      <c r="D15" s="5" t="inlineStr">
        <is>
          <t>동일한 UID 금지</t>
        </is>
      </c>
      <c r="E15" s="5" t="inlineStr">
        <is>
          <t>양호 - 동일한 UID로 설정된 사용자 계정이 존재하지 않는 경우
취약 - 동일한 UID로 설정된 사용자 계정이 존재하는 경우</t>
        </is>
      </c>
      <c r="F15" s="6" t="n"/>
      <c r="G15" s="279" t="n"/>
      <c r="H15" s="6" t="n"/>
      <c r="I15" s="279" t="n"/>
      <c r="J15" s="6" t="n"/>
      <c r="K15" s="279" t="n"/>
      <c r="L15" s="6" t="n"/>
      <c r="M15" s="279" t="n"/>
      <c r="N15" s="6" t="n"/>
      <c r="O15" s="5" t="n"/>
      <c r="P15" s="6" t="n"/>
      <c r="Q15" s="5" t="n"/>
      <c r="R15" s="6" t="n"/>
      <c r="S15" s="5" t="n"/>
      <c r="T15" s="6" t="n"/>
      <c r="U15" s="5" t="n"/>
      <c r="V15" s="6" t="n"/>
      <c r="W15" s="5" t="n"/>
      <c r="X15" s="6" t="n"/>
      <c r="Y15" s="5" t="n"/>
      <c r="Z15" s="6" t="n"/>
      <c r="AA15" s="5" t="n"/>
      <c r="AB15" s="6" t="n"/>
      <c r="AC15" s="5" t="n"/>
      <c r="AD15" s="6" t="n"/>
      <c r="AE15" s="5" t="n"/>
      <c r="AF15" s="6" t="n"/>
      <c r="AG15" s="5" t="n"/>
      <c r="AH15" s="6" t="n"/>
      <c r="AI15" s="175" t="n"/>
    </row>
    <row r="16" ht="35.25" customHeight="1" s="196">
      <c r="A16" s="4" t="n"/>
      <c r="B16" s="236" t="n"/>
      <c r="C16" s="38" t="inlineStr">
        <is>
          <t>U-11</t>
        </is>
      </c>
      <c r="D16" s="5" t="inlineStr">
        <is>
          <t>사용자 Shell 점검</t>
        </is>
      </c>
      <c r="E16" s="5" t="inlineStr">
        <is>
          <t>양호 - 로그인이 필요하지 않은 계정에 /bin/false(/sbin/nologin) 쉘이 부여된 경우
취약 - 로그인이 필요하지 않은 계정에 /bin/false(/sbin/nologin) 쉘이 부여되지 않은 경우</t>
        </is>
      </c>
      <c r="F16" s="11" t="n"/>
      <c r="G16" s="279" t="n"/>
      <c r="H16" s="11" t="n"/>
      <c r="I16" s="279" t="n"/>
      <c r="J16" s="11" t="n"/>
      <c r="K16" s="279" t="n"/>
      <c r="L16" s="11" t="n"/>
      <c r="M16" s="279" t="n"/>
      <c r="N16" s="11" t="n"/>
      <c r="O16" s="44" t="n"/>
      <c r="P16" s="11" t="n"/>
      <c r="Q16" s="44" t="n"/>
      <c r="R16" s="11" t="n"/>
      <c r="S16" s="44" t="n"/>
      <c r="T16" s="11" t="n"/>
      <c r="U16" s="44" t="n"/>
      <c r="V16" s="11" t="n"/>
      <c r="W16" s="44" t="n"/>
      <c r="X16" s="11" t="n"/>
      <c r="Y16" s="44" t="n"/>
      <c r="Z16" s="11" t="n"/>
      <c r="AA16" s="44" t="n"/>
      <c r="AB16" s="11" t="n"/>
      <c r="AC16" s="44" t="n"/>
      <c r="AD16" s="11" t="n"/>
      <c r="AE16" s="44" t="n"/>
      <c r="AF16" s="11" t="n"/>
      <c r="AG16" s="44" t="n"/>
      <c r="AH16" s="11" t="n"/>
      <c r="AI16" s="93" t="n"/>
    </row>
    <row r="17" ht="35.25" customHeight="1" s="196">
      <c r="B17" s="236" t="n"/>
      <c r="C17" s="38" t="inlineStr">
        <is>
          <t>U-12</t>
        </is>
      </c>
      <c r="D17" s="5" t="inlineStr">
        <is>
          <t>세션 종료 시간 설정</t>
        </is>
      </c>
      <c r="E17" s="5" t="inlineStr">
        <is>
          <t>양호 - Session Timeout이 600초(10분) 이하로 설정된 경우
취약 - Session Timeout이 600초(10분) 이하로 설정되지 않은 경우</t>
        </is>
      </c>
      <c r="F17" s="11" t="n"/>
      <c r="G17" s="44" t="n"/>
      <c r="H17" s="11" t="n"/>
      <c r="I17" s="44" t="n"/>
      <c r="J17" s="11" t="n"/>
      <c r="K17" s="44" t="n"/>
      <c r="L17" s="11" t="n"/>
      <c r="M17" s="44" t="n"/>
      <c r="N17" s="11" t="n"/>
      <c r="O17" s="44" t="n"/>
      <c r="P17" s="11" t="n"/>
      <c r="Q17" s="44" t="n"/>
      <c r="R17" s="11" t="n"/>
      <c r="S17" s="44" t="n"/>
      <c r="T17" s="11" t="n"/>
      <c r="U17" s="44" t="n"/>
      <c r="V17" s="11" t="n"/>
      <c r="W17" s="44" t="n"/>
      <c r="X17" s="11" t="n"/>
      <c r="Y17" s="44" t="n"/>
      <c r="Z17" s="11" t="n"/>
      <c r="AA17" s="44" t="n"/>
      <c r="AB17" s="11" t="n"/>
      <c r="AC17" s="44" t="n"/>
      <c r="AD17" s="11" t="n"/>
      <c r="AE17" s="44" t="n"/>
      <c r="AF17" s="11" t="n"/>
      <c r="AG17" s="44" t="n"/>
      <c r="AH17" s="11" t="n"/>
      <c r="AI17" s="93" t="n"/>
    </row>
    <row r="18" ht="35.25" customHeight="1" s="196" thickBot="1">
      <c r="A18" s="4" t="n"/>
      <c r="B18" s="214" t="n"/>
      <c r="C18" s="111" t="inlineStr">
        <is>
          <t>U-13</t>
        </is>
      </c>
      <c r="D18" s="49" t="inlineStr">
        <is>
          <t>안전한 비밀번호 암호화 알고리즘 사용</t>
        </is>
      </c>
      <c r="E18" s="49" t="inlineStr">
        <is>
          <t>양호 - SHA-2 이상의 안전한 비밀번호 암호화 알고리즘을 사용하는 경우
취약 - 취약한 비밀번호 암호화 알고리즘을 사용하는 경우</t>
        </is>
      </c>
      <c r="F18" s="36" t="n"/>
      <c r="G18" s="58" t="n"/>
      <c r="H18" s="36" t="n"/>
      <c r="I18" s="58" t="n"/>
      <c r="J18" s="36" t="n"/>
      <c r="K18" s="58" t="n"/>
      <c r="L18" s="36" t="n"/>
      <c r="M18" s="58" t="n"/>
      <c r="N18" s="36" t="n"/>
      <c r="O18" s="58" t="n"/>
      <c r="P18" s="36" t="n"/>
      <c r="Q18" s="58" t="n"/>
      <c r="R18" s="36" t="n"/>
      <c r="S18" s="58" t="n"/>
      <c r="T18" s="36" t="n"/>
      <c r="U18" s="58" t="n"/>
      <c r="V18" s="36" t="n"/>
      <c r="W18" s="58" t="n"/>
      <c r="X18" s="36" t="n"/>
      <c r="Y18" s="58" t="n"/>
      <c r="Z18" s="36" t="n"/>
      <c r="AA18" s="58" t="n"/>
      <c r="AB18" s="36" t="n"/>
      <c r="AC18" s="58" t="n"/>
      <c r="AD18" s="36" t="n"/>
      <c r="AE18" s="58" t="n"/>
      <c r="AF18" s="36" t="n"/>
      <c r="AG18" s="58" t="n"/>
      <c r="AH18" s="36" t="n"/>
      <c r="AI18" s="94" t="n"/>
    </row>
    <row r="19" ht="35.25" customHeight="1" s="196">
      <c r="A19" s="109" t="n"/>
      <c r="B19" s="270" t="inlineStr">
        <is>
          <t>2. 파일 시스템</t>
        </is>
      </c>
      <c r="C19" s="38" t="inlineStr">
        <is>
          <t>U-14</t>
        </is>
      </c>
      <c r="D19" s="44" t="inlineStr">
        <is>
          <t>root 홈, 패스 디렉터리 권한 및 패스 설정</t>
        </is>
      </c>
      <c r="E19" s="44" t="inlineStr">
        <is>
          <t>양호 - PATH 환경변수에 “.” 이 맨 앞이나 중간에 포함되지 않은 경우
취약 - PATH 환경변수에 “.” 이 맨 앞이나 중간에 포함된 경우</t>
        </is>
      </c>
      <c r="F19" s="38" t="n"/>
      <c r="G19" s="44" t="n"/>
      <c r="H19" s="38" t="n"/>
      <c r="I19" s="44" t="n"/>
      <c r="J19" s="38" t="n"/>
      <c r="K19" s="44" t="n"/>
      <c r="L19" s="38" t="n"/>
      <c r="M19" s="44" t="n"/>
      <c r="N19" s="38" t="n"/>
      <c r="O19" s="44" t="n"/>
      <c r="P19" s="38" t="n"/>
      <c r="Q19" s="44" t="n"/>
      <c r="R19" s="38" t="n"/>
      <c r="S19" s="44" t="n"/>
      <c r="T19" s="38" t="n"/>
      <c r="U19" s="44" t="n"/>
      <c r="V19" s="38" t="n"/>
      <c r="W19" s="44" t="n"/>
      <c r="X19" s="38" t="n"/>
      <c r="Y19" s="44" t="n"/>
      <c r="Z19" s="38" t="n"/>
      <c r="AA19" s="44" t="n"/>
      <c r="AB19" s="38" t="n"/>
      <c r="AC19" s="44" t="n"/>
      <c r="AD19" s="38" t="n"/>
      <c r="AE19" s="44" t="n"/>
      <c r="AF19" s="38" t="n"/>
      <c r="AG19" s="44" t="n"/>
      <c r="AH19" s="38" t="n"/>
      <c r="AI19" s="93" t="n"/>
    </row>
    <row r="20" ht="35.25" customHeight="1" s="196">
      <c r="A20" s="110" t="n"/>
      <c r="B20" s="327" t="n"/>
      <c r="C20" s="38" t="inlineStr">
        <is>
          <t>U-15</t>
        </is>
      </c>
      <c r="D20" s="5" t="inlineStr">
        <is>
          <t>파일 및 디렉터리 소유자 설정</t>
        </is>
      </c>
      <c r="E20" s="5" t="inlineStr">
        <is>
          <t>양호 - 소유자가 존재하지 않는 파일 및 디렉터리가 존재하지 않는 경우
취약 - 소유자가 존재하지 않는 파일 및 디렉터리가 존재하는 경우</t>
        </is>
      </c>
      <c r="F20" s="11" t="n"/>
      <c r="G20" s="44" t="n"/>
      <c r="H20" s="6" t="n"/>
      <c r="I20" s="44" t="n"/>
      <c r="J20" s="6" t="n"/>
      <c r="K20" s="44" t="n"/>
      <c r="L20" s="6" t="n"/>
      <c r="M20" s="44" t="n"/>
      <c r="N20" s="6" t="n"/>
      <c r="O20" s="44" t="n"/>
      <c r="P20" s="6" t="n"/>
      <c r="Q20" s="44" t="n"/>
      <c r="R20" s="6" t="n"/>
      <c r="S20" s="44" t="n"/>
      <c r="T20" s="6" t="n"/>
      <c r="U20" s="44" t="n"/>
      <c r="V20" s="6" t="n"/>
      <c r="W20" s="44" t="n"/>
      <c r="X20" s="6" t="n"/>
      <c r="Y20" s="44" t="n"/>
      <c r="Z20" s="6" t="n"/>
      <c r="AA20" s="44" t="n"/>
      <c r="AB20" s="6" t="n"/>
      <c r="AC20" s="44" t="n"/>
      <c r="AD20" s="6" t="n"/>
      <c r="AE20" s="44" t="n"/>
      <c r="AF20" s="6" t="n"/>
      <c r="AG20" s="44" t="n"/>
      <c r="AH20" s="6" t="n"/>
      <c r="AI20" s="93" t="n"/>
    </row>
    <row r="21" ht="35.25" customHeight="1" s="196">
      <c r="A21" s="109" t="n"/>
      <c r="B21" s="327" t="n"/>
      <c r="C21" s="38" t="inlineStr">
        <is>
          <t>U-16</t>
        </is>
      </c>
      <c r="D21" s="5" t="inlineStr">
        <is>
          <t>/etc/passwd 파일 소유자 및 권한 설정</t>
        </is>
      </c>
      <c r="E21" s="5" t="inlineStr">
        <is>
          <t>양호 - /etc/passwd 파일의 소유자가 root이고, 권한이 644 이하인 경우
취약 - /etc/passwd 파일의 소유자가 root가 아니거나, 권한이 644 이하가 아닌 경우</t>
        </is>
      </c>
      <c r="F21" s="11" t="n"/>
      <c r="G21" s="44" t="n"/>
      <c r="H21" s="11" t="n"/>
      <c r="I21" s="44" t="n"/>
      <c r="J21" s="11" t="n"/>
      <c r="K21" s="44" t="n"/>
      <c r="L21" s="11" t="n"/>
      <c r="M21" s="44" t="n"/>
      <c r="N21" s="11" t="n"/>
      <c r="O21" s="44" t="n"/>
      <c r="P21" s="11" t="n"/>
      <c r="Q21" s="44" t="n"/>
      <c r="R21" s="11" t="n"/>
      <c r="S21" s="44" t="n"/>
      <c r="T21" s="11" t="n"/>
      <c r="U21" s="44" t="n"/>
      <c r="V21" s="11" t="n"/>
      <c r="W21" s="44" t="n"/>
      <c r="X21" s="11" t="n"/>
      <c r="Y21" s="44" t="n"/>
      <c r="Z21" s="11" t="n"/>
      <c r="AA21" s="44" t="n"/>
      <c r="AB21" s="11" t="n"/>
      <c r="AC21" s="44" t="n"/>
      <c r="AD21" s="11" t="n"/>
      <c r="AE21" s="44" t="n"/>
      <c r="AF21" s="11" t="n"/>
      <c r="AG21" s="44" t="n"/>
      <c r="AH21" s="11" t="n"/>
      <c r="AI21" s="93" t="n"/>
    </row>
    <row r="22" ht="35.25" customHeight="1" s="196">
      <c r="A22" s="110" t="n"/>
      <c r="B22" s="327" t="n"/>
      <c r="C22" s="38" t="inlineStr">
        <is>
          <t>U-17</t>
        </is>
      </c>
      <c r="D22" s="5" t="inlineStr">
        <is>
          <t>시스템 시작 스크립트 권한 설정</t>
        </is>
      </c>
      <c r="E22" s="5" t="inlineStr">
        <is>
          <t>양호 - 시스템 시작 스크립트 파일의 소유자가 root이고, 일반 사용자의 쓰기 권한이 제거된 경우
취약 - 시스템 시작 스크립트 파일의 소유자가 root가 아니거나, 일반 사용자의 쓰기 권한이 부여된 경우</t>
        </is>
      </c>
      <c r="F22" s="11" t="n"/>
      <c r="G22" s="44" t="n"/>
      <c r="H22" s="11" t="n"/>
      <c r="I22" s="44" t="n"/>
      <c r="J22" s="11" t="n"/>
      <c r="K22" s="44" t="n"/>
      <c r="L22" s="11" t="n"/>
      <c r="M22" s="44" t="n"/>
      <c r="N22" s="11" t="n"/>
      <c r="O22" s="44" t="n"/>
      <c r="P22" s="11" t="n"/>
      <c r="Q22" s="44" t="n"/>
      <c r="R22" s="11" t="n"/>
      <c r="S22" s="44" t="n"/>
      <c r="T22" s="11" t="n"/>
      <c r="U22" s="44" t="n"/>
      <c r="V22" s="11" t="n"/>
      <c r="W22" s="44" t="n"/>
      <c r="X22" s="11" t="n"/>
      <c r="Y22" s="44" t="n"/>
      <c r="Z22" s="11" t="n"/>
      <c r="AA22" s="44" t="n"/>
      <c r="AB22" s="11" t="n"/>
      <c r="AC22" s="44" t="n"/>
      <c r="AD22" s="11" t="n"/>
      <c r="AE22" s="44" t="n"/>
      <c r="AF22" s="11" t="n"/>
      <c r="AG22" s="44" t="n"/>
      <c r="AH22" s="11" t="n"/>
      <c r="AI22" s="93" t="n"/>
    </row>
    <row r="23" ht="35.25" customHeight="1" s="196">
      <c r="A23" s="109" t="n"/>
      <c r="B23" s="327" t="n"/>
      <c r="C23" s="38" t="inlineStr">
        <is>
          <t>U-18</t>
        </is>
      </c>
      <c r="D23" s="5" t="inlineStr">
        <is>
          <t>/etc/shadow 파일 소유자 및 권한 설정</t>
        </is>
      </c>
      <c r="E23" s="5" t="inlineStr">
        <is>
          <t>양호 - /etc/shadow 파일의 소유자가 root이고, 권한이 400 이하인 경우
취약 - /etc/shadow 파일의 소유자가 root가 아니거나, 권한이 400 이하가 아닌 경우</t>
        </is>
      </c>
      <c r="F23" s="11" t="n"/>
      <c r="G23" s="44" t="n"/>
      <c r="H23" s="11" t="n"/>
      <c r="I23" s="44" t="n"/>
      <c r="J23" s="11" t="n"/>
      <c r="K23" s="44" t="n"/>
      <c r="L23" s="11" t="n"/>
      <c r="M23" s="44" t="n"/>
      <c r="N23" s="11" t="n"/>
      <c r="O23" s="44" t="n"/>
      <c r="P23" s="11" t="n"/>
      <c r="Q23" s="44" t="n"/>
      <c r="R23" s="11" t="n"/>
      <c r="S23" s="44" t="n"/>
      <c r="T23" s="11" t="n"/>
      <c r="U23" s="44" t="n"/>
      <c r="V23" s="11" t="n"/>
      <c r="W23" s="44" t="n"/>
      <c r="X23" s="11" t="n"/>
      <c r="Y23" s="44" t="n"/>
      <c r="Z23" s="11" t="n"/>
      <c r="AA23" s="44" t="n"/>
      <c r="AB23" s="11" t="n"/>
      <c r="AC23" s="44" t="n"/>
      <c r="AD23" s="11" t="n"/>
      <c r="AE23" s="44" t="n"/>
      <c r="AF23" s="11" t="n"/>
      <c r="AG23" s="44" t="n"/>
      <c r="AH23" s="11" t="n"/>
      <c r="AI23" s="93" t="n"/>
    </row>
    <row r="24" ht="35.25" customHeight="1" s="196">
      <c r="A24" s="110" t="n"/>
      <c r="B24" s="327" t="n"/>
      <c r="C24" s="38" t="inlineStr">
        <is>
          <t>U-19</t>
        </is>
      </c>
      <c r="D24" s="5" t="inlineStr">
        <is>
          <t>/etc/hosts 파일 소유자 및 권한 설정</t>
        </is>
      </c>
      <c r="E24" s="5" t="inlineStr">
        <is>
          <t>양호 - /etc/hosts 파일의 소유자가 root이고, 권한이 644 이하인 경우
취약 - /etc/hosts 파일의 소유자가 root가 아니거나, 권한이 644 이하가 아닌 경우</t>
        </is>
      </c>
      <c r="F24" s="6" t="n"/>
      <c r="G24" s="44" t="n"/>
      <c r="H24" s="6" t="n"/>
      <c r="I24" s="44" t="n"/>
      <c r="J24" s="6" t="n"/>
      <c r="K24" s="44" t="n"/>
      <c r="L24" s="6" t="n"/>
      <c r="M24" s="44" t="n"/>
      <c r="N24" s="6" t="n"/>
      <c r="O24" s="44" t="n"/>
      <c r="P24" s="6" t="n"/>
      <c r="Q24" s="44" t="n"/>
      <c r="R24" s="6" t="n"/>
      <c r="S24" s="44" t="n"/>
      <c r="T24" s="6" t="n"/>
      <c r="U24" s="44" t="n"/>
      <c r="V24" s="6" t="n"/>
      <c r="W24" s="44" t="n"/>
      <c r="X24" s="6" t="n"/>
      <c r="Y24" s="44" t="n"/>
      <c r="Z24" s="6" t="n"/>
      <c r="AA24" s="44" t="n"/>
      <c r="AB24" s="6" t="n"/>
      <c r="AC24" s="44" t="n"/>
      <c r="AD24" s="6" t="n"/>
      <c r="AE24" s="44" t="n"/>
      <c r="AF24" s="6" t="n"/>
      <c r="AG24" s="44" t="n"/>
      <c r="AH24" s="6" t="n"/>
      <c r="AI24" s="93" t="n"/>
    </row>
    <row r="25" ht="35.25" customHeight="1" s="196">
      <c r="A25" s="109" t="n"/>
      <c r="B25" s="327" t="n"/>
      <c r="C25" s="38" t="inlineStr">
        <is>
          <t>U-20</t>
        </is>
      </c>
      <c r="D25" s="5" t="inlineStr">
        <is>
          <t>/etc/(x)inetd.conf 파일 소유자 및 권한 설정</t>
        </is>
      </c>
      <c r="E25" s="5" t="inlineStr">
        <is>
          <t>양호 - /etc/(x)inetd.conf 파일의 소유자가 root이고, 권한이 600 이하인 경우
취약 - /etc/(x)inetd.conf 파일의 소유자가 root가 아니거나, 권한이 600 이하가 아닌 경우</t>
        </is>
      </c>
      <c r="F25" s="11" t="n"/>
      <c r="G25" s="44" t="n"/>
      <c r="H25" s="6" t="n"/>
      <c r="I25" s="44" t="n"/>
      <c r="J25" s="6" t="n"/>
      <c r="K25" s="44" t="n"/>
      <c r="L25" s="6" t="n"/>
      <c r="M25" s="44" t="n"/>
      <c r="N25" s="6" t="n"/>
      <c r="O25" s="44" t="n"/>
      <c r="P25" s="6" t="n"/>
      <c r="Q25" s="44" t="n"/>
      <c r="R25" s="6" t="n"/>
      <c r="S25" s="44" t="n"/>
      <c r="T25" s="6" t="n"/>
      <c r="U25" s="44" t="n"/>
      <c r="V25" s="6" t="n"/>
      <c r="W25" s="44" t="n"/>
      <c r="X25" s="6" t="n"/>
      <c r="Y25" s="44" t="n"/>
      <c r="Z25" s="6" t="n"/>
      <c r="AA25" s="44" t="n"/>
      <c r="AB25" s="6" t="n"/>
      <c r="AC25" s="44" t="n"/>
      <c r="AD25" s="6" t="n"/>
      <c r="AE25" s="44" t="n"/>
      <c r="AF25" s="6" t="n"/>
      <c r="AG25" s="44" t="n"/>
      <c r="AH25" s="6" t="n"/>
      <c r="AI25" s="93" t="n"/>
    </row>
    <row r="26" ht="35.25" customHeight="1" s="196">
      <c r="A26" s="110" t="n"/>
      <c r="B26" s="327" t="n"/>
      <c r="C26" s="38" t="inlineStr">
        <is>
          <t>U-21</t>
        </is>
      </c>
      <c r="D26" s="5" t="inlineStr">
        <is>
          <t>/etc/(r)syslog.conf 파일 소유자 및 권한 설정</t>
        </is>
      </c>
      <c r="E26" s="5" t="inlineStr">
        <is>
          <t>양호 - /etc/(r)syslog.conf 파일의 소유자가 root(또는 bin, sys)이고, 권한이 640 이하인 경우
취약 - /etc/(r)syslog.conf 파일의 소유자가 root(또는 bin, sys)가 아니거나, 권한이 640 이하가 아닌 경우</t>
        </is>
      </c>
      <c r="F26" s="6" t="n"/>
      <c r="G26" s="44" t="n"/>
      <c r="H26" s="6" t="n"/>
      <c r="I26" s="44" t="n"/>
      <c r="J26" s="6" t="n"/>
      <c r="K26" s="44" t="n"/>
      <c r="L26" s="6" t="n"/>
      <c r="M26" s="44" t="n"/>
      <c r="N26" s="6" t="n"/>
      <c r="O26" s="44" t="n"/>
      <c r="P26" s="6" t="n"/>
      <c r="Q26" s="44" t="n"/>
      <c r="R26" s="6" t="n"/>
      <c r="S26" s="44" t="n"/>
      <c r="T26" s="6" t="n"/>
      <c r="U26" s="44" t="n"/>
      <c r="V26" s="6" t="n"/>
      <c r="W26" s="44" t="n"/>
      <c r="X26" s="6" t="n"/>
      <c r="Y26" s="44" t="n"/>
      <c r="Z26" s="6" t="n"/>
      <c r="AA26" s="44" t="n"/>
      <c r="AB26" s="6" t="n"/>
      <c r="AC26" s="44" t="n"/>
      <c r="AD26" s="6" t="n"/>
      <c r="AE26" s="44" t="n"/>
      <c r="AF26" s="6" t="n"/>
      <c r="AG26" s="44" t="n"/>
      <c r="AH26" s="6" t="n"/>
      <c r="AI26" s="93" t="n"/>
    </row>
    <row r="27" ht="35.25" customHeight="1" s="196">
      <c r="A27" s="109" t="n"/>
      <c r="B27" s="327" t="n"/>
      <c r="C27" s="38" t="inlineStr">
        <is>
          <t>U-22</t>
        </is>
      </c>
      <c r="D27" s="5" t="inlineStr">
        <is>
          <t>/etc/services 파일 소유자 및 권한 설정</t>
        </is>
      </c>
      <c r="E27" s="5" t="inlineStr">
        <is>
          <t>양호 - /etc/services 파일의 소유자가 root(또는 bin, sys)이고, 권한이 644 이하인 경우
취약 - /etc/services 파일의 소유자가 root(또는 bin, sys)가 아니거나, 권한이 644 이하가 아닌 경우</t>
        </is>
      </c>
      <c r="F27" s="11" t="n"/>
      <c r="G27" s="44" t="n"/>
      <c r="H27" s="6" t="n"/>
      <c r="I27" s="44" t="n"/>
      <c r="J27" s="6" t="n"/>
      <c r="K27" s="44" t="n"/>
      <c r="L27" s="6" t="n"/>
      <c r="M27" s="44" t="n"/>
      <c r="N27" s="6" t="n"/>
      <c r="O27" s="44" t="n"/>
      <c r="P27" s="6" t="n"/>
      <c r="Q27" s="44" t="n"/>
      <c r="R27" s="6" t="n"/>
      <c r="S27" s="44" t="n"/>
      <c r="T27" s="6" t="n"/>
      <c r="U27" s="44" t="n"/>
      <c r="V27" s="6" t="n"/>
      <c r="W27" s="44" t="n"/>
      <c r="X27" s="6" t="n"/>
      <c r="Y27" s="44" t="n"/>
      <c r="Z27" s="6" t="n"/>
      <c r="AA27" s="44" t="n"/>
      <c r="AB27" s="6" t="n"/>
      <c r="AC27" s="44" t="n"/>
      <c r="AD27" s="6" t="n"/>
      <c r="AE27" s="44" t="n"/>
      <c r="AF27" s="6" t="n"/>
      <c r="AG27" s="44" t="n"/>
      <c r="AH27" s="6" t="n"/>
      <c r="AI27" s="93" t="n"/>
    </row>
    <row r="28" ht="35.25" customHeight="1" s="196">
      <c r="A28" s="110" t="n"/>
      <c r="B28" s="327" t="n"/>
      <c r="C28" s="38" t="inlineStr">
        <is>
          <t>U-23</t>
        </is>
      </c>
      <c r="D28" s="5" t="inlineStr">
        <is>
          <t>SUID, SGID, Sticky bit 설정 파일 점검</t>
        </is>
      </c>
      <c r="E28" s="5" t="inlineStr">
        <is>
          <t>양호 - 주요 실행 파일의 권한에 SUID와 SGID에 대한 설정이 부여되어 있지 않은 경우
취약 - 주요 실행 파일의 권한에 SUID와 SGID에 대한 설정이 부여된 경우</t>
        </is>
      </c>
      <c r="F28" s="11" t="n"/>
      <c r="G28" s="44" t="n"/>
      <c r="H28" s="11" t="n"/>
      <c r="I28" s="44" t="n"/>
      <c r="J28" s="11" t="n"/>
      <c r="K28" s="44" t="n"/>
      <c r="L28" s="11" t="n"/>
      <c r="M28" s="44" t="n"/>
      <c r="N28" s="11" t="n"/>
      <c r="O28" s="44" t="n"/>
      <c r="P28" s="11" t="n"/>
      <c r="Q28" s="44" t="n"/>
      <c r="R28" s="11" t="n"/>
      <c r="S28" s="44" t="n"/>
      <c r="T28" s="11" t="n"/>
      <c r="U28" s="44" t="n"/>
      <c r="V28" s="11" t="n"/>
      <c r="W28" s="44" t="n"/>
      <c r="X28" s="11" t="n"/>
      <c r="Y28" s="44" t="n"/>
      <c r="Z28" s="11" t="n"/>
      <c r="AA28" s="44" t="n"/>
      <c r="AB28" s="11" t="n"/>
      <c r="AC28" s="44" t="n"/>
      <c r="AD28" s="11" t="n"/>
      <c r="AE28" s="44" t="n"/>
      <c r="AF28" s="11" t="n"/>
      <c r="AG28" s="44" t="n"/>
      <c r="AH28" s="11" t="n"/>
      <c r="AI28" s="93" t="n"/>
    </row>
    <row r="29" ht="35.25" customHeight="1" s="196">
      <c r="A29" s="109" t="n"/>
      <c r="B29" s="327" t="n"/>
      <c r="C29" s="38" t="inlineStr">
        <is>
          <t>U-24</t>
        </is>
      </c>
      <c r="D29" s="5" t="inlineStr">
        <is>
          <t>사용자, 시스템 환경변수 파일 소유자 및 권한 설정</t>
        </is>
      </c>
      <c r="E29" s="5" t="inlineStr">
        <is>
          <t>양호 - 홈 디렉터리 환경변수 파일 소유자가 root 또는 해당 계정으로 지정되어 있고, 홈 디렉터리 환경변수 파일에 root 계정과 소유자만 쓰기 권한이 부여된 경우
취약 - 홈 디렉터리 환경변수 파일 소유자가 root 또는 해당 계정으로 지정되지 않거나, 홈 디렉터리 환경변수 파일에 root 계정과 소유자 외에 쓰기 권한이 부여된 경우</t>
        </is>
      </c>
      <c r="F29" s="11" t="n"/>
      <c r="G29" s="44" t="n"/>
      <c r="H29" s="11" t="n"/>
      <c r="I29" s="44" t="n"/>
      <c r="J29" s="11" t="n"/>
      <c r="K29" s="44" t="n"/>
      <c r="L29" s="11" t="n"/>
      <c r="M29" s="44" t="n"/>
      <c r="N29" s="11" t="n"/>
      <c r="O29" s="44" t="n"/>
      <c r="P29" s="11" t="n"/>
      <c r="Q29" s="44" t="n"/>
      <c r="R29" s="11" t="n"/>
      <c r="S29" s="44" t="n"/>
      <c r="T29" s="11" t="n"/>
      <c r="U29" s="44" t="n"/>
      <c r="V29" s="11" t="n"/>
      <c r="W29" s="44" t="n"/>
      <c r="X29" s="11" t="n"/>
      <c r="Y29" s="44" t="n"/>
      <c r="Z29" s="11" t="n"/>
      <c r="AA29" s="44" t="n"/>
      <c r="AB29" s="11" t="n"/>
      <c r="AC29" s="44" t="n"/>
      <c r="AD29" s="11" t="n"/>
      <c r="AE29" s="44" t="n"/>
      <c r="AF29" s="11" t="n"/>
      <c r="AG29" s="44" t="n"/>
      <c r="AH29" s="11" t="n"/>
      <c r="AI29" s="93" t="n"/>
    </row>
    <row r="30" ht="35.25" customHeight="1" s="196">
      <c r="A30" s="110" t="n"/>
      <c r="B30" s="327" t="n"/>
      <c r="C30" s="38" t="inlineStr">
        <is>
          <t>U-25</t>
        </is>
      </c>
      <c r="D30" s="5" t="inlineStr">
        <is>
          <t>world writable 파일 점검</t>
        </is>
      </c>
      <c r="E30" s="5" t="inlineStr">
        <is>
          <t>양호 - world writable 파일이 존재하지 않거나, 존재 시 설정 이유를 인지하고 있는 경우
취약 - world writable 파일이 존재하나 설정 이유를 인지하지 못하고 있는 경우</t>
        </is>
      </c>
      <c r="F30" s="11" t="n"/>
      <c r="G30" s="44" t="n"/>
      <c r="H30" s="11" t="n"/>
      <c r="I30" s="44" t="n"/>
      <c r="J30" s="11" t="n"/>
      <c r="K30" s="44" t="n"/>
      <c r="L30" s="11" t="n"/>
      <c r="M30" s="44" t="n"/>
      <c r="N30" s="11" t="n"/>
      <c r="O30" s="44" t="n"/>
      <c r="P30" s="11" t="n"/>
      <c r="Q30" s="44" t="n"/>
      <c r="R30" s="11" t="n"/>
      <c r="S30" s="44" t="n"/>
      <c r="T30" s="11" t="n"/>
      <c r="U30" s="44" t="n"/>
      <c r="V30" s="11" t="n"/>
      <c r="W30" s="44" t="n"/>
      <c r="X30" s="11" t="n"/>
      <c r="Y30" s="44" t="n"/>
      <c r="Z30" s="11" t="n"/>
      <c r="AA30" s="44" t="n"/>
      <c r="AB30" s="11" t="n"/>
      <c r="AC30" s="44" t="n"/>
      <c r="AD30" s="11" t="n"/>
      <c r="AE30" s="44" t="n"/>
      <c r="AF30" s="11" t="n"/>
      <c r="AG30" s="44" t="n"/>
      <c r="AH30" s="11" t="n"/>
      <c r="AI30" s="93" t="n"/>
    </row>
    <row r="31" ht="35.25" customHeight="1" s="196">
      <c r="A31" s="109" t="n"/>
      <c r="B31" s="327" t="n"/>
      <c r="C31" s="38" t="inlineStr">
        <is>
          <t>U-26</t>
        </is>
      </c>
      <c r="D31" s="5" t="inlineStr">
        <is>
          <t>/dev에 존재하지 않는 device 파일 점검</t>
        </is>
      </c>
      <c r="E31" s="5" t="inlineStr">
        <is>
          <t>양호 - /dev 디렉터리에 대한 파일 점검 후 존재하지 않는 device 파일을 제거한 경우
취약 - /dev 디렉터리에 대한 파일 미점검 또는 존재하지 않는 device 파일을 방치한 경우</t>
        </is>
      </c>
      <c r="F31" s="6" t="n"/>
      <c r="G31" s="44" t="n"/>
      <c r="H31" s="6" t="n"/>
      <c r="I31" s="44" t="n"/>
      <c r="J31" s="6" t="n"/>
      <c r="K31" s="44" t="n"/>
      <c r="L31" s="6" t="n"/>
      <c r="M31" s="44" t="n"/>
      <c r="N31" s="6" t="n"/>
      <c r="O31" s="44" t="n"/>
      <c r="P31" s="6" t="n"/>
      <c r="Q31" s="44" t="n"/>
      <c r="R31" s="6" t="n"/>
      <c r="S31" s="44" t="n"/>
      <c r="T31" s="6" t="n"/>
      <c r="U31" s="44" t="n"/>
      <c r="V31" s="6" t="n"/>
      <c r="W31" s="44" t="n"/>
      <c r="X31" s="6" t="n"/>
      <c r="Y31" s="44" t="n"/>
      <c r="Z31" s="6" t="n"/>
      <c r="AA31" s="44" t="n"/>
      <c r="AB31" s="6" t="n"/>
      <c r="AC31" s="44" t="n"/>
      <c r="AD31" s="6" t="n"/>
      <c r="AE31" s="44" t="n"/>
      <c r="AF31" s="6" t="n"/>
      <c r="AG31" s="44" t="n"/>
      <c r="AH31" s="6" t="n"/>
      <c r="AI31" s="93" t="n"/>
    </row>
    <row r="32" ht="35.25" customHeight="1" s="196">
      <c r="A32" s="110" t="n"/>
      <c r="B32" s="327" t="n"/>
      <c r="C32" s="38" t="inlineStr">
        <is>
          <t>U-27</t>
        </is>
      </c>
      <c r="D32" s="102" t="inlineStr">
        <is>
          <t>$HOME/.rhosts, hosts.equiv 사용 금지</t>
        </is>
      </c>
      <c r="E32" s="35" t="inlineStr">
        <is>
          <t>양호 - rlogin, rsh, rexec 서비스를 사용하지 않거나, 사용 시 아래와 같은 설정이 적용된 경우1. /etc/hosts.equiv 및 $HOME/.rhosts 파일 소유자가 root 또는 해당 계정인 경우2. /etc/hosts.equiv 및 $HOME/.rhosts 파일 권한이 600 이하인 경우3. /etc/hosts.equiv 및 $HOME/.rhosts 파일 설정에 “+” 설정이 없는 경우
취약 - rlogin, rsh, rexec 서비스를 사용하며 아래와 같은 설정이 적용되지 않은 경우1. /etc/hosts.equiv 및 $HOME/.rhosts 파일 소유자가 root 또는 해당 계정이 아닌 경우2. /etc/hosts.equiv 및 $HOME/.rhosts 파일 권한이 600을 초과한 경우3. /etc/hosts.equiv 및 $HOME/.rhosts 파일 설정에 “+” 설정이 존재하는 경우</t>
        </is>
      </c>
      <c r="F32" s="47" t="n"/>
      <c r="G32" s="44" t="n"/>
      <c r="H32" s="47" t="n"/>
      <c r="I32" s="44" t="n"/>
      <c r="J32" s="47" t="n"/>
      <c r="K32" s="44" t="n"/>
      <c r="L32" s="47" t="n"/>
      <c r="M32" s="44" t="n"/>
      <c r="N32" s="47" t="n"/>
      <c r="O32" s="44" t="n"/>
      <c r="P32" s="47" t="n"/>
      <c r="Q32" s="44" t="n"/>
      <c r="R32" s="47" t="n"/>
      <c r="S32" s="44" t="n"/>
      <c r="T32" s="47" t="n"/>
      <c r="U32" s="44" t="n"/>
      <c r="V32" s="47" t="n"/>
      <c r="W32" s="44" t="n"/>
      <c r="X32" s="47" t="n"/>
      <c r="Y32" s="44" t="n"/>
      <c r="Z32" s="47" t="n"/>
      <c r="AA32" s="44" t="n"/>
      <c r="AB32" s="47" t="n"/>
      <c r="AC32" s="44" t="n"/>
      <c r="AD32" s="47" t="n"/>
      <c r="AE32" s="44" t="n"/>
      <c r="AF32" s="47" t="n"/>
      <c r="AG32" s="44" t="n"/>
      <c r="AH32" s="47" t="n"/>
      <c r="AI32" s="93" t="n"/>
    </row>
    <row r="33" ht="35.25" customHeight="1" s="196">
      <c r="A33" s="109" t="n"/>
      <c r="B33" s="327" t="n"/>
      <c r="C33" s="38" t="inlineStr">
        <is>
          <t>U-28</t>
        </is>
      </c>
      <c r="D33" s="102" t="inlineStr">
        <is>
          <t>접속 IP 및 포트 제한</t>
        </is>
      </c>
      <c r="E33" s="35" t="inlineStr">
        <is>
          <t>양호 - 접속을 허용할 특정 호스트에 대한 IP주소 및 포트 제한을 설정한 경우
취약 - 접속을 허용할 특정 호스트에 대한 IP주소 및 포트 제한을 설정하지 않은 경우</t>
        </is>
      </c>
      <c r="F33" s="47" t="n"/>
      <c r="G33" s="96" t="n"/>
      <c r="H33" s="47" t="n"/>
      <c r="I33" s="96" t="n"/>
      <c r="J33" s="47" t="n"/>
      <c r="K33" s="96" t="n"/>
      <c r="L33" s="47" t="n"/>
      <c r="M33" s="96" t="n"/>
      <c r="N33" s="47" t="n"/>
      <c r="O33" s="96" t="n"/>
      <c r="P33" s="47" t="n"/>
      <c r="Q33" s="96" t="n"/>
      <c r="R33" s="47" t="n"/>
      <c r="S33" s="96" t="n"/>
      <c r="T33" s="47" t="n"/>
      <c r="U33" s="96" t="n"/>
      <c r="V33" s="47" t="n"/>
      <c r="W33" s="96" t="n"/>
      <c r="X33" s="47" t="n"/>
      <c r="Y33" s="96" t="n"/>
      <c r="Z33" s="47" t="n"/>
      <c r="AA33" s="96" t="n"/>
      <c r="AB33" s="47" t="n"/>
      <c r="AC33" s="96" t="n"/>
      <c r="AD33" s="47" t="n"/>
      <c r="AE33" s="96" t="n"/>
      <c r="AF33" s="47" t="n"/>
      <c r="AG33" s="96" t="n"/>
      <c r="AH33" s="47" t="n"/>
      <c r="AI33" s="97" t="n"/>
    </row>
    <row r="34" ht="35.25" customHeight="1" s="196">
      <c r="A34" s="110" t="n"/>
      <c r="B34" s="327" t="n"/>
      <c r="C34" s="38" t="inlineStr">
        <is>
          <t>U-29</t>
        </is>
      </c>
      <c r="D34" s="176" t="inlineStr">
        <is>
          <t>hosts.lpd 파일 소유자 및 권한 설정</t>
        </is>
      </c>
      <c r="E34" s="176" t="inlineStr">
        <is>
          <t>양호 - /etc/hosts.lpd 파일이 존재하지 않거나, 불가피하게 사용 시 /etc/hosts.lpd 파일의 소유자가 root이고, 권한이 600 이하인 경우
취약 - /etc/hosts.lpd 파일이 존재하며, 파일의 소유자가 root가 아니거나, 권한이 600 이하가 아닌 경우</t>
        </is>
      </c>
      <c r="F34" s="177" t="n"/>
      <c r="G34" s="176" t="n"/>
      <c r="H34" s="178" t="n"/>
      <c r="I34" s="176" t="n"/>
      <c r="J34" s="178" t="n"/>
      <c r="K34" s="176" t="n"/>
      <c r="L34" s="178" t="n"/>
      <c r="M34" s="176" t="n"/>
      <c r="N34" s="178" t="n"/>
      <c r="O34" s="176" t="n"/>
      <c r="P34" s="178" t="n"/>
      <c r="Q34" s="176" t="n"/>
      <c r="R34" s="178" t="n"/>
      <c r="S34" s="176" t="n"/>
      <c r="T34" s="178" t="n"/>
      <c r="U34" s="176" t="n"/>
      <c r="V34" s="178" t="n"/>
      <c r="W34" s="176" t="n"/>
      <c r="X34" s="178" t="n"/>
      <c r="Y34" s="176" t="n"/>
      <c r="Z34" s="178" t="n"/>
      <c r="AA34" s="176" t="n"/>
      <c r="AB34" s="178" t="n"/>
      <c r="AC34" s="176" t="n"/>
      <c r="AD34" s="178" t="n"/>
      <c r="AE34" s="176" t="n"/>
      <c r="AF34" s="178" t="n"/>
      <c r="AG34" s="176" t="n"/>
      <c r="AH34" s="178" t="n"/>
      <c r="AI34" s="179" t="n"/>
    </row>
    <row r="35" ht="35.25" customHeight="1" s="196">
      <c r="A35" s="109" t="n"/>
      <c r="B35" s="327" t="n"/>
      <c r="C35" s="38" t="inlineStr">
        <is>
          <t>U-30</t>
        </is>
      </c>
      <c r="D35" s="5" t="inlineStr">
        <is>
          <t>UMASK 설정 관리</t>
        </is>
      </c>
      <c r="E35" s="5" t="inlineStr">
        <is>
          <t>양호 - UMASK 값이 022 이상으로 설정된 경우
취약 - UMASK 값이 022 미만으로 설정된 경우</t>
        </is>
      </c>
      <c r="F35" s="11" t="n"/>
      <c r="G35" s="44" t="n"/>
      <c r="H35" s="11" t="n"/>
      <c r="I35" s="44" t="n"/>
      <c r="J35" s="11" t="n"/>
      <c r="K35" s="44" t="n"/>
      <c r="L35" s="11" t="n"/>
      <c r="M35" s="44" t="n"/>
      <c r="N35" s="11" t="n"/>
      <c r="O35" s="44" t="n"/>
      <c r="P35" s="11" t="n"/>
      <c r="Q35" s="44" t="n"/>
      <c r="R35" s="11" t="n"/>
      <c r="S35" s="44" t="n"/>
      <c r="T35" s="11" t="n"/>
      <c r="U35" s="44" t="n"/>
      <c r="V35" s="11" t="n"/>
      <c r="W35" s="44" t="n"/>
      <c r="X35" s="11" t="n"/>
      <c r="Y35" s="44" t="n"/>
      <c r="Z35" s="11" t="n"/>
      <c r="AA35" s="44" t="n"/>
      <c r="AB35" s="11" t="n"/>
      <c r="AC35" s="44" t="n"/>
      <c r="AD35" s="11" t="n"/>
      <c r="AE35" s="44" t="n"/>
      <c r="AF35" s="11" t="n"/>
      <c r="AG35" s="44" t="n"/>
      <c r="AH35" s="11" t="n"/>
      <c r="AI35" s="93" t="n"/>
    </row>
    <row r="36" ht="35.25" customHeight="1" s="196">
      <c r="A36" s="110" t="n"/>
      <c r="B36" s="327" t="n"/>
      <c r="C36" s="38" t="inlineStr">
        <is>
          <t>U-31</t>
        </is>
      </c>
      <c r="D36" s="5" t="inlineStr">
        <is>
          <t>홈 디렉토리 소유자 및 권한 설정</t>
        </is>
      </c>
      <c r="E36" s="5" t="inlineStr">
        <is>
          <t>양호 - 홈 디렉토리 소유자가 해당 계정이고, 타 사용자 쓰기 권한이 제거된 경우
취약 - 홈 디렉토리 소유자가 해당 계정이 아니거나, 타 사용자 쓰기 권한이 부여된 경우</t>
        </is>
      </c>
      <c r="F36" s="11" t="n"/>
      <c r="G36" s="44" t="n"/>
      <c r="H36" s="11" t="n"/>
      <c r="I36" s="44" t="n"/>
      <c r="J36" s="11" t="n"/>
      <c r="K36" s="44" t="n"/>
      <c r="L36" s="11" t="n"/>
      <c r="M36" s="44" t="n"/>
      <c r="N36" s="11" t="n"/>
      <c r="O36" s="44" t="n"/>
      <c r="P36" s="11" t="n"/>
      <c r="Q36" s="44" t="n"/>
      <c r="R36" s="11" t="n"/>
      <c r="S36" s="44" t="n"/>
      <c r="T36" s="11" t="n"/>
      <c r="U36" s="44" t="n"/>
      <c r="V36" s="11" t="n"/>
      <c r="W36" s="44" t="n"/>
      <c r="X36" s="11" t="n"/>
      <c r="Y36" s="44" t="n"/>
      <c r="Z36" s="11" t="n"/>
      <c r="AA36" s="44" t="n"/>
      <c r="AB36" s="11" t="n"/>
      <c r="AC36" s="44" t="n"/>
      <c r="AD36" s="11" t="n"/>
      <c r="AE36" s="44" t="n"/>
      <c r="AF36" s="11" t="n"/>
      <c r="AG36" s="44" t="n"/>
      <c r="AH36" s="11" t="n"/>
      <c r="AI36" s="93" t="n"/>
    </row>
    <row r="37" ht="35.25" customHeight="1" s="196">
      <c r="A37" s="109" t="n"/>
      <c r="B37" s="327" t="n"/>
      <c r="C37" s="38" t="inlineStr">
        <is>
          <t>U-32</t>
        </is>
      </c>
      <c r="D37" s="5" t="inlineStr">
        <is>
          <t>홈 디렉토리로 지정한 디렉토리의 존재 관리</t>
        </is>
      </c>
      <c r="E37" s="5" t="inlineStr">
        <is>
          <t>양호 - 홈 디렉토리가 존재하지 않는 계정이 발견되지 않는 경우
취약 - 홈 디렉토리가 존재하지 않는 계정이 발견된 경우</t>
        </is>
      </c>
      <c r="F37" s="11" t="n"/>
      <c r="G37" s="44" t="n"/>
      <c r="H37" s="11" t="n"/>
      <c r="I37" s="44" t="n"/>
      <c r="J37" s="11" t="n"/>
      <c r="K37" s="44" t="n"/>
      <c r="L37" s="11" t="n"/>
      <c r="M37" s="44" t="n"/>
      <c r="N37" s="11" t="n"/>
      <c r="O37" s="44" t="n"/>
      <c r="P37" s="11" t="n"/>
      <c r="Q37" s="44" t="n"/>
      <c r="R37" s="11" t="n"/>
      <c r="S37" s="44" t="n"/>
      <c r="T37" s="11" t="n"/>
      <c r="U37" s="44" t="n"/>
      <c r="V37" s="11" t="n"/>
      <c r="W37" s="44" t="n"/>
      <c r="X37" s="11" t="n"/>
      <c r="Y37" s="44" t="n"/>
      <c r="Z37" s="11" t="n"/>
      <c r="AA37" s="44" t="n"/>
      <c r="AB37" s="11" t="n"/>
      <c r="AC37" s="44" t="n"/>
      <c r="AD37" s="11" t="n"/>
      <c r="AE37" s="44" t="n"/>
      <c r="AF37" s="11" t="n"/>
      <c r="AG37" s="44" t="n"/>
      <c r="AH37" s="11" t="n"/>
      <c r="AI37" s="93" t="n"/>
    </row>
    <row r="38" ht="35.25" customHeight="1" s="196" thickBot="1">
      <c r="A38" s="110" t="n"/>
      <c r="B38" s="328" t="n"/>
      <c r="C38" s="193" t="inlineStr">
        <is>
          <t>U-33</t>
        </is>
      </c>
      <c r="D38" s="35" t="inlineStr">
        <is>
          <t>숨겨진 파일 및 디렉토리 검색 및 제거</t>
        </is>
      </c>
      <c r="E38" s="35" t="inlineStr">
        <is>
          <t>양호 - 불필요하거나 의심스러운 숨겨진 파일 및 디렉토리를 제거한 경우
취약 - 불필요하거나 의심스러운 숨겨진 파일 및 디렉토리를 제거하지 않은 경우</t>
        </is>
      </c>
      <c r="F38" s="47" t="n"/>
      <c r="G38" s="96" t="n"/>
      <c r="H38" s="47" t="n"/>
      <c r="I38" s="96" t="n"/>
      <c r="J38" s="47" t="n"/>
      <c r="K38" s="96" t="n"/>
      <c r="L38" s="47" t="n"/>
      <c r="M38" s="96" t="n"/>
      <c r="N38" s="47" t="n"/>
      <c r="O38" s="96" t="n"/>
      <c r="P38" s="47" t="n"/>
      <c r="Q38" s="96" t="n"/>
      <c r="R38" s="47" t="n"/>
      <c r="S38" s="96" t="n"/>
      <c r="T38" s="47" t="n"/>
      <c r="U38" s="96" t="n"/>
      <c r="V38" s="47" t="n"/>
      <c r="W38" s="96" t="n"/>
      <c r="X38" s="47" t="n"/>
      <c r="Y38" s="96" t="n"/>
      <c r="Z38" s="47" t="n"/>
      <c r="AA38" s="96" t="n"/>
      <c r="AB38" s="47" t="n"/>
      <c r="AC38" s="96" t="n"/>
      <c r="AD38" s="47" t="n"/>
      <c r="AE38" s="96" t="n"/>
      <c r="AF38" s="47" t="n"/>
      <c r="AG38" s="96" t="n"/>
      <c r="AH38" s="47" t="n"/>
      <c r="AI38" s="97" t="n"/>
    </row>
    <row r="39" ht="35.25" customHeight="1" s="196" thickBot="1">
      <c r="B39" s="274" t="inlineStr">
        <is>
          <t>3. 서비스 관리</t>
        </is>
      </c>
      <c r="C39" s="38" t="inlineStr">
        <is>
          <t>U-34</t>
        </is>
      </c>
      <c r="D39" s="34" t="inlineStr">
        <is>
          <t>Finger 서비스 비활성화</t>
        </is>
      </c>
      <c r="E39" s="34" t="inlineStr">
        <is>
          <t>양호 - Finger 서비스가 비활성화된 경우
취약 - Finger 서비스가 활성화된 경우</t>
        </is>
      </c>
      <c r="F39" s="48" t="n"/>
      <c r="G39" s="34" t="n"/>
      <c r="H39" s="48" t="n"/>
      <c r="I39" s="34" t="n"/>
      <c r="J39" s="48" t="n"/>
      <c r="K39" s="34" t="n"/>
      <c r="L39" s="48" t="n"/>
      <c r="M39" s="34" t="n"/>
      <c r="N39" s="48" t="n"/>
      <c r="O39" s="34" t="n"/>
      <c r="P39" s="48" t="n"/>
      <c r="Q39" s="34" t="n"/>
      <c r="R39" s="48" t="n"/>
      <c r="S39" s="34" t="n"/>
      <c r="T39" s="48" t="n"/>
      <c r="U39" s="34" t="n"/>
      <c r="V39" s="48" t="n"/>
      <c r="W39" s="34" t="n"/>
      <c r="X39" s="48" t="n"/>
      <c r="Y39" s="34" t="n"/>
      <c r="Z39" s="48" t="n"/>
      <c r="AA39" s="34" t="n"/>
      <c r="AB39" s="48" t="n"/>
      <c r="AC39" s="34" t="n"/>
      <c r="AD39" s="48" t="n"/>
      <c r="AE39" s="34" t="n"/>
      <c r="AF39" s="48" t="n"/>
      <c r="AG39" s="34" t="n"/>
      <c r="AH39" s="48" t="n"/>
      <c r="AI39" s="92" t="n"/>
    </row>
    <row r="40" ht="35.25" customHeight="1" s="196">
      <c r="A40" s="4" t="n"/>
      <c r="B40" s="329" t="n"/>
      <c r="C40" s="38" t="inlineStr">
        <is>
          <t>U-35</t>
        </is>
      </c>
      <c r="D40" s="5" t="inlineStr">
        <is>
          <t>공유 서비스에 대한 익명 접근 제한 설정</t>
        </is>
      </c>
      <c r="E40" s="5" t="inlineStr">
        <is>
          <t>양호 - 공유 서비스에 대해 익명 접근을 제한한 경우
취약 - 공유 서비스에 대해 익명 접근을 허용한 경우</t>
        </is>
      </c>
      <c r="F40" s="11" t="n"/>
      <c r="G40" s="5" t="n"/>
      <c r="H40" s="11" t="n"/>
      <c r="I40" s="5" t="n"/>
      <c r="J40" s="11" t="n"/>
      <c r="K40" s="5" t="n"/>
      <c r="L40" s="11" t="n"/>
      <c r="M40" s="5" t="n"/>
      <c r="N40" s="11" t="n"/>
      <c r="O40" s="5" t="n"/>
      <c r="P40" s="11" t="n"/>
      <c r="Q40" s="5" t="n"/>
      <c r="R40" s="11" t="n"/>
      <c r="S40" s="5" t="n"/>
      <c r="T40" s="11" t="n"/>
      <c r="U40" s="5" t="n"/>
      <c r="V40" s="11" t="n"/>
      <c r="W40" s="5" t="n"/>
      <c r="X40" s="11" t="n"/>
      <c r="Y40" s="5" t="n"/>
      <c r="Z40" s="11" t="n"/>
      <c r="AA40" s="5" t="n"/>
      <c r="AB40" s="11" t="n"/>
      <c r="AC40" s="5" t="n"/>
      <c r="AD40" s="11" t="n"/>
      <c r="AE40" s="5" t="n"/>
      <c r="AF40" s="11" t="n"/>
      <c r="AG40" s="5" t="n"/>
      <c r="AH40" s="11" t="n"/>
      <c r="AI40" s="175" t="n"/>
    </row>
    <row r="41" ht="35.25" customHeight="1" s="196">
      <c r="B41" s="329" t="n"/>
      <c r="C41" s="38" t="inlineStr">
        <is>
          <t>U-36</t>
        </is>
      </c>
      <c r="D41" s="5" t="inlineStr">
        <is>
          <t>r 계열 서비스 비활성화</t>
        </is>
      </c>
      <c r="E41" s="5" t="inlineStr">
        <is>
          <t>양호 - 불필요한 r 계열 서비스가 비활성화된 경우
취약 - 불필요한 r 계열 서비스가 활성화된 경우</t>
        </is>
      </c>
      <c r="F41" s="11" t="n"/>
      <c r="G41" s="5" t="n"/>
      <c r="H41" s="11" t="n"/>
      <c r="I41" s="5" t="n"/>
      <c r="J41" s="11" t="n"/>
      <c r="K41" s="5" t="n"/>
      <c r="L41" s="11" t="n"/>
      <c r="M41" s="5" t="n"/>
      <c r="N41" s="11" t="n"/>
      <c r="O41" s="5" t="n"/>
      <c r="P41" s="11" t="n"/>
      <c r="Q41" s="5" t="n"/>
      <c r="R41" s="11" t="n"/>
      <c r="S41" s="5" t="n"/>
      <c r="T41" s="11" t="n"/>
      <c r="U41" s="5" t="n"/>
      <c r="V41" s="11" t="n"/>
      <c r="W41" s="5" t="n"/>
      <c r="X41" s="11" t="n"/>
      <c r="Y41" s="5" t="n"/>
      <c r="Z41" s="11" t="n"/>
      <c r="AA41" s="5" t="n"/>
      <c r="AB41" s="11" t="n"/>
      <c r="AC41" s="5" t="n"/>
      <c r="AD41" s="11" t="n"/>
      <c r="AE41" s="5" t="n"/>
      <c r="AF41" s="11" t="n"/>
      <c r="AG41" s="5" t="n"/>
      <c r="AH41" s="11" t="n"/>
      <c r="AI41" s="175" t="n"/>
    </row>
    <row r="42" ht="35.25" customHeight="1" s="196">
      <c r="A42" s="4" t="n"/>
      <c r="B42" s="329" t="n"/>
      <c r="C42" s="38" t="inlineStr">
        <is>
          <t>U-37</t>
        </is>
      </c>
      <c r="D42" s="5" t="inlineStr">
        <is>
          <t>crontab 설정파일 권한 설정 미흡</t>
        </is>
      </c>
      <c r="E42" s="5" t="inlineStr">
        <is>
          <t>양호 - crontab 및 at 명령어에 일반 사용자 실행 권한이 제거되어 있으며, cron 및 at 관련 파일 권한이 640 이하인 경우
취약 - crontab 및 at 명령어에 일반 사용자 실행 권한이 부여되어 있으며, cron 및 at 관련 파일 권한이 640 이상인 경우</t>
        </is>
      </c>
      <c r="F42" s="11" t="n"/>
      <c r="G42" s="5" t="n"/>
      <c r="H42" s="11" t="n"/>
      <c r="I42" s="5" t="n"/>
      <c r="J42" s="11" t="n"/>
      <c r="K42" s="5" t="n"/>
      <c r="L42" s="11" t="n"/>
      <c r="M42" s="5" t="n"/>
      <c r="N42" s="11" t="n"/>
      <c r="O42" s="5" t="n"/>
      <c r="P42" s="11" t="n"/>
      <c r="Q42" s="5" t="n"/>
      <c r="R42" s="11" t="n"/>
      <c r="S42" s="5" t="n"/>
      <c r="T42" s="11" t="n"/>
      <c r="U42" s="5" t="n"/>
      <c r="V42" s="11" t="n"/>
      <c r="W42" s="5" t="n"/>
      <c r="X42" s="11" t="n"/>
      <c r="Y42" s="5" t="n"/>
      <c r="Z42" s="11" t="n"/>
      <c r="AA42" s="5" t="n"/>
      <c r="AB42" s="11" t="n"/>
      <c r="AC42" s="5" t="n"/>
      <c r="AD42" s="11" t="n"/>
      <c r="AE42" s="5" t="n"/>
      <c r="AF42" s="11" t="n"/>
      <c r="AG42" s="5" t="n"/>
      <c r="AH42" s="11" t="n"/>
      <c r="AI42" s="175" t="n"/>
    </row>
    <row r="43" ht="35.25" customHeight="1" s="196">
      <c r="B43" s="329" t="n"/>
      <c r="C43" s="38" t="inlineStr">
        <is>
          <t>U-38</t>
        </is>
      </c>
      <c r="D43" s="5" t="inlineStr">
        <is>
          <t>DoS 공격에 취약한 서비스 비활성화</t>
        </is>
      </c>
      <c r="E43" s="5" t="inlineStr">
        <is>
          <t>양호 - DoS 공격에 취약한 서비스가 비활성화된 경우
취약 - DoS 공격에 취약한 서비스가 활성화된 경우</t>
        </is>
      </c>
      <c r="F43" s="11" t="n"/>
      <c r="G43" s="5" t="n"/>
      <c r="H43" s="11" t="n"/>
      <c r="I43" s="5" t="n"/>
      <c r="J43" s="11" t="n"/>
      <c r="K43" s="5" t="n"/>
      <c r="L43" s="11" t="n"/>
      <c r="M43" s="5" t="n"/>
      <c r="N43" s="11" t="n"/>
      <c r="O43" s="5" t="n"/>
      <c r="P43" s="11" t="n"/>
      <c r="Q43" s="5" t="n"/>
      <c r="R43" s="11" t="n"/>
      <c r="S43" s="5" t="n"/>
      <c r="T43" s="11" t="n"/>
      <c r="U43" s="5" t="n"/>
      <c r="V43" s="11" t="n"/>
      <c r="W43" s="5" t="n"/>
      <c r="X43" s="11" t="n"/>
      <c r="Y43" s="5" t="n"/>
      <c r="Z43" s="11" t="n"/>
      <c r="AA43" s="5" t="n"/>
      <c r="AB43" s="11" t="n"/>
      <c r="AC43" s="5" t="n"/>
      <c r="AD43" s="11" t="n"/>
      <c r="AE43" s="5" t="n"/>
      <c r="AF43" s="11" t="n"/>
      <c r="AG43" s="5" t="n"/>
      <c r="AH43" s="11" t="n"/>
      <c r="AI43" s="175" t="n"/>
    </row>
    <row r="44" ht="35.25" customHeight="1" s="196">
      <c r="A44" s="4" t="n"/>
      <c r="B44" s="329" t="n"/>
      <c r="C44" s="38" t="inlineStr">
        <is>
          <t>U-39</t>
        </is>
      </c>
      <c r="D44" s="5" t="inlineStr">
        <is>
          <t>불필요한 NFS 서비스 비활성화</t>
        </is>
      </c>
      <c r="E44" s="5" t="inlineStr">
        <is>
          <t>양호 - 불필요한 NFS 서비스 관련 데몬이 비활성화된 경우
취약 - 불필요한 NFS 서비스 관련 데몬이 활성화된 경우</t>
        </is>
      </c>
      <c r="F44" s="6" t="n"/>
      <c r="G44" s="5" t="n"/>
      <c r="H44" s="6" t="n"/>
      <c r="I44" s="5" t="n"/>
      <c r="J44" s="6" t="n"/>
      <c r="K44" s="5" t="n"/>
      <c r="L44" s="6" t="n"/>
      <c r="M44" s="5" t="n"/>
      <c r="N44" s="6" t="n"/>
      <c r="O44" s="5" t="n"/>
      <c r="P44" s="6" t="n"/>
      <c r="Q44" s="5" t="n"/>
      <c r="R44" s="6" t="n"/>
      <c r="S44" s="5" t="n"/>
      <c r="T44" s="6" t="n"/>
      <c r="U44" s="5" t="n"/>
      <c r="V44" s="6" t="n"/>
      <c r="W44" s="5" t="n"/>
      <c r="X44" s="6" t="n"/>
      <c r="Y44" s="5" t="n"/>
      <c r="Z44" s="6" t="n"/>
      <c r="AA44" s="5" t="n"/>
      <c r="AB44" s="6" t="n"/>
      <c r="AC44" s="5" t="n"/>
      <c r="AD44" s="6" t="n"/>
      <c r="AE44" s="5" t="n"/>
      <c r="AF44" s="6" t="n"/>
      <c r="AG44" s="5" t="n"/>
      <c r="AH44" s="6" t="n"/>
      <c r="AI44" s="175" t="n"/>
    </row>
    <row r="45" ht="35.25" customHeight="1" s="196">
      <c r="B45" s="329" t="n"/>
      <c r="C45" s="38" t="inlineStr">
        <is>
          <t>U-40</t>
        </is>
      </c>
      <c r="D45" s="5" t="inlineStr">
        <is>
          <t>NFS 접근 통제</t>
        </is>
      </c>
      <c r="E45" s="5" t="inlineStr">
        <is>
          <t>양호 - 접근 통제가 설정되어 있으며 NFS 설정 파일 접근 권한이 644 이하인 경우
취약 - 접근 통제가 설정되어 있지 않고 NFS 설정 파일 접근 권한이 644를 초과하는 경우</t>
        </is>
      </c>
      <c r="F45" s="11" t="n"/>
      <c r="G45" s="5" t="n"/>
      <c r="H45" s="11" t="n"/>
      <c r="I45" s="5" t="n"/>
      <c r="J45" s="11" t="n"/>
      <c r="K45" s="5" t="n"/>
      <c r="L45" s="11" t="n"/>
      <c r="M45" s="5" t="n"/>
      <c r="N45" s="11" t="n"/>
      <c r="O45" s="5" t="n"/>
      <c r="P45" s="11" t="n"/>
      <c r="Q45" s="5" t="n"/>
      <c r="R45" s="11" t="n"/>
      <c r="S45" s="5" t="n"/>
      <c r="T45" s="11" t="n"/>
      <c r="U45" s="5" t="n"/>
      <c r="V45" s="11" t="n"/>
      <c r="W45" s="5" t="n"/>
      <c r="X45" s="11" t="n"/>
      <c r="Y45" s="5" t="n"/>
      <c r="Z45" s="11" t="n"/>
      <c r="AA45" s="5" t="n"/>
      <c r="AB45" s="11" t="n"/>
      <c r="AC45" s="5" t="n"/>
      <c r="AD45" s="11" t="n"/>
      <c r="AE45" s="5" t="n"/>
      <c r="AF45" s="11" t="n"/>
      <c r="AG45" s="5" t="n"/>
      <c r="AH45" s="11" t="n"/>
      <c r="AI45" s="175" t="n"/>
    </row>
    <row r="46" ht="35.25" customHeight="1" s="196">
      <c r="A46" s="4" t="n"/>
      <c r="B46" s="329" t="n"/>
      <c r="C46" s="38" t="inlineStr">
        <is>
          <t>U-41</t>
        </is>
      </c>
      <c r="D46" s="5" t="inlineStr">
        <is>
          <t>불필요한 automountd 제거</t>
        </is>
      </c>
      <c r="E46" s="5" t="inlineStr">
        <is>
          <t>양호 - automountd 서비스가 비활성화된 경우
취약 - automountd 서비스가 활성화된 경우</t>
        </is>
      </c>
      <c r="F46" s="11" t="n"/>
      <c r="G46" s="5" t="n"/>
      <c r="H46" s="11" t="n"/>
      <c r="I46" s="5" t="n"/>
      <c r="J46" s="11" t="n"/>
      <c r="K46" s="5" t="n"/>
      <c r="L46" s="11" t="n"/>
      <c r="M46" s="5" t="n"/>
      <c r="N46" s="11" t="n"/>
      <c r="O46" s="5" t="n"/>
      <c r="P46" s="11" t="n"/>
      <c r="Q46" s="5" t="n"/>
      <c r="R46" s="11" t="n"/>
      <c r="S46" s="5" t="n"/>
      <c r="T46" s="11" t="n"/>
      <c r="U46" s="5" t="n"/>
      <c r="V46" s="11" t="n"/>
      <c r="W46" s="5" t="n"/>
      <c r="X46" s="11" t="n"/>
      <c r="Y46" s="5" t="n"/>
      <c r="Z46" s="11" t="n"/>
      <c r="AA46" s="5" t="n"/>
      <c r="AB46" s="11" t="n"/>
      <c r="AC46" s="5" t="n"/>
      <c r="AD46" s="11" t="n"/>
      <c r="AE46" s="5" t="n"/>
      <c r="AF46" s="11" t="n"/>
      <c r="AG46" s="5" t="n"/>
      <c r="AH46" s="11" t="n"/>
      <c r="AI46" s="175" t="n"/>
    </row>
    <row r="47" ht="35.25" customHeight="1" s="196">
      <c r="B47" s="329" t="n"/>
      <c r="C47" s="38" t="inlineStr">
        <is>
          <t>U-42</t>
        </is>
      </c>
      <c r="D47" s="5" t="inlineStr">
        <is>
          <t>불필요한 RPC 서비스 비활성화</t>
        </is>
      </c>
      <c r="E47" s="5" t="inlineStr">
        <is>
          <t>양호 - 불필요한 RPC 서비스가 비활성화된 경우
취약 - 불필요한 RPC 서비스가 활성화된 경우</t>
        </is>
      </c>
      <c r="F47" s="11" t="n"/>
      <c r="G47" s="5" t="n"/>
      <c r="H47" s="11" t="n"/>
      <c r="I47" s="5" t="n"/>
      <c r="J47" s="11" t="n"/>
      <c r="K47" s="5" t="n"/>
      <c r="L47" s="11" t="n"/>
      <c r="M47" s="5" t="n"/>
      <c r="N47" s="11" t="n"/>
      <c r="O47" s="5" t="n"/>
      <c r="P47" s="11" t="n"/>
      <c r="Q47" s="5" t="n"/>
      <c r="R47" s="11" t="n"/>
      <c r="S47" s="5" t="n"/>
      <c r="T47" s="11" t="n"/>
      <c r="U47" s="5" t="n"/>
      <c r="V47" s="11" t="n"/>
      <c r="W47" s="5" t="n"/>
      <c r="X47" s="11" t="n"/>
      <c r="Y47" s="5" t="n"/>
      <c r="Z47" s="11" t="n"/>
      <c r="AA47" s="5" t="n"/>
      <c r="AB47" s="11" t="n"/>
      <c r="AC47" s="5" t="n"/>
      <c r="AD47" s="11" t="n"/>
      <c r="AE47" s="5" t="n"/>
      <c r="AF47" s="11" t="n"/>
      <c r="AG47" s="5" t="n"/>
      <c r="AH47" s="11" t="n"/>
      <c r="AI47" s="175" t="n"/>
    </row>
    <row r="48" ht="35.25" customHeight="1" s="196">
      <c r="A48" s="4" t="n"/>
      <c r="B48" s="329" t="n"/>
      <c r="C48" s="38" t="inlineStr">
        <is>
          <t>U-43</t>
        </is>
      </c>
      <c r="D48" s="5" t="inlineStr">
        <is>
          <t>NIS, NIS+ 점검</t>
        </is>
      </c>
      <c r="E48" s="5" t="inlineStr">
        <is>
          <t>양호 - NIS 서비스가 비활성화되어 있거나, 불가피하게 사용 시 NIS+ 서비스를 사용하는 경우
취약 - NIS 서비스가 활성화된 경우</t>
        </is>
      </c>
      <c r="F48" s="11" t="n"/>
      <c r="G48" s="5" t="n"/>
      <c r="H48" s="11" t="n"/>
      <c r="I48" s="5" t="n"/>
      <c r="J48" s="11" t="n"/>
      <c r="K48" s="5" t="n"/>
      <c r="L48" s="11" t="n"/>
      <c r="M48" s="5" t="n"/>
      <c r="N48" s="11" t="n"/>
      <c r="O48" s="5" t="n"/>
      <c r="P48" s="11" t="n"/>
      <c r="Q48" s="5" t="n"/>
      <c r="R48" s="11" t="n"/>
      <c r="S48" s="5" t="n"/>
      <c r="T48" s="11" t="n"/>
      <c r="U48" s="5" t="n"/>
      <c r="V48" s="11" t="n"/>
      <c r="W48" s="5" t="n"/>
      <c r="X48" s="11" t="n"/>
      <c r="Y48" s="5" t="n"/>
      <c r="Z48" s="11" t="n"/>
      <c r="AA48" s="5" t="n"/>
      <c r="AB48" s="11" t="n"/>
      <c r="AC48" s="5" t="n"/>
      <c r="AD48" s="11" t="n"/>
      <c r="AE48" s="5" t="n"/>
      <c r="AF48" s="11" t="n"/>
      <c r="AG48" s="5" t="n"/>
      <c r="AH48" s="11" t="n"/>
      <c r="AI48" s="175" t="n"/>
    </row>
    <row r="49" ht="35.25" customHeight="1" s="196">
      <c r="B49" s="329" t="n"/>
      <c r="C49" s="38" t="inlineStr">
        <is>
          <t>U-44</t>
        </is>
      </c>
      <c r="D49" s="5" t="inlineStr">
        <is>
          <t>tftp, talk 서비스 비활성화</t>
        </is>
      </c>
      <c r="E49" s="5" t="inlineStr">
        <is>
          <t>양호 - tftp, talk, ntalk 서비스가 비활성화된 경우
취약 - tftp, talk, ntalk 서비스가 활성화된 경우</t>
        </is>
      </c>
      <c r="F49" s="11" t="n"/>
      <c r="G49" s="5" t="n"/>
      <c r="H49" s="11" t="n"/>
      <c r="I49" s="5" t="n"/>
      <c r="J49" s="11" t="n"/>
      <c r="K49" s="5" t="n"/>
      <c r="L49" s="11" t="n"/>
      <c r="M49" s="5" t="n"/>
      <c r="N49" s="11" t="n"/>
      <c r="O49" s="5" t="n"/>
      <c r="P49" s="11" t="n"/>
      <c r="Q49" s="5" t="n"/>
      <c r="R49" s="11" t="n"/>
      <c r="S49" s="5" t="n"/>
      <c r="T49" s="11" t="n"/>
      <c r="U49" s="5" t="n"/>
      <c r="V49" s="11" t="n"/>
      <c r="W49" s="5" t="n"/>
      <c r="X49" s="11" t="n"/>
      <c r="Y49" s="5" t="n"/>
      <c r="Z49" s="11" t="n"/>
      <c r="AA49" s="5" t="n"/>
      <c r="AB49" s="11" t="n"/>
      <c r="AC49" s="5" t="n"/>
      <c r="AD49" s="11" t="n"/>
      <c r="AE49" s="5" t="n"/>
      <c r="AF49" s="11" t="n"/>
      <c r="AG49" s="5" t="n"/>
      <c r="AH49" s="11" t="n"/>
      <c r="AI49" s="175" t="n"/>
    </row>
    <row r="50" ht="35.25" customHeight="1" s="196">
      <c r="A50" s="4" t="n"/>
      <c r="B50" s="329" t="n"/>
      <c r="C50" s="38" t="inlineStr">
        <is>
          <t>U-45</t>
        </is>
      </c>
      <c r="D50" s="5" t="inlineStr">
        <is>
          <t>메일 서비스 버전 점검</t>
        </is>
      </c>
      <c r="E50" s="5" t="inlineStr">
        <is>
          <t>양호 - 메일 서비스 버전이 최신 버전인 경우
취약 - 메일 서비스 버전이 최신 버전이 아닌 경우</t>
        </is>
      </c>
      <c r="F50" s="11" t="n"/>
      <c r="G50" s="5" t="n"/>
      <c r="H50" s="11" t="n"/>
      <c r="I50" s="5" t="n"/>
      <c r="J50" s="11" t="n"/>
      <c r="K50" s="5" t="n"/>
      <c r="L50" s="11" t="n"/>
      <c r="M50" s="5" t="n"/>
      <c r="N50" s="11" t="n"/>
      <c r="O50" s="5" t="n"/>
      <c r="P50" s="11" t="n"/>
      <c r="Q50" s="5" t="n"/>
      <c r="R50" s="11" t="n"/>
      <c r="S50" s="5" t="n"/>
      <c r="T50" s="11" t="n"/>
      <c r="U50" s="5" t="n"/>
      <c r="V50" s="11" t="n"/>
      <c r="W50" s="5" t="n"/>
      <c r="X50" s="11" t="n"/>
      <c r="Y50" s="5" t="n"/>
      <c r="Z50" s="11" t="n"/>
      <c r="AA50" s="5" t="n"/>
      <c r="AB50" s="11" t="n"/>
      <c r="AC50" s="5" t="n"/>
      <c r="AD50" s="11" t="n"/>
      <c r="AE50" s="5" t="n"/>
      <c r="AF50" s="11" t="n"/>
      <c r="AG50" s="5" t="n"/>
      <c r="AH50" s="11" t="n"/>
      <c r="AI50" s="175" t="n"/>
    </row>
    <row r="51" ht="35.25" customHeight="1" s="196">
      <c r="B51" s="329" t="n"/>
      <c r="C51" s="38" t="inlineStr">
        <is>
          <t>U-46</t>
        </is>
      </c>
      <c r="D51" s="5" t="inlineStr">
        <is>
          <t>일반 사용자의 메일 서비스 실행 방지</t>
        </is>
      </c>
      <c r="E51" s="5" t="inlineStr">
        <is>
          <t>양호 - 일반 사용자의 메일 서비스 실행 방지가 설정된 경우
취약 - 일반 사용자의 메일 서비스 실행 방지가 설정되어 있지 않은 경우</t>
        </is>
      </c>
      <c r="F51" s="11" t="n"/>
      <c r="G51" s="5" t="n"/>
      <c r="H51" s="11" t="n"/>
      <c r="I51" s="5" t="n"/>
      <c r="J51" s="11" t="n"/>
      <c r="K51" s="5" t="n"/>
      <c r="L51" s="11" t="n"/>
      <c r="M51" s="5" t="n"/>
      <c r="N51" s="11" t="n"/>
      <c r="O51" s="5" t="n"/>
      <c r="P51" s="11" t="n"/>
      <c r="Q51" s="5" t="n"/>
      <c r="R51" s="11" t="n"/>
      <c r="S51" s="5" t="n"/>
      <c r="T51" s="11" t="n"/>
      <c r="U51" s="5" t="n"/>
      <c r="V51" s="11" t="n"/>
      <c r="W51" s="5" t="n"/>
      <c r="X51" s="11" t="n"/>
      <c r="Y51" s="5" t="n"/>
      <c r="Z51" s="11" t="n"/>
      <c r="AA51" s="5" t="n"/>
      <c r="AB51" s="11" t="n"/>
      <c r="AC51" s="5" t="n"/>
      <c r="AD51" s="11" t="n"/>
      <c r="AE51" s="5" t="n"/>
      <c r="AF51" s="11" t="n"/>
      <c r="AG51" s="5" t="n"/>
      <c r="AH51" s="11" t="n"/>
      <c r="AI51" s="175" t="n"/>
    </row>
    <row r="52" ht="35.25" customHeight="1" s="196">
      <c r="B52" s="329" t="n"/>
      <c r="C52" s="38" t="inlineStr">
        <is>
          <t>U-47</t>
        </is>
      </c>
      <c r="D52" s="5" t="inlineStr">
        <is>
          <t>스팸 메일 릴레이 제한</t>
        </is>
      </c>
      <c r="E52" s="5" t="inlineStr">
        <is>
          <t>양호 - 릴레이 제한이 설정된 경우
취약 - 릴레이 제한이 설정되어 있지 않은 경우</t>
        </is>
      </c>
      <c r="F52" s="11" t="n"/>
      <c r="G52" s="5" t="n"/>
      <c r="H52" s="11" t="n"/>
      <c r="I52" s="5" t="n"/>
      <c r="J52" s="11" t="n"/>
      <c r="K52" s="5" t="n"/>
      <c r="L52" s="11" t="n"/>
      <c r="M52" s="5" t="n"/>
      <c r="N52" s="11" t="n"/>
      <c r="O52" s="5" t="n"/>
      <c r="P52" s="11" t="n"/>
      <c r="Q52" s="5" t="n"/>
      <c r="R52" s="11" t="n"/>
      <c r="S52" s="5" t="n"/>
      <c r="T52" s="11" t="n"/>
      <c r="U52" s="5" t="n"/>
      <c r="V52" s="11" t="n"/>
      <c r="W52" s="5" t="n"/>
      <c r="X52" s="11" t="n"/>
      <c r="Y52" s="5" t="n"/>
      <c r="Z52" s="11" t="n"/>
      <c r="AA52" s="5" t="n"/>
      <c r="AB52" s="11" t="n"/>
      <c r="AC52" s="5" t="n"/>
      <c r="AD52" s="11" t="n"/>
      <c r="AE52" s="5" t="n"/>
      <c r="AF52" s="11" t="n"/>
      <c r="AG52" s="5" t="n"/>
      <c r="AH52" s="11" t="n"/>
      <c r="AI52" s="175" t="n"/>
    </row>
    <row r="53" ht="35.25" customHeight="1" s="196">
      <c r="B53" s="329" t="n"/>
      <c r="C53" s="38" t="inlineStr">
        <is>
          <t>U-48</t>
        </is>
      </c>
      <c r="D53" s="5" t="inlineStr">
        <is>
          <t>expn, vrfy 명령어 제한</t>
        </is>
      </c>
      <c r="E53" s="5" t="inlineStr">
        <is>
          <t>양호 - noexpn, novrfy 옵션이 설정된 경우
취약 - noexpn, novrfy 옵션이 설정되어 있지 않은 경우</t>
        </is>
      </c>
      <c r="F53" s="11" t="n"/>
      <c r="G53" s="5" t="n"/>
      <c r="H53" s="11" t="n"/>
      <c r="I53" s="5" t="n"/>
      <c r="J53" s="11" t="n"/>
      <c r="K53" s="5" t="n"/>
      <c r="L53" s="11" t="n"/>
      <c r="M53" s="5" t="n"/>
      <c r="N53" s="11" t="n"/>
      <c r="O53" s="5" t="n"/>
      <c r="P53" s="11" t="n"/>
      <c r="Q53" s="5" t="n"/>
      <c r="R53" s="11" t="n"/>
      <c r="S53" s="5" t="n"/>
      <c r="T53" s="11" t="n"/>
      <c r="U53" s="5" t="n"/>
      <c r="V53" s="11" t="n"/>
      <c r="W53" s="5" t="n"/>
      <c r="X53" s="11" t="n"/>
      <c r="Y53" s="5" t="n"/>
      <c r="Z53" s="11" t="n"/>
      <c r="AA53" s="5" t="n"/>
      <c r="AB53" s="11" t="n"/>
      <c r="AC53" s="5" t="n"/>
      <c r="AD53" s="11" t="n"/>
      <c r="AE53" s="5" t="n"/>
      <c r="AF53" s="11" t="n"/>
      <c r="AG53" s="5" t="n"/>
      <c r="AH53" s="11" t="n"/>
      <c r="AI53" s="175" t="n"/>
    </row>
    <row r="54" ht="35.25" customHeight="1" s="196">
      <c r="B54" s="329" t="n"/>
      <c r="C54" s="38" t="inlineStr">
        <is>
          <t>U-49</t>
        </is>
      </c>
      <c r="D54" s="5" t="inlineStr">
        <is>
          <t>DNS 보안 버전 패치</t>
        </is>
      </c>
      <c r="E54" s="5" t="inlineStr">
        <is>
          <t>양호 - 주기적으로 패치를 관리하는 경우
취약 - 주기적으로 패치를 관리하고 있지 않은 경우</t>
        </is>
      </c>
      <c r="F54" s="11" t="n"/>
      <c r="G54" s="5" t="n"/>
      <c r="H54" s="11" t="n"/>
      <c r="I54" s="5" t="n"/>
      <c r="J54" s="11" t="n"/>
      <c r="K54" s="5" t="n"/>
      <c r="L54" s="11" t="n"/>
      <c r="M54" s="5" t="n"/>
      <c r="N54" s="11" t="n"/>
      <c r="O54" s="5" t="n"/>
      <c r="P54" s="11" t="n"/>
      <c r="Q54" s="5" t="n"/>
      <c r="R54" s="11" t="n"/>
      <c r="S54" s="5" t="n"/>
      <c r="T54" s="11" t="n"/>
      <c r="U54" s="5" t="n"/>
      <c r="V54" s="11" t="n"/>
      <c r="W54" s="5" t="n"/>
      <c r="X54" s="11" t="n"/>
      <c r="Y54" s="5" t="n"/>
      <c r="Z54" s="11" t="n"/>
      <c r="AA54" s="5" t="n"/>
      <c r="AB54" s="11" t="n"/>
      <c r="AC54" s="5" t="n"/>
      <c r="AD54" s="11" t="n"/>
      <c r="AE54" s="5" t="n"/>
      <c r="AF54" s="11" t="n"/>
      <c r="AG54" s="5" t="n"/>
      <c r="AH54" s="11" t="n"/>
      <c r="AI54" s="175" t="n"/>
    </row>
    <row r="55" ht="35.25" customHeight="1" s="196">
      <c r="B55" s="329" t="n"/>
      <c r="C55" s="38" t="inlineStr">
        <is>
          <t>U-50</t>
        </is>
      </c>
      <c r="D55" s="5" t="inlineStr">
        <is>
          <t>DNS Zone Transfer 설정</t>
        </is>
      </c>
      <c r="E55" s="5" t="inlineStr">
        <is>
          <t>양호 - Zone Transfer를 허가된 사용자에게만 허용한 경우
취약 - Zone Transfer를 모든 사용자에게 허용한 경우</t>
        </is>
      </c>
      <c r="F55" s="11" t="n"/>
      <c r="G55" s="5" t="n"/>
      <c r="H55" s="11" t="n"/>
      <c r="I55" s="5" t="n"/>
      <c r="J55" s="11" t="n"/>
      <c r="K55" s="5" t="n"/>
      <c r="L55" s="11" t="n"/>
      <c r="M55" s="5" t="n"/>
      <c r="N55" s="11" t="n"/>
      <c r="O55" s="5" t="n"/>
      <c r="P55" s="11" t="n"/>
      <c r="Q55" s="5" t="n"/>
      <c r="R55" s="11" t="n"/>
      <c r="S55" s="5" t="n"/>
      <c r="T55" s="11" t="n"/>
      <c r="U55" s="5" t="n"/>
      <c r="V55" s="11" t="n"/>
      <c r="W55" s="5" t="n"/>
      <c r="X55" s="11" t="n"/>
      <c r="Y55" s="5" t="n"/>
      <c r="Z55" s="11" t="n"/>
      <c r="AA55" s="5" t="n"/>
      <c r="AB55" s="11" t="n"/>
      <c r="AC55" s="5" t="n"/>
      <c r="AD55" s="11" t="n"/>
      <c r="AE55" s="5" t="n"/>
      <c r="AF55" s="11" t="n"/>
      <c r="AG55" s="5" t="n"/>
      <c r="AH55" s="11" t="n"/>
      <c r="AI55" s="175" t="n"/>
    </row>
    <row r="56" ht="35.25" customHeight="1" s="196">
      <c r="B56" s="329" t="n"/>
      <c r="C56" s="38" t="inlineStr">
        <is>
          <t>U-51</t>
        </is>
      </c>
      <c r="D56" s="5" t="inlineStr">
        <is>
          <t>DNS 서비스의 취약한 동적 업데이트 설정 금지</t>
        </is>
      </c>
      <c r="E56" s="5" t="inlineStr">
        <is>
          <t>양호 - DNS 서비스의 동적 업데이트 기능이 비활성화되었거나, 활성화 시 적절한 접근통제를 수행하고 있는 경우
취약 - DNS 서비스의 동적 업데이트 기능이 활성화 중이며 적절한 접근통제를 수행하고 있지 않은 경우</t>
        </is>
      </c>
      <c r="F56" s="11" t="n"/>
      <c r="G56" s="5" t="n"/>
      <c r="H56" s="11" t="n"/>
      <c r="I56" s="5" t="n"/>
      <c r="J56" s="11" t="n"/>
      <c r="K56" s="5" t="n"/>
      <c r="L56" s="11" t="n"/>
      <c r="M56" s="5" t="n"/>
      <c r="N56" s="11" t="n"/>
      <c r="O56" s="5" t="n"/>
      <c r="P56" s="11" t="n"/>
      <c r="Q56" s="5" t="n"/>
      <c r="R56" s="11" t="n"/>
      <c r="S56" s="5" t="n"/>
      <c r="T56" s="11" t="n"/>
      <c r="U56" s="5" t="n"/>
      <c r="V56" s="11" t="n"/>
      <c r="W56" s="5" t="n"/>
      <c r="X56" s="11" t="n"/>
      <c r="Y56" s="5" t="n"/>
      <c r="Z56" s="11" t="n"/>
      <c r="AA56" s="5" t="n"/>
      <c r="AB56" s="11" t="n"/>
      <c r="AC56" s="5" t="n"/>
      <c r="AD56" s="11" t="n"/>
      <c r="AE56" s="5" t="n"/>
      <c r="AF56" s="11" t="n"/>
      <c r="AG56" s="5" t="n"/>
      <c r="AH56" s="11" t="n"/>
      <c r="AI56" s="175" t="n"/>
    </row>
    <row r="57" ht="35.25" customHeight="1" s="196">
      <c r="B57" s="329" t="n"/>
      <c r="C57" s="38" t="inlineStr">
        <is>
          <t>U-52</t>
        </is>
      </c>
      <c r="D57" s="5" t="inlineStr">
        <is>
          <t>Telnet 서비스 비활성화</t>
        </is>
      </c>
      <c r="E57" s="5" t="inlineStr">
        <is>
          <t>양호 - 원격 접속 시 Telnet 프로토콜을 비활성화하고 있는 경우
취약 - 원격 접속 시 Telnet 프로토콜을 사용하는 경우</t>
        </is>
      </c>
      <c r="F57" s="11" t="n"/>
      <c r="G57" s="5" t="n"/>
      <c r="H57" s="11" t="n"/>
      <c r="I57" s="5" t="n"/>
      <c r="J57" s="11" t="n"/>
      <c r="K57" s="5" t="n"/>
      <c r="L57" s="11" t="n"/>
      <c r="M57" s="5" t="n"/>
      <c r="N57" s="11" t="n"/>
      <c r="O57" s="5" t="n"/>
      <c r="P57" s="11" t="n"/>
      <c r="Q57" s="5" t="n"/>
      <c r="R57" s="11" t="n"/>
      <c r="S57" s="5" t="n"/>
      <c r="T57" s="11" t="n"/>
      <c r="U57" s="5" t="n"/>
      <c r="V57" s="11" t="n"/>
      <c r="W57" s="5" t="n"/>
      <c r="X57" s="11" t="n"/>
      <c r="Y57" s="5" t="n"/>
      <c r="Z57" s="11" t="n"/>
      <c r="AA57" s="5" t="n"/>
      <c r="AB57" s="11" t="n"/>
      <c r="AC57" s="5" t="n"/>
      <c r="AD57" s="11" t="n"/>
      <c r="AE57" s="5" t="n"/>
      <c r="AF57" s="11" t="n"/>
      <c r="AG57" s="5" t="n"/>
      <c r="AH57" s="11" t="n"/>
      <c r="AI57" s="175" t="n"/>
    </row>
    <row r="58" ht="35.25" customHeight="1" s="196">
      <c r="B58" s="329" t="n"/>
      <c r="C58" s="38" t="inlineStr">
        <is>
          <t>U-53</t>
        </is>
      </c>
      <c r="D58" s="5" t="inlineStr">
        <is>
          <t>FTP 서비스 정보 노출 제한</t>
        </is>
      </c>
      <c r="E58" s="5" t="inlineStr">
        <is>
          <t>양호 - FTP 접속 배너에 노출되는 정보가 없는 경우
취약 - FTP 접속 배너에 노출되는 정보가 있는 경우</t>
        </is>
      </c>
      <c r="F58" s="11" t="n"/>
      <c r="G58" s="5" t="n"/>
      <c r="H58" s="11" t="n"/>
      <c r="I58" s="5" t="n"/>
      <c r="J58" s="11" t="n"/>
      <c r="K58" s="5" t="n"/>
      <c r="L58" s="11" t="n"/>
      <c r="M58" s="5" t="n"/>
      <c r="N58" s="11" t="n"/>
      <c r="O58" s="5" t="n"/>
      <c r="P58" s="11" t="n"/>
      <c r="Q58" s="5" t="n"/>
      <c r="R58" s="11" t="n"/>
      <c r="S58" s="5" t="n"/>
      <c r="T58" s="11" t="n"/>
      <c r="U58" s="5" t="n"/>
      <c r="V58" s="11" t="n"/>
      <c r="W58" s="5" t="n"/>
      <c r="X58" s="11" t="n"/>
      <c r="Y58" s="5" t="n"/>
      <c r="Z58" s="11" t="n"/>
      <c r="AA58" s="5" t="n"/>
      <c r="AB58" s="11" t="n"/>
      <c r="AC58" s="5" t="n"/>
      <c r="AD58" s="11" t="n"/>
      <c r="AE58" s="5" t="n"/>
      <c r="AF58" s="11" t="n"/>
      <c r="AG58" s="5" t="n"/>
      <c r="AH58" s="11" t="n"/>
      <c r="AI58" s="175" t="n"/>
    </row>
    <row r="59" ht="35.25" customHeight="1" s="196">
      <c r="B59" s="329" t="n"/>
      <c r="C59" s="38" t="inlineStr">
        <is>
          <t>U-54</t>
        </is>
      </c>
      <c r="D59" s="5" t="inlineStr">
        <is>
          <t>암호화되지 않는 FTP 서비스 비활성화</t>
        </is>
      </c>
      <c r="E59" s="5" t="inlineStr">
        <is>
          <t>양호 - 암호화되지 않은 FTP 서비스가 비활성화된 경우
취약 - 암호화되지 않은 FTP 서비스가 활성화된 경우</t>
        </is>
      </c>
      <c r="F59" s="11" t="n"/>
      <c r="G59" s="5" t="n"/>
      <c r="H59" s="11" t="n"/>
      <c r="I59" s="5" t="n"/>
      <c r="J59" s="11" t="n"/>
      <c r="K59" s="5" t="n"/>
      <c r="L59" s="11" t="n"/>
      <c r="M59" s="5" t="n"/>
      <c r="N59" s="11" t="n"/>
      <c r="O59" s="5" t="n"/>
      <c r="P59" s="11" t="n"/>
      <c r="Q59" s="5" t="n"/>
      <c r="R59" s="11" t="n"/>
      <c r="S59" s="5" t="n"/>
      <c r="T59" s="11" t="n"/>
      <c r="U59" s="5" t="n"/>
      <c r="V59" s="11" t="n"/>
      <c r="W59" s="5" t="n"/>
      <c r="X59" s="11" t="n"/>
      <c r="Y59" s="5" t="n"/>
      <c r="Z59" s="11" t="n"/>
      <c r="AA59" s="5" t="n"/>
      <c r="AB59" s="11" t="n"/>
      <c r="AC59" s="5" t="n"/>
      <c r="AD59" s="11" t="n"/>
      <c r="AE59" s="5" t="n"/>
      <c r="AF59" s="11" t="n"/>
      <c r="AG59" s="5" t="n"/>
      <c r="AH59" s="11" t="n"/>
      <c r="AI59" s="175" t="n"/>
    </row>
    <row r="60" ht="35.25" customHeight="1" s="196">
      <c r="B60" s="329" t="n"/>
      <c r="C60" s="38" t="inlineStr">
        <is>
          <t>U-55</t>
        </is>
      </c>
      <c r="D60" s="5" t="inlineStr">
        <is>
          <t>FTP 계정 Shell 제한</t>
        </is>
      </c>
      <c r="E60" s="5" t="inlineStr">
        <is>
          <t>양호 - FTP 계정에 /bin/false(/sbin/nologin) 쉘이 부여된 경우
취약 - FTP 계정에 /bin/false(/sbin/nologin) 쉘이 부여되어 있지 않은 경우</t>
        </is>
      </c>
      <c r="F60" s="11" t="n"/>
      <c r="G60" s="5" t="n"/>
      <c r="H60" s="11" t="n"/>
      <c r="I60" s="5" t="n"/>
      <c r="J60" s="11" t="n"/>
      <c r="K60" s="5" t="n"/>
      <c r="L60" s="11" t="n"/>
      <c r="M60" s="5" t="n"/>
      <c r="N60" s="11" t="n"/>
      <c r="O60" s="5" t="n"/>
      <c r="P60" s="11" t="n"/>
      <c r="Q60" s="5" t="n"/>
      <c r="R60" s="11" t="n"/>
      <c r="S60" s="5" t="n"/>
      <c r="T60" s="11" t="n"/>
      <c r="U60" s="5" t="n"/>
      <c r="V60" s="11" t="n"/>
      <c r="W60" s="5" t="n"/>
      <c r="X60" s="11" t="n"/>
      <c r="Y60" s="5" t="n"/>
      <c r="Z60" s="11" t="n"/>
      <c r="AA60" s="5" t="n"/>
      <c r="AB60" s="11" t="n"/>
      <c r="AC60" s="5" t="n"/>
      <c r="AD60" s="11" t="n"/>
      <c r="AE60" s="5" t="n"/>
      <c r="AF60" s="11" t="n"/>
      <c r="AG60" s="5" t="n"/>
      <c r="AH60" s="11" t="n"/>
      <c r="AI60" s="175" t="n"/>
    </row>
    <row r="61" ht="35.25" customHeight="1" s="196">
      <c r="B61" s="329" t="n"/>
      <c r="C61" s="38" t="inlineStr">
        <is>
          <t>U-56</t>
        </is>
      </c>
      <c r="D61" s="5" t="inlineStr">
        <is>
          <t>FTP 서비스 접근 제어 설정</t>
        </is>
      </c>
      <c r="E61" s="5" t="inlineStr">
        <is>
          <t>양호 - 특정 IP주소 또는 호스트에서만 FTP 서버에 접속할 수 있도록 접근 제어 설정을 적용한 경우
취약 - FTP 서버에 접근 제어 설정을 적용하지 않은 경우</t>
        </is>
      </c>
      <c r="F61" s="11" t="n"/>
      <c r="G61" s="5" t="n"/>
      <c r="H61" s="11" t="n"/>
      <c r="I61" s="5" t="n"/>
      <c r="J61" s="11" t="n"/>
      <c r="K61" s="5" t="n"/>
      <c r="L61" s="11" t="n"/>
      <c r="M61" s="5" t="n"/>
      <c r="N61" s="11" t="n"/>
      <c r="O61" s="5" t="n"/>
      <c r="P61" s="11" t="n"/>
      <c r="Q61" s="5" t="n"/>
      <c r="R61" s="11" t="n"/>
      <c r="S61" s="5" t="n"/>
      <c r="T61" s="11" t="n"/>
      <c r="U61" s="5" t="n"/>
      <c r="V61" s="11" t="n"/>
      <c r="W61" s="5" t="n"/>
      <c r="X61" s="11" t="n"/>
      <c r="Y61" s="5" t="n"/>
      <c r="Z61" s="11" t="n"/>
      <c r="AA61" s="5" t="n"/>
      <c r="AB61" s="11" t="n"/>
      <c r="AC61" s="5" t="n"/>
      <c r="AD61" s="11" t="n"/>
      <c r="AE61" s="5" t="n"/>
      <c r="AF61" s="11" t="n"/>
      <c r="AG61" s="5" t="n"/>
      <c r="AH61" s="11" t="n"/>
      <c r="AI61" s="175" t="n"/>
    </row>
    <row r="62" ht="35.25" customHeight="1" s="196">
      <c r="B62" s="329" t="n"/>
      <c r="C62" s="38" t="inlineStr">
        <is>
          <t>U-57</t>
        </is>
      </c>
      <c r="D62" s="5" t="inlineStr">
        <is>
          <t>Ftpusers 파일 설정</t>
        </is>
      </c>
      <c r="E62" s="5" t="inlineStr">
        <is>
          <t>양호 - root 계정 접속을 차단한 경우
취약 - root 계정 접속을 허용한 경우</t>
        </is>
      </c>
      <c r="F62" s="11" t="n"/>
      <c r="G62" s="5" t="n"/>
      <c r="H62" s="11" t="n"/>
      <c r="I62" s="5" t="n"/>
      <c r="J62" s="11" t="n"/>
      <c r="K62" s="5" t="n"/>
      <c r="L62" s="11" t="n"/>
      <c r="M62" s="5" t="n"/>
      <c r="N62" s="11" t="n"/>
      <c r="O62" s="5" t="n"/>
      <c r="P62" s="11" t="n"/>
      <c r="Q62" s="5" t="n"/>
      <c r="R62" s="11" t="n"/>
      <c r="S62" s="5" t="n"/>
      <c r="T62" s="11" t="n"/>
      <c r="U62" s="5" t="n"/>
      <c r="V62" s="11" t="n"/>
      <c r="W62" s="5" t="n"/>
      <c r="X62" s="11" t="n"/>
      <c r="Y62" s="5" t="n"/>
      <c r="Z62" s="11" t="n"/>
      <c r="AA62" s="5" t="n"/>
      <c r="AB62" s="11" t="n"/>
      <c r="AC62" s="5" t="n"/>
      <c r="AD62" s="11" t="n"/>
      <c r="AE62" s="5" t="n"/>
      <c r="AF62" s="11" t="n"/>
      <c r="AG62" s="5" t="n"/>
      <c r="AH62" s="11" t="n"/>
      <c r="AI62" s="175" t="n"/>
    </row>
    <row r="63" ht="35.25" customHeight="1" s="196">
      <c r="B63" s="329" t="n"/>
      <c r="C63" s="38" t="inlineStr">
        <is>
          <t>U-58</t>
        </is>
      </c>
      <c r="D63" s="5" t="inlineStr">
        <is>
          <t>불필요한 SNMP 서비스 구동 점검</t>
        </is>
      </c>
      <c r="E63" s="5" t="inlineStr">
        <is>
          <t>양호 - SNMP 서비스를 사용하지 않는 경우
취약 - SNMP 서비스를 사용하는 경우</t>
        </is>
      </c>
      <c r="F63" s="11" t="n"/>
      <c r="G63" s="5" t="n"/>
      <c r="H63" s="11" t="n"/>
      <c r="I63" s="5" t="n"/>
      <c r="J63" s="11" t="n"/>
      <c r="K63" s="5" t="n"/>
      <c r="L63" s="11" t="n"/>
      <c r="M63" s="5" t="n"/>
      <c r="N63" s="11" t="n"/>
      <c r="O63" s="5" t="n"/>
      <c r="P63" s="11" t="n"/>
      <c r="Q63" s="5" t="n"/>
      <c r="R63" s="11" t="n"/>
      <c r="S63" s="5" t="n"/>
      <c r="T63" s="11" t="n"/>
      <c r="U63" s="5" t="n"/>
      <c r="V63" s="11" t="n"/>
      <c r="W63" s="5" t="n"/>
      <c r="X63" s="11" t="n"/>
      <c r="Y63" s="5" t="n"/>
      <c r="Z63" s="11" t="n"/>
      <c r="AA63" s="5" t="n"/>
      <c r="AB63" s="11" t="n"/>
      <c r="AC63" s="5" t="n"/>
      <c r="AD63" s="11" t="n"/>
      <c r="AE63" s="5" t="n"/>
      <c r="AF63" s="11" t="n"/>
      <c r="AG63" s="5" t="n"/>
      <c r="AH63" s="11" t="n"/>
      <c r="AI63" s="175" t="n"/>
    </row>
    <row r="64" ht="35.25" customHeight="1" s="196">
      <c r="B64" s="329" t="n"/>
      <c r="C64" s="38" t="inlineStr">
        <is>
          <t>U-59</t>
        </is>
      </c>
      <c r="D64" s="5" t="inlineStr">
        <is>
          <t>안전한 SNMP 버전 사용</t>
        </is>
      </c>
      <c r="E64" s="5" t="inlineStr">
        <is>
          <t>양호 - SNMP 서비스를 v3 이상으로 사용하는 경우
취약 - SNMP 서비스를 v2 이하로 사용하는 경우</t>
        </is>
      </c>
      <c r="F64" s="11" t="n"/>
      <c r="G64" s="5" t="n"/>
      <c r="H64" s="11" t="n"/>
      <c r="I64" s="5" t="n"/>
      <c r="J64" s="11" t="n"/>
      <c r="K64" s="5" t="n"/>
      <c r="L64" s="11" t="n"/>
      <c r="M64" s="5" t="n"/>
      <c r="N64" s="11" t="n"/>
      <c r="O64" s="5" t="n"/>
      <c r="P64" s="11" t="n"/>
      <c r="Q64" s="5" t="n"/>
      <c r="R64" s="11" t="n"/>
      <c r="S64" s="5" t="n"/>
      <c r="T64" s="11" t="n"/>
      <c r="U64" s="5" t="n"/>
      <c r="V64" s="11" t="n"/>
      <c r="W64" s="5" t="n"/>
      <c r="X64" s="11" t="n"/>
      <c r="Y64" s="5" t="n"/>
      <c r="Z64" s="11" t="n"/>
      <c r="AA64" s="5" t="n"/>
      <c r="AB64" s="11" t="n"/>
      <c r="AC64" s="5" t="n"/>
      <c r="AD64" s="11" t="n"/>
      <c r="AE64" s="5" t="n"/>
      <c r="AF64" s="11" t="n"/>
      <c r="AG64" s="5" t="n"/>
      <c r="AH64" s="11" t="n"/>
      <c r="AI64" s="175" t="n"/>
    </row>
    <row r="65" ht="35.25" customHeight="1" s="196">
      <c r="B65" s="329" t="n"/>
      <c r="C65" s="38" t="inlineStr">
        <is>
          <t>U-60</t>
        </is>
      </c>
      <c r="D65" s="5" t="inlineStr">
        <is>
          <t>SNMP Community String 복잡성 설정</t>
        </is>
      </c>
      <c r="E65" s="5" t="inlineStr">
        <is>
          <t>양호 - SNMP Community String 기본값인 “public”, “private”이 아닌 영문자, 숫자 포함 10자리 이상 또는 영문자, 숫자, 특수문자 포함 8자리 이상인 경우※SNMP v3의 경우 별도 인증 기능을 사용하고, 해당 비밀번호가 복잡도를 만족하는 경우 양호
취약 - 아래의 내용 중 하나라도 해당되는 경우1. SNMP Community String 기본값인 “public”, “private”일 경우2. 영문자, 숫자 포함 10자리 미만인 경우3. 영문자, 숫자, 특수문자 포함 8자리 미만인 경우</t>
        </is>
      </c>
      <c r="F65" s="11" t="n"/>
      <c r="G65" s="5" t="n"/>
      <c r="H65" s="11" t="n"/>
      <c r="I65" s="5" t="n"/>
      <c r="J65" s="11" t="n"/>
      <c r="K65" s="5" t="n"/>
      <c r="L65" s="11" t="n"/>
      <c r="M65" s="5" t="n"/>
      <c r="N65" s="11" t="n"/>
      <c r="O65" s="5" t="n"/>
      <c r="P65" s="11" t="n"/>
      <c r="Q65" s="5" t="n"/>
      <c r="R65" s="11" t="n"/>
      <c r="S65" s="5" t="n"/>
      <c r="T65" s="11" t="n"/>
      <c r="U65" s="5" t="n"/>
      <c r="V65" s="11" t="n"/>
      <c r="W65" s="5" t="n"/>
      <c r="X65" s="11" t="n"/>
      <c r="Y65" s="5" t="n"/>
      <c r="Z65" s="11" t="n"/>
      <c r="AA65" s="5" t="n"/>
      <c r="AB65" s="11" t="n"/>
      <c r="AC65" s="5" t="n"/>
      <c r="AD65" s="11" t="n"/>
      <c r="AE65" s="5" t="n"/>
      <c r="AF65" s="11" t="n"/>
      <c r="AG65" s="5" t="n"/>
      <c r="AH65" s="11" t="n"/>
      <c r="AI65" s="175" t="n"/>
    </row>
    <row r="66" ht="35.25" customHeight="1" s="196">
      <c r="B66" s="329" t="n"/>
      <c r="C66" s="38" t="inlineStr">
        <is>
          <t>U-61</t>
        </is>
      </c>
      <c r="D66" s="5" t="inlineStr">
        <is>
          <t>SNMP Access Control 설정</t>
        </is>
      </c>
      <c r="E66" s="5" t="inlineStr">
        <is>
          <t>양호 - SNMP 서비스에 접근 제어 설정이 되어 있는 경우
취약 - SNMP 서비스에 접근 제어 설정이 되어 있지 않은 경우</t>
        </is>
      </c>
      <c r="F66" s="11" t="n"/>
      <c r="G66" s="5" t="n"/>
      <c r="H66" s="11" t="n"/>
      <c r="I66" s="5" t="n"/>
      <c r="J66" s="11" t="n"/>
      <c r="K66" s="5" t="n"/>
      <c r="L66" s="11" t="n"/>
      <c r="M66" s="5" t="n"/>
      <c r="N66" s="11" t="n"/>
      <c r="O66" s="5" t="n"/>
      <c r="P66" s="11" t="n"/>
      <c r="Q66" s="5" t="n"/>
      <c r="R66" s="11" t="n"/>
      <c r="S66" s="5" t="n"/>
      <c r="T66" s="11" t="n"/>
      <c r="U66" s="5" t="n"/>
      <c r="V66" s="11" t="n"/>
      <c r="W66" s="5" t="n"/>
      <c r="X66" s="11" t="n"/>
      <c r="Y66" s="5" t="n"/>
      <c r="Z66" s="11" t="n"/>
      <c r="AA66" s="5" t="n"/>
      <c r="AB66" s="11" t="n"/>
      <c r="AC66" s="5" t="n"/>
      <c r="AD66" s="11" t="n"/>
      <c r="AE66" s="5" t="n"/>
      <c r="AF66" s="11" t="n"/>
      <c r="AG66" s="5" t="n"/>
      <c r="AH66" s="11" t="n"/>
      <c r="AI66" s="175" t="n"/>
    </row>
    <row r="67" ht="35.25" customHeight="1" s="196">
      <c r="B67" s="329" t="n"/>
      <c r="C67" s="38" t="inlineStr">
        <is>
          <t>U-62</t>
        </is>
      </c>
      <c r="D67" s="5" t="inlineStr">
        <is>
          <t>로그인 시 경고 메시지 설정</t>
        </is>
      </c>
      <c r="E67" s="5" t="inlineStr">
        <is>
          <t>양호 - 서버 및 Telnet, FTP, SMTP, DNS 서비스에 로그온 시 경고 메시지가 설정된 경우
취약 - 서버 및 Telnet, FTP, SMTP, DNS 서비스에 로그온 시 경고 메시지가 설정되어 있지 않은 경우</t>
        </is>
      </c>
      <c r="F67" s="11" t="n"/>
      <c r="G67" s="5" t="n"/>
      <c r="H67" s="11" t="n"/>
      <c r="I67" s="5" t="n"/>
      <c r="J67" s="11" t="n"/>
      <c r="K67" s="5" t="n"/>
      <c r="L67" s="11" t="n"/>
      <c r="M67" s="5" t="n"/>
      <c r="N67" s="11" t="n"/>
      <c r="O67" s="5" t="n"/>
      <c r="P67" s="11" t="n"/>
      <c r="Q67" s="5" t="n"/>
      <c r="R67" s="11" t="n"/>
      <c r="S67" s="5" t="n"/>
      <c r="T67" s="11" t="n"/>
      <c r="U67" s="5" t="n"/>
      <c r="V67" s="11" t="n"/>
      <c r="W67" s="5" t="n"/>
      <c r="X67" s="11" t="n"/>
      <c r="Y67" s="5" t="n"/>
      <c r="Z67" s="11" t="n"/>
      <c r="AA67" s="5" t="n"/>
      <c r="AB67" s="11" t="n"/>
      <c r="AC67" s="5" t="n"/>
      <c r="AD67" s="11" t="n"/>
      <c r="AE67" s="5" t="n"/>
      <c r="AF67" s="11" t="n"/>
      <c r="AG67" s="5" t="n"/>
      <c r="AH67" s="11" t="n"/>
      <c r="AI67" s="175" t="n"/>
    </row>
    <row r="68" ht="35.25" customHeight="1" s="196" thickBot="1">
      <c r="B68" s="330" t="n"/>
      <c r="C68" s="111" t="inlineStr">
        <is>
          <t>U-63</t>
        </is>
      </c>
      <c r="D68" s="49" t="inlineStr">
        <is>
          <t>sudo 명령어 접근 관리</t>
        </is>
      </c>
      <c r="E68" s="49" t="inlineStr">
        <is>
          <t>양호 - /etc/sudoers 파일 소유자가 root이고, 파일 권한이 640인 경우
취약 - /etc/sudoers 파일 소유자가 root가 아니거나, 파일 권한이 640을 초과하는 경우</t>
        </is>
      </c>
      <c r="F68" s="50" t="n"/>
      <c r="G68" s="49" t="n"/>
      <c r="H68" s="50" t="n"/>
      <c r="I68" s="49" t="n"/>
      <c r="J68" s="50" t="n"/>
      <c r="K68" s="49" t="n"/>
      <c r="L68" s="50" t="n"/>
      <c r="M68" s="49" t="n"/>
      <c r="N68" s="50" t="n"/>
      <c r="O68" s="49" t="n"/>
      <c r="P68" s="50" t="n"/>
      <c r="Q68" s="49" t="n"/>
      <c r="R68" s="50" t="n"/>
      <c r="S68" s="49" t="n"/>
      <c r="T68" s="50" t="n"/>
      <c r="U68" s="49" t="n"/>
      <c r="V68" s="50" t="n"/>
      <c r="W68" s="49" t="n"/>
      <c r="X68" s="50" t="n"/>
      <c r="Y68" s="49" t="n"/>
      <c r="Z68" s="50" t="n"/>
      <c r="AA68" s="49" t="n"/>
      <c r="AB68" s="50" t="n"/>
      <c r="AC68" s="49" t="n"/>
      <c r="AD68" s="50" t="n"/>
      <c r="AE68" s="49" t="n"/>
      <c r="AF68" s="50" t="n"/>
      <c r="AG68" s="49" t="n"/>
      <c r="AH68" s="50" t="n"/>
      <c r="AI68" s="180" t="n"/>
    </row>
    <row r="69" ht="35.25" customHeight="1" s="196" thickBot="1">
      <c r="B69" s="277" t="inlineStr">
        <is>
          <t>4. 패치 관리</t>
        </is>
      </c>
      <c r="C69" s="194" t="inlineStr">
        <is>
          <t>U-64</t>
        </is>
      </c>
      <c r="D69" s="59" t="inlineStr">
        <is>
          <t>주기적 보안 패치 및 벤더 권고사항 적용</t>
        </is>
      </c>
      <c r="E69" s="59" t="inlineStr">
        <is>
          <t>양호 - 패치 적용 정책을 수립하여 주기적으로 패치 관리를 하고 있으며, 패치 관련 내용을 확인하고 적용하였을 경우
취약 - 패치 적용 정책을 수립하지 않고 주기적으로 패치 관리를 하지 않거나, 패치 관련 내용을 확인하지 않고 적용하지 않고 있는 경우</t>
        </is>
      </c>
      <c r="F69" s="60" t="n"/>
      <c r="G69" s="59" t="n"/>
      <c r="H69" s="60" t="n"/>
      <c r="I69" s="59" t="n"/>
      <c r="J69" s="60" t="n"/>
      <c r="K69" s="59" t="n"/>
      <c r="L69" s="60" t="n"/>
      <c r="M69" s="59" t="n"/>
      <c r="N69" s="60" t="n"/>
      <c r="O69" s="59" t="n"/>
      <c r="P69" s="60" t="n"/>
      <c r="Q69" s="59" t="n"/>
      <c r="R69" s="60" t="n"/>
      <c r="S69" s="59" t="n"/>
      <c r="T69" s="60" t="n"/>
      <c r="U69" s="59" t="n"/>
      <c r="V69" s="60" t="n"/>
      <c r="W69" s="59" t="n"/>
      <c r="X69" s="60" t="n"/>
      <c r="Y69" s="59" t="n"/>
      <c r="Z69" s="60" t="n"/>
      <c r="AA69" s="59" t="n"/>
      <c r="AB69" s="60" t="n"/>
      <c r="AC69" s="59" t="n"/>
      <c r="AD69" s="60" t="n"/>
      <c r="AE69" s="59" t="n"/>
      <c r="AF69" s="60" t="n"/>
      <c r="AG69" s="59" t="n"/>
      <c r="AH69" s="60" t="n"/>
      <c r="AI69" s="95" t="n"/>
    </row>
    <row r="70" ht="35.25" customHeight="1" s="196" thickBot="1">
      <c r="B70" s="277" t="inlineStr">
        <is>
          <t>5. 로그 관리</t>
        </is>
      </c>
      <c r="C70" s="38" t="inlineStr">
        <is>
          <t>U-65</t>
        </is>
      </c>
      <c r="D70" s="34" t="inlineStr">
        <is>
          <t>NTP 및 시각 동기화 설정</t>
        </is>
      </c>
      <c r="E70" s="34" t="inlineStr">
        <is>
          <t>양호 - NTP 및 시각 동기화 설정이 기준에 따라 적용된 경우
취약 - NTP 및 시각 동기화 설정이 기준에 따라 적용되어 있지 않은 경우</t>
        </is>
      </c>
      <c r="F70" s="48" t="n"/>
      <c r="G70" s="34" t="n"/>
      <c r="H70" s="48" t="n"/>
      <c r="I70" s="34" t="n"/>
      <c r="J70" s="48" t="n"/>
      <c r="K70" s="34" t="n"/>
      <c r="L70" s="48" t="n"/>
      <c r="M70" s="34" t="n"/>
      <c r="N70" s="48" t="n"/>
      <c r="O70" s="34" t="n"/>
      <c r="P70" s="48" t="n"/>
      <c r="Q70" s="34" t="n"/>
      <c r="R70" s="48" t="n"/>
      <c r="S70" s="34" t="n"/>
      <c r="T70" s="48" t="n"/>
      <c r="U70" s="34" t="n"/>
      <c r="V70" s="48" t="n"/>
      <c r="W70" s="34" t="n"/>
      <c r="X70" s="48" t="n"/>
      <c r="Y70" s="34" t="n"/>
      <c r="Z70" s="48" t="n"/>
      <c r="AA70" s="34" t="n"/>
      <c r="AB70" s="48" t="n"/>
      <c r="AC70" s="34" t="n"/>
      <c r="AD70" s="48" t="n"/>
      <c r="AE70" s="34" t="n"/>
      <c r="AF70" s="48" t="n"/>
      <c r="AG70" s="34" t="n"/>
      <c r="AH70" s="48" t="n"/>
      <c r="AI70" s="92" t="n"/>
    </row>
    <row r="71" ht="35.25" customHeight="1" s="196">
      <c r="B71" s="236" t="n"/>
      <c r="C71" s="38" t="inlineStr">
        <is>
          <t>U-66</t>
        </is>
      </c>
      <c r="D71" s="5" t="inlineStr">
        <is>
          <t>정책에 따른 시스템 로깅 설정</t>
        </is>
      </c>
      <c r="E71" s="5" t="inlineStr">
        <is>
          <t>양호 - 로그 기록 정책이 보안 정책에 따라 설정되어 수립되어 있으며, 로그를 남기고 있는 경우
취약 - 로그 기록 정책 미수립 또는 정책에 따라 설정되어 있지 않거나, 로그를 남기고 있지 않은 경우</t>
        </is>
      </c>
      <c r="F71" s="11" t="n"/>
      <c r="G71" s="5" t="n"/>
      <c r="H71" s="11" t="n"/>
      <c r="I71" s="5" t="n"/>
      <c r="J71" s="11" t="n"/>
      <c r="K71" s="5" t="n"/>
      <c r="L71" s="11" t="n"/>
      <c r="M71" s="5" t="n"/>
      <c r="N71" s="11" t="n"/>
      <c r="O71" s="5" t="n"/>
      <c r="P71" s="11" t="n"/>
      <c r="Q71" s="5" t="n"/>
      <c r="R71" s="11" t="n"/>
      <c r="S71" s="5" t="n"/>
      <c r="T71" s="11" t="n"/>
      <c r="U71" s="5" t="n"/>
      <c r="V71" s="11" t="n"/>
      <c r="W71" s="5" t="n"/>
      <c r="X71" s="11" t="n"/>
      <c r="Y71" s="5" t="n"/>
      <c r="Z71" s="11" t="n"/>
      <c r="AA71" s="5" t="n"/>
      <c r="AB71" s="11" t="n"/>
      <c r="AC71" s="5" t="n"/>
      <c r="AD71" s="11" t="n"/>
      <c r="AE71" s="5" t="n"/>
      <c r="AF71" s="11" t="n"/>
      <c r="AG71" s="5" t="n"/>
      <c r="AH71" s="11" t="n"/>
      <c r="AI71" s="175" t="n"/>
    </row>
    <row r="72" ht="35.25" customHeight="1" s="196" thickBot="1">
      <c r="B72" s="252" t="n"/>
      <c r="C72" s="111" t="inlineStr">
        <is>
          <t>U-67</t>
        </is>
      </c>
      <c r="D72" s="49" t="inlineStr">
        <is>
          <t>로그 디렉터리 소유자 및 권한 설정</t>
        </is>
      </c>
      <c r="E72" s="49" t="inlineStr">
        <is>
          <t>양호 - 디렉터리 내 로그 파일의 소유자가 root이고, 권한이 644 이하인 경우
취약 - 디렉터리 내 로그 파일의 소유자가 root가 아니거나, 권한이 644를 초과하는 경우</t>
        </is>
      </c>
      <c r="F72" s="50" t="n"/>
      <c r="G72" s="49" t="n"/>
      <c r="H72" s="50" t="n"/>
      <c r="I72" s="49" t="n"/>
      <c r="J72" s="50" t="n"/>
      <c r="K72" s="49" t="n"/>
      <c r="L72" s="50" t="n"/>
      <c r="M72" s="49" t="n"/>
      <c r="N72" s="50" t="n"/>
      <c r="O72" s="49" t="n"/>
      <c r="P72" s="50" t="n"/>
      <c r="Q72" s="49" t="n"/>
      <c r="R72" s="50" t="n"/>
      <c r="S72" s="49" t="n"/>
      <c r="T72" s="50" t="n"/>
      <c r="U72" s="49" t="n"/>
      <c r="V72" s="50" t="n"/>
      <c r="W72" s="49" t="n"/>
      <c r="X72" s="50" t="n"/>
      <c r="Y72" s="49" t="n"/>
      <c r="Z72" s="50" t="n"/>
      <c r="AA72" s="49" t="n"/>
      <c r="AB72" s="50" t="n"/>
      <c r="AC72" s="49" t="n"/>
      <c r="AD72" s="50" t="n"/>
      <c r="AE72" s="49" t="n"/>
      <c r="AF72" s="50" t="n"/>
      <c r="AG72" s="49" t="n"/>
      <c r="AH72" s="50" t="n"/>
      <c r="AI72" s="180" t="n"/>
    </row>
    <row r="73" ht="15.6" customHeight="1" s="196">
      <c r="B73" s="269" t="inlineStr">
        <is>
          <t>점검결과</t>
        </is>
      </c>
      <c r="C73" s="331" t="inlineStr">
        <is>
          <t>취약항목 개수</t>
        </is>
      </c>
      <c r="D73" s="255" t="n"/>
      <c r="E73" s="256" t="n"/>
      <c r="F73" s="332">
        <f>COUNTIF(F$6:F$72,"취약")</f>
        <v/>
      </c>
      <c r="G73" s="321" t="n"/>
      <c r="H73" s="332">
        <f>COUNTIF(H$6:H$72,"취약")</f>
        <v/>
      </c>
      <c r="I73" s="333" t="n"/>
      <c r="J73" s="332">
        <f>COUNTIF(J$6:J$72,"취약")</f>
        <v/>
      </c>
      <c r="K73" s="333" t="n"/>
      <c r="L73" s="332">
        <f>COUNTIF(L$6:L$72,"취약")</f>
        <v/>
      </c>
      <c r="M73" s="333" t="n"/>
      <c r="N73" s="332">
        <f>COUNTIF(N$6:N$72,"취약")</f>
        <v/>
      </c>
      <c r="O73" s="333" t="n"/>
      <c r="P73" s="332">
        <f>COUNTIF(P$6:P$72,"취약")</f>
        <v/>
      </c>
      <c r="Q73" s="333" t="n"/>
      <c r="R73" s="332">
        <f>COUNTIF(R$6:R$72,"취약")</f>
        <v/>
      </c>
      <c r="S73" s="333" t="n"/>
      <c r="T73" s="332" t="n"/>
      <c r="U73" s="333" t="n"/>
      <c r="V73" s="332" t="n"/>
      <c r="W73" s="333" t="n"/>
      <c r="X73" s="332" t="n"/>
      <c r="Y73" s="333" t="n"/>
      <c r="Z73" s="332" t="n"/>
      <c r="AA73" s="333" t="n"/>
      <c r="AB73" s="332" t="n"/>
      <c r="AC73" s="333" t="n"/>
      <c r="AD73" s="332" t="n"/>
      <c r="AE73" s="333" t="n"/>
      <c r="AF73" s="332" t="n"/>
      <c r="AG73" s="333" t="n"/>
      <c r="AH73" s="334" t="n"/>
      <c r="AI73" s="335" t="n"/>
    </row>
    <row r="74" ht="16.2" customHeight="1" s="196" thickBot="1">
      <c r="B74" s="214" t="n"/>
      <c r="C74" s="257" t="inlineStr">
        <is>
          <t>보안 적용율 (양호항목 / 진단항목) %</t>
        </is>
      </c>
      <c r="D74" s="323" t="n"/>
      <c r="E74" s="324" t="n"/>
      <c r="F74" s="336">
        <f>(COUNTIF(F$6:F$72,"양호"))/(COUNTA(F$6:F$72)-COUNTIF(F$6:F$72,"N/A"))</f>
        <v/>
      </c>
      <c r="G74" s="336" t="n"/>
      <c r="H74" s="336">
        <f>(COUNTIF(H$6:H$72,"양호"))/(COUNTA(H$6:H$72)-COUNTIF(H$6:H$72,"N/A"))</f>
        <v/>
      </c>
      <c r="I74" s="337" t="n"/>
      <c r="J74" s="336">
        <f>(COUNTIF(J$6:J$72,"양호"))/(COUNTA(J$6:J$72)-COUNTIF(J$6:J$72,"N/A"))</f>
        <v/>
      </c>
      <c r="K74" s="337" t="n"/>
      <c r="L74" s="336">
        <f>(COUNTIF(L$6:L$72,"양호"))/(COUNTA(L$6:L$72)-COUNTIF(L$6:L$72,"N/A"))</f>
        <v/>
      </c>
      <c r="M74" s="337" t="n"/>
      <c r="N74" s="336">
        <f>(COUNTIF(N$6:N$72,"양호"))/(COUNTA(N$6:N$72)-COUNTIF(N$6:N$72,"N/A"))</f>
        <v/>
      </c>
      <c r="O74" s="337" t="n"/>
      <c r="P74" s="336">
        <f>(COUNTIF(P$6:P$72,"양호"))/(COUNTA(P$6:P$72)-COUNTIF(P$6:P$72,"N/A"))</f>
        <v/>
      </c>
      <c r="Q74" s="337" t="n"/>
      <c r="R74" s="336">
        <f>(COUNTIF(R$6:R$72,"양호"))/(COUNTA(R$6:R$72)-COUNTIF(R$6:R$72,"N/A"))</f>
        <v/>
      </c>
      <c r="S74" s="337" t="n"/>
      <c r="T74" s="336" t="n"/>
      <c r="U74" s="337" t="n"/>
      <c r="V74" s="336" t="n"/>
      <c r="W74" s="337" t="n"/>
      <c r="X74" s="336" t="n"/>
      <c r="Y74" s="337" t="n"/>
      <c r="Z74" s="336" t="n"/>
      <c r="AA74" s="337" t="n"/>
      <c r="AB74" s="336" t="n"/>
      <c r="AC74" s="337" t="n"/>
      <c r="AD74" s="336" t="n"/>
      <c r="AE74" s="337" t="n"/>
      <c r="AF74" s="336" t="n"/>
      <c r="AG74" s="337" t="n"/>
      <c r="AH74" s="336" t="n"/>
      <c r="AI74" s="338" t="n"/>
    </row>
    <row r="75">
      <c r="A75" s="14" t="n"/>
      <c r="B75" s="14" t="n"/>
      <c r="C75" s="14" t="n"/>
      <c r="D75" s="14" t="n"/>
      <c r="E75" s="14" t="n"/>
      <c r="F75" s="14" t="n"/>
    </row>
    <row r="76">
      <c r="A76" s="14" t="n"/>
      <c r="B76" s="14" t="n"/>
      <c r="C76" s="14" t="n"/>
      <c r="D76" s="14" t="n"/>
      <c r="E76" s="14" t="n"/>
      <c r="F76" s="14" t="n"/>
    </row>
  </sheetData>
  <mergeCells count="27">
    <mergeCell ref="P3:P5"/>
    <mergeCell ref="R3:R5"/>
    <mergeCell ref="J3:J5"/>
    <mergeCell ref="B73:B74"/>
    <mergeCell ref="V3:V5"/>
    <mergeCell ref="B19:B38"/>
    <mergeCell ref="AD3:AD5"/>
    <mergeCell ref="H3:H5"/>
    <mergeCell ref="T3:T5"/>
    <mergeCell ref="AB3:AB5"/>
    <mergeCell ref="C3:C5"/>
    <mergeCell ref="E3:E5"/>
    <mergeCell ref="B3:B5"/>
    <mergeCell ref="AF3:AF5"/>
    <mergeCell ref="AH3:AH5"/>
    <mergeCell ref="B39:B68"/>
    <mergeCell ref="N3:N5"/>
    <mergeCell ref="B6:B18"/>
    <mergeCell ref="F3:F5"/>
    <mergeCell ref="B2:E2"/>
    <mergeCell ref="Z3:Z5"/>
    <mergeCell ref="B70:B72"/>
    <mergeCell ref="L3:L5"/>
    <mergeCell ref="C74:E74"/>
    <mergeCell ref="X3:X5"/>
    <mergeCell ref="C73:E73"/>
    <mergeCell ref="D3:D5"/>
  </mergeCells>
  <conditionalFormatting sqref="A2:B2">
    <cfRule type="cellIs" priority="4400" operator="equal" dxfId="0">
      <formula>"미흡"</formula>
    </cfRule>
  </conditionalFormatting>
  <conditionalFormatting sqref="A52:B52 A53 A54:B72 A73:E1048576 D54:E72">
    <cfRule type="cellIs" priority="4724" operator="equal" dxfId="0">
      <formula>"미흡"</formula>
    </cfRule>
  </conditionalFormatting>
  <conditionalFormatting sqref="A3:E3">
    <cfRule type="cellIs" priority="3695" operator="equal" dxfId="0">
      <formula>"미흡"</formula>
    </cfRule>
  </conditionalFormatting>
  <conditionalFormatting sqref="B52:B53 D52:AI53">
    <cfRule type="cellIs" priority="475" operator="equal" dxfId="1">
      <formula>"N/A"</formula>
    </cfRule>
  </conditionalFormatting>
  <conditionalFormatting sqref="B3:E3">
    <cfRule type="cellIs" priority="3696" operator="equal" dxfId="1">
      <formula>"N/A"</formula>
    </cfRule>
  </conditionalFormatting>
  <conditionalFormatting sqref="C7:F12 H7 H9:H11 J7 J9:J11 L7 L9:L11">
    <cfRule type="cellIs" priority="4097" operator="equal" dxfId="0">
      <formula>"미흡"</formula>
    </cfRule>
  </conditionalFormatting>
  <conditionalFormatting sqref="C6:F6 G9 G17:G51 H6 I9 J6 K9 L6 M9">
    <cfRule type="cellIs" priority="4703" operator="equal" dxfId="0">
      <formula>"미흡"</formula>
    </cfRule>
  </conditionalFormatting>
  <conditionalFormatting sqref="D32:D33">
    <cfRule type="cellIs" priority="4704" operator="equal" dxfId="0">
      <formula>"미흡"</formula>
    </cfRule>
    <cfRule type="containsText" priority="4706" operator="containsText" dxfId="4" text="취약">
      <formula>NOT(ISERROR(SEARCH("취약",D32)))</formula>
    </cfRule>
    <cfRule type="containsText" priority="4708" operator="containsText" dxfId="4" text="취약">
      <formula>NOT(ISERROR(SEARCH("취약",D32)))</formula>
    </cfRule>
    <cfRule type="containsText" priority="4707" operator="containsText" dxfId="7" text="확인">
      <formula>NOT(ISERROR(SEARCH("확인",D32)))</formula>
    </cfRule>
    <cfRule type="containsText" priority="4705" operator="containsText" dxfId="7" text="확인">
      <formula>NOT(ISERROR(SEARCH("확인",D32)))</formula>
    </cfRule>
  </conditionalFormatting>
  <conditionalFormatting sqref="D32:D37">
    <cfRule type="cellIs" priority="4709" operator="equal" dxfId="0">
      <formula>"미흡"</formula>
    </cfRule>
  </conditionalFormatting>
  <conditionalFormatting sqref="E32:F37">
    <cfRule type="cellIs" priority="4411" operator="equal" dxfId="0">
      <formula>"미흡"</formula>
    </cfRule>
  </conditionalFormatting>
  <conditionalFormatting sqref="F1:F1048576 H6:H7 H9:H11 H14:H16 J6:J7 J9:J11 J14:J16 L6:L7 L9:L11 L14:L16">
    <cfRule type="cellIs" priority="3697" operator="equal" dxfId="1">
      <formula>"N/A"</formula>
    </cfRule>
    <cfRule type="cellIs" priority="3698" operator="equal" dxfId="154">
      <formula>"인터뷰"</formula>
    </cfRule>
  </conditionalFormatting>
  <conditionalFormatting sqref="F6 H6 J6 L6">
    <cfRule type="containsText" priority="4702" operator="containsText" dxfId="4" text="취약">
      <formula>NOT(ISERROR(SEARCH("취약",F6)))</formula>
    </cfRule>
    <cfRule type="containsText" priority="4701" operator="containsText" dxfId="7" text="확인">
      <formula>NOT(ISERROR(SEARCH("확인",F6)))</formula>
    </cfRule>
  </conditionalFormatting>
  <conditionalFormatting sqref="F7:F13 H7 H9:H11 J7 J9:J11 L7 L9:L11">
    <cfRule type="containsText" priority="4052" operator="containsText" dxfId="4" text="취약">
      <formula>NOT(ISERROR(SEARCH("취약",F7)))</formula>
    </cfRule>
    <cfRule type="containsText" priority="4051" operator="containsText" dxfId="7" text="확인">
      <formula>NOT(ISERROR(SEARCH("확인",F7)))</formula>
    </cfRule>
  </conditionalFormatting>
  <conditionalFormatting sqref="F13">
    <cfRule type="cellIs" priority="4053" operator="equal" dxfId="0">
      <formula>"미흡"</formula>
    </cfRule>
  </conditionalFormatting>
  <conditionalFormatting sqref="F14:F20 H14:H16 J14:J16 L14:L16">
    <cfRule type="containsText" priority="4412" operator="containsText" dxfId="7" text="확인">
      <formula>NOT(ISERROR(SEARCH("확인",F14)))</formula>
    </cfRule>
    <cfRule type="containsText" priority="4413" operator="containsText" dxfId="4" text="취약">
      <formula>NOT(ISERROR(SEARCH("취약",F14)))</formula>
    </cfRule>
    <cfRule type="cellIs" priority="4414" operator="equal" dxfId="0">
      <formula>"미흡"</formula>
    </cfRule>
  </conditionalFormatting>
  <conditionalFormatting sqref="F21:F31">
    <cfRule type="containsText" priority="3869" operator="containsText" dxfId="7" text="확인">
      <formula>NOT(ISERROR(SEARCH("확인",F21)))</formula>
    </cfRule>
    <cfRule type="containsText" priority="3870" operator="containsText" dxfId="4" text="취약">
      <formula>NOT(ISERROR(SEARCH("취약",F21)))</formula>
    </cfRule>
    <cfRule type="cellIs" priority="3871" operator="equal" dxfId="0">
      <formula>"미흡"</formula>
    </cfRule>
  </conditionalFormatting>
  <conditionalFormatting sqref="F32:F37">
    <cfRule type="containsText" priority="4409" operator="containsText" dxfId="7" text="확인">
      <formula>NOT(ISERROR(SEARCH("확인",F32)))</formula>
    </cfRule>
    <cfRule type="containsText" priority="4410" operator="containsText" dxfId="4" text="취약">
      <formula>NOT(ISERROR(SEARCH("취약",F32)))</formula>
    </cfRule>
  </conditionalFormatting>
  <conditionalFormatting sqref="F38:F41">
    <cfRule type="containsText" priority="3748" operator="containsText" dxfId="4" text="취약">
      <formula>NOT(ISERROR(SEARCH("취약",F38)))</formula>
    </cfRule>
    <cfRule type="cellIs" priority="3749" operator="equal" dxfId="0">
      <formula>"미흡"</formula>
    </cfRule>
    <cfRule type="containsText" priority="3747" operator="containsText" dxfId="7" text="확인">
      <formula>NOT(ISERROR(SEARCH("확인",F38)))</formula>
    </cfRule>
  </conditionalFormatting>
  <conditionalFormatting sqref="F42">
    <cfRule type="containsText" priority="4608" operator="containsText" dxfId="4" text="취약">
      <formula>NOT(ISERROR(SEARCH("취약",F42)))</formula>
    </cfRule>
    <cfRule type="containsText" priority="4607" operator="containsText" dxfId="7" text="확인">
      <formula>NOT(ISERROR(SEARCH("확인",F42)))</formula>
    </cfRule>
    <cfRule type="cellIs" priority="4609" operator="equal" dxfId="0">
      <formula>"미흡"</formula>
    </cfRule>
  </conditionalFormatting>
  <conditionalFormatting sqref="F42:F51">
    <cfRule type="containsText" priority="4551" operator="containsText" dxfId="4" text="취약">
      <formula>NOT(ISERROR(SEARCH("취약",F42)))</formula>
    </cfRule>
    <cfRule type="containsText" priority="4550" operator="containsText" dxfId="7" text="확인">
      <formula>NOT(ISERROR(SEARCH("확인",F42)))</formula>
    </cfRule>
  </conditionalFormatting>
  <conditionalFormatting sqref="F43:F51">
    <cfRule type="cellIs" priority="4552" operator="equal" dxfId="0">
      <formula>"미흡"</formula>
    </cfRule>
  </conditionalFormatting>
  <conditionalFormatting sqref="F46">
    <cfRule type="containsText" priority="4433" operator="containsText" dxfId="4" text="취약">
      <formula>NOT(ISERROR(SEARCH("취약",F46)))</formula>
    </cfRule>
    <cfRule type="containsText" priority="4435" operator="containsText" dxfId="4" text="취약">
      <formula>NOT(ISERROR(SEARCH("취약",F46)))</formula>
    </cfRule>
    <cfRule type="containsText" priority="4434" operator="containsText" dxfId="7" text="확인">
      <formula>NOT(ISERROR(SEARCH("확인",F46)))</formula>
    </cfRule>
    <cfRule type="containsText" priority="4432" operator="containsText" dxfId="7" text="확인">
      <formula>NOT(ISERROR(SEARCH("확인",F46)))</formula>
    </cfRule>
  </conditionalFormatting>
  <conditionalFormatting sqref="F51">
    <cfRule type="containsText" priority="4509" operator="containsText" dxfId="7" text="확인">
      <formula>NOT(ISERROR(SEARCH("확인",F51)))</formula>
    </cfRule>
    <cfRule type="containsText" priority="4510" operator="containsText" dxfId="4" text="취약">
      <formula>NOT(ISERROR(SEARCH("취약",F51)))</formula>
    </cfRule>
  </conditionalFormatting>
  <conditionalFormatting sqref="G3:G5">
    <cfRule type="cellIs" priority="4453" operator="equal" dxfId="4">
      <formula>"취약"</formula>
    </cfRule>
  </conditionalFormatting>
  <conditionalFormatting sqref="H1:H5 H8 H12:H13 H17:H1048576">
    <cfRule type="cellIs" priority="1613" operator="equal" dxfId="154">
      <formula>"인터뷰"</formula>
    </cfRule>
    <cfRule type="cellIs" priority="1612" operator="equal" dxfId="1">
      <formula>"N/A"</formula>
    </cfRule>
  </conditionalFormatting>
  <conditionalFormatting sqref="H3:H5">
    <cfRule type="cellIs" priority="1763" operator="equal" dxfId="0">
      <formula>"미흡"</formula>
    </cfRule>
  </conditionalFormatting>
  <conditionalFormatting sqref="H8">
    <cfRule type="containsText" priority="1732" operator="containsText" dxfId="7" text="확인">
      <formula>NOT(ISERROR(SEARCH("확인",H8)))</formula>
    </cfRule>
    <cfRule type="containsText" priority="1733" operator="containsText" dxfId="4" text="취약">
      <formula>NOT(ISERROR(SEARCH("취약",H8)))</formula>
    </cfRule>
    <cfRule type="containsText" priority="1739" operator="containsText" dxfId="4" text="취약">
      <formula>NOT(ISERROR(SEARCH("취약",H8)))</formula>
    </cfRule>
    <cfRule type="containsText" priority="1738" operator="containsText" dxfId="7" text="확인">
      <formula>NOT(ISERROR(SEARCH("확인",H8)))</formula>
    </cfRule>
    <cfRule type="cellIs" priority="1737" operator="equal" dxfId="0">
      <formula>"미흡"</formula>
    </cfRule>
  </conditionalFormatting>
  <conditionalFormatting sqref="H8 H12:H13 H17:H25">
    <cfRule type="cellIs" priority="1698" operator="equal" dxfId="1">
      <formula>"N/A"</formula>
    </cfRule>
  </conditionalFormatting>
  <conditionalFormatting sqref="H12">
    <cfRule type="containsText" priority="1709" operator="containsText" dxfId="4" text="취약">
      <formula>NOT(ISERROR(SEARCH("취약",H12)))</formula>
    </cfRule>
    <cfRule type="containsText" priority="1708" operator="containsText" dxfId="7" text="확인">
      <formula>NOT(ISERROR(SEARCH("확인",H12)))</formula>
    </cfRule>
    <cfRule type="containsText" priority="1714" operator="containsText" dxfId="7" text="확인">
      <formula>NOT(ISERROR(SEARCH("확인",H12)))</formula>
    </cfRule>
    <cfRule type="cellIs" priority="1713" operator="equal" dxfId="0">
      <formula>"미흡"</formula>
    </cfRule>
    <cfRule type="containsText" priority="1715" operator="containsText" dxfId="4" text="취약">
      <formula>NOT(ISERROR(SEARCH("취약",H12)))</formula>
    </cfRule>
  </conditionalFormatting>
  <conditionalFormatting sqref="H13">
    <cfRule type="cellIs" priority="1701" operator="equal" dxfId="0">
      <formula>"미흡"</formula>
    </cfRule>
    <cfRule type="containsText" priority="1700" operator="containsText" dxfId="4" text="취약">
      <formula>NOT(ISERROR(SEARCH("취약",H13)))</formula>
    </cfRule>
    <cfRule type="containsText" priority="1699" operator="containsText" dxfId="7" text="확인">
      <formula>NOT(ISERROR(SEARCH("확인",H13)))</formula>
    </cfRule>
    <cfRule type="containsText" priority="1703" operator="containsText" dxfId="4" text="취약">
      <formula>NOT(ISERROR(SEARCH("취약",H13)))</formula>
    </cfRule>
    <cfRule type="containsText" priority="1702" operator="containsText" dxfId="7" text="확인">
      <formula>NOT(ISERROR(SEARCH("확인",H13)))</formula>
    </cfRule>
  </conditionalFormatting>
  <conditionalFormatting sqref="H17">
    <cfRule type="containsText" priority="1845" operator="containsText" dxfId="7" text="확인">
      <formula>NOT(ISERROR(SEARCH("확인",H17)))</formula>
    </cfRule>
    <cfRule type="containsText" priority="1846" operator="containsText" dxfId="4" text="취약">
      <formula>NOT(ISERROR(SEARCH("취약",H17)))</formula>
    </cfRule>
    <cfRule type="containsText" priority="1842" operator="containsText" dxfId="7" text="확인">
      <formula>NOT(ISERROR(SEARCH("확인",H17)))</formula>
    </cfRule>
    <cfRule type="containsText" priority="1843" operator="containsText" dxfId="4" text="취약">
      <formula>NOT(ISERROR(SEARCH("취약",H17)))</formula>
    </cfRule>
    <cfRule type="cellIs" priority="1844" operator="equal" dxfId="0">
      <formula>"미흡"</formula>
    </cfRule>
  </conditionalFormatting>
  <conditionalFormatting sqref="H17:H18">
    <cfRule type="containsText" priority="1838" operator="containsText" dxfId="7" text="확인">
      <formula>NOT(ISERROR(SEARCH("확인",H17)))</formula>
    </cfRule>
    <cfRule type="containsText" priority="1839" operator="containsText" dxfId="4" text="취약">
      <formula>NOT(ISERROR(SEARCH("취약",H17)))</formula>
    </cfRule>
  </conditionalFormatting>
  <conditionalFormatting sqref="H18:H19">
    <cfRule type="cellIs" priority="1748" operator="equal" dxfId="0">
      <formula>"미흡"</formula>
    </cfRule>
  </conditionalFormatting>
  <conditionalFormatting sqref="H18:H20">
    <cfRule type="containsText" priority="1746" operator="containsText" dxfId="7" text="확인">
      <formula>NOT(ISERROR(SEARCH("확인",H18)))</formula>
    </cfRule>
    <cfRule type="containsText" priority="1747" operator="containsText" dxfId="4" text="취약">
      <formula>NOT(ISERROR(SEARCH("취약",H18)))</formula>
    </cfRule>
  </conditionalFormatting>
  <conditionalFormatting sqref="H20">
    <cfRule type="containsText" priority="1771" operator="containsText" dxfId="4" text="취약">
      <formula>NOT(ISERROR(SEARCH("취약",H20)))</formula>
    </cfRule>
    <cfRule type="containsText" priority="1772" operator="containsText" dxfId="7" text="확인">
      <formula>NOT(ISERROR(SEARCH("확인",H20)))</formula>
    </cfRule>
    <cfRule type="containsText" priority="1773" operator="containsText" dxfId="4" text="취약">
      <formula>NOT(ISERROR(SEARCH("취약",H20)))</formula>
    </cfRule>
    <cfRule type="cellIs" priority="1774" operator="equal" dxfId="0">
      <formula>"미흡"</formula>
    </cfRule>
    <cfRule type="containsText" priority="1770" operator="containsText" dxfId="7" text="확인">
      <formula>NOT(ISERROR(SEARCH("확인",H20)))</formula>
    </cfRule>
  </conditionalFormatting>
  <conditionalFormatting sqref="H21:H22">
    <cfRule type="cellIs" priority="1695" operator="equal" dxfId="0">
      <formula>"미흡"</formula>
    </cfRule>
    <cfRule type="containsText" priority="1696" operator="containsText" dxfId="7" text="확인">
      <formula>NOT(ISERROR(SEARCH("확인",H21)))</formula>
    </cfRule>
    <cfRule type="containsText" priority="1697" operator="containsText" dxfId="4" text="취약">
      <formula>NOT(ISERROR(SEARCH("취약",H21)))</formula>
    </cfRule>
  </conditionalFormatting>
  <conditionalFormatting sqref="H21:H23">
    <cfRule type="containsText" priority="1692" operator="containsText" dxfId="4" text="취약">
      <formula>NOT(ISERROR(SEARCH("취약",H21)))</formula>
    </cfRule>
    <cfRule type="containsText" priority="1691" operator="containsText" dxfId="7" text="확인">
      <formula>NOT(ISERROR(SEARCH("확인",H21)))</formula>
    </cfRule>
  </conditionalFormatting>
  <conditionalFormatting sqref="H23:H24">
    <cfRule type="cellIs" priority="1680" operator="equal" dxfId="0">
      <formula>"미흡"</formula>
    </cfRule>
  </conditionalFormatting>
  <conditionalFormatting sqref="H23:H28">
    <cfRule type="containsText" priority="1665" operator="containsText" dxfId="7" text="확인">
      <formula>NOT(ISERROR(SEARCH("확인",H23)))</formula>
    </cfRule>
    <cfRule type="containsText" priority="1666" operator="containsText" dxfId="4" text="취약">
      <formula>NOT(ISERROR(SEARCH("취약",H23)))</formula>
    </cfRule>
  </conditionalFormatting>
  <conditionalFormatting sqref="H25">
    <cfRule type="containsText" priority="1684" operator="containsText" dxfId="4" text="취약">
      <formula>NOT(ISERROR(SEARCH("취약",H25)))</formula>
    </cfRule>
    <cfRule type="cellIs" priority="1687" operator="equal" dxfId="0">
      <formula>"미흡"</formula>
    </cfRule>
    <cfRule type="containsText" priority="1685" operator="containsText" dxfId="7" text="확인">
      <formula>NOT(ISERROR(SEARCH("확인",H25)))</formula>
    </cfRule>
    <cfRule type="containsText" priority="1686" operator="containsText" dxfId="4" text="취약">
      <formula>NOT(ISERROR(SEARCH("취약",H25)))</formula>
    </cfRule>
    <cfRule type="containsText" priority="1683" operator="containsText" dxfId="7" text="확인">
      <formula>NOT(ISERROR(SEARCH("확인",H25)))</formula>
    </cfRule>
  </conditionalFormatting>
  <conditionalFormatting sqref="H26">
    <cfRule type="cellIs" priority="1670" operator="equal" dxfId="0">
      <formula>"미흡"</formula>
    </cfRule>
  </conditionalFormatting>
  <conditionalFormatting sqref="H27">
    <cfRule type="containsText" priority="1676" operator="containsText" dxfId="4" text="취약">
      <formula>NOT(ISERROR(SEARCH("취약",H27)))</formula>
    </cfRule>
    <cfRule type="containsText" priority="1675" operator="containsText" dxfId="7" text="확인">
      <formula>NOT(ISERROR(SEARCH("확인",H27)))</formula>
    </cfRule>
    <cfRule type="containsText" priority="1674" operator="containsText" dxfId="4" text="취약">
      <formula>NOT(ISERROR(SEARCH("취약",H27)))</formula>
    </cfRule>
    <cfRule type="containsText" priority="1673" operator="containsText" dxfId="7" text="확인">
      <formula>NOT(ISERROR(SEARCH("확인",H27)))</formula>
    </cfRule>
    <cfRule type="cellIs" priority="1677" operator="equal" dxfId="0">
      <formula>"미흡"</formula>
    </cfRule>
  </conditionalFormatting>
  <conditionalFormatting sqref="H28">
    <cfRule type="cellIs" priority="1664" operator="equal" dxfId="0">
      <formula>"미흡"</formula>
    </cfRule>
  </conditionalFormatting>
  <conditionalFormatting sqref="H28:H29">
    <cfRule type="containsText" priority="1660" operator="containsText" dxfId="7" text="확인">
      <formula>NOT(ISERROR(SEARCH("확인",H28)))</formula>
    </cfRule>
    <cfRule type="containsText" priority="1661" operator="containsText" dxfId="4" text="취약">
      <formula>NOT(ISERROR(SEARCH("취약",H28)))</formula>
    </cfRule>
  </conditionalFormatting>
  <conditionalFormatting sqref="H29">
    <cfRule type="containsText" priority="1657" operator="containsText" dxfId="7" text="확인">
      <formula>NOT(ISERROR(SEARCH("확인",H29)))</formula>
    </cfRule>
    <cfRule type="containsText" priority="1658" operator="containsText" dxfId="4" text="취약">
      <formula>NOT(ISERROR(SEARCH("취약",H29)))</formula>
    </cfRule>
    <cfRule type="cellIs" priority="1659" operator="equal" dxfId="0">
      <formula>"미흡"</formula>
    </cfRule>
  </conditionalFormatting>
  <conditionalFormatting sqref="H29:H30">
    <cfRule type="containsText" priority="1653" operator="containsText" dxfId="7" text="확인">
      <formula>NOT(ISERROR(SEARCH("확인",H29)))</formula>
    </cfRule>
    <cfRule type="containsText" priority="1654" operator="containsText" dxfId="4" text="취약">
      <formula>NOT(ISERROR(SEARCH("취약",H29)))</formula>
    </cfRule>
  </conditionalFormatting>
  <conditionalFormatting sqref="H30:H33">
    <cfRule type="cellIs" priority="1649" operator="equal" dxfId="0">
      <formula>"미흡"</formula>
    </cfRule>
    <cfRule type="containsText" priority="1648" operator="containsText" dxfId="4" text="취약">
      <formula>NOT(ISERROR(SEARCH("취약",H30)))</formula>
    </cfRule>
    <cfRule type="containsText" priority="1647" operator="containsText" dxfId="7" text="확인">
      <formula>NOT(ISERROR(SEARCH("확인",H30)))</formula>
    </cfRule>
  </conditionalFormatting>
  <conditionalFormatting sqref="H34">
    <cfRule type="containsText" priority="1831" operator="containsText" dxfId="4" text="취약">
      <formula>NOT(ISERROR(SEARCH("취약",H34)))</formula>
    </cfRule>
    <cfRule type="cellIs" priority="1832" operator="equal" dxfId="0">
      <formula>"미흡"</formula>
    </cfRule>
    <cfRule type="containsText" priority="1833" operator="containsText" dxfId="7" text="확인">
      <formula>NOT(ISERROR(SEARCH("확인",H34)))</formula>
    </cfRule>
    <cfRule type="containsText" priority="1834" operator="containsText" dxfId="4" text="취약">
      <formula>NOT(ISERROR(SEARCH("취약",H34)))</formula>
    </cfRule>
    <cfRule type="containsText" priority="1830" operator="containsText" dxfId="7" text="확인">
      <formula>NOT(ISERROR(SEARCH("확인",H34)))</formula>
    </cfRule>
    <cfRule type="containsText" priority="1829" operator="containsText" dxfId="4" text="취약">
      <formula>NOT(ISERROR(SEARCH("취약",H34)))</formula>
    </cfRule>
    <cfRule type="containsText" priority="1828" operator="containsText" dxfId="7" text="확인">
      <formula>NOT(ISERROR(SEARCH("확인",H34)))</formula>
    </cfRule>
    <cfRule type="containsText" priority="1826" operator="containsText" dxfId="7" text="확인">
      <formula>NOT(ISERROR(SEARCH("확인",H34)))</formula>
    </cfRule>
    <cfRule type="containsText" priority="1827" operator="containsText" dxfId="4" text="취약">
      <formula>NOT(ISERROR(SEARCH("취약",H34)))</formula>
    </cfRule>
  </conditionalFormatting>
  <conditionalFormatting sqref="H34:H35">
    <cfRule type="containsText" priority="1822" operator="containsText" dxfId="7" text="확인">
      <formula>NOT(ISERROR(SEARCH("확인",H34)))</formula>
    </cfRule>
    <cfRule type="containsText" priority="1823" operator="containsText" dxfId="4" text="취약">
      <formula>NOT(ISERROR(SEARCH("취약",H34)))</formula>
    </cfRule>
  </conditionalFormatting>
  <conditionalFormatting sqref="H35">
    <cfRule type="cellIs" priority="1821" operator="equal" dxfId="0">
      <formula>"미흡"</formula>
    </cfRule>
  </conditionalFormatting>
  <conditionalFormatting sqref="H35:H36">
    <cfRule type="containsText" priority="1818" operator="containsText" dxfId="4" text="취약">
      <formula>NOT(ISERROR(SEARCH("취약",H35)))</formula>
    </cfRule>
    <cfRule type="containsText" priority="1817" operator="containsText" dxfId="7" text="확인">
      <formula>NOT(ISERROR(SEARCH("확인",H35)))</formula>
    </cfRule>
  </conditionalFormatting>
  <conditionalFormatting sqref="H36">
    <cfRule type="cellIs" priority="1816" operator="equal" dxfId="0">
      <formula>"미흡"</formula>
    </cfRule>
  </conditionalFormatting>
  <conditionalFormatting sqref="H36:H37">
    <cfRule type="containsText" priority="1812" operator="containsText" dxfId="7" text="확인">
      <formula>NOT(ISERROR(SEARCH("확인",H36)))</formula>
    </cfRule>
    <cfRule type="containsText" priority="1813" operator="containsText" dxfId="4" text="취약">
      <formula>NOT(ISERROR(SEARCH("취약",H36)))</formula>
    </cfRule>
  </conditionalFormatting>
  <conditionalFormatting sqref="H37">
    <cfRule type="cellIs" priority="1811" operator="equal" dxfId="0">
      <formula>"미흡"</formula>
    </cfRule>
  </conditionalFormatting>
  <conditionalFormatting sqref="H37:H38">
    <cfRule type="containsText" priority="1644" operator="containsText" dxfId="7" text="확인">
      <formula>NOT(ISERROR(SEARCH("확인",H37)))</formula>
    </cfRule>
    <cfRule type="containsText" priority="1645" operator="containsText" dxfId="4" text="취약">
      <formula>NOT(ISERROR(SEARCH("취약",H37)))</formula>
    </cfRule>
  </conditionalFormatting>
  <conditionalFormatting sqref="H38">
    <cfRule type="cellIs" priority="1643" operator="equal" dxfId="0">
      <formula>"미흡"</formula>
    </cfRule>
  </conditionalFormatting>
  <conditionalFormatting sqref="H38:H39">
    <cfRule type="containsText" priority="1639" operator="containsText" dxfId="7" text="확인">
      <formula>NOT(ISERROR(SEARCH("확인",H38)))</formula>
    </cfRule>
    <cfRule type="containsText" priority="1640" operator="containsText" dxfId="4" text="취약">
      <formula>NOT(ISERROR(SEARCH("취약",H38)))</formula>
    </cfRule>
  </conditionalFormatting>
  <conditionalFormatting sqref="H39">
    <cfRule type="cellIs" priority="1638" operator="equal" dxfId="0">
      <formula>"미흡"</formula>
    </cfRule>
  </conditionalFormatting>
  <conditionalFormatting sqref="H39:H41">
    <cfRule type="containsText" priority="1628" operator="containsText" dxfId="7" text="확인">
      <formula>NOT(ISERROR(SEARCH("확인",H39)))</formula>
    </cfRule>
    <cfRule type="containsText" priority="1629" operator="containsText" dxfId="4" text="취약">
      <formula>NOT(ISERROR(SEARCH("취약",H39)))</formula>
    </cfRule>
  </conditionalFormatting>
  <conditionalFormatting sqref="H40">
    <cfRule type="cellIs" priority="1627" operator="equal" dxfId="0">
      <formula>"미흡"</formula>
    </cfRule>
    <cfRule type="containsText" priority="1626" operator="containsText" dxfId="4" text="취약">
      <formula>NOT(ISERROR(SEARCH("취약",H40)))</formula>
    </cfRule>
    <cfRule type="containsText" priority="1625" operator="containsText" dxfId="7" text="확인">
      <formula>NOT(ISERROR(SEARCH("확인",H40)))</formula>
    </cfRule>
  </conditionalFormatting>
  <conditionalFormatting sqref="H41">
    <cfRule type="cellIs" priority="1633" operator="equal" dxfId="0">
      <formula>"미흡"</formula>
    </cfRule>
  </conditionalFormatting>
  <conditionalFormatting sqref="H41:H42">
    <cfRule type="containsText" priority="1634" operator="containsText" dxfId="7" text="확인">
      <formula>NOT(ISERROR(SEARCH("확인",H41)))</formula>
    </cfRule>
    <cfRule type="containsText" priority="1635" operator="containsText" dxfId="4" text="취약">
      <formula>NOT(ISERROR(SEARCH("취약",H41)))</formula>
    </cfRule>
  </conditionalFormatting>
  <conditionalFormatting sqref="H42:H43">
    <cfRule type="cellIs" priority="1784" operator="equal" dxfId="0">
      <formula>"미흡"</formula>
    </cfRule>
    <cfRule type="containsText" priority="1783" operator="containsText" dxfId="4" text="취약">
      <formula>NOT(ISERROR(SEARCH("취약",H42)))</formula>
    </cfRule>
    <cfRule type="containsText" priority="1782" operator="containsText" dxfId="7" text="확인">
      <formula>NOT(ISERROR(SEARCH("확인",H42)))</formula>
    </cfRule>
  </conditionalFormatting>
  <conditionalFormatting sqref="H44">
    <cfRule type="containsText" priority="1616" operator="containsText" dxfId="4" text="취약">
      <formula>NOT(ISERROR(SEARCH("취약",H44)))</formula>
    </cfRule>
    <cfRule type="containsText" priority="1615" operator="containsText" dxfId="7" text="확인">
      <formula>NOT(ISERROR(SEARCH("확인",H44)))</formula>
    </cfRule>
    <cfRule type="cellIs" priority="1617" operator="equal" dxfId="0">
      <formula>"미흡"</formula>
    </cfRule>
  </conditionalFormatting>
  <conditionalFormatting sqref="H45:H46">
    <cfRule type="containsText" priority="1759" operator="containsText" dxfId="4" text="취약">
      <formula>NOT(ISERROR(SEARCH("취약",H45)))</formula>
    </cfRule>
    <cfRule type="containsText" priority="1758" operator="containsText" dxfId="7" text="확인">
      <formula>NOT(ISERROR(SEARCH("확인",H45)))</formula>
    </cfRule>
    <cfRule type="cellIs" priority="1760" operator="equal" dxfId="0">
      <formula>"미흡"</formula>
    </cfRule>
  </conditionalFormatting>
  <conditionalFormatting sqref="H46">
    <cfRule type="containsText" priority="1757" operator="containsText" dxfId="4" text="취약">
      <formula>NOT(ISERROR(SEARCH("취약",H46)))</formula>
    </cfRule>
    <cfRule type="containsText" priority="1756" operator="containsText" dxfId="7" text="확인">
      <formula>NOT(ISERROR(SEARCH("확인",H46)))</formula>
    </cfRule>
    <cfRule type="containsText" priority="1755" operator="containsText" dxfId="4" text="취약">
      <formula>NOT(ISERROR(SEARCH("취약",H46)))</formula>
    </cfRule>
    <cfRule type="containsText" priority="1754" operator="containsText" dxfId="7" text="확인">
      <formula>NOT(ISERROR(SEARCH("확인",H46)))</formula>
    </cfRule>
    <cfRule type="containsText" priority="1753" operator="containsText" dxfId="4" text="취약">
      <formula>NOT(ISERROR(SEARCH("취약",H46)))</formula>
    </cfRule>
    <cfRule type="containsText" priority="1752" operator="containsText" dxfId="7" text="확인">
      <formula>NOT(ISERROR(SEARCH("확인",H46)))</formula>
    </cfRule>
  </conditionalFormatting>
  <conditionalFormatting sqref="H47:H48">
    <cfRule type="containsText" priority="1862" operator="containsText" dxfId="4" text="취약">
      <formula>NOT(ISERROR(SEARCH("취약",H47)))</formula>
    </cfRule>
    <cfRule type="containsText" priority="1861" operator="containsText" dxfId="7" text="확인">
      <formula>NOT(ISERROR(SEARCH("확인",H47)))</formula>
    </cfRule>
  </conditionalFormatting>
  <conditionalFormatting sqref="H47:H49">
    <cfRule type="cellIs" priority="1787" operator="equal" dxfId="0">
      <formula>"미흡"</formula>
    </cfRule>
  </conditionalFormatting>
  <conditionalFormatting sqref="H47:H51">
    <cfRule type="containsText" priority="1778" operator="containsText" dxfId="4" text="취약">
      <formula>NOT(ISERROR(SEARCH("취약",H47)))</formula>
    </cfRule>
    <cfRule type="containsText" priority="1777" operator="containsText" dxfId="7" text="확인">
      <formula>NOT(ISERROR(SEARCH("확인",H47)))</formula>
    </cfRule>
  </conditionalFormatting>
  <conditionalFormatting sqref="H50">
    <cfRule type="containsText" priority="1799" operator="containsText" dxfId="4" text="취약">
      <formula>NOT(ISERROR(SEARCH("취약",H50)))</formula>
    </cfRule>
    <cfRule type="cellIs" priority="1800" operator="equal" dxfId="0">
      <formula>"미흡"</formula>
    </cfRule>
    <cfRule type="containsText" priority="1801" operator="containsText" dxfId="7" text="확인">
      <formula>NOT(ISERROR(SEARCH("확인",H50)))</formula>
    </cfRule>
    <cfRule type="containsText" priority="1802" operator="containsText" dxfId="4" text="취약">
      <formula>NOT(ISERROR(SEARCH("취약",H50)))</formula>
    </cfRule>
    <cfRule type="containsText" priority="1791" operator="containsText" dxfId="4" text="취약">
      <formula>NOT(ISERROR(SEARCH("취약",H50)))</formula>
    </cfRule>
    <cfRule type="containsText" priority="1790" operator="containsText" dxfId="7" text="확인">
      <formula>NOT(ISERROR(SEARCH("확인",H50)))</formula>
    </cfRule>
    <cfRule type="containsText" priority="1792" operator="containsText" dxfId="7" text="확인">
      <formula>NOT(ISERROR(SEARCH("확인",H50)))</formula>
    </cfRule>
    <cfRule type="containsText" priority="1793" operator="containsText" dxfId="4" text="취약">
      <formula>NOT(ISERROR(SEARCH("취약",H50)))</formula>
    </cfRule>
    <cfRule type="containsText" priority="1794" operator="containsText" dxfId="7" text="확인">
      <formula>NOT(ISERROR(SEARCH("확인",H50)))</formula>
    </cfRule>
    <cfRule type="containsText" priority="1795" operator="containsText" dxfId="4" text="취약">
      <formula>NOT(ISERROR(SEARCH("취약",H50)))</formula>
    </cfRule>
    <cfRule type="containsText" priority="1796" operator="containsText" dxfId="7" text="확인">
      <formula>NOT(ISERROR(SEARCH("확인",H50)))</formula>
    </cfRule>
    <cfRule type="containsText" priority="1797" operator="containsText" dxfId="4" text="취약">
      <formula>NOT(ISERROR(SEARCH("취약",H50)))</formula>
    </cfRule>
    <cfRule type="containsText" priority="1798" operator="containsText" dxfId="7" text="확인">
      <formula>NOT(ISERROR(SEARCH("확인",H50)))</formula>
    </cfRule>
  </conditionalFormatting>
  <conditionalFormatting sqref="H3:I5 H50:H51 I12 I17:I43 I45:I51">
    <cfRule type="cellIs" priority="1864" operator="equal" dxfId="1">
      <formula>"N/A"</formula>
    </cfRule>
  </conditionalFormatting>
  <conditionalFormatting sqref="H51">
    <cfRule type="containsText" priority="1775" operator="containsText" dxfId="7" text="확인">
      <formula>NOT(ISERROR(SEARCH("확인",H51)))</formula>
    </cfRule>
    <cfRule type="containsText" priority="1776" operator="containsText" dxfId="4" text="취약">
      <formula>NOT(ISERROR(SEARCH("취약",H51)))</formula>
    </cfRule>
    <cfRule type="cellIs" priority="1779" operator="equal" dxfId="0">
      <formula>"미흡"</formula>
    </cfRule>
  </conditionalFormatting>
  <conditionalFormatting sqref="F52:AI1048576 H1:AI2">
    <cfRule type="cellIs" priority="358" operator="equal" dxfId="0">
      <formula>"미흡"</formula>
    </cfRule>
  </conditionalFormatting>
  <conditionalFormatting sqref="H44:AI44">
    <cfRule type="cellIs" priority="349" operator="equal" dxfId="1">
      <formula>"N/A"</formula>
    </cfRule>
  </conditionalFormatting>
  <conditionalFormatting sqref="I3:I5">
    <cfRule type="cellIs" priority="1765" operator="equal" dxfId="4">
      <formula>"취약"</formula>
    </cfRule>
  </conditionalFormatting>
  <conditionalFormatting sqref="I3:I5 I12 I17:I51">
    <cfRule type="cellIs" priority="1618" operator="equal" dxfId="0">
      <formula>"미흡"</formula>
    </cfRule>
  </conditionalFormatting>
  <conditionalFormatting sqref="J1:J5 J8 J12:J13 J17:J1048576">
    <cfRule type="cellIs" priority="1865" operator="equal" dxfId="1">
      <formula>"N/A"</formula>
    </cfRule>
    <cfRule type="cellIs" priority="1866" operator="equal" dxfId="154">
      <formula>"인터뷰"</formula>
    </cfRule>
  </conditionalFormatting>
  <conditionalFormatting sqref="J3:J5">
    <cfRule type="cellIs" priority="2016" operator="equal" dxfId="0">
      <formula>"미흡"</formula>
    </cfRule>
  </conditionalFormatting>
  <conditionalFormatting sqref="J8">
    <cfRule type="containsText" priority="1985" operator="containsText" dxfId="7" text="확인">
      <formula>NOT(ISERROR(SEARCH("확인",J8)))</formula>
    </cfRule>
    <cfRule type="containsText" priority="1986" operator="containsText" dxfId="4" text="취약">
      <formula>NOT(ISERROR(SEARCH("취약",J8)))</formula>
    </cfRule>
    <cfRule type="cellIs" priority="1990" operator="equal" dxfId="0">
      <formula>"미흡"</formula>
    </cfRule>
    <cfRule type="containsText" priority="1991" operator="containsText" dxfId="7" text="확인">
      <formula>NOT(ISERROR(SEARCH("확인",J8)))</formula>
    </cfRule>
    <cfRule type="containsText" priority="1992" operator="containsText" dxfId="4" text="취약">
      <formula>NOT(ISERROR(SEARCH("취약",J8)))</formula>
    </cfRule>
  </conditionalFormatting>
  <conditionalFormatting sqref="J8 J12:J13 J17:J25">
    <cfRule type="cellIs" priority="1951" operator="equal" dxfId="1">
      <formula>"N/A"</formula>
    </cfRule>
  </conditionalFormatting>
  <conditionalFormatting sqref="J12">
    <cfRule type="containsText" priority="1962" operator="containsText" dxfId="4" text="취약">
      <formula>NOT(ISERROR(SEARCH("취약",J12)))</formula>
    </cfRule>
    <cfRule type="containsText" priority="1961" operator="containsText" dxfId="7" text="확인">
      <formula>NOT(ISERROR(SEARCH("확인",J12)))</formula>
    </cfRule>
    <cfRule type="containsText" priority="1968" operator="containsText" dxfId="4" text="취약">
      <formula>NOT(ISERROR(SEARCH("취약",J12)))</formula>
    </cfRule>
    <cfRule type="containsText" priority="1967" operator="containsText" dxfId="7" text="확인">
      <formula>NOT(ISERROR(SEARCH("확인",J12)))</formula>
    </cfRule>
    <cfRule type="cellIs" priority="1966" operator="equal" dxfId="0">
      <formula>"미흡"</formula>
    </cfRule>
  </conditionalFormatting>
  <conditionalFormatting sqref="J13">
    <cfRule type="cellIs" priority="1954" operator="equal" dxfId="0">
      <formula>"미흡"</formula>
    </cfRule>
    <cfRule type="containsText" priority="1953" operator="containsText" dxfId="4" text="취약">
      <formula>NOT(ISERROR(SEARCH("취약",J13)))</formula>
    </cfRule>
    <cfRule type="containsText" priority="1952" operator="containsText" dxfId="7" text="확인">
      <formula>NOT(ISERROR(SEARCH("확인",J13)))</formula>
    </cfRule>
    <cfRule type="containsText" priority="1956" operator="containsText" dxfId="4" text="취약">
      <formula>NOT(ISERROR(SEARCH("취약",J13)))</formula>
    </cfRule>
    <cfRule type="containsText" priority="1955" operator="containsText" dxfId="7" text="확인">
      <formula>NOT(ISERROR(SEARCH("확인",J13)))</formula>
    </cfRule>
  </conditionalFormatting>
  <conditionalFormatting sqref="J17">
    <cfRule type="containsText" priority="2098" operator="containsText" dxfId="7" text="확인">
      <formula>NOT(ISERROR(SEARCH("확인",J17)))</formula>
    </cfRule>
    <cfRule type="containsText" priority="2099" operator="containsText" dxfId="4" text="취약">
      <formula>NOT(ISERROR(SEARCH("취약",J17)))</formula>
    </cfRule>
    <cfRule type="cellIs" priority="2097" operator="equal" dxfId="0">
      <formula>"미흡"</formula>
    </cfRule>
    <cfRule type="containsText" priority="2095" operator="containsText" dxfId="7" text="확인">
      <formula>NOT(ISERROR(SEARCH("확인",J17)))</formula>
    </cfRule>
    <cfRule type="containsText" priority="2096" operator="containsText" dxfId="4" text="취약">
      <formula>NOT(ISERROR(SEARCH("취약",J17)))</formula>
    </cfRule>
  </conditionalFormatting>
  <conditionalFormatting sqref="J17:J18">
    <cfRule type="containsText" priority="2091" operator="containsText" dxfId="7" text="확인">
      <formula>NOT(ISERROR(SEARCH("확인",J17)))</formula>
    </cfRule>
    <cfRule type="containsText" priority="2092" operator="containsText" dxfId="4" text="취약">
      <formula>NOT(ISERROR(SEARCH("취약",J17)))</formula>
    </cfRule>
  </conditionalFormatting>
  <conditionalFormatting sqref="J18:J19">
    <cfRule type="cellIs" priority="2001" operator="equal" dxfId="0">
      <formula>"미흡"</formula>
    </cfRule>
  </conditionalFormatting>
  <conditionalFormatting sqref="J18:J20">
    <cfRule type="containsText" priority="1999" operator="containsText" dxfId="7" text="확인">
      <formula>NOT(ISERROR(SEARCH("확인",J18)))</formula>
    </cfRule>
    <cfRule type="containsText" priority="2000" operator="containsText" dxfId="4" text="취약">
      <formula>NOT(ISERROR(SEARCH("취약",J18)))</formula>
    </cfRule>
  </conditionalFormatting>
  <conditionalFormatting sqref="J20">
    <cfRule type="containsText" priority="2024" operator="containsText" dxfId="4" text="취약">
      <formula>NOT(ISERROR(SEARCH("취약",J20)))</formula>
    </cfRule>
    <cfRule type="containsText" priority="2023" operator="containsText" dxfId="7" text="확인">
      <formula>NOT(ISERROR(SEARCH("확인",J20)))</formula>
    </cfRule>
    <cfRule type="containsText" priority="2025" operator="containsText" dxfId="7" text="확인">
      <formula>NOT(ISERROR(SEARCH("확인",J20)))</formula>
    </cfRule>
    <cfRule type="containsText" priority="2026" operator="containsText" dxfId="4" text="취약">
      <formula>NOT(ISERROR(SEARCH("취약",J20)))</formula>
    </cfRule>
    <cfRule type="cellIs" priority="2027" operator="equal" dxfId="0">
      <formula>"미흡"</formula>
    </cfRule>
  </conditionalFormatting>
  <conditionalFormatting sqref="J21:J22">
    <cfRule type="cellIs" priority="1948" operator="equal" dxfId="0">
      <formula>"미흡"</formula>
    </cfRule>
    <cfRule type="containsText" priority="1949" operator="containsText" dxfId="7" text="확인">
      <formula>NOT(ISERROR(SEARCH("확인",J21)))</formula>
    </cfRule>
    <cfRule type="containsText" priority="1950" operator="containsText" dxfId="4" text="취약">
      <formula>NOT(ISERROR(SEARCH("취약",J21)))</formula>
    </cfRule>
  </conditionalFormatting>
  <conditionalFormatting sqref="J21:J23">
    <cfRule type="containsText" priority="1944" operator="containsText" dxfId="7" text="확인">
      <formula>NOT(ISERROR(SEARCH("확인",J21)))</formula>
    </cfRule>
    <cfRule type="containsText" priority="1945" operator="containsText" dxfId="4" text="취약">
      <formula>NOT(ISERROR(SEARCH("취약",J21)))</formula>
    </cfRule>
  </conditionalFormatting>
  <conditionalFormatting sqref="J23:J24">
    <cfRule type="cellIs" priority="1933" operator="equal" dxfId="0">
      <formula>"미흡"</formula>
    </cfRule>
  </conditionalFormatting>
  <conditionalFormatting sqref="J23:J28">
    <cfRule type="containsText" priority="1918" operator="containsText" dxfId="7" text="확인">
      <formula>NOT(ISERROR(SEARCH("확인",J23)))</formula>
    </cfRule>
    <cfRule type="containsText" priority="1919" operator="containsText" dxfId="4" text="취약">
      <formula>NOT(ISERROR(SEARCH("취약",J23)))</formula>
    </cfRule>
  </conditionalFormatting>
  <conditionalFormatting sqref="J25">
    <cfRule type="containsText" priority="1938" operator="containsText" dxfId="7" text="확인">
      <formula>NOT(ISERROR(SEARCH("확인",J25)))</formula>
    </cfRule>
    <cfRule type="containsText" priority="1939" operator="containsText" dxfId="4" text="취약">
      <formula>NOT(ISERROR(SEARCH("취약",J25)))</formula>
    </cfRule>
    <cfRule type="cellIs" priority="1940" operator="equal" dxfId="0">
      <formula>"미흡"</formula>
    </cfRule>
    <cfRule type="containsText" priority="1937" operator="containsText" dxfId="4" text="취약">
      <formula>NOT(ISERROR(SEARCH("취약",J25)))</formula>
    </cfRule>
    <cfRule type="containsText" priority="1936" operator="containsText" dxfId="7" text="확인">
      <formula>NOT(ISERROR(SEARCH("확인",J25)))</formula>
    </cfRule>
  </conditionalFormatting>
  <conditionalFormatting sqref="J26">
    <cfRule type="cellIs" priority="1923" operator="equal" dxfId="0">
      <formula>"미흡"</formula>
    </cfRule>
  </conditionalFormatting>
  <conditionalFormatting sqref="J27">
    <cfRule type="containsText" priority="1928" operator="containsText" dxfId="7" text="확인">
      <formula>NOT(ISERROR(SEARCH("확인",J27)))</formula>
    </cfRule>
    <cfRule type="containsText" priority="1929" operator="containsText" dxfId="4" text="취약">
      <formula>NOT(ISERROR(SEARCH("취약",J27)))</formula>
    </cfRule>
    <cfRule type="cellIs" priority="1930" operator="equal" dxfId="0">
      <formula>"미흡"</formula>
    </cfRule>
    <cfRule type="containsText" priority="1927" operator="containsText" dxfId="4" text="취약">
      <formula>NOT(ISERROR(SEARCH("취약",J27)))</formula>
    </cfRule>
    <cfRule type="containsText" priority="1926" operator="containsText" dxfId="7" text="확인">
      <formula>NOT(ISERROR(SEARCH("확인",J27)))</formula>
    </cfRule>
  </conditionalFormatting>
  <conditionalFormatting sqref="J28">
    <cfRule type="cellIs" priority="1917" operator="equal" dxfId="0">
      <formula>"미흡"</formula>
    </cfRule>
  </conditionalFormatting>
  <conditionalFormatting sqref="J28:J29">
    <cfRule type="containsText" priority="1913" operator="containsText" dxfId="7" text="확인">
      <formula>NOT(ISERROR(SEARCH("확인",J28)))</formula>
    </cfRule>
    <cfRule type="containsText" priority="1914" operator="containsText" dxfId="4" text="취약">
      <formula>NOT(ISERROR(SEARCH("취약",J28)))</formula>
    </cfRule>
  </conditionalFormatting>
  <conditionalFormatting sqref="J29">
    <cfRule type="containsText" priority="1911" operator="containsText" dxfId="4" text="취약">
      <formula>NOT(ISERROR(SEARCH("취약",J29)))</formula>
    </cfRule>
    <cfRule type="containsText" priority="1910" operator="containsText" dxfId="7" text="확인">
      <formula>NOT(ISERROR(SEARCH("확인",J29)))</formula>
    </cfRule>
    <cfRule type="cellIs" priority="1912" operator="equal" dxfId="0">
      <formula>"미흡"</formula>
    </cfRule>
  </conditionalFormatting>
  <conditionalFormatting sqref="J29:J30">
    <cfRule type="containsText" priority="1907" operator="containsText" dxfId="4" text="취약">
      <formula>NOT(ISERROR(SEARCH("취약",J29)))</formula>
    </cfRule>
    <cfRule type="containsText" priority="1906" operator="containsText" dxfId="7" text="확인">
      <formula>NOT(ISERROR(SEARCH("확인",J29)))</formula>
    </cfRule>
  </conditionalFormatting>
  <conditionalFormatting sqref="J30:J33">
    <cfRule type="containsText" priority="1901" operator="containsText" dxfId="4" text="취약">
      <formula>NOT(ISERROR(SEARCH("취약",J30)))</formula>
    </cfRule>
    <cfRule type="containsText" priority="1900" operator="containsText" dxfId="7" text="확인">
      <formula>NOT(ISERROR(SEARCH("확인",J30)))</formula>
    </cfRule>
    <cfRule type="cellIs" priority="1902" operator="equal" dxfId="0">
      <formula>"미흡"</formula>
    </cfRule>
  </conditionalFormatting>
  <conditionalFormatting sqref="J34">
    <cfRule type="containsText" priority="2082" operator="containsText" dxfId="4" text="취약">
      <formula>NOT(ISERROR(SEARCH("취약",J34)))</formula>
    </cfRule>
    <cfRule type="containsText" priority="2081" operator="containsText" dxfId="7" text="확인">
      <formula>NOT(ISERROR(SEARCH("확인",J34)))</formula>
    </cfRule>
    <cfRule type="containsText" priority="2079" operator="containsText" dxfId="7" text="확인">
      <formula>NOT(ISERROR(SEARCH("확인",J34)))</formula>
    </cfRule>
    <cfRule type="containsText" priority="2087" operator="containsText" dxfId="4" text="취약">
      <formula>NOT(ISERROR(SEARCH("취약",J34)))</formula>
    </cfRule>
    <cfRule type="containsText" priority="2086" operator="containsText" dxfId="7" text="확인">
      <formula>NOT(ISERROR(SEARCH("확인",J34)))</formula>
    </cfRule>
    <cfRule type="cellIs" priority="2085" operator="equal" dxfId="0">
      <formula>"미흡"</formula>
    </cfRule>
    <cfRule type="containsText" priority="2084" operator="containsText" dxfId="4" text="취약">
      <formula>NOT(ISERROR(SEARCH("취약",J34)))</formula>
    </cfRule>
    <cfRule type="containsText" priority="2083" operator="containsText" dxfId="7" text="확인">
      <formula>NOT(ISERROR(SEARCH("확인",J34)))</formula>
    </cfRule>
    <cfRule type="containsText" priority="2080" operator="containsText" dxfId="4" text="취약">
      <formula>NOT(ISERROR(SEARCH("취약",J34)))</formula>
    </cfRule>
  </conditionalFormatting>
  <conditionalFormatting sqref="J34:J35">
    <cfRule type="containsText" priority="2075" operator="containsText" dxfId="7" text="확인">
      <formula>NOT(ISERROR(SEARCH("확인",J34)))</formula>
    </cfRule>
    <cfRule type="containsText" priority="2076" operator="containsText" dxfId="4" text="취약">
      <formula>NOT(ISERROR(SEARCH("취약",J34)))</formula>
    </cfRule>
  </conditionalFormatting>
  <conditionalFormatting sqref="J35">
    <cfRule type="cellIs" priority="2074" operator="equal" dxfId="0">
      <formula>"미흡"</formula>
    </cfRule>
  </conditionalFormatting>
  <conditionalFormatting sqref="J35:J36">
    <cfRule type="containsText" priority="2070" operator="containsText" dxfId="7" text="확인">
      <formula>NOT(ISERROR(SEARCH("확인",J35)))</formula>
    </cfRule>
    <cfRule type="containsText" priority="2071" operator="containsText" dxfId="4" text="취약">
      <formula>NOT(ISERROR(SEARCH("취약",J35)))</formula>
    </cfRule>
  </conditionalFormatting>
  <conditionalFormatting sqref="J36">
    <cfRule type="cellIs" priority="2069" operator="equal" dxfId="0">
      <formula>"미흡"</formula>
    </cfRule>
  </conditionalFormatting>
  <conditionalFormatting sqref="J36:J37">
    <cfRule type="containsText" priority="2065" operator="containsText" dxfId="7" text="확인">
      <formula>NOT(ISERROR(SEARCH("확인",J36)))</formula>
    </cfRule>
    <cfRule type="containsText" priority="2066" operator="containsText" dxfId="4" text="취약">
      <formula>NOT(ISERROR(SEARCH("취약",J36)))</formula>
    </cfRule>
  </conditionalFormatting>
  <conditionalFormatting sqref="J37">
    <cfRule type="cellIs" priority="2064" operator="equal" dxfId="0">
      <formula>"미흡"</formula>
    </cfRule>
  </conditionalFormatting>
  <conditionalFormatting sqref="J37:J38">
    <cfRule type="containsText" priority="1897" operator="containsText" dxfId="7" text="확인">
      <formula>NOT(ISERROR(SEARCH("확인",J37)))</formula>
    </cfRule>
    <cfRule type="containsText" priority="1898" operator="containsText" dxfId="4" text="취약">
      <formula>NOT(ISERROR(SEARCH("취약",J37)))</formula>
    </cfRule>
  </conditionalFormatting>
  <conditionalFormatting sqref="J38">
    <cfRule type="cellIs" priority="1896" operator="equal" dxfId="0">
      <formula>"미흡"</formula>
    </cfRule>
  </conditionalFormatting>
  <conditionalFormatting sqref="J38:J39">
    <cfRule type="containsText" priority="1892" operator="containsText" dxfId="7" text="확인">
      <formula>NOT(ISERROR(SEARCH("확인",J38)))</formula>
    </cfRule>
    <cfRule type="containsText" priority="1893" operator="containsText" dxfId="4" text="취약">
      <formula>NOT(ISERROR(SEARCH("취약",J38)))</formula>
    </cfRule>
  </conditionalFormatting>
  <conditionalFormatting sqref="J39">
    <cfRule type="cellIs" priority="1891" operator="equal" dxfId="0">
      <formula>"미흡"</formula>
    </cfRule>
  </conditionalFormatting>
  <conditionalFormatting sqref="J39:J41">
    <cfRule type="containsText" priority="1882" operator="containsText" dxfId="4" text="취약">
      <formula>NOT(ISERROR(SEARCH("취약",J39)))</formula>
    </cfRule>
    <cfRule type="containsText" priority="1881" operator="containsText" dxfId="7" text="확인">
      <formula>NOT(ISERROR(SEARCH("확인",J39)))</formula>
    </cfRule>
  </conditionalFormatting>
  <conditionalFormatting sqref="J40">
    <cfRule type="containsText" priority="1879" operator="containsText" dxfId="4" text="취약">
      <formula>NOT(ISERROR(SEARCH("취약",J40)))</formula>
    </cfRule>
    <cfRule type="containsText" priority="1878" operator="containsText" dxfId="7" text="확인">
      <formula>NOT(ISERROR(SEARCH("확인",J40)))</formula>
    </cfRule>
    <cfRule type="cellIs" priority="1880" operator="equal" dxfId="0">
      <formula>"미흡"</formula>
    </cfRule>
  </conditionalFormatting>
  <conditionalFormatting sqref="J41">
    <cfRule type="cellIs" priority="1886" operator="equal" dxfId="0">
      <formula>"미흡"</formula>
    </cfRule>
  </conditionalFormatting>
  <conditionalFormatting sqref="J41:J42">
    <cfRule type="containsText" priority="1888" operator="containsText" dxfId="4" text="취약">
      <formula>NOT(ISERROR(SEARCH("취약",J41)))</formula>
    </cfRule>
    <cfRule type="containsText" priority="1887" operator="containsText" dxfId="7" text="확인">
      <formula>NOT(ISERROR(SEARCH("확인",J41)))</formula>
    </cfRule>
  </conditionalFormatting>
  <conditionalFormatting sqref="J42:J43">
    <cfRule type="containsText" priority="2036" operator="containsText" dxfId="4" text="취약">
      <formula>NOT(ISERROR(SEARCH("취약",J42)))</formula>
    </cfRule>
    <cfRule type="cellIs" priority="2037" operator="equal" dxfId="0">
      <formula>"미흡"</formula>
    </cfRule>
    <cfRule type="containsText" priority="2035" operator="containsText" dxfId="7" text="확인">
      <formula>NOT(ISERROR(SEARCH("확인",J42)))</formula>
    </cfRule>
  </conditionalFormatting>
  <conditionalFormatting sqref="J44">
    <cfRule type="containsText" priority="1869" operator="containsText" dxfId="4" text="취약">
      <formula>NOT(ISERROR(SEARCH("취약",J44)))</formula>
    </cfRule>
    <cfRule type="cellIs" priority="1870" operator="equal" dxfId="0">
      <formula>"미흡"</formula>
    </cfRule>
    <cfRule type="containsText" priority="1868" operator="containsText" dxfId="7" text="확인">
      <formula>NOT(ISERROR(SEARCH("확인",J44)))</formula>
    </cfRule>
  </conditionalFormatting>
  <conditionalFormatting sqref="J45:J46">
    <cfRule type="cellIs" priority="2013" operator="equal" dxfId="0">
      <formula>"미흡"</formula>
    </cfRule>
    <cfRule type="containsText" priority="2012" operator="containsText" dxfId="4" text="취약">
      <formula>NOT(ISERROR(SEARCH("취약",J45)))</formula>
    </cfRule>
    <cfRule type="containsText" priority="2011" operator="containsText" dxfId="7" text="확인">
      <formula>NOT(ISERROR(SEARCH("확인",J45)))</formula>
    </cfRule>
  </conditionalFormatting>
  <conditionalFormatting sqref="J46">
    <cfRule type="containsText" priority="2008" operator="containsText" dxfId="4" text="취약">
      <formula>NOT(ISERROR(SEARCH("취약",J46)))</formula>
    </cfRule>
    <cfRule type="containsText" priority="2010" operator="containsText" dxfId="4" text="취약">
      <formula>NOT(ISERROR(SEARCH("취약",J46)))</formula>
    </cfRule>
    <cfRule type="containsText" priority="2005" operator="containsText" dxfId="7" text="확인">
      <formula>NOT(ISERROR(SEARCH("확인",J46)))</formula>
    </cfRule>
    <cfRule type="containsText" priority="2009" operator="containsText" dxfId="7" text="확인">
      <formula>NOT(ISERROR(SEARCH("확인",J46)))</formula>
    </cfRule>
    <cfRule type="containsText" priority="2006" operator="containsText" dxfId="4" text="취약">
      <formula>NOT(ISERROR(SEARCH("취약",J46)))</formula>
    </cfRule>
    <cfRule type="containsText" priority="2007" operator="containsText" dxfId="7" text="확인">
      <formula>NOT(ISERROR(SEARCH("확인",J46)))</formula>
    </cfRule>
  </conditionalFormatting>
  <conditionalFormatting sqref="J47:J48">
    <cfRule type="containsText" priority="2115" operator="containsText" dxfId="4" text="취약">
      <formula>NOT(ISERROR(SEARCH("취약",J47)))</formula>
    </cfRule>
    <cfRule type="containsText" priority="2114" operator="containsText" dxfId="7" text="확인">
      <formula>NOT(ISERROR(SEARCH("확인",J47)))</formula>
    </cfRule>
  </conditionalFormatting>
  <conditionalFormatting sqref="J47:J49">
    <cfRule type="cellIs" priority="2040" operator="equal" dxfId="0">
      <formula>"미흡"</formula>
    </cfRule>
  </conditionalFormatting>
  <conditionalFormatting sqref="J47:J51">
    <cfRule type="containsText" priority="2030" operator="containsText" dxfId="7" text="확인">
      <formula>NOT(ISERROR(SEARCH("확인",J47)))</formula>
    </cfRule>
    <cfRule type="containsText" priority="2031" operator="containsText" dxfId="4" text="취약">
      <formula>NOT(ISERROR(SEARCH("취약",J47)))</formula>
    </cfRule>
  </conditionalFormatting>
  <conditionalFormatting sqref="J50">
    <cfRule type="containsText" priority="2050" operator="containsText" dxfId="4" text="취약">
      <formula>NOT(ISERROR(SEARCH("취약",J50)))</formula>
    </cfRule>
    <cfRule type="containsText" priority="2049" operator="containsText" dxfId="7" text="확인">
      <formula>NOT(ISERROR(SEARCH("확인",J50)))</formula>
    </cfRule>
    <cfRule type="containsText" priority="2048" operator="containsText" dxfId="4" text="취약">
      <formula>NOT(ISERROR(SEARCH("취약",J50)))</formula>
    </cfRule>
    <cfRule type="containsText" priority="2047" operator="containsText" dxfId="7" text="확인">
      <formula>NOT(ISERROR(SEARCH("확인",J50)))</formula>
    </cfRule>
    <cfRule type="containsText" priority="2046" operator="containsText" dxfId="4" text="취약">
      <formula>NOT(ISERROR(SEARCH("취약",J50)))</formula>
    </cfRule>
    <cfRule type="containsText" priority="2055" operator="containsText" dxfId="4" text="취약">
      <formula>NOT(ISERROR(SEARCH("취약",J50)))</formula>
    </cfRule>
    <cfRule type="containsText" priority="2044" operator="containsText" dxfId="4" text="취약">
      <formula>NOT(ISERROR(SEARCH("취약",J50)))</formula>
    </cfRule>
    <cfRule type="containsText" priority="2051" operator="containsText" dxfId="7" text="확인">
      <formula>NOT(ISERROR(SEARCH("확인",J50)))</formula>
    </cfRule>
    <cfRule type="containsText" priority="2054" operator="containsText" dxfId="7" text="확인">
      <formula>NOT(ISERROR(SEARCH("확인",J50)))</formula>
    </cfRule>
    <cfRule type="containsText" priority="2045" operator="containsText" dxfId="7" text="확인">
      <formula>NOT(ISERROR(SEARCH("확인",J50)))</formula>
    </cfRule>
    <cfRule type="cellIs" priority="2053" operator="equal" dxfId="0">
      <formula>"미흡"</formula>
    </cfRule>
    <cfRule type="containsText" priority="2052" operator="containsText" dxfId="4" text="취약">
      <formula>NOT(ISERROR(SEARCH("취약",J50)))</formula>
    </cfRule>
    <cfRule type="containsText" priority="2043" operator="containsText" dxfId="7" text="확인">
      <formula>NOT(ISERROR(SEARCH("확인",J50)))</formula>
    </cfRule>
  </conditionalFormatting>
  <conditionalFormatting sqref="J3:K5 J50:J51 K17:K43 K45:K51">
    <cfRule type="cellIs" priority="2117" operator="equal" dxfId="1">
      <formula>"N/A"</formula>
    </cfRule>
  </conditionalFormatting>
  <conditionalFormatting sqref="J51">
    <cfRule type="containsText" priority="2028" operator="containsText" dxfId="7" text="확인">
      <formula>NOT(ISERROR(SEARCH("확인",J51)))</formula>
    </cfRule>
    <cfRule type="cellIs" priority="2032" operator="equal" dxfId="0">
      <formula>"미흡"</formula>
    </cfRule>
    <cfRule type="containsText" priority="2029" operator="containsText" dxfId="4" text="취약">
      <formula>NOT(ISERROR(SEARCH("취약",J51)))</formula>
    </cfRule>
  </conditionalFormatting>
  <conditionalFormatting sqref="K3:K5">
    <cfRule type="cellIs" priority="2018" operator="equal" dxfId="4">
      <formula>"취약"</formula>
    </cfRule>
  </conditionalFormatting>
  <conditionalFormatting sqref="K3:K5 K17:K51">
    <cfRule type="cellIs" priority="1871" operator="equal" dxfId="0">
      <formula>"미흡"</formula>
    </cfRule>
  </conditionalFormatting>
  <conditionalFormatting sqref="L1:L5 L8 L12:L13 L17:L1048576">
    <cfRule type="cellIs" priority="2119" operator="equal" dxfId="154">
      <formula>"인터뷰"</formula>
    </cfRule>
    <cfRule type="cellIs" priority="2118" operator="equal" dxfId="1">
      <formula>"N/A"</formula>
    </cfRule>
  </conditionalFormatting>
  <conditionalFormatting sqref="L3:L5">
    <cfRule type="cellIs" priority="2269" operator="equal" dxfId="0">
      <formula>"미흡"</formula>
    </cfRule>
  </conditionalFormatting>
  <conditionalFormatting sqref="L8">
    <cfRule type="containsText" priority="2239" operator="containsText" dxfId="4" text="취약">
      <formula>NOT(ISERROR(SEARCH("취약",L8)))</formula>
    </cfRule>
    <cfRule type="containsText" priority="2238" operator="containsText" dxfId="7" text="확인">
      <formula>NOT(ISERROR(SEARCH("확인",L8)))</formula>
    </cfRule>
    <cfRule type="containsText" priority="2244" operator="containsText" dxfId="7" text="확인">
      <formula>NOT(ISERROR(SEARCH("확인",L8)))</formula>
    </cfRule>
    <cfRule type="containsText" priority="2245" operator="containsText" dxfId="4" text="취약">
      <formula>NOT(ISERROR(SEARCH("취약",L8)))</formula>
    </cfRule>
    <cfRule type="cellIs" priority="2243" operator="equal" dxfId="0">
      <formula>"미흡"</formula>
    </cfRule>
  </conditionalFormatting>
  <conditionalFormatting sqref="L8 L12:L13 L17:L25">
    <cfRule type="cellIs" priority="2204" operator="equal" dxfId="1">
      <formula>"N/A"</formula>
    </cfRule>
  </conditionalFormatting>
  <conditionalFormatting sqref="L12">
    <cfRule type="containsText" priority="2215" operator="containsText" dxfId="4" text="취약">
      <formula>NOT(ISERROR(SEARCH("취약",L12)))</formula>
    </cfRule>
    <cfRule type="containsText" priority="2214" operator="containsText" dxfId="7" text="확인">
      <formula>NOT(ISERROR(SEARCH("확인",L12)))</formula>
    </cfRule>
    <cfRule type="containsText" priority="2221" operator="containsText" dxfId="4" text="취약">
      <formula>NOT(ISERROR(SEARCH("취약",L12)))</formula>
    </cfRule>
    <cfRule type="containsText" priority="2220" operator="containsText" dxfId="7" text="확인">
      <formula>NOT(ISERROR(SEARCH("확인",L12)))</formula>
    </cfRule>
    <cfRule type="cellIs" priority="2219" operator="equal" dxfId="0">
      <formula>"미흡"</formula>
    </cfRule>
  </conditionalFormatting>
  <conditionalFormatting sqref="L13">
    <cfRule type="containsText" priority="2206" operator="containsText" dxfId="4" text="취약">
      <formula>NOT(ISERROR(SEARCH("취약",L13)))</formula>
    </cfRule>
    <cfRule type="cellIs" priority="2207" operator="equal" dxfId="0">
      <formula>"미흡"</formula>
    </cfRule>
    <cfRule type="containsText" priority="2205" operator="containsText" dxfId="7" text="확인">
      <formula>NOT(ISERROR(SEARCH("확인",L13)))</formula>
    </cfRule>
    <cfRule type="containsText" priority="2209" operator="containsText" dxfId="4" text="취약">
      <formula>NOT(ISERROR(SEARCH("취약",L13)))</formula>
    </cfRule>
    <cfRule type="containsText" priority="2208" operator="containsText" dxfId="7" text="확인">
      <formula>NOT(ISERROR(SEARCH("확인",L13)))</formula>
    </cfRule>
  </conditionalFormatting>
  <conditionalFormatting sqref="L17">
    <cfRule type="containsText" priority="2352" operator="containsText" dxfId="4" text="취약">
      <formula>NOT(ISERROR(SEARCH("취약",L17)))</formula>
    </cfRule>
    <cfRule type="containsText" priority="2351" operator="containsText" dxfId="7" text="확인">
      <formula>NOT(ISERROR(SEARCH("확인",L17)))</formula>
    </cfRule>
    <cfRule type="cellIs" priority="2350" operator="equal" dxfId="0">
      <formula>"미흡"</formula>
    </cfRule>
    <cfRule type="containsText" priority="2349" operator="containsText" dxfId="4" text="취약">
      <formula>NOT(ISERROR(SEARCH("취약",L17)))</formula>
    </cfRule>
    <cfRule type="containsText" priority="2348" operator="containsText" dxfId="7" text="확인">
      <formula>NOT(ISERROR(SEARCH("확인",L17)))</formula>
    </cfRule>
  </conditionalFormatting>
  <conditionalFormatting sqref="L17:L18">
    <cfRule type="containsText" priority="2344" operator="containsText" dxfId="7" text="확인">
      <formula>NOT(ISERROR(SEARCH("확인",L17)))</formula>
    </cfRule>
    <cfRule type="containsText" priority="2345" operator="containsText" dxfId="4" text="취약">
      <formula>NOT(ISERROR(SEARCH("취약",L17)))</formula>
    </cfRule>
  </conditionalFormatting>
  <conditionalFormatting sqref="L18:L19">
    <cfRule type="cellIs" priority="2254" operator="equal" dxfId="0">
      <formula>"미흡"</formula>
    </cfRule>
  </conditionalFormatting>
  <conditionalFormatting sqref="L18:L20">
    <cfRule type="containsText" priority="2253" operator="containsText" dxfId="4" text="취약">
      <formula>NOT(ISERROR(SEARCH("취약",L18)))</formula>
    </cfRule>
    <cfRule type="containsText" priority="2252" operator="containsText" dxfId="7" text="확인">
      <formula>NOT(ISERROR(SEARCH("확인",L18)))</formula>
    </cfRule>
  </conditionalFormatting>
  <conditionalFormatting sqref="L20">
    <cfRule type="containsText" priority="2277" operator="containsText" dxfId="4" text="취약">
      <formula>NOT(ISERROR(SEARCH("취약",L20)))</formula>
    </cfRule>
    <cfRule type="containsText" priority="2278" operator="containsText" dxfId="7" text="확인">
      <formula>NOT(ISERROR(SEARCH("확인",L20)))</formula>
    </cfRule>
    <cfRule type="containsText" priority="2279" operator="containsText" dxfId="4" text="취약">
      <formula>NOT(ISERROR(SEARCH("취약",L20)))</formula>
    </cfRule>
    <cfRule type="cellIs" priority="2280" operator="equal" dxfId="0">
      <formula>"미흡"</formula>
    </cfRule>
    <cfRule type="containsText" priority="2276" operator="containsText" dxfId="7" text="확인">
      <formula>NOT(ISERROR(SEARCH("확인",L20)))</formula>
    </cfRule>
  </conditionalFormatting>
  <conditionalFormatting sqref="L21:L22">
    <cfRule type="containsText" priority="2203" operator="containsText" dxfId="4" text="취약">
      <formula>NOT(ISERROR(SEARCH("취약",L21)))</formula>
    </cfRule>
    <cfRule type="containsText" priority="2202" operator="containsText" dxfId="7" text="확인">
      <formula>NOT(ISERROR(SEARCH("확인",L21)))</formula>
    </cfRule>
    <cfRule type="cellIs" priority="2201" operator="equal" dxfId="0">
      <formula>"미흡"</formula>
    </cfRule>
  </conditionalFormatting>
  <conditionalFormatting sqref="L21:L23">
    <cfRule type="containsText" priority="2198" operator="containsText" dxfId="4" text="취약">
      <formula>NOT(ISERROR(SEARCH("취약",L21)))</formula>
    </cfRule>
    <cfRule type="containsText" priority="2197" operator="containsText" dxfId="7" text="확인">
      <formula>NOT(ISERROR(SEARCH("확인",L21)))</formula>
    </cfRule>
  </conditionalFormatting>
  <conditionalFormatting sqref="L23:L24">
    <cfRule type="cellIs" priority="2186" operator="equal" dxfId="0">
      <formula>"미흡"</formula>
    </cfRule>
  </conditionalFormatting>
  <conditionalFormatting sqref="L23:L28">
    <cfRule type="containsText" priority="2171" operator="containsText" dxfId="7" text="확인">
      <formula>NOT(ISERROR(SEARCH("확인",L23)))</formula>
    </cfRule>
    <cfRule type="containsText" priority="2172" operator="containsText" dxfId="4" text="취약">
      <formula>NOT(ISERROR(SEARCH("취약",L23)))</formula>
    </cfRule>
  </conditionalFormatting>
  <conditionalFormatting sqref="L25">
    <cfRule type="containsText" priority="2190" operator="containsText" dxfId="4" text="취약">
      <formula>NOT(ISERROR(SEARCH("취약",L25)))</formula>
    </cfRule>
    <cfRule type="containsText" priority="2189" operator="containsText" dxfId="7" text="확인">
      <formula>NOT(ISERROR(SEARCH("확인",L25)))</formula>
    </cfRule>
    <cfRule type="cellIs" priority="2193" operator="equal" dxfId="0">
      <formula>"미흡"</formula>
    </cfRule>
    <cfRule type="containsText" priority="2192" operator="containsText" dxfId="4" text="취약">
      <formula>NOT(ISERROR(SEARCH("취약",L25)))</formula>
    </cfRule>
    <cfRule type="containsText" priority="2191" operator="containsText" dxfId="7" text="확인">
      <formula>NOT(ISERROR(SEARCH("확인",L25)))</formula>
    </cfRule>
  </conditionalFormatting>
  <conditionalFormatting sqref="L26">
    <cfRule type="cellIs" priority="2176" operator="equal" dxfId="0">
      <formula>"미흡"</formula>
    </cfRule>
  </conditionalFormatting>
  <conditionalFormatting sqref="L27">
    <cfRule type="cellIs" priority="2183" operator="equal" dxfId="0">
      <formula>"미흡"</formula>
    </cfRule>
    <cfRule type="containsText" priority="2182" operator="containsText" dxfId="4" text="취약">
      <formula>NOT(ISERROR(SEARCH("취약",L27)))</formula>
    </cfRule>
    <cfRule type="containsText" priority="2181" operator="containsText" dxfId="7" text="확인">
      <formula>NOT(ISERROR(SEARCH("확인",L27)))</formula>
    </cfRule>
    <cfRule type="containsText" priority="2180" operator="containsText" dxfId="4" text="취약">
      <formula>NOT(ISERROR(SEARCH("취약",L27)))</formula>
    </cfRule>
    <cfRule type="containsText" priority="2179" operator="containsText" dxfId="7" text="확인">
      <formula>NOT(ISERROR(SEARCH("확인",L27)))</formula>
    </cfRule>
  </conditionalFormatting>
  <conditionalFormatting sqref="L28">
    <cfRule type="cellIs" priority="2170" operator="equal" dxfId="0">
      <formula>"미흡"</formula>
    </cfRule>
  </conditionalFormatting>
  <conditionalFormatting sqref="L28:L29">
    <cfRule type="containsText" priority="2166" operator="containsText" dxfId="7" text="확인">
      <formula>NOT(ISERROR(SEARCH("확인",L28)))</formula>
    </cfRule>
    <cfRule type="containsText" priority="2167" operator="containsText" dxfId="4" text="취약">
      <formula>NOT(ISERROR(SEARCH("취약",L28)))</formula>
    </cfRule>
  </conditionalFormatting>
  <conditionalFormatting sqref="L29">
    <cfRule type="containsText" priority="2163" operator="containsText" dxfId="7" text="확인">
      <formula>NOT(ISERROR(SEARCH("확인",L29)))</formula>
    </cfRule>
    <cfRule type="containsText" priority="2164" operator="containsText" dxfId="4" text="취약">
      <formula>NOT(ISERROR(SEARCH("취약",L29)))</formula>
    </cfRule>
    <cfRule type="cellIs" priority="2165" operator="equal" dxfId="0">
      <formula>"미흡"</formula>
    </cfRule>
  </conditionalFormatting>
  <conditionalFormatting sqref="L29:L30">
    <cfRule type="containsText" priority="2160" operator="containsText" dxfId="4" text="취약">
      <formula>NOT(ISERROR(SEARCH("취약",L29)))</formula>
    </cfRule>
    <cfRule type="containsText" priority="2159" operator="containsText" dxfId="7" text="확인">
      <formula>NOT(ISERROR(SEARCH("확인",L29)))</formula>
    </cfRule>
  </conditionalFormatting>
  <conditionalFormatting sqref="L30:L33">
    <cfRule type="containsText" priority="2154" operator="containsText" dxfId="4" text="취약">
      <formula>NOT(ISERROR(SEARCH("취약",L30)))</formula>
    </cfRule>
    <cfRule type="cellIs" priority="2155" operator="equal" dxfId="0">
      <formula>"미흡"</formula>
    </cfRule>
    <cfRule type="containsText" priority="2153" operator="containsText" dxfId="7" text="확인">
      <formula>NOT(ISERROR(SEARCH("확인",L30)))</formula>
    </cfRule>
  </conditionalFormatting>
  <conditionalFormatting sqref="L34">
    <cfRule type="containsText" priority="2340" operator="containsText" dxfId="4" text="취약">
      <formula>NOT(ISERROR(SEARCH("취약",L34)))</formula>
    </cfRule>
    <cfRule type="containsText" priority="2335" operator="containsText" dxfId="4" text="취약">
      <formula>NOT(ISERROR(SEARCH("취약",L34)))</formula>
    </cfRule>
    <cfRule type="containsText" priority="2337" operator="containsText" dxfId="4" text="취약">
      <formula>NOT(ISERROR(SEARCH("취약",L34)))</formula>
    </cfRule>
    <cfRule type="containsText" priority="2336" operator="containsText" dxfId="7" text="확인">
      <formula>NOT(ISERROR(SEARCH("확인",L34)))</formula>
    </cfRule>
    <cfRule type="containsText" priority="2334" operator="containsText" dxfId="7" text="확인">
      <formula>NOT(ISERROR(SEARCH("확인",L34)))</formula>
    </cfRule>
    <cfRule type="cellIs" priority="2338" operator="equal" dxfId="0">
      <formula>"미흡"</formula>
    </cfRule>
    <cfRule type="containsText" priority="2333" operator="containsText" dxfId="4" text="취약">
      <formula>NOT(ISERROR(SEARCH("취약",L34)))</formula>
    </cfRule>
    <cfRule type="containsText" priority="2332" operator="containsText" dxfId="7" text="확인">
      <formula>NOT(ISERROR(SEARCH("확인",L34)))</formula>
    </cfRule>
    <cfRule type="containsText" priority="2339" operator="containsText" dxfId="7" text="확인">
      <formula>NOT(ISERROR(SEARCH("확인",L34)))</formula>
    </cfRule>
  </conditionalFormatting>
  <conditionalFormatting sqref="L34:L35">
    <cfRule type="containsText" priority="2329" operator="containsText" dxfId="4" text="취약">
      <formula>NOT(ISERROR(SEARCH("취약",L34)))</formula>
    </cfRule>
    <cfRule type="containsText" priority="2328" operator="containsText" dxfId="7" text="확인">
      <formula>NOT(ISERROR(SEARCH("확인",L34)))</formula>
    </cfRule>
  </conditionalFormatting>
  <conditionalFormatting sqref="L35">
    <cfRule type="cellIs" priority="2327" operator="equal" dxfId="0">
      <formula>"미흡"</formula>
    </cfRule>
  </conditionalFormatting>
  <conditionalFormatting sqref="L35:L36">
    <cfRule type="containsText" priority="2323" operator="containsText" dxfId="7" text="확인">
      <formula>NOT(ISERROR(SEARCH("확인",L35)))</formula>
    </cfRule>
    <cfRule type="containsText" priority="2324" operator="containsText" dxfId="4" text="취약">
      <formula>NOT(ISERROR(SEARCH("취약",L35)))</formula>
    </cfRule>
  </conditionalFormatting>
  <conditionalFormatting sqref="L36">
    <cfRule type="cellIs" priority="2322" operator="equal" dxfId="0">
      <formula>"미흡"</formula>
    </cfRule>
  </conditionalFormatting>
  <conditionalFormatting sqref="L36:L37">
    <cfRule type="containsText" priority="2319" operator="containsText" dxfId="4" text="취약">
      <formula>NOT(ISERROR(SEARCH("취약",L36)))</formula>
    </cfRule>
    <cfRule type="containsText" priority="2318" operator="containsText" dxfId="7" text="확인">
      <formula>NOT(ISERROR(SEARCH("확인",L36)))</formula>
    </cfRule>
  </conditionalFormatting>
  <conditionalFormatting sqref="L37">
    <cfRule type="cellIs" priority="2317" operator="equal" dxfId="0">
      <formula>"미흡"</formula>
    </cfRule>
  </conditionalFormatting>
  <conditionalFormatting sqref="L37:L38">
    <cfRule type="containsText" priority="2151" operator="containsText" dxfId="4" text="취약">
      <formula>NOT(ISERROR(SEARCH("취약",L37)))</formula>
    </cfRule>
    <cfRule type="containsText" priority="2150" operator="containsText" dxfId="7" text="확인">
      <formula>NOT(ISERROR(SEARCH("확인",L37)))</formula>
    </cfRule>
  </conditionalFormatting>
  <conditionalFormatting sqref="L38">
    <cfRule type="cellIs" priority="2149" operator="equal" dxfId="0">
      <formula>"미흡"</formula>
    </cfRule>
  </conditionalFormatting>
  <conditionalFormatting sqref="L38:L39">
    <cfRule type="containsText" priority="2146" operator="containsText" dxfId="4" text="취약">
      <formula>NOT(ISERROR(SEARCH("취약",L38)))</formula>
    </cfRule>
    <cfRule type="containsText" priority="2145" operator="containsText" dxfId="7" text="확인">
      <formula>NOT(ISERROR(SEARCH("확인",L38)))</formula>
    </cfRule>
  </conditionalFormatting>
  <conditionalFormatting sqref="L39">
    <cfRule type="cellIs" priority="2144" operator="equal" dxfId="0">
      <formula>"미흡"</formula>
    </cfRule>
  </conditionalFormatting>
  <conditionalFormatting sqref="L39:L41">
    <cfRule type="containsText" priority="2135" operator="containsText" dxfId="4" text="취약">
      <formula>NOT(ISERROR(SEARCH("취약",L39)))</formula>
    </cfRule>
    <cfRule type="containsText" priority="2134" operator="containsText" dxfId="7" text="확인">
      <formula>NOT(ISERROR(SEARCH("확인",L39)))</formula>
    </cfRule>
  </conditionalFormatting>
  <conditionalFormatting sqref="L40">
    <cfRule type="cellIs" priority="2133" operator="equal" dxfId="0">
      <formula>"미흡"</formula>
    </cfRule>
    <cfRule type="containsText" priority="2132" operator="containsText" dxfId="4" text="취약">
      <formula>NOT(ISERROR(SEARCH("취약",L40)))</formula>
    </cfRule>
    <cfRule type="containsText" priority="2131" operator="containsText" dxfId="7" text="확인">
      <formula>NOT(ISERROR(SEARCH("확인",L40)))</formula>
    </cfRule>
  </conditionalFormatting>
  <conditionalFormatting sqref="L41">
    <cfRule type="cellIs" priority="2139" operator="equal" dxfId="0">
      <formula>"미흡"</formula>
    </cfRule>
  </conditionalFormatting>
  <conditionalFormatting sqref="L41:L42">
    <cfRule type="containsText" priority="2140" operator="containsText" dxfId="7" text="확인">
      <formula>NOT(ISERROR(SEARCH("확인",L41)))</formula>
    </cfRule>
    <cfRule type="containsText" priority="2141" operator="containsText" dxfId="4" text="취약">
      <formula>NOT(ISERROR(SEARCH("취약",L41)))</formula>
    </cfRule>
  </conditionalFormatting>
  <conditionalFormatting sqref="L42:L43">
    <cfRule type="cellIs" priority="2290" operator="equal" dxfId="0">
      <formula>"미흡"</formula>
    </cfRule>
    <cfRule type="containsText" priority="2289" operator="containsText" dxfId="4" text="취약">
      <formula>NOT(ISERROR(SEARCH("취약",L42)))</formula>
    </cfRule>
    <cfRule type="containsText" priority="2288" operator="containsText" dxfId="7" text="확인">
      <formula>NOT(ISERROR(SEARCH("확인",L42)))</formula>
    </cfRule>
  </conditionalFormatting>
  <conditionalFormatting sqref="L44">
    <cfRule type="containsText" priority="2121" operator="containsText" dxfId="7" text="확인">
      <formula>NOT(ISERROR(SEARCH("확인",L44)))</formula>
    </cfRule>
    <cfRule type="containsText" priority="2122" operator="containsText" dxfId="4" text="취약">
      <formula>NOT(ISERROR(SEARCH("취약",L44)))</formula>
    </cfRule>
    <cfRule type="cellIs" priority="2123" operator="equal" dxfId="0">
      <formula>"미흡"</formula>
    </cfRule>
  </conditionalFormatting>
  <conditionalFormatting sqref="L45:L46">
    <cfRule type="containsText" priority="2265" operator="containsText" dxfId="4" text="취약">
      <formula>NOT(ISERROR(SEARCH("취약",L45)))</formula>
    </cfRule>
    <cfRule type="containsText" priority="2264" operator="containsText" dxfId="7" text="확인">
      <formula>NOT(ISERROR(SEARCH("확인",L45)))</formula>
    </cfRule>
    <cfRule type="cellIs" priority="2266" operator="equal" dxfId="0">
      <formula>"미흡"</formula>
    </cfRule>
  </conditionalFormatting>
  <conditionalFormatting sqref="L46">
    <cfRule type="containsText" priority="2263" operator="containsText" dxfId="4" text="취약">
      <formula>NOT(ISERROR(SEARCH("취약",L46)))</formula>
    </cfRule>
    <cfRule type="containsText" priority="2262" operator="containsText" dxfId="7" text="확인">
      <formula>NOT(ISERROR(SEARCH("확인",L46)))</formula>
    </cfRule>
    <cfRule type="containsText" priority="2259" operator="containsText" dxfId="4" text="취약">
      <formula>NOT(ISERROR(SEARCH("취약",L46)))</formula>
    </cfRule>
    <cfRule type="containsText" priority="2260" operator="containsText" dxfId="7" text="확인">
      <formula>NOT(ISERROR(SEARCH("확인",L46)))</formula>
    </cfRule>
    <cfRule type="containsText" priority="2261" operator="containsText" dxfId="4" text="취약">
      <formula>NOT(ISERROR(SEARCH("취약",L46)))</formula>
    </cfRule>
    <cfRule type="containsText" priority="2258" operator="containsText" dxfId="7" text="확인">
      <formula>NOT(ISERROR(SEARCH("확인",L46)))</formula>
    </cfRule>
  </conditionalFormatting>
  <conditionalFormatting sqref="L47:L48">
    <cfRule type="containsText" priority="2367" operator="containsText" dxfId="7" text="확인">
      <formula>NOT(ISERROR(SEARCH("확인",L47)))</formula>
    </cfRule>
    <cfRule type="containsText" priority="2368" operator="containsText" dxfId="4" text="취약">
      <formula>NOT(ISERROR(SEARCH("취약",L47)))</formula>
    </cfRule>
  </conditionalFormatting>
  <conditionalFormatting sqref="L47:L49">
    <cfRule type="cellIs" priority="2293" operator="equal" dxfId="0">
      <formula>"미흡"</formula>
    </cfRule>
  </conditionalFormatting>
  <conditionalFormatting sqref="L47:L51">
    <cfRule type="containsText" priority="2283" operator="containsText" dxfId="7" text="확인">
      <formula>NOT(ISERROR(SEARCH("확인",L47)))</formula>
    </cfRule>
    <cfRule type="containsText" priority="2284" operator="containsText" dxfId="4" text="취약">
      <formula>NOT(ISERROR(SEARCH("취약",L47)))</formula>
    </cfRule>
  </conditionalFormatting>
  <conditionalFormatting sqref="L50">
    <cfRule type="cellIs" priority="2306" operator="equal" dxfId="0">
      <formula>"미흡"</formula>
    </cfRule>
    <cfRule type="containsText" priority="2305" operator="containsText" dxfId="4" text="취약">
      <formula>NOT(ISERROR(SEARCH("취약",L50)))</formula>
    </cfRule>
    <cfRule type="containsText" priority="2307" operator="containsText" dxfId="7" text="확인">
      <formula>NOT(ISERROR(SEARCH("확인",L50)))</formula>
    </cfRule>
    <cfRule type="containsText" priority="2308" operator="containsText" dxfId="4" text="취약">
      <formula>NOT(ISERROR(SEARCH("취약",L50)))</formula>
    </cfRule>
    <cfRule type="containsText" priority="2303" operator="containsText" dxfId="4" text="취약">
      <formula>NOT(ISERROR(SEARCH("취약",L50)))</formula>
    </cfRule>
    <cfRule type="containsText" priority="2296" operator="containsText" dxfId="7" text="확인">
      <formula>NOT(ISERROR(SEARCH("확인",L50)))</formula>
    </cfRule>
    <cfRule type="containsText" priority="2302" operator="containsText" dxfId="7" text="확인">
      <formula>NOT(ISERROR(SEARCH("확인",L50)))</formula>
    </cfRule>
    <cfRule type="containsText" priority="2301" operator="containsText" dxfId="4" text="취약">
      <formula>NOT(ISERROR(SEARCH("취약",L50)))</formula>
    </cfRule>
    <cfRule type="containsText" priority="2300" operator="containsText" dxfId="7" text="확인">
      <formula>NOT(ISERROR(SEARCH("확인",L50)))</formula>
    </cfRule>
    <cfRule type="containsText" priority="2299" operator="containsText" dxfId="4" text="취약">
      <formula>NOT(ISERROR(SEARCH("취약",L50)))</formula>
    </cfRule>
    <cfRule type="containsText" priority="2298" operator="containsText" dxfId="7" text="확인">
      <formula>NOT(ISERROR(SEARCH("확인",L50)))</formula>
    </cfRule>
    <cfRule type="containsText" priority="2297" operator="containsText" dxfId="4" text="취약">
      <formula>NOT(ISERROR(SEARCH("취약",L50)))</formula>
    </cfRule>
    <cfRule type="containsText" priority="2304" operator="containsText" dxfId="7" text="확인">
      <formula>NOT(ISERROR(SEARCH("확인",L50)))</formula>
    </cfRule>
  </conditionalFormatting>
  <conditionalFormatting sqref="L3:M5 L50:L51 M12 M17:M43 M45:M51">
    <cfRule type="cellIs" priority="2370" operator="equal" dxfId="1">
      <formula>"N/A"</formula>
    </cfRule>
  </conditionalFormatting>
  <conditionalFormatting sqref="L51">
    <cfRule type="containsText" priority="2281" operator="containsText" dxfId="7" text="확인">
      <formula>NOT(ISERROR(SEARCH("확인",L51)))</formula>
    </cfRule>
    <cfRule type="cellIs" priority="2285" operator="equal" dxfId="0">
      <formula>"미흡"</formula>
    </cfRule>
    <cfRule type="containsText" priority="2282" operator="containsText" dxfId="4" text="취약">
      <formula>NOT(ISERROR(SEARCH("취약",L51)))</formula>
    </cfRule>
  </conditionalFormatting>
  <conditionalFormatting sqref="M3:M5">
    <cfRule type="cellIs" priority="2271" operator="equal" dxfId="4">
      <formula>"취약"</formula>
    </cfRule>
  </conditionalFormatting>
  <conditionalFormatting sqref="M3:M5 M12 M17:M51">
    <cfRule type="cellIs" priority="2124" operator="equal" dxfId="0">
      <formula>"미흡"</formula>
    </cfRule>
  </conditionalFormatting>
  <conditionalFormatting sqref="N1:N1048576">
    <cfRule type="cellIs" priority="347" operator="equal" dxfId="1">
      <formula>"N/A"</formula>
    </cfRule>
    <cfRule type="cellIs" priority="348" operator="equal" dxfId="154">
      <formula>"인터뷰"</formula>
    </cfRule>
  </conditionalFormatting>
  <conditionalFormatting sqref="N3:N6">
    <cfRule type="cellIs" priority="498" operator="equal" dxfId="0">
      <formula>"미흡"</formula>
    </cfRule>
  </conditionalFormatting>
  <conditionalFormatting sqref="N6:N8">
    <cfRule type="containsText" priority="468" operator="containsText" dxfId="4" text="취약">
      <formula>NOT(ISERROR(SEARCH("취약",N6)))</formula>
    </cfRule>
    <cfRule type="containsText" priority="467" operator="containsText" dxfId="7" text="확인">
      <formula>NOT(ISERROR(SEARCH("확인",N6)))</formula>
    </cfRule>
  </conditionalFormatting>
  <conditionalFormatting sqref="N7">
    <cfRule type="containsText" priority="464" operator="containsText" dxfId="7" text="확인">
      <formula>NOT(ISERROR(SEARCH("확인",N7)))</formula>
    </cfRule>
    <cfRule type="cellIs" priority="466" operator="equal" dxfId="0">
      <formula>"미흡"</formula>
    </cfRule>
    <cfRule type="containsText" priority="465" operator="containsText" dxfId="4" text="취약">
      <formula>NOT(ISERROR(SEARCH("취약",N7)))</formula>
    </cfRule>
  </conditionalFormatting>
  <conditionalFormatting sqref="N7:N25">
    <cfRule type="cellIs" priority="433" operator="equal" dxfId="1">
      <formula>"N/A"</formula>
    </cfRule>
  </conditionalFormatting>
  <conditionalFormatting sqref="N8">
    <cfRule type="cellIs" priority="472" operator="equal" dxfId="0">
      <formula>"미흡"</formula>
    </cfRule>
    <cfRule type="containsText" priority="473" operator="containsText" dxfId="7" text="확인">
      <formula>NOT(ISERROR(SEARCH("확인",N8)))</formula>
    </cfRule>
    <cfRule type="containsText" priority="474" operator="containsText" dxfId="4" text="취약">
      <formula>NOT(ISERROR(SEARCH("취약",N8)))</formula>
    </cfRule>
  </conditionalFormatting>
  <conditionalFormatting sqref="N9">
    <cfRule type="cellIs" priority="454" operator="equal" dxfId="0">
      <formula>"미흡"</formula>
    </cfRule>
    <cfRule type="containsText" priority="452" operator="containsText" dxfId="7" text="확인">
      <formula>NOT(ISERROR(SEARCH("확인",N9)))</formula>
    </cfRule>
    <cfRule type="containsText" priority="453" operator="containsText" dxfId="4" text="취약">
      <formula>NOT(ISERROR(SEARCH("취약",N9)))</formula>
    </cfRule>
  </conditionalFormatting>
  <conditionalFormatting sqref="N9:N10">
    <cfRule type="containsText" priority="455" operator="containsText" dxfId="7" text="확인">
      <formula>NOT(ISERROR(SEARCH("확인",N9)))</formula>
    </cfRule>
    <cfRule type="containsText" priority="456" operator="containsText" dxfId="4" text="취약">
      <formula>NOT(ISERROR(SEARCH("취약",N9)))</formula>
    </cfRule>
  </conditionalFormatting>
  <conditionalFormatting sqref="N10">
    <cfRule type="containsText" priority="461" operator="containsText" dxfId="7" text="확인">
      <formula>NOT(ISERROR(SEARCH("확인",N10)))</formula>
    </cfRule>
    <cfRule type="containsText" priority="462" operator="containsText" dxfId="4" text="취약">
      <formula>NOT(ISERROR(SEARCH("취약",N10)))</formula>
    </cfRule>
    <cfRule type="cellIs" priority="460" operator="equal" dxfId="0">
      <formula>"미흡"</formula>
    </cfRule>
  </conditionalFormatting>
  <conditionalFormatting sqref="N11">
    <cfRule type="cellIs" priority="442" operator="equal" dxfId="0">
      <formula>"미흡"</formula>
    </cfRule>
    <cfRule type="containsText" priority="441" operator="containsText" dxfId="4" text="취약">
      <formula>NOT(ISERROR(SEARCH("취약",N11)))</formula>
    </cfRule>
    <cfRule type="containsText" priority="440" operator="containsText" dxfId="7" text="확인">
      <formula>NOT(ISERROR(SEARCH("확인",N11)))</formula>
    </cfRule>
  </conditionalFormatting>
  <conditionalFormatting sqref="N11:N12">
    <cfRule type="containsText" priority="443" operator="containsText" dxfId="7" text="확인">
      <formula>NOT(ISERROR(SEARCH("확인",N11)))</formula>
    </cfRule>
    <cfRule type="containsText" priority="444" operator="containsText" dxfId="4" text="취약">
      <formula>NOT(ISERROR(SEARCH("취약",N11)))</formula>
    </cfRule>
  </conditionalFormatting>
  <conditionalFormatting sqref="N12">
    <cfRule type="cellIs" priority="448" operator="equal" dxfId="0">
      <formula>"미흡"</formula>
    </cfRule>
    <cfRule type="containsText" priority="450" operator="containsText" dxfId="4" text="취약">
      <formula>NOT(ISERROR(SEARCH("취약",N12)))</formula>
    </cfRule>
    <cfRule type="containsText" priority="449" operator="containsText" dxfId="7" text="확인">
      <formula>NOT(ISERROR(SEARCH("확인",N12)))</formula>
    </cfRule>
  </conditionalFormatting>
  <conditionalFormatting sqref="N13">
    <cfRule type="cellIs" priority="436" operator="equal" dxfId="0">
      <formula>"미흡"</formula>
    </cfRule>
    <cfRule type="containsText" priority="434" operator="containsText" dxfId="7" text="확인">
      <formula>NOT(ISERROR(SEARCH("확인",N13)))</formula>
    </cfRule>
    <cfRule type="containsText" priority="435" operator="containsText" dxfId="4" text="취약">
      <formula>NOT(ISERROR(SEARCH("취약",N13)))</formula>
    </cfRule>
  </conditionalFormatting>
  <conditionalFormatting sqref="N13:N15">
    <cfRule type="containsText" priority="438" operator="containsText" dxfId="4" text="취약">
      <formula>NOT(ISERROR(SEARCH("취약",N13)))</formula>
    </cfRule>
    <cfRule type="containsText" priority="437" operator="containsText" dxfId="7" text="확인">
      <formula>NOT(ISERROR(SEARCH("확인",N13)))</formula>
    </cfRule>
  </conditionalFormatting>
  <conditionalFormatting sqref="N14">
    <cfRule type="containsText" priority="590" operator="containsText" dxfId="7" text="확인">
      <formula>NOT(ISERROR(SEARCH("확인",N14)))</formula>
    </cfRule>
    <cfRule type="containsText" priority="591" operator="containsText" dxfId="4" text="취약">
      <formula>NOT(ISERROR(SEARCH("취약",N14)))</formula>
    </cfRule>
  </conditionalFormatting>
  <conditionalFormatting sqref="N14:N15">
    <cfRule type="cellIs" priority="486" operator="equal" dxfId="0">
      <formula>"미흡"</formula>
    </cfRule>
  </conditionalFormatting>
  <conditionalFormatting sqref="N16">
    <cfRule type="cellIs" priority="584" operator="equal" dxfId="0">
      <formula>"미흡"</formula>
    </cfRule>
    <cfRule type="containsText" priority="585" operator="containsText" dxfId="7" text="확인">
      <formula>NOT(ISERROR(SEARCH("확인",N16)))</formula>
    </cfRule>
    <cfRule type="containsText" priority="586" operator="containsText" dxfId="4" text="취약">
      <formula>NOT(ISERROR(SEARCH("취약",N16)))</formula>
    </cfRule>
  </conditionalFormatting>
  <conditionalFormatting sqref="N16:N17">
    <cfRule type="containsText" priority="580" operator="containsText" dxfId="7" text="확인">
      <formula>NOT(ISERROR(SEARCH("확인",N16)))</formula>
    </cfRule>
    <cfRule type="containsText" priority="581" operator="containsText" dxfId="4" text="취약">
      <formula>NOT(ISERROR(SEARCH("취약",N16)))</formula>
    </cfRule>
  </conditionalFormatting>
  <conditionalFormatting sqref="N17">
    <cfRule type="containsText" priority="578" operator="containsText" dxfId="4" text="취약">
      <formula>NOT(ISERROR(SEARCH("취약",N17)))</formula>
    </cfRule>
    <cfRule type="containsText" priority="577" operator="containsText" dxfId="7" text="확인">
      <formula>NOT(ISERROR(SEARCH("확인",N17)))</formula>
    </cfRule>
    <cfRule type="cellIs" priority="579" operator="equal" dxfId="0">
      <formula>"미흡"</formula>
    </cfRule>
  </conditionalFormatting>
  <conditionalFormatting sqref="N17:N18">
    <cfRule type="containsText" priority="573" operator="containsText" dxfId="7" text="확인">
      <formula>NOT(ISERROR(SEARCH("확인",N17)))</formula>
    </cfRule>
    <cfRule type="containsText" priority="574" operator="containsText" dxfId="4" text="취약">
      <formula>NOT(ISERROR(SEARCH("취약",N17)))</formula>
    </cfRule>
  </conditionalFormatting>
  <conditionalFormatting sqref="N18:N19">
    <cfRule type="cellIs" priority="483" operator="equal" dxfId="0">
      <formula>"미흡"</formula>
    </cfRule>
  </conditionalFormatting>
  <conditionalFormatting sqref="N18:N20">
    <cfRule type="containsText" priority="481" operator="containsText" dxfId="7" text="확인">
      <formula>NOT(ISERROR(SEARCH("확인",N18)))</formula>
    </cfRule>
    <cfRule type="containsText" priority="482" operator="containsText" dxfId="4" text="취약">
      <formula>NOT(ISERROR(SEARCH("취약",N18)))</formula>
    </cfRule>
  </conditionalFormatting>
  <conditionalFormatting sqref="N20">
    <cfRule type="containsText" priority="507" operator="containsText" dxfId="7" text="확인">
      <formula>NOT(ISERROR(SEARCH("확인",N20)))</formula>
    </cfRule>
    <cfRule type="containsText" priority="506" operator="containsText" dxfId="4" text="취약">
      <formula>NOT(ISERROR(SEARCH("취약",N20)))</formula>
    </cfRule>
    <cfRule type="containsText" priority="505" operator="containsText" dxfId="7" text="확인">
      <formula>NOT(ISERROR(SEARCH("확인",N20)))</formula>
    </cfRule>
    <cfRule type="cellIs" priority="509" operator="equal" dxfId="0">
      <formula>"미흡"</formula>
    </cfRule>
    <cfRule type="containsText" priority="508" operator="containsText" dxfId="4" text="취약">
      <formula>NOT(ISERROR(SEARCH("취약",N20)))</formula>
    </cfRule>
  </conditionalFormatting>
  <conditionalFormatting sqref="N21:N22">
    <cfRule type="cellIs" priority="430" operator="equal" dxfId="0">
      <formula>"미흡"</formula>
    </cfRule>
    <cfRule type="containsText" priority="431" operator="containsText" dxfId="7" text="확인">
      <formula>NOT(ISERROR(SEARCH("확인",N21)))</formula>
    </cfRule>
    <cfRule type="containsText" priority="432" operator="containsText" dxfId="4" text="취약">
      <formula>NOT(ISERROR(SEARCH("취약",N21)))</formula>
    </cfRule>
  </conditionalFormatting>
  <conditionalFormatting sqref="N21:N23">
    <cfRule type="containsText" priority="426" operator="containsText" dxfId="7" text="확인">
      <formula>NOT(ISERROR(SEARCH("확인",N21)))</formula>
    </cfRule>
    <cfRule type="containsText" priority="427" operator="containsText" dxfId="4" text="취약">
      <formula>NOT(ISERROR(SEARCH("취약",N21)))</formula>
    </cfRule>
  </conditionalFormatting>
  <conditionalFormatting sqref="N23:N24">
    <cfRule type="cellIs" priority="415" operator="equal" dxfId="0">
      <formula>"미흡"</formula>
    </cfRule>
  </conditionalFormatting>
  <conditionalFormatting sqref="N23:N28">
    <cfRule type="containsText" priority="401" operator="containsText" dxfId="4" text="취약">
      <formula>NOT(ISERROR(SEARCH("취약",N23)))</formula>
    </cfRule>
    <cfRule type="containsText" priority="400" operator="containsText" dxfId="7" text="확인">
      <formula>NOT(ISERROR(SEARCH("확인",N23)))</formula>
    </cfRule>
  </conditionalFormatting>
  <conditionalFormatting sqref="N25">
    <cfRule type="cellIs" priority="422" operator="equal" dxfId="0">
      <formula>"미흡"</formula>
    </cfRule>
    <cfRule type="containsText" priority="418" operator="containsText" dxfId="7" text="확인">
      <formula>NOT(ISERROR(SEARCH("확인",N25)))</formula>
    </cfRule>
    <cfRule type="containsText" priority="419" operator="containsText" dxfId="4" text="취약">
      <formula>NOT(ISERROR(SEARCH("취약",N25)))</formula>
    </cfRule>
    <cfRule type="containsText" priority="420" operator="containsText" dxfId="7" text="확인">
      <formula>NOT(ISERROR(SEARCH("확인",N25)))</formula>
    </cfRule>
    <cfRule type="containsText" priority="421" operator="containsText" dxfId="4" text="취약">
      <formula>NOT(ISERROR(SEARCH("취약",N25)))</formula>
    </cfRule>
  </conditionalFormatting>
  <conditionalFormatting sqref="N26">
    <cfRule type="cellIs" priority="405" operator="equal" dxfId="0">
      <formula>"미흡"</formula>
    </cfRule>
  </conditionalFormatting>
  <conditionalFormatting sqref="N27">
    <cfRule type="containsText" priority="409" operator="containsText" dxfId="4" text="취약">
      <formula>NOT(ISERROR(SEARCH("취약",N27)))</formula>
    </cfRule>
    <cfRule type="containsText" priority="408" operator="containsText" dxfId="7" text="확인">
      <formula>NOT(ISERROR(SEARCH("확인",N27)))</formula>
    </cfRule>
    <cfRule type="containsText" priority="410" operator="containsText" dxfId="7" text="확인">
      <formula>NOT(ISERROR(SEARCH("확인",N27)))</formula>
    </cfRule>
    <cfRule type="containsText" priority="411" operator="containsText" dxfId="4" text="취약">
      <formula>NOT(ISERROR(SEARCH("취약",N27)))</formula>
    </cfRule>
    <cfRule type="cellIs" priority="412" operator="equal" dxfId="0">
      <formula>"미흡"</formula>
    </cfRule>
  </conditionalFormatting>
  <conditionalFormatting sqref="N28">
    <cfRule type="cellIs" priority="399" operator="equal" dxfId="0">
      <formula>"미흡"</formula>
    </cfRule>
  </conditionalFormatting>
  <conditionalFormatting sqref="N28:N29">
    <cfRule type="containsText" priority="395" operator="containsText" dxfId="7" text="확인">
      <formula>NOT(ISERROR(SEARCH("확인",N28)))</formula>
    </cfRule>
    <cfRule type="containsText" priority="396" operator="containsText" dxfId="4" text="취약">
      <formula>NOT(ISERROR(SEARCH("취약",N28)))</formula>
    </cfRule>
  </conditionalFormatting>
  <conditionalFormatting sqref="N29">
    <cfRule type="containsText" priority="393" operator="containsText" dxfId="4" text="취약">
      <formula>NOT(ISERROR(SEARCH("취약",N29)))</formula>
    </cfRule>
    <cfRule type="cellIs" priority="394" operator="equal" dxfId="0">
      <formula>"미흡"</formula>
    </cfRule>
    <cfRule type="containsText" priority="392" operator="containsText" dxfId="7" text="확인">
      <formula>NOT(ISERROR(SEARCH("확인",N29)))</formula>
    </cfRule>
  </conditionalFormatting>
  <conditionalFormatting sqref="N29:N30">
    <cfRule type="containsText" priority="388" operator="containsText" dxfId="7" text="확인">
      <formula>NOT(ISERROR(SEARCH("확인",N29)))</formula>
    </cfRule>
    <cfRule type="containsText" priority="389" operator="containsText" dxfId="4" text="취약">
      <formula>NOT(ISERROR(SEARCH("취약",N29)))</formula>
    </cfRule>
  </conditionalFormatting>
  <conditionalFormatting sqref="N30:N33">
    <cfRule type="containsText" priority="382" operator="containsText" dxfId="7" text="확인">
      <formula>NOT(ISERROR(SEARCH("확인",N30)))</formula>
    </cfRule>
    <cfRule type="containsText" priority="383" operator="containsText" dxfId="4" text="취약">
      <formula>NOT(ISERROR(SEARCH("취약",N30)))</formula>
    </cfRule>
    <cfRule type="cellIs" priority="384" operator="equal" dxfId="0">
      <formula>"미흡"</formula>
    </cfRule>
  </conditionalFormatting>
  <conditionalFormatting sqref="N34">
    <cfRule type="cellIs" priority="567" operator="equal" dxfId="0">
      <formula>"미흡"</formula>
    </cfRule>
    <cfRule type="containsText" priority="568" operator="containsText" dxfId="7" text="확인">
      <formula>NOT(ISERROR(SEARCH("확인",N34)))</formula>
    </cfRule>
    <cfRule type="containsText" priority="569" operator="containsText" dxfId="4" text="취약">
      <formula>NOT(ISERROR(SEARCH("취약",N34)))</formula>
    </cfRule>
    <cfRule type="containsText" priority="565" operator="containsText" dxfId="7" text="확인">
      <formula>NOT(ISERROR(SEARCH("확인",N34)))</formula>
    </cfRule>
    <cfRule type="containsText" priority="564" operator="containsText" dxfId="4" text="취약">
      <formula>NOT(ISERROR(SEARCH("취약",N34)))</formula>
    </cfRule>
    <cfRule type="containsText" priority="563" operator="containsText" dxfId="7" text="확인">
      <formula>NOT(ISERROR(SEARCH("확인",N34)))</formula>
    </cfRule>
    <cfRule type="containsText" priority="562" operator="containsText" dxfId="4" text="취약">
      <formula>NOT(ISERROR(SEARCH("취약",N34)))</formula>
    </cfRule>
    <cfRule type="containsText" priority="566" operator="containsText" dxfId="4" text="취약">
      <formula>NOT(ISERROR(SEARCH("취약",N34)))</formula>
    </cfRule>
    <cfRule type="containsText" priority="561" operator="containsText" dxfId="7" text="확인">
      <formula>NOT(ISERROR(SEARCH("확인",N34)))</formula>
    </cfRule>
  </conditionalFormatting>
  <conditionalFormatting sqref="N34:N35">
    <cfRule type="containsText" priority="558" operator="containsText" dxfId="4" text="취약">
      <formula>NOT(ISERROR(SEARCH("취약",N34)))</formula>
    </cfRule>
    <cfRule type="containsText" priority="557" operator="containsText" dxfId="7" text="확인">
      <formula>NOT(ISERROR(SEARCH("확인",N34)))</formula>
    </cfRule>
  </conditionalFormatting>
  <conditionalFormatting sqref="N35">
    <cfRule type="cellIs" priority="556" operator="equal" dxfId="0">
      <formula>"미흡"</formula>
    </cfRule>
  </conditionalFormatting>
  <conditionalFormatting sqref="N35:N36">
    <cfRule type="containsText" priority="553" operator="containsText" dxfId="4" text="취약">
      <formula>NOT(ISERROR(SEARCH("취약",N35)))</formula>
    </cfRule>
    <cfRule type="containsText" priority="552" operator="containsText" dxfId="7" text="확인">
      <formula>NOT(ISERROR(SEARCH("확인",N35)))</formula>
    </cfRule>
  </conditionalFormatting>
  <conditionalFormatting sqref="N36">
    <cfRule type="cellIs" priority="551" operator="equal" dxfId="0">
      <formula>"미흡"</formula>
    </cfRule>
  </conditionalFormatting>
  <conditionalFormatting sqref="N36:N37">
    <cfRule type="containsText" priority="548" operator="containsText" dxfId="4" text="취약">
      <formula>NOT(ISERROR(SEARCH("취약",N36)))</formula>
    </cfRule>
    <cfRule type="containsText" priority="547" operator="containsText" dxfId="7" text="확인">
      <formula>NOT(ISERROR(SEARCH("확인",N36)))</formula>
    </cfRule>
  </conditionalFormatting>
  <conditionalFormatting sqref="N37">
    <cfRule type="cellIs" priority="546" operator="equal" dxfId="0">
      <formula>"미흡"</formula>
    </cfRule>
  </conditionalFormatting>
  <conditionalFormatting sqref="N37:N38">
    <cfRule type="containsText" priority="380" operator="containsText" dxfId="4" text="취약">
      <formula>NOT(ISERROR(SEARCH("취약",N37)))</formula>
    </cfRule>
    <cfRule type="containsText" priority="379" operator="containsText" dxfId="7" text="확인">
      <formula>NOT(ISERROR(SEARCH("확인",N37)))</formula>
    </cfRule>
  </conditionalFormatting>
  <conditionalFormatting sqref="N38">
    <cfRule type="cellIs" priority="378" operator="equal" dxfId="0">
      <formula>"미흡"</formula>
    </cfRule>
  </conditionalFormatting>
  <conditionalFormatting sqref="N38:N39">
    <cfRule type="containsText" priority="374" operator="containsText" dxfId="7" text="확인">
      <formula>NOT(ISERROR(SEARCH("확인",N38)))</formula>
    </cfRule>
    <cfRule type="containsText" priority="375" operator="containsText" dxfId="4" text="취약">
      <formula>NOT(ISERROR(SEARCH("취약",N38)))</formula>
    </cfRule>
  </conditionalFormatting>
  <conditionalFormatting sqref="N39">
    <cfRule type="cellIs" priority="373" operator="equal" dxfId="0">
      <formula>"미흡"</formula>
    </cfRule>
  </conditionalFormatting>
  <conditionalFormatting sqref="N39:N41">
    <cfRule type="containsText" priority="363" operator="containsText" dxfId="7" text="확인">
      <formula>NOT(ISERROR(SEARCH("확인",N39)))</formula>
    </cfRule>
    <cfRule type="containsText" priority="364" operator="containsText" dxfId="4" text="취약">
      <formula>NOT(ISERROR(SEARCH("취약",N39)))</formula>
    </cfRule>
  </conditionalFormatting>
  <conditionalFormatting sqref="N40">
    <cfRule type="cellIs" priority="362" operator="equal" dxfId="0">
      <formula>"미흡"</formula>
    </cfRule>
    <cfRule type="containsText" priority="361" operator="containsText" dxfId="4" text="취약">
      <formula>NOT(ISERROR(SEARCH("취약",N40)))</formula>
    </cfRule>
    <cfRule type="containsText" priority="360" operator="containsText" dxfId="7" text="확인">
      <formula>NOT(ISERROR(SEARCH("확인",N40)))</formula>
    </cfRule>
  </conditionalFormatting>
  <conditionalFormatting sqref="N41">
    <cfRule type="cellIs" priority="368" operator="equal" dxfId="0">
      <formula>"미흡"</formula>
    </cfRule>
  </conditionalFormatting>
  <conditionalFormatting sqref="N41:N42">
    <cfRule type="containsText" priority="369" operator="containsText" dxfId="7" text="확인">
      <formula>NOT(ISERROR(SEARCH("확인",N41)))</formula>
    </cfRule>
    <cfRule type="containsText" priority="370" operator="containsText" dxfId="4" text="취약">
      <formula>NOT(ISERROR(SEARCH("취약",N41)))</formula>
    </cfRule>
  </conditionalFormatting>
  <conditionalFormatting sqref="N42:N43">
    <cfRule type="cellIs" priority="519" operator="equal" dxfId="0">
      <formula>"미흡"</formula>
    </cfRule>
    <cfRule type="containsText" priority="518" operator="containsText" dxfId="4" text="취약">
      <formula>NOT(ISERROR(SEARCH("취약",N42)))</formula>
    </cfRule>
    <cfRule type="containsText" priority="517" operator="containsText" dxfId="7" text="확인">
      <formula>NOT(ISERROR(SEARCH("확인",N42)))</formula>
    </cfRule>
  </conditionalFormatting>
  <conditionalFormatting sqref="N44">
    <cfRule type="containsText" priority="350" operator="containsText" dxfId="7" text="확인">
      <formula>NOT(ISERROR(SEARCH("확인",N44)))</formula>
    </cfRule>
    <cfRule type="containsText" priority="351" operator="containsText" dxfId="4" text="취약">
      <formula>NOT(ISERROR(SEARCH("취약",N44)))</formula>
    </cfRule>
    <cfRule type="cellIs" priority="352" operator="equal" dxfId="0">
      <formula>"미흡"</formula>
    </cfRule>
  </conditionalFormatting>
  <conditionalFormatting sqref="N45:N46">
    <cfRule type="containsText" priority="493" operator="containsText" dxfId="7" text="확인">
      <formula>NOT(ISERROR(SEARCH("확인",N45)))</formula>
    </cfRule>
    <cfRule type="containsText" priority="494" operator="containsText" dxfId="4" text="취약">
      <formula>NOT(ISERROR(SEARCH("취약",N45)))</formula>
    </cfRule>
    <cfRule type="cellIs" priority="495" operator="equal" dxfId="0">
      <formula>"미흡"</formula>
    </cfRule>
  </conditionalFormatting>
  <conditionalFormatting sqref="N46">
    <cfRule type="containsText" priority="489" operator="containsText" dxfId="7" text="확인">
      <formula>NOT(ISERROR(SEARCH("확인",N46)))</formula>
    </cfRule>
    <cfRule type="containsText" priority="490" operator="containsText" dxfId="4" text="취약">
      <formula>NOT(ISERROR(SEARCH("취약",N46)))</formula>
    </cfRule>
    <cfRule type="containsText" priority="491" operator="containsText" dxfId="7" text="확인">
      <formula>NOT(ISERROR(SEARCH("확인",N46)))</formula>
    </cfRule>
    <cfRule type="containsText" priority="492" operator="containsText" dxfId="4" text="취약">
      <formula>NOT(ISERROR(SEARCH("취약",N46)))</formula>
    </cfRule>
    <cfRule type="containsText" priority="488" operator="containsText" dxfId="4" text="취약">
      <formula>NOT(ISERROR(SEARCH("취약",N46)))</formula>
    </cfRule>
    <cfRule type="containsText" priority="487" operator="containsText" dxfId="7" text="확인">
      <formula>NOT(ISERROR(SEARCH("확인",N46)))</formula>
    </cfRule>
  </conditionalFormatting>
  <conditionalFormatting sqref="N47:N48">
    <cfRule type="containsText" priority="597" operator="containsText" dxfId="4" text="취약">
      <formula>NOT(ISERROR(SEARCH("취약",N47)))</formula>
    </cfRule>
    <cfRule type="containsText" priority="596" operator="containsText" dxfId="7" text="확인">
      <formula>NOT(ISERROR(SEARCH("확인",N47)))</formula>
    </cfRule>
  </conditionalFormatting>
  <conditionalFormatting sqref="N47:N49">
    <cfRule type="cellIs" priority="522" operator="equal" dxfId="0">
      <formula>"미흡"</formula>
    </cfRule>
  </conditionalFormatting>
  <conditionalFormatting sqref="N47:N51">
    <cfRule type="containsText" priority="513" operator="containsText" dxfId="4" text="취약">
      <formula>NOT(ISERROR(SEARCH("취약",N47)))</formula>
    </cfRule>
    <cfRule type="containsText" priority="512" operator="containsText" dxfId="7" text="확인">
      <formula>NOT(ISERROR(SEARCH("확인",N47)))</formula>
    </cfRule>
  </conditionalFormatting>
  <conditionalFormatting sqref="N50">
    <cfRule type="containsText" priority="526" operator="containsText" dxfId="4" text="취약">
      <formula>NOT(ISERROR(SEARCH("취약",N50)))</formula>
    </cfRule>
    <cfRule type="containsText" priority="525" operator="containsText" dxfId="7" text="확인">
      <formula>NOT(ISERROR(SEARCH("확인",N50)))</formula>
    </cfRule>
    <cfRule type="containsText" priority="537" operator="containsText" dxfId="4" text="취약">
      <formula>NOT(ISERROR(SEARCH("취약",N50)))</formula>
    </cfRule>
    <cfRule type="containsText" priority="536" operator="containsText" dxfId="7" text="확인">
      <formula>NOT(ISERROR(SEARCH("확인",N50)))</formula>
    </cfRule>
    <cfRule type="cellIs" priority="535" operator="equal" dxfId="0">
      <formula>"미흡"</formula>
    </cfRule>
    <cfRule type="containsText" priority="534" operator="containsText" dxfId="4" text="취약">
      <formula>NOT(ISERROR(SEARCH("취약",N50)))</formula>
    </cfRule>
    <cfRule type="containsText" priority="533" operator="containsText" dxfId="7" text="확인">
      <formula>NOT(ISERROR(SEARCH("확인",N50)))</formula>
    </cfRule>
    <cfRule type="containsText" priority="532" operator="containsText" dxfId="4" text="취약">
      <formula>NOT(ISERROR(SEARCH("취약",N50)))</formula>
    </cfRule>
    <cfRule type="containsText" priority="531" operator="containsText" dxfId="7" text="확인">
      <formula>NOT(ISERROR(SEARCH("확인",N50)))</formula>
    </cfRule>
    <cfRule type="containsText" priority="530" operator="containsText" dxfId="4" text="취약">
      <formula>NOT(ISERROR(SEARCH("취약",N50)))</formula>
    </cfRule>
    <cfRule type="containsText" priority="529" operator="containsText" dxfId="7" text="확인">
      <formula>NOT(ISERROR(SEARCH("확인",N50)))</formula>
    </cfRule>
    <cfRule type="containsText" priority="528" operator="containsText" dxfId="4" text="취약">
      <formula>NOT(ISERROR(SEARCH("취약",N50)))</formula>
    </cfRule>
    <cfRule type="containsText" priority="527" operator="containsText" dxfId="7" text="확인">
      <formula>NOT(ISERROR(SEARCH("확인",N50)))</formula>
    </cfRule>
  </conditionalFormatting>
  <conditionalFormatting sqref="N3:O6 N50:N51 O7:O43 O45:O51">
    <cfRule type="cellIs" priority="599" operator="equal" dxfId="1">
      <formula>"N/A"</formula>
    </cfRule>
  </conditionalFormatting>
  <conditionalFormatting sqref="N51">
    <cfRule type="cellIs" priority="514" operator="equal" dxfId="0">
      <formula>"미흡"</formula>
    </cfRule>
    <cfRule type="containsText" priority="511" operator="containsText" dxfId="4" text="취약">
      <formula>NOT(ISERROR(SEARCH("취약",N51)))</formula>
    </cfRule>
    <cfRule type="containsText" priority="510" operator="containsText" dxfId="7" text="확인">
      <formula>NOT(ISERROR(SEARCH("확인",N51)))</formula>
    </cfRule>
  </conditionalFormatting>
  <conditionalFormatting sqref="O3:O5">
    <cfRule type="cellIs" priority="500" operator="equal" dxfId="4">
      <formula>"취약"</formula>
    </cfRule>
  </conditionalFormatting>
  <conditionalFormatting sqref="O3:O51">
    <cfRule type="cellIs" priority="353" operator="equal" dxfId="0">
      <formula>"미흡"</formula>
    </cfRule>
  </conditionalFormatting>
  <conditionalFormatting sqref="P1:P1048576">
    <cfRule type="cellIs" priority="600" operator="equal" dxfId="1">
      <formula>"N/A"</formula>
    </cfRule>
    <cfRule type="cellIs" priority="601" operator="equal" dxfId="154">
      <formula>"인터뷰"</formula>
    </cfRule>
  </conditionalFormatting>
  <conditionalFormatting sqref="P3:P6">
    <cfRule type="cellIs" priority="751" operator="equal" dxfId="0">
      <formula>"미흡"</formula>
    </cfRule>
  </conditionalFormatting>
  <conditionalFormatting sqref="P6:P8">
    <cfRule type="containsText" priority="720" operator="containsText" dxfId="7" text="확인">
      <formula>NOT(ISERROR(SEARCH("확인",P6)))</formula>
    </cfRule>
    <cfRule type="containsText" priority="721" operator="containsText" dxfId="4" text="취약">
      <formula>NOT(ISERROR(SEARCH("취약",P6)))</formula>
    </cfRule>
  </conditionalFormatting>
  <conditionalFormatting sqref="P7">
    <cfRule type="containsText" priority="717" operator="containsText" dxfId="7" text="확인">
      <formula>NOT(ISERROR(SEARCH("확인",P7)))</formula>
    </cfRule>
    <cfRule type="cellIs" priority="719" operator="equal" dxfId="0">
      <formula>"미흡"</formula>
    </cfRule>
    <cfRule type="containsText" priority="718" operator="containsText" dxfId="4" text="취약">
      <formula>NOT(ISERROR(SEARCH("취약",P7)))</formula>
    </cfRule>
  </conditionalFormatting>
  <conditionalFormatting sqref="P7:P25">
    <cfRule type="cellIs" priority="686" operator="equal" dxfId="1">
      <formula>"N/A"</formula>
    </cfRule>
  </conditionalFormatting>
  <conditionalFormatting sqref="P8">
    <cfRule type="containsText" priority="727" operator="containsText" dxfId="4" text="취약">
      <formula>NOT(ISERROR(SEARCH("취약",P8)))</formula>
    </cfRule>
    <cfRule type="cellIs" priority="725" operator="equal" dxfId="0">
      <formula>"미흡"</formula>
    </cfRule>
    <cfRule type="containsText" priority="726" operator="containsText" dxfId="7" text="확인">
      <formula>NOT(ISERROR(SEARCH("확인",P8)))</formula>
    </cfRule>
  </conditionalFormatting>
  <conditionalFormatting sqref="P9">
    <cfRule type="cellIs" priority="707" operator="equal" dxfId="0">
      <formula>"미흡"</formula>
    </cfRule>
    <cfRule type="containsText" priority="706" operator="containsText" dxfId="4" text="취약">
      <formula>NOT(ISERROR(SEARCH("취약",P9)))</formula>
    </cfRule>
    <cfRule type="containsText" priority="705" operator="containsText" dxfId="7" text="확인">
      <formula>NOT(ISERROR(SEARCH("확인",P9)))</formula>
    </cfRule>
  </conditionalFormatting>
  <conditionalFormatting sqref="P9:P10">
    <cfRule type="containsText" priority="709" operator="containsText" dxfId="4" text="취약">
      <formula>NOT(ISERROR(SEARCH("취약",P9)))</formula>
    </cfRule>
    <cfRule type="containsText" priority="708" operator="containsText" dxfId="7" text="확인">
      <formula>NOT(ISERROR(SEARCH("확인",P9)))</formula>
    </cfRule>
  </conditionalFormatting>
  <conditionalFormatting sqref="P10">
    <cfRule type="containsText" priority="715" operator="containsText" dxfId="4" text="취약">
      <formula>NOT(ISERROR(SEARCH("취약",P10)))</formula>
    </cfRule>
    <cfRule type="containsText" priority="714" operator="containsText" dxfId="7" text="확인">
      <formula>NOT(ISERROR(SEARCH("확인",P10)))</formula>
    </cfRule>
    <cfRule type="cellIs" priority="713" operator="equal" dxfId="0">
      <formula>"미흡"</formula>
    </cfRule>
  </conditionalFormatting>
  <conditionalFormatting sqref="P11">
    <cfRule type="containsText" priority="694" operator="containsText" dxfId="4" text="취약">
      <formula>NOT(ISERROR(SEARCH("취약",P11)))</formula>
    </cfRule>
    <cfRule type="containsText" priority="693" operator="containsText" dxfId="7" text="확인">
      <formula>NOT(ISERROR(SEARCH("확인",P11)))</formula>
    </cfRule>
    <cfRule type="cellIs" priority="695" operator="equal" dxfId="0">
      <formula>"미흡"</formula>
    </cfRule>
  </conditionalFormatting>
  <conditionalFormatting sqref="P11:P12">
    <cfRule type="containsText" priority="696" operator="containsText" dxfId="7" text="확인">
      <formula>NOT(ISERROR(SEARCH("확인",P11)))</formula>
    </cfRule>
    <cfRule type="containsText" priority="697" operator="containsText" dxfId="4" text="취약">
      <formula>NOT(ISERROR(SEARCH("취약",P11)))</formula>
    </cfRule>
  </conditionalFormatting>
  <conditionalFormatting sqref="P12">
    <cfRule type="containsText" priority="703" operator="containsText" dxfId="4" text="취약">
      <formula>NOT(ISERROR(SEARCH("취약",P12)))</formula>
    </cfRule>
    <cfRule type="containsText" priority="702" operator="containsText" dxfId="7" text="확인">
      <formula>NOT(ISERROR(SEARCH("확인",P12)))</formula>
    </cfRule>
    <cfRule type="cellIs" priority="701" operator="equal" dxfId="0">
      <formula>"미흡"</formula>
    </cfRule>
  </conditionalFormatting>
  <conditionalFormatting sqref="P13">
    <cfRule type="containsText" priority="687" operator="containsText" dxfId="7" text="확인">
      <formula>NOT(ISERROR(SEARCH("확인",P13)))</formula>
    </cfRule>
    <cfRule type="cellIs" priority="689" operator="equal" dxfId="0">
      <formula>"미흡"</formula>
    </cfRule>
    <cfRule type="containsText" priority="688" operator="containsText" dxfId="4" text="취약">
      <formula>NOT(ISERROR(SEARCH("취약",P13)))</formula>
    </cfRule>
  </conditionalFormatting>
  <conditionalFormatting sqref="P13:P15">
    <cfRule type="containsText" priority="691" operator="containsText" dxfId="4" text="취약">
      <formula>NOT(ISERROR(SEARCH("취약",P13)))</formula>
    </cfRule>
    <cfRule type="containsText" priority="690" operator="containsText" dxfId="7" text="확인">
      <formula>NOT(ISERROR(SEARCH("확인",P13)))</formula>
    </cfRule>
  </conditionalFormatting>
  <conditionalFormatting sqref="P14">
    <cfRule type="containsText" priority="843" operator="containsText" dxfId="7" text="확인">
      <formula>NOT(ISERROR(SEARCH("확인",P14)))</formula>
    </cfRule>
    <cfRule type="containsText" priority="844" operator="containsText" dxfId="4" text="취약">
      <formula>NOT(ISERROR(SEARCH("취약",P14)))</formula>
    </cfRule>
  </conditionalFormatting>
  <conditionalFormatting sqref="P14:P15">
    <cfRule type="cellIs" priority="739" operator="equal" dxfId="0">
      <formula>"미흡"</formula>
    </cfRule>
  </conditionalFormatting>
  <conditionalFormatting sqref="P16">
    <cfRule type="containsText" priority="839" operator="containsText" dxfId="4" text="취약">
      <formula>NOT(ISERROR(SEARCH("취약",P16)))</formula>
    </cfRule>
    <cfRule type="containsText" priority="838" operator="containsText" dxfId="7" text="확인">
      <formula>NOT(ISERROR(SEARCH("확인",P16)))</formula>
    </cfRule>
    <cfRule type="cellIs" priority="837" operator="equal" dxfId="0">
      <formula>"미흡"</formula>
    </cfRule>
  </conditionalFormatting>
  <conditionalFormatting sqref="P16:P17">
    <cfRule type="containsText" priority="833" operator="containsText" dxfId="7" text="확인">
      <formula>NOT(ISERROR(SEARCH("확인",P16)))</formula>
    </cfRule>
    <cfRule type="containsText" priority="834" operator="containsText" dxfId="4" text="취약">
      <formula>NOT(ISERROR(SEARCH("취약",P16)))</formula>
    </cfRule>
  </conditionalFormatting>
  <conditionalFormatting sqref="P17">
    <cfRule type="containsText" priority="831" operator="containsText" dxfId="4" text="취약">
      <formula>NOT(ISERROR(SEARCH("취약",P17)))</formula>
    </cfRule>
    <cfRule type="containsText" priority="830" operator="containsText" dxfId="7" text="확인">
      <formula>NOT(ISERROR(SEARCH("확인",P17)))</formula>
    </cfRule>
    <cfRule type="cellIs" priority="832" operator="equal" dxfId="0">
      <formula>"미흡"</formula>
    </cfRule>
  </conditionalFormatting>
  <conditionalFormatting sqref="P17:P18">
    <cfRule type="containsText" priority="826" operator="containsText" dxfId="7" text="확인">
      <formula>NOT(ISERROR(SEARCH("확인",P17)))</formula>
    </cfRule>
    <cfRule type="containsText" priority="827" operator="containsText" dxfId="4" text="취약">
      <formula>NOT(ISERROR(SEARCH("취약",P17)))</formula>
    </cfRule>
  </conditionalFormatting>
  <conditionalFormatting sqref="P18:P19">
    <cfRule type="cellIs" priority="736" operator="equal" dxfId="0">
      <formula>"미흡"</formula>
    </cfRule>
  </conditionalFormatting>
  <conditionalFormatting sqref="P18:P20">
    <cfRule type="containsText" priority="734" operator="containsText" dxfId="7" text="확인">
      <formula>NOT(ISERROR(SEARCH("확인",P18)))</formula>
    </cfRule>
    <cfRule type="containsText" priority="735" operator="containsText" dxfId="4" text="취약">
      <formula>NOT(ISERROR(SEARCH("취약",P18)))</formula>
    </cfRule>
  </conditionalFormatting>
  <conditionalFormatting sqref="P20">
    <cfRule type="containsText" priority="759" operator="containsText" dxfId="4" text="취약">
      <formula>NOT(ISERROR(SEARCH("취약",P20)))</formula>
    </cfRule>
    <cfRule type="containsText" priority="758" operator="containsText" dxfId="7" text="확인">
      <formula>NOT(ISERROR(SEARCH("확인",P20)))</formula>
    </cfRule>
    <cfRule type="containsText" priority="760" operator="containsText" dxfId="7" text="확인">
      <formula>NOT(ISERROR(SEARCH("확인",P20)))</formula>
    </cfRule>
    <cfRule type="containsText" priority="761" operator="containsText" dxfId="4" text="취약">
      <formula>NOT(ISERROR(SEARCH("취약",P20)))</formula>
    </cfRule>
    <cfRule type="cellIs" priority="762" operator="equal" dxfId="0">
      <formula>"미흡"</formula>
    </cfRule>
  </conditionalFormatting>
  <conditionalFormatting sqref="P21:P22">
    <cfRule type="containsText" priority="685" operator="containsText" dxfId="4" text="취약">
      <formula>NOT(ISERROR(SEARCH("취약",P21)))</formula>
    </cfRule>
    <cfRule type="containsText" priority="684" operator="containsText" dxfId="7" text="확인">
      <formula>NOT(ISERROR(SEARCH("확인",P21)))</formula>
    </cfRule>
    <cfRule type="cellIs" priority="683" operator="equal" dxfId="0">
      <formula>"미흡"</formula>
    </cfRule>
  </conditionalFormatting>
  <conditionalFormatting sqref="P21:P23">
    <cfRule type="containsText" priority="679" operator="containsText" dxfId="7" text="확인">
      <formula>NOT(ISERROR(SEARCH("확인",P21)))</formula>
    </cfRule>
    <cfRule type="containsText" priority="680" operator="containsText" dxfId="4" text="취약">
      <formula>NOT(ISERROR(SEARCH("취약",P21)))</formula>
    </cfRule>
  </conditionalFormatting>
  <conditionalFormatting sqref="P23:P24">
    <cfRule type="cellIs" priority="668" operator="equal" dxfId="0">
      <formula>"미흡"</formula>
    </cfRule>
  </conditionalFormatting>
  <conditionalFormatting sqref="P23:P28">
    <cfRule type="containsText" priority="653" operator="containsText" dxfId="7" text="확인">
      <formula>NOT(ISERROR(SEARCH("확인",P23)))</formula>
    </cfRule>
    <cfRule type="containsText" priority="654" operator="containsText" dxfId="4" text="취약">
      <formula>NOT(ISERROR(SEARCH("취약",P23)))</formula>
    </cfRule>
  </conditionalFormatting>
  <conditionalFormatting sqref="P25">
    <cfRule type="containsText" priority="671" operator="containsText" dxfId="7" text="확인">
      <formula>NOT(ISERROR(SEARCH("확인",P25)))</formula>
    </cfRule>
    <cfRule type="containsText" priority="672" operator="containsText" dxfId="4" text="취약">
      <formula>NOT(ISERROR(SEARCH("취약",P25)))</formula>
    </cfRule>
    <cfRule type="containsText" priority="673" operator="containsText" dxfId="7" text="확인">
      <formula>NOT(ISERROR(SEARCH("확인",P25)))</formula>
    </cfRule>
    <cfRule type="containsText" priority="674" operator="containsText" dxfId="4" text="취약">
      <formula>NOT(ISERROR(SEARCH("취약",P25)))</formula>
    </cfRule>
    <cfRule type="cellIs" priority="675" operator="equal" dxfId="0">
      <formula>"미흡"</formula>
    </cfRule>
  </conditionalFormatting>
  <conditionalFormatting sqref="P26">
    <cfRule type="cellIs" priority="658" operator="equal" dxfId="0">
      <formula>"미흡"</formula>
    </cfRule>
  </conditionalFormatting>
  <conditionalFormatting sqref="P27">
    <cfRule type="cellIs" priority="665" operator="equal" dxfId="0">
      <formula>"미흡"</formula>
    </cfRule>
    <cfRule type="containsText" priority="664" operator="containsText" dxfId="4" text="취약">
      <formula>NOT(ISERROR(SEARCH("취약",P27)))</formula>
    </cfRule>
    <cfRule type="containsText" priority="661" operator="containsText" dxfId="7" text="확인">
      <formula>NOT(ISERROR(SEARCH("확인",P27)))</formula>
    </cfRule>
    <cfRule type="containsText" priority="662" operator="containsText" dxfId="4" text="취약">
      <formula>NOT(ISERROR(SEARCH("취약",P27)))</formula>
    </cfRule>
    <cfRule type="containsText" priority="663" operator="containsText" dxfId="7" text="확인">
      <formula>NOT(ISERROR(SEARCH("확인",P27)))</formula>
    </cfRule>
  </conditionalFormatting>
  <conditionalFormatting sqref="P28">
    <cfRule type="cellIs" priority="652" operator="equal" dxfId="0">
      <formula>"미흡"</formula>
    </cfRule>
  </conditionalFormatting>
  <conditionalFormatting sqref="P28:P29">
    <cfRule type="containsText" priority="648" operator="containsText" dxfId="7" text="확인">
      <formula>NOT(ISERROR(SEARCH("확인",P28)))</formula>
    </cfRule>
    <cfRule type="containsText" priority="649" operator="containsText" dxfId="4" text="취약">
      <formula>NOT(ISERROR(SEARCH("취약",P28)))</formula>
    </cfRule>
  </conditionalFormatting>
  <conditionalFormatting sqref="P29">
    <cfRule type="cellIs" priority="647" operator="equal" dxfId="0">
      <formula>"미흡"</formula>
    </cfRule>
    <cfRule type="containsText" priority="646" operator="containsText" dxfId="4" text="취약">
      <formula>NOT(ISERROR(SEARCH("취약",P29)))</formula>
    </cfRule>
    <cfRule type="containsText" priority="645" operator="containsText" dxfId="7" text="확인">
      <formula>NOT(ISERROR(SEARCH("확인",P29)))</formula>
    </cfRule>
  </conditionalFormatting>
  <conditionalFormatting sqref="P29:P30">
    <cfRule type="containsText" priority="641" operator="containsText" dxfId="7" text="확인">
      <formula>NOT(ISERROR(SEARCH("확인",P29)))</formula>
    </cfRule>
    <cfRule type="containsText" priority="642" operator="containsText" dxfId="4" text="취약">
      <formula>NOT(ISERROR(SEARCH("취약",P29)))</formula>
    </cfRule>
  </conditionalFormatting>
  <conditionalFormatting sqref="P30:P33">
    <cfRule type="cellIs" priority="637" operator="equal" dxfId="0">
      <formula>"미흡"</formula>
    </cfRule>
    <cfRule type="containsText" priority="636" operator="containsText" dxfId="4" text="취약">
      <formula>NOT(ISERROR(SEARCH("취약",P30)))</formula>
    </cfRule>
    <cfRule type="containsText" priority="635" operator="containsText" dxfId="7" text="확인">
      <formula>NOT(ISERROR(SEARCH("확인",P30)))</formula>
    </cfRule>
  </conditionalFormatting>
  <conditionalFormatting sqref="P34">
    <cfRule type="containsText" priority="819" operator="containsText" dxfId="4" text="취약">
      <formula>NOT(ISERROR(SEARCH("취약",P34)))</formula>
    </cfRule>
    <cfRule type="containsText" priority="818" operator="containsText" dxfId="7" text="확인">
      <formula>NOT(ISERROR(SEARCH("확인",P34)))</formula>
    </cfRule>
    <cfRule type="containsText" priority="814" operator="containsText" dxfId="7" text="확인">
      <formula>NOT(ISERROR(SEARCH("확인",P34)))</formula>
    </cfRule>
    <cfRule type="containsText" priority="815" operator="containsText" dxfId="4" text="취약">
      <formula>NOT(ISERROR(SEARCH("취약",P34)))</formula>
    </cfRule>
    <cfRule type="containsText" priority="816" operator="containsText" dxfId="7" text="확인">
      <formula>NOT(ISERROR(SEARCH("확인",P34)))</formula>
    </cfRule>
    <cfRule type="containsText" priority="817" operator="containsText" dxfId="4" text="취약">
      <formula>NOT(ISERROR(SEARCH("취약",P34)))</formula>
    </cfRule>
    <cfRule type="containsText" priority="822" operator="containsText" dxfId="4" text="취약">
      <formula>NOT(ISERROR(SEARCH("취약",P34)))</formula>
    </cfRule>
    <cfRule type="containsText" priority="821" operator="containsText" dxfId="7" text="확인">
      <formula>NOT(ISERROR(SEARCH("확인",P34)))</formula>
    </cfRule>
    <cfRule type="cellIs" priority="820" operator="equal" dxfId="0">
      <formula>"미흡"</formula>
    </cfRule>
  </conditionalFormatting>
  <conditionalFormatting sqref="P34:P35">
    <cfRule type="containsText" priority="811" operator="containsText" dxfId="4" text="취약">
      <formula>NOT(ISERROR(SEARCH("취약",P34)))</formula>
    </cfRule>
    <cfRule type="containsText" priority="810" operator="containsText" dxfId="7" text="확인">
      <formula>NOT(ISERROR(SEARCH("확인",P34)))</formula>
    </cfRule>
  </conditionalFormatting>
  <conditionalFormatting sqref="P35">
    <cfRule type="cellIs" priority="809" operator="equal" dxfId="0">
      <formula>"미흡"</formula>
    </cfRule>
  </conditionalFormatting>
  <conditionalFormatting sqref="P35:P36">
    <cfRule type="containsText" priority="806" operator="containsText" dxfId="4" text="취약">
      <formula>NOT(ISERROR(SEARCH("취약",P35)))</formula>
    </cfRule>
    <cfRule type="containsText" priority="805" operator="containsText" dxfId="7" text="확인">
      <formula>NOT(ISERROR(SEARCH("확인",P35)))</formula>
    </cfRule>
  </conditionalFormatting>
  <conditionalFormatting sqref="P36">
    <cfRule type="cellIs" priority="804" operator="equal" dxfId="0">
      <formula>"미흡"</formula>
    </cfRule>
  </conditionalFormatting>
  <conditionalFormatting sqref="P36:P37">
    <cfRule type="containsText" priority="801" operator="containsText" dxfId="4" text="취약">
      <formula>NOT(ISERROR(SEARCH("취약",P36)))</formula>
    </cfRule>
    <cfRule type="containsText" priority="800" operator="containsText" dxfId="7" text="확인">
      <formula>NOT(ISERROR(SEARCH("확인",P36)))</formula>
    </cfRule>
  </conditionalFormatting>
  <conditionalFormatting sqref="P37">
    <cfRule type="cellIs" priority="799" operator="equal" dxfId="0">
      <formula>"미흡"</formula>
    </cfRule>
  </conditionalFormatting>
  <conditionalFormatting sqref="P37:P38">
    <cfRule type="containsText" priority="632" operator="containsText" dxfId="7" text="확인">
      <formula>NOT(ISERROR(SEARCH("확인",P37)))</formula>
    </cfRule>
    <cfRule type="containsText" priority="633" operator="containsText" dxfId="4" text="취약">
      <formula>NOT(ISERROR(SEARCH("취약",P37)))</formula>
    </cfRule>
  </conditionalFormatting>
  <conditionalFormatting sqref="P38">
    <cfRule type="cellIs" priority="631" operator="equal" dxfId="0">
      <formula>"미흡"</formula>
    </cfRule>
  </conditionalFormatting>
  <conditionalFormatting sqref="P38:P39">
    <cfRule type="containsText" priority="628" operator="containsText" dxfId="4" text="취약">
      <formula>NOT(ISERROR(SEARCH("취약",P38)))</formula>
    </cfRule>
    <cfRule type="containsText" priority="627" operator="containsText" dxfId="7" text="확인">
      <formula>NOT(ISERROR(SEARCH("확인",P38)))</formula>
    </cfRule>
  </conditionalFormatting>
  <conditionalFormatting sqref="P39">
    <cfRule type="cellIs" priority="626" operator="equal" dxfId="0">
      <formula>"미흡"</formula>
    </cfRule>
  </conditionalFormatting>
  <conditionalFormatting sqref="P39:P41">
    <cfRule type="containsText" priority="616" operator="containsText" dxfId="7" text="확인">
      <formula>NOT(ISERROR(SEARCH("확인",P39)))</formula>
    </cfRule>
    <cfRule type="containsText" priority="617" operator="containsText" dxfId="4" text="취약">
      <formula>NOT(ISERROR(SEARCH("취약",P39)))</formula>
    </cfRule>
  </conditionalFormatting>
  <conditionalFormatting sqref="P40">
    <cfRule type="containsText" priority="613" operator="containsText" dxfId="7" text="확인">
      <formula>NOT(ISERROR(SEARCH("확인",P40)))</formula>
    </cfRule>
    <cfRule type="containsText" priority="614" operator="containsText" dxfId="4" text="취약">
      <formula>NOT(ISERROR(SEARCH("취약",P40)))</formula>
    </cfRule>
    <cfRule type="cellIs" priority="615" operator="equal" dxfId="0">
      <formula>"미흡"</formula>
    </cfRule>
  </conditionalFormatting>
  <conditionalFormatting sqref="P41">
    <cfRule type="cellIs" priority="621" operator="equal" dxfId="0">
      <formula>"미흡"</formula>
    </cfRule>
  </conditionalFormatting>
  <conditionalFormatting sqref="P41:P42">
    <cfRule type="containsText" priority="622" operator="containsText" dxfId="7" text="확인">
      <formula>NOT(ISERROR(SEARCH("확인",P41)))</formula>
    </cfRule>
    <cfRule type="containsText" priority="623" operator="containsText" dxfId="4" text="취약">
      <formula>NOT(ISERROR(SEARCH("취약",P41)))</formula>
    </cfRule>
  </conditionalFormatting>
  <conditionalFormatting sqref="P42:P43">
    <cfRule type="containsText" priority="770" operator="containsText" dxfId="7" text="확인">
      <formula>NOT(ISERROR(SEARCH("확인",P42)))</formula>
    </cfRule>
    <cfRule type="containsText" priority="771" operator="containsText" dxfId="4" text="취약">
      <formula>NOT(ISERROR(SEARCH("취약",P42)))</formula>
    </cfRule>
    <cfRule type="cellIs" priority="772" operator="equal" dxfId="0">
      <formula>"미흡"</formula>
    </cfRule>
  </conditionalFormatting>
  <conditionalFormatting sqref="P44">
    <cfRule type="containsText" priority="603" operator="containsText" dxfId="7" text="확인">
      <formula>NOT(ISERROR(SEARCH("확인",P44)))</formula>
    </cfRule>
    <cfRule type="containsText" priority="604" operator="containsText" dxfId="4" text="취약">
      <formula>NOT(ISERROR(SEARCH("취약",P44)))</formula>
    </cfRule>
    <cfRule type="cellIs" priority="605" operator="equal" dxfId="0">
      <formula>"미흡"</formula>
    </cfRule>
  </conditionalFormatting>
  <conditionalFormatting sqref="P45:P46">
    <cfRule type="cellIs" priority="748" operator="equal" dxfId="0">
      <formula>"미흡"</formula>
    </cfRule>
    <cfRule type="containsText" priority="747" operator="containsText" dxfId="4" text="취약">
      <formula>NOT(ISERROR(SEARCH("취약",P45)))</formula>
    </cfRule>
    <cfRule type="containsText" priority="746" operator="containsText" dxfId="7" text="확인">
      <formula>NOT(ISERROR(SEARCH("확인",P45)))</formula>
    </cfRule>
  </conditionalFormatting>
  <conditionalFormatting sqref="P46">
    <cfRule type="containsText" priority="745" operator="containsText" dxfId="4" text="취약">
      <formula>NOT(ISERROR(SEARCH("취약",P46)))</formula>
    </cfRule>
    <cfRule type="containsText" priority="741" operator="containsText" dxfId="4" text="취약">
      <formula>NOT(ISERROR(SEARCH("취약",P46)))</formula>
    </cfRule>
    <cfRule type="containsText" priority="740" operator="containsText" dxfId="7" text="확인">
      <formula>NOT(ISERROR(SEARCH("확인",P46)))</formula>
    </cfRule>
    <cfRule type="containsText" priority="742" operator="containsText" dxfId="7" text="확인">
      <formula>NOT(ISERROR(SEARCH("확인",P46)))</formula>
    </cfRule>
    <cfRule type="containsText" priority="743" operator="containsText" dxfId="4" text="취약">
      <formula>NOT(ISERROR(SEARCH("취약",P46)))</formula>
    </cfRule>
    <cfRule type="containsText" priority="744" operator="containsText" dxfId="7" text="확인">
      <formula>NOT(ISERROR(SEARCH("확인",P46)))</formula>
    </cfRule>
  </conditionalFormatting>
  <conditionalFormatting sqref="P47:P48">
    <cfRule type="containsText" priority="849" operator="containsText" dxfId="7" text="확인">
      <formula>NOT(ISERROR(SEARCH("확인",P47)))</formula>
    </cfRule>
    <cfRule type="containsText" priority="850" operator="containsText" dxfId="4" text="취약">
      <formula>NOT(ISERROR(SEARCH("취약",P47)))</formula>
    </cfRule>
  </conditionalFormatting>
  <conditionalFormatting sqref="P47:P49">
    <cfRule type="cellIs" priority="775" operator="equal" dxfId="0">
      <formula>"미흡"</formula>
    </cfRule>
  </conditionalFormatting>
  <conditionalFormatting sqref="P47:P51">
    <cfRule type="containsText" priority="765" operator="containsText" dxfId="7" text="확인">
      <formula>NOT(ISERROR(SEARCH("확인",P47)))</formula>
    </cfRule>
    <cfRule type="containsText" priority="766" operator="containsText" dxfId="4" text="취약">
      <formula>NOT(ISERROR(SEARCH("취약",P47)))</formula>
    </cfRule>
  </conditionalFormatting>
  <conditionalFormatting sqref="P50">
    <cfRule type="containsText" priority="778" operator="containsText" dxfId="7" text="확인">
      <formula>NOT(ISERROR(SEARCH("확인",P50)))</formula>
    </cfRule>
    <cfRule type="containsText" priority="779" operator="containsText" dxfId="4" text="취약">
      <formula>NOT(ISERROR(SEARCH("취약",P50)))</formula>
    </cfRule>
    <cfRule type="containsText" priority="780" operator="containsText" dxfId="7" text="확인">
      <formula>NOT(ISERROR(SEARCH("확인",P50)))</formula>
    </cfRule>
    <cfRule type="containsText" priority="782" operator="containsText" dxfId="7" text="확인">
      <formula>NOT(ISERROR(SEARCH("확인",P50)))</formula>
    </cfRule>
    <cfRule type="containsText" priority="783" operator="containsText" dxfId="4" text="취약">
      <formula>NOT(ISERROR(SEARCH("취약",P50)))</formula>
    </cfRule>
    <cfRule type="containsText" priority="784" operator="containsText" dxfId="7" text="확인">
      <formula>NOT(ISERROR(SEARCH("확인",P50)))</formula>
    </cfRule>
    <cfRule type="containsText" priority="785" operator="containsText" dxfId="4" text="취약">
      <formula>NOT(ISERROR(SEARCH("취약",P50)))</formula>
    </cfRule>
    <cfRule type="containsText" priority="786" operator="containsText" dxfId="7" text="확인">
      <formula>NOT(ISERROR(SEARCH("확인",P50)))</formula>
    </cfRule>
    <cfRule type="containsText" priority="787" operator="containsText" dxfId="4" text="취약">
      <formula>NOT(ISERROR(SEARCH("취약",P50)))</formula>
    </cfRule>
    <cfRule type="cellIs" priority="788" operator="equal" dxfId="0">
      <formula>"미흡"</formula>
    </cfRule>
    <cfRule type="containsText" priority="781" operator="containsText" dxfId="4" text="취약">
      <formula>NOT(ISERROR(SEARCH("취약",P50)))</formula>
    </cfRule>
    <cfRule type="containsText" priority="789" operator="containsText" dxfId="7" text="확인">
      <formula>NOT(ISERROR(SEARCH("확인",P50)))</formula>
    </cfRule>
    <cfRule type="containsText" priority="790" operator="containsText" dxfId="4" text="취약">
      <formula>NOT(ISERROR(SEARCH("취약",P50)))</formula>
    </cfRule>
  </conditionalFormatting>
  <conditionalFormatting sqref="P3:Q6 P50:P51 Q7:Q43 Q45:Q51">
    <cfRule type="cellIs" priority="852" operator="equal" dxfId="1">
      <formula>"N/A"</formula>
    </cfRule>
  </conditionalFormatting>
  <conditionalFormatting sqref="P51">
    <cfRule type="containsText" priority="764" operator="containsText" dxfId="4" text="취약">
      <formula>NOT(ISERROR(SEARCH("취약",P51)))</formula>
    </cfRule>
    <cfRule type="cellIs" priority="767" operator="equal" dxfId="0">
      <formula>"미흡"</formula>
    </cfRule>
    <cfRule type="containsText" priority="763" operator="containsText" dxfId="7" text="확인">
      <formula>NOT(ISERROR(SEARCH("확인",P51)))</formula>
    </cfRule>
  </conditionalFormatting>
  <conditionalFormatting sqref="Q3:Q5">
    <cfRule type="cellIs" priority="753" operator="equal" dxfId="4">
      <formula>"취약"</formula>
    </cfRule>
  </conditionalFormatting>
  <conditionalFormatting sqref="Q3:Q51">
    <cfRule type="cellIs" priority="606" operator="equal" dxfId="0">
      <formula>"미흡"</formula>
    </cfRule>
  </conditionalFormatting>
  <conditionalFormatting sqref="R1:R1048576">
    <cfRule type="cellIs" priority="2" operator="equal" dxfId="154">
      <formula>"인터뷰"</formula>
    </cfRule>
  </conditionalFormatting>
  <conditionalFormatting sqref="R3:R6">
    <cfRule type="cellIs" priority="93" operator="equal" dxfId="0">
      <formula>"미흡"</formula>
    </cfRule>
  </conditionalFormatting>
  <conditionalFormatting sqref="R3:R1048576">
    <cfRule type="cellIs" priority="1" operator="equal" dxfId="1">
      <formula>"N/A"</formula>
    </cfRule>
  </conditionalFormatting>
  <conditionalFormatting sqref="R6:R8">
    <cfRule type="containsText" priority="76" operator="containsText" dxfId="4" text="취약">
      <formula>NOT(ISERROR(SEARCH("취약",R6)))</formula>
    </cfRule>
    <cfRule type="containsText" priority="75" operator="containsText" dxfId="7" text="확인">
      <formula>NOT(ISERROR(SEARCH("확인",R6)))</formula>
    </cfRule>
  </conditionalFormatting>
  <conditionalFormatting sqref="R7">
    <cfRule type="cellIs" priority="74" operator="equal" dxfId="0">
      <formula>"미흡"</formula>
    </cfRule>
    <cfRule type="containsText" priority="73" operator="containsText" dxfId="4" text="취약">
      <formula>NOT(ISERROR(SEARCH("취약",R7)))</formula>
    </cfRule>
    <cfRule type="containsText" priority="72" operator="containsText" dxfId="7" text="확인">
      <formula>NOT(ISERROR(SEARCH("확인",R7)))</formula>
    </cfRule>
  </conditionalFormatting>
  <conditionalFormatting sqref="R7:R25">
    <cfRule type="cellIs" priority="50" operator="equal" dxfId="1">
      <formula>"N/A"</formula>
    </cfRule>
  </conditionalFormatting>
  <conditionalFormatting sqref="R8">
    <cfRule type="containsText" priority="79" operator="containsText" dxfId="4" text="취약">
      <formula>NOT(ISERROR(SEARCH("취약",R8)))</formula>
    </cfRule>
    <cfRule type="cellIs" priority="77" operator="equal" dxfId="0">
      <formula>"미흡"</formula>
    </cfRule>
    <cfRule type="containsText" priority="78" operator="containsText" dxfId="7" text="확인">
      <formula>NOT(ISERROR(SEARCH("확인",R8)))</formula>
    </cfRule>
  </conditionalFormatting>
  <conditionalFormatting sqref="R9">
    <cfRule type="containsText" priority="64" operator="containsText" dxfId="7" text="확인">
      <formula>NOT(ISERROR(SEARCH("확인",R9)))</formula>
    </cfRule>
    <cfRule type="containsText" priority="65" operator="containsText" dxfId="4" text="취약">
      <formula>NOT(ISERROR(SEARCH("취약",R9)))</formula>
    </cfRule>
    <cfRule type="cellIs" priority="66" operator="equal" dxfId="0">
      <formula>"미흡"</formula>
    </cfRule>
  </conditionalFormatting>
  <conditionalFormatting sqref="R9:R10">
    <cfRule type="containsText" priority="67" operator="containsText" dxfId="7" text="확인">
      <formula>NOT(ISERROR(SEARCH("확인",R9)))</formula>
    </cfRule>
    <cfRule type="containsText" priority="68" operator="containsText" dxfId="4" text="취약">
      <formula>NOT(ISERROR(SEARCH("취약",R9)))</formula>
    </cfRule>
  </conditionalFormatting>
  <conditionalFormatting sqref="R10">
    <cfRule type="containsText" priority="71" operator="containsText" dxfId="4" text="취약">
      <formula>NOT(ISERROR(SEARCH("취약",R10)))</formula>
    </cfRule>
    <cfRule type="cellIs" priority="69" operator="equal" dxfId="0">
      <formula>"미흡"</formula>
    </cfRule>
    <cfRule type="containsText" priority="70" operator="containsText" dxfId="7" text="확인">
      <formula>NOT(ISERROR(SEARCH("확인",R10)))</formula>
    </cfRule>
  </conditionalFormatting>
  <conditionalFormatting sqref="R11">
    <cfRule type="cellIs" priority="58" operator="equal" dxfId="0">
      <formula>"미흡"</formula>
    </cfRule>
    <cfRule type="containsText" priority="57" operator="containsText" dxfId="4" text="취약">
      <formula>NOT(ISERROR(SEARCH("취약",R11)))</formula>
    </cfRule>
    <cfRule type="containsText" priority="56" operator="containsText" dxfId="7" text="확인">
      <formula>NOT(ISERROR(SEARCH("확인",R11)))</formula>
    </cfRule>
  </conditionalFormatting>
  <conditionalFormatting sqref="R11:R12">
    <cfRule type="containsText" priority="60" operator="containsText" dxfId="4" text="취약">
      <formula>NOT(ISERROR(SEARCH("취약",R11)))</formula>
    </cfRule>
    <cfRule type="containsText" priority="59" operator="containsText" dxfId="7" text="확인">
      <formula>NOT(ISERROR(SEARCH("확인",R11)))</formula>
    </cfRule>
  </conditionalFormatting>
  <conditionalFormatting sqref="R12">
    <cfRule type="containsText" priority="63" operator="containsText" dxfId="4" text="취약">
      <formula>NOT(ISERROR(SEARCH("취약",R12)))</formula>
    </cfRule>
    <cfRule type="containsText" priority="62" operator="containsText" dxfId="7" text="확인">
      <formula>NOT(ISERROR(SEARCH("확인",R12)))</formula>
    </cfRule>
    <cfRule type="cellIs" priority="61" operator="equal" dxfId="0">
      <formula>"미흡"</formula>
    </cfRule>
  </conditionalFormatting>
  <conditionalFormatting sqref="R13">
    <cfRule type="cellIs" priority="53" operator="equal" dxfId="0">
      <formula>"미흡"</formula>
    </cfRule>
    <cfRule type="containsText" priority="52" operator="containsText" dxfId="4" text="취약">
      <formula>NOT(ISERROR(SEARCH("취약",R13)))</formula>
    </cfRule>
    <cfRule type="containsText" priority="51" operator="containsText" dxfId="7" text="확인">
      <formula>NOT(ISERROR(SEARCH("확인",R13)))</formula>
    </cfRule>
  </conditionalFormatting>
  <conditionalFormatting sqref="R13:R15">
    <cfRule type="containsText" priority="54" operator="containsText" dxfId="7" text="확인">
      <formula>NOT(ISERROR(SEARCH("확인",R13)))</formula>
    </cfRule>
    <cfRule type="containsText" priority="55" operator="containsText" dxfId="4" text="취약">
      <formula>NOT(ISERROR(SEARCH("취약",R13)))</formula>
    </cfRule>
  </conditionalFormatting>
  <conditionalFormatting sqref="R14">
    <cfRule type="containsText" priority="150" operator="containsText" dxfId="4" text="취약">
      <formula>NOT(ISERROR(SEARCH("취약",R14)))</formula>
    </cfRule>
    <cfRule type="containsText" priority="149" operator="containsText" dxfId="7" text="확인">
      <formula>NOT(ISERROR(SEARCH("확인",R14)))</formula>
    </cfRule>
  </conditionalFormatting>
  <conditionalFormatting sqref="R14:R15">
    <cfRule type="cellIs" priority="83" operator="equal" dxfId="0">
      <formula>"미흡"</formula>
    </cfRule>
  </conditionalFormatting>
  <conditionalFormatting sqref="R16">
    <cfRule type="cellIs" priority="146" operator="equal" dxfId="0">
      <formula>"미흡"</formula>
    </cfRule>
    <cfRule type="containsText" priority="147" operator="containsText" dxfId="7" text="확인">
      <formula>NOT(ISERROR(SEARCH("확인",R16)))</formula>
    </cfRule>
    <cfRule type="containsText" priority="148" operator="containsText" dxfId="4" text="취약">
      <formula>NOT(ISERROR(SEARCH("취약",R16)))</formula>
    </cfRule>
  </conditionalFormatting>
  <conditionalFormatting sqref="R16:R17">
    <cfRule type="containsText" priority="144" operator="containsText" dxfId="7" text="확인">
      <formula>NOT(ISERROR(SEARCH("확인",R16)))</formula>
    </cfRule>
    <cfRule type="containsText" priority="145" operator="containsText" dxfId="4" text="취약">
      <formula>NOT(ISERROR(SEARCH("취약",R16)))</formula>
    </cfRule>
  </conditionalFormatting>
  <conditionalFormatting sqref="R17">
    <cfRule type="cellIs" priority="143" operator="equal" dxfId="0">
      <formula>"미흡"</formula>
    </cfRule>
    <cfRule type="containsText" priority="142" operator="containsText" dxfId="4" text="취약">
      <formula>NOT(ISERROR(SEARCH("취약",R17)))</formula>
    </cfRule>
    <cfRule type="containsText" priority="141" operator="containsText" dxfId="7" text="확인">
      <formula>NOT(ISERROR(SEARCH("확인",R17)))</formula>
    </cfRule>
  </conditionalFormatting>
  <conditionalFormatting sqref="R17:R18">
    <cfRule type="containsText" priority="140" operator="containsText" dxfId="4" text="취약">
      <formula>NOT(ISERROR(SEARCH("취약",R17)))</formula>
    </cfRule>
    <cfRule type="containsText" priority="139" operator="containsText" dxfId="7" text="확인">
      <formula>NOT(ISERROR(SEARCH("확인",R17)))</formula>
    </cfRule>
  </conditionalFormatting>
  <conditionalFormatting sqref="R18:R19">
    <cfRule type="cellIs" priority="82" operator="equal" dxfId="0">
      <formula>"미흡"</formula>
    </cfRule>
  </conditionalFormatting>
  <conditionalFormatting sqref="R18:R20">
    <cfRule type="containsText" priority="80" operator="containsText" dxfId="7" text="확인">
      <formula>NOT(ISERROR(SEARCH("확인",R18)))</formula>
    </cfRule>
    <cfRule type="containsText" priority="81" operator="containsText" dxfId="4" text="취약">
      <formula>NOT(ISERROR(SEARCH("취약",R18)))</formula>
    </cfRule>
  </conditionalFormatting>
  <conditionalFormatting sqref="R20">
    <cfRule type="containsText" priority="95" operator="containsText" dxfId="4" text="취약">
      <formula>NOT(ISERROR(SEARCH("취약",R20)))</formula>
    </cfRule>
    <cfRule type="containsText" priority="96" operator="containsText" dxfId="7" text="확인">
      <formula>NOT(ISERROR(SEARCH("확인",R20)))</formula>
    </cfRule>
    <cfRule type="containsText" priority="97" operator="containsText" dxfId="4" text="취약">
      <formula>NOT(ISERROR(SEARCH("취약",R20)))</formula>
    </cfRule>
    <cfRule type="cellIs" priority="98" operator="equal" dxfId="0">
      <formula>"미흡"</formula>
    </cfRule>
    <cfRule type="containsText" priority="94" operator="containsText" dxfId="7" text="확인">
      <formula>NOT(ISERROR(SEARCH("확인",R20)))</formula>
    </cfRule>
  </conditionalFormatting>
  <conditionalFormatting sqref="R21:R22">
    <cfRule type="containsText" priority="48" operator="containsText" dxfId="7" text="확인">
      <formula>NOT(ISERROR(SEARCH("확인",R21)))</formula>
    </cfRule>
    <cfRule type="containsText" priority="49" operator="containsText" dxfId="4" text="취약">
      <formula>NOT(ISERROR(SEARCH("취약",R21)))</formula>
    </cfRule>
    <cfRule type="cellIs" priority="47" operator="equal" dxfId="0">
      <formula>"미흡"</formula>
    </cfRule>
  </conditionalFormatting>
  <conditionalFormatting sqref="R21:R23">
    <cfRule type="containsText" priority="45" operator="containsText" dxfId="7" text="확인">
      <formula>NOT(ISERROR(SEARCH("확인",R21)))</formula>
    </cfRule>
    <cfRule type="containsText" priority="46" operator="containsText" dxfId="4" text="취약">
      <formula>NOT(ISERROR(SEARCH("취약",R21)))</formula>
    </cfRule>
  </conditionalFormatting>
  <conditionalFormatting sqref="R23:R24">
    <cfRule type="cellIs" priority="39" operator="equal" dxfId="0">
      <formula>"미흡"</formula>
    </cfRule>
  </conditionalFormatting>
  <conditionalFormatting sqref="R23:R28">
    <cfRule type="containsText" priority="32" operator="containsText" dxfId="4" text="취약">
      <formula>NOT(ISERROR(SEARCH("취약",R23)))</formula>
    </cfRule>
    <cfRule type="containsText" priority="31" operator="containsText" dxfId="7" text="확인">
      <formula>NOT(ISERROR(SEARCH("확인",R23)))</formula>
    </cfRule>
  </conditionalFormatting>
  <conditionalFormatting sqref="R25">
    <cfRule type="containsText" priority="43" operator="containsText" dxfId="4" text="취약">
      <formula>NOT(ISERROR(SEARCH("취약",R25)))</formula>
    </cfRule>
    <cfRule type="containsText" priority="42" operator="containsText" dxfId="7" text="확인">
      <formula>NOT(ISERROR(SEARCH("확인",R25)))</formula>
    </cfRule>
    <cfRule type="containsText" priority="41" operator="containsText" dxfId="4" text="취약">
      <formula>NOT(ISERROR(SEARCH("취약",R25)))</formula>
    </cfRule>
    <cfRule type="containsText" priority="40" operator="containsText" dxfId="7" text="확인">
      <formula>NOT(ISERROR(SEARCH("확인",R25)))</formula>
    </cfRule>
    <cfRule type="cellIs" priority="44" operator="equal" dxfId="0">
      <formula>"미흡"</formula>
    </cfRule>
  </conditionalFormatting>
  <conditionalFormatting sqref="R26">
    <cfRule type="cellIs" priority="33" operator="equal" dxfId="0">
      <formula>"미흡"</formula>
    </cfRule>
  </conditionalFormatting>
  <conditionalFormatting sqref="R27">
    <cfRule type="cellIs" priority="38" operator="equal" dxfId="0">
      <formula>"미흡"</formula>
    </cfRule>
    <cfRule type="containsText" priority="37" operator="containsText" dxfId="4" text="취약">
      <formula>NOT(ISERROR(SEARCH("취약",R27)))</formula>
    </cfRule>
    <cfRule type="containsText" priority="36" operator="containsText" dxfId="7" text="확인">
      <formula>NOT(ISERROR(SEARCH("확인",R27)))</formula>
    </cfRule>
    <cfRule type="containsText" priority="35" operator="containsText" dxfId="4" text="취약">
      <formula>NOT(ISERROR(SEARCH("취약",R27)))</formula>
    </cfRule>
    <cfRule type="containsText" priority="34" operator="containsText" dxfId="7" text="확인">
      <formula>NOT(ISERROR(SEARCH("확인",R27)))</formula>
    </cfRule>
  </conditionalFormatting>
  <conditionalFormatting sqref="R28">
    <cfRule type="cellIs" priority="30" operator="equal" dxfId="0">
      <formula>"미흡"</formula>
    </cfRule>
  </conditionalFormatting>
  <conditionalFormatting sqref="R28:R29">
    <cfRule type="containsText" priority="29" operator="containsText" dxfId="4" text="취약">
      <formula>NOT(ISERROR(SEARCH("취약",R28)))</formula>
    </cfRule>
    <cfRule type="containsText" priority="28" operator="containsText" dxfId="7" text="확인">
      <formula>NOT(ISERROR(SEARCH("확인",R28)))</formula>
    </cfRule>
  </conditionalFormatting>
  <conditionalFormatting sqref="R29">
    <cfRule type="cellIs" priority="27" operator="equal" dxfId="0">
      <formula>"미흡"</formula>
    </cfRule>
    <cfRule type="containsText" priority="26" operator="containsText" dxfId="4" text="취약">
      <formula>NOT(ISERROR(SEARCH("취약",R29)))</formula>
    </cfRule>
    <cfRule type="containsText" priority="25" operator="containsText" dxfId="7" text="확인">
      <formula>NOT(ISERROR(SEARCH("확인",R29)))</formula>
    </cfRule>
  </conditionalFormatting>
  <conditionalFormatting sqref="R29:R30">
    <cfRule type="containsText" priority="23" operator="containsText" dxfId="7" text="확인">
      <formula>NOT(ISERROR(SEARCH("확인",R29)))</formula>
    </cfRule>
    <cfRule type="containsText" priority="24" operator="containsText" dxfId="4" text="취약">
      <formula>NOT(ISERROR(SEARCH("취약",R29)))</formula>
    </cfRule>
  </conditionalFormatting>
  <conditionalFormatting sqref="R30:R33">
    <cfRule type="cellIs" priority="22" operator="equal" dxfId="0">
      <formula>"미흡"</formula>
    </cfRule>
    <cfRule type="containsText" priority="20" operator="containsText" dxfId="7" text="확인">
      <formula>NOT(ISERROR(SEARCH("확인",R30)))</formula>
    </cfRule>
    <cfRule type="containsText" priority="21" operator="containsText" dxfId="4" text="취약">
      <formula>NOT(ISERROR(SEARCH("취약",R30)))</formula>
    </cfRule>
  </conditionalFormatting>
  <conditionalFormatting sqref="R34">
    <cfRule type="containsText" priority="133" operator="containsText" dxfId="4" text="취약">
      <formula>NOT(ISERROR(SEARCH("취약",R34)))</formula>
    </cfRule>
    <cfRule type="containsText" priority="134" operator="containsText" dxfId="7" text="확인">
      <formula>NOT(ISERROR(SEARCH("확인",R34)))</formula>
    </cfRule>
    <cfRule type="containsText" priority="135" operator="containsText" dxfId="4" text="취약">
      <formula>NOT(ISERROR(SEARCH("취약",R34)))</formula>
    </cfRule>
    <cfRule type="cellIs" priority="136" operator="equal" dxfId="0">
      <formula>"미흡"</formula>
    </cfRule>
    <cfRule type="containsText" priority="137" operator="containsText" dxfId="7" text="확인">
      <formula>NOT(ISERROR(SEARCH("확인",R34)))</formula>
    </cfRule>
    <cfRule type="containsText" priority="138" operator="containsText" dxfId="4" text="취약">
      <formula>NOT(ISERROR(SEARCH("취약",R34)))</formula>
    </cfRule>
    <cfRule type="containsText" priority="130" operator="containsText" dxfId="7" text="확인">
      <formula>NOT(ISERROR(SEARCH("확인",R34)))</formula>
    </cfRule>
    <cfRule type="containsText" priority="131" operator="containsText" dxfId="4" text="취약">
      <formula>NOT(ISERROR(SEARCH("취약",R34)))</formula>
    </cfRule>
    <cfRule type="containsText" priority="132" operator="containsText" dxfId="7" text="확인">
      <formula>NOT(ISERROR(SEARCH("확인",R34)))</formula>
    </cfRule>
  </conditionalFormatting>
  <conditionalFormatting sqref="R34:R35">
    <cfRule type="containsText" priority="129" operator="containsText" dxfId="4" text="취약">
      <formula>NOT(ISERROR(SEARCH("취약",R34)))</formula>
    </cfRule>
    <cfRule type="containsText" priority="128" operator="containsText" dxfId="7" text="확인">
      <formula>NOT(ISERROR(SEARCH("확인",R34)))</formula>
    </cfRule>
  </conditionalFormatting>
  <conditionalFormatting sqref="R35">
    <cfRule type="cellIs" priority="127" operator="equal" dxfId="0">
      <formula>"미흡"</formula>
    </cfRule>
  </conditionalFormatting>
  <conditionalFormatting sqref="R35:R36">
    <cfRule type="containsText" priority="126" operator="containsText" dxfId="4" text="취약">
      <formula>NOT(ISERROR(SEARCH("취약",R35)))</formula>
    </cfRule>
    <cfRule type="containsText" priority="125" operator="containsText" dxfId="7" text="확인">
      <formula>NOT(ISERROR(SEARCH("확인",R35)))</formula>
    </cfRule>
  </conditionalFormatting>
  <conditionalFormatting sqref="R36">
    <cfRule type="cellIs" priority="124" operator="equal" dxfId="0">
      <formula>"미흡"</formula>
    </cfRule>
  </conditionalFormatting>
  <conditionalFormatting sqref="R36:R37">
    <cfRule type="containsText" priority="122" operator="containsText" dxfId="7" text="확인">
      <formula>NOT(ISERROR(SEARCH("확인",R36)))</formula>
    </cfRule>
    <cfRule type="containsText" priority="123" operator="containsText" dxfId="4" text="취약">
      <formula>NOT(ISERROR(SEARCH("취약",R36)))</formula>
    </cfRule>
  </conditionalFormatting>
  <conditionalFormatting sqref="R37">
    <cfRule type="cellIs" priority="121" operator="equal" dxfId="0">
      <formula>"미흡"</formula>
    </cfRule>
  </conditionalFormatting>
  <conditionalFormatting sqref="R37:R38">
    <cfRule type="containsText" priority="19" operator="containsText" dxfId="4" text="취약">
      <formula>NOT(ISERROR(SEARCH("취약",R37)))</formula>
    </cfRule>
    <cfRule type="containsText" priority="18" operator="containsText" dxfId="7" text="확인">
      <formula>NOT(ISERROR(SEARCH("확인",R37)))</formula>
    </cfRule>
  </conditionalFormatting>
  <conditionalFormatting sqref="R38">
    <cfRule type="cellIs" priority="17" operator="equal" dxfId="0">
      <formula>"미흡"</formula>
    </cfRule>
  </conditionalFormatting>
  <conditionalFormatting sqref="R38:R39">
    <cfRule type="containsText" priority="16" operator="containsText" dxfId="4" text="취약">
      <formula>NOT(ISERROR(SEARCH("취약",R38)))</formula>
    </cfRule>
    <cfRule type="containsText" priority="15" operator="containsText" dxfId="7" text="확인">
      <formula>NOT(ISERROR(SEARCH("확인",R38)))</formula>
    </cfRule>
  </conditionalFormatting>
  <conditionalFormatting sqref="R39">
    <cfRule type="cellIs" priority="14" operator="equal" dxfId="0">
      <formula>"미흡"</formula>
    </cfRule>
  </conditionalFormatting>
  <conditionalFormatting sqref="R39:R41">
    <cfRule type="containsText" priority="9" operator="containsText" dxfId="7" text="확인">
      <formula>NOT(ISERROR(SEARCH("확인",R39)))</formula>
    </cfRule>
    <cfRule type="containsText" priority="10" operator="containsText" dxfId="4" text="취약">
      <formula>NOT(ISERROR(SEARCH("취약",R39)))</formula>
    </cfRule>
  </conditionalFormatting>
  <conditionalFormatting sqref="R40">
    <cfRule type="containsText" priority="6" operator="containsText" dxfId="7" text="확인">
      <formula>NOT(ISERROR(SEARCH("확인",R40)))</formula>
    </cfRule>
    <cfRule type="containsText" priority="7" operator="containsText" dxfId="4" text="취약">
      <formula>NOT(ISERROR(SEARCH("취약",R40)))</formula>
    </cfRule>
    <cfRule type="cellIs" priority="8" operator="equal" dxfId="0">
      <formula>"미흡"</formula>
    </cfRule>
  </conditionalFormatting>
  <conditionalFormatting sqref="R41">
    <cfRule type="cellIs" priority="11" operator="equal" dxfId="0">
      <formula>"미흡"</formula>
    </cfRule>
  </conditionalFormatting>
  <conditionalFormatting sqref="R41:R42">
    <cfRule type="containsText" priority="13" operator="containsText" dxfId="4" text="취약">
      <formula>NOT(ISERROR(SEARCH("취약",R41)))</formula>
    </cfRule>
    <cfRule type="containsText" priority="12" operator="containsText" dxfId="7" text="확인">
      <formula>NOT(ISERROR(SEARCH("확인",R41)))</formula>
    </cfRule>
  </conditionalFormatting>
  <conditionalFormatting sqref="R42:R43">
    <cfRule type="containsText" priority="105" operator="containsText" dxfId="4" text="취약">
      <formula>NOT(ISERROR(SEARCH("취약",R42)))</formula>
    </cfRule>
    <cfRule type="containsText" priority="104" operator="containsText" dxfId="7" text="확인">
      <formula>NOT(ISERROR(SEARCH("확인",R42)))</formula>
    </cfRule>
    <cfRule type="cellIs" priority="106" operator="equal" dxfId="0">
      <formula>"미흡"</formula>
    </cfRule>
  </conditionalFormatting>
  <conditionalFormatting sqref="R44">
    <cfRule type="containsText" priority="3" operator="containsText" dxfId="7" text="확인">
      <formula>NOT(ISERROR(SEARCH("확인",R44)))</formula>
    </cfRule>
    <cfRule type="containsText" priority="4" operator="containsText" dxfId="4" text="취약">
      <formula>NOT(ISERROR(SEARCH("취약",R44)))</formula>
    </cfRule>
    <cfRule type="cellIs" priority="5" operator="equal" dxfId="0">
      <formula>"미흡"</formula>
    </cfRule>
  </conditionalFormatting>
  <conditionalFormatting sqref="R45:R46">
    <cfRule type="cellIs" priority="92" operator="equal" dxfId="0">
      <formula>"미흡"</formula>
    </cfRule>
    <cfRule type="containsText" priority="91" operator="containsText" dxfId="4" text="취약">
      <formula>NOT(ISERROR(SEARCH("취약",R45)))</formula>
    </cfRule>
    <cfRule type="containsText" priority="90" operator="containsText" dxfId="7" text="확인">
      <formula>NOT(ISERROR(SEARCH("확인",R45)))</formula>
    </cfRule>
  </conditionalFormatting>
  <conditionalFormatting sqref="R46">
    <cfRule type="containsText" priority="87" operator="containsText" dxfId="4" text="취약">
      <formula>NOT(ISERROR(SEARCH("취약",R46)))</formula>
    </cfRule>
    <cfRule type="containsText" priority="88" operator="containsText" dxfId="7" text="확인">
      <formula>NOT(ISERROR(SEARCH("확인",R46)))</formula>
    </cfRule>
    <cfRule type="containsText" priority="84" operator="containsText" dxfId="7" text="확인">
      <formula>NOT(ISERROR(SEARCH("확인",R46)))</formula>
    </cfRule>
    <cfRule type="containsText" priority="89" operator="containsText" dxfId="4" text="취약">
      <formula>NOT(ISERROR(SEARCH("취약",R46)))</formula>
    </cfRule>
    <cfRule type="containsText" priority="86" operator="containsText" dxfId="7" text="확인">
      <formula>NOT(ISERROR(SEARCH("확인",R46)))</formula>
    </cfRule>
    <cfRule type="containsText" priority="85" operator="containsText" dxfId="4" text="취약">
      <formula>NOT(ISERROR(SEARCH("취약",R46)))</formula>
    </cfRule>
  </conditionalFormatting>
  <conditionalFormatting sqref="R47:R48">
    <cfRule type="containsText" priority="152" operator="containsText" dxfId="4" text="취약">
      <formula>NOT(ISERROR(SEARCH("취약",R47)))</formula>
    </cfRule>
    <cfRule type="containsText" priority="151" operator="containsText" dxfId="7" text="확인">
      <formula>NOT(ISERROR(SEARCH("확인",R47)))</formula>
    </cfRule>
  </conditionalFormatting>
  <conditionalFormatting sqref="R47:R49">
    <cfRule type="cellIs" priority="107" operator="equal" dxfId="0">
      <formula>"미흡"</formula>
    </cfRule>
  </conditionalFormatting>
  <conditionalFormatting sqref="R47:R51">
    <cfRule type="containsText" priority="101" operator="containsText" dxfId="7" text="확인">
      <formula>NOT(ISERROR(SEARCH("확인",R47)))</formula>
    </cfRule>
    <cfRule type="containsText" priority="102" operator="containsText" dxfId="4" text="취약">
      <formula>NOT(ISERROR(SEARCH("취약",R47)))</formula>
    </cfRule>
  </conditionalFormatting>
  <conditionalFormatting sqref="R50">
    <cfRule type="containsText" priority="117" operator="containsText" dxfId="4" text="취약">
      <formula>NOT(ISERROR(SEARCH("취약",R50)))</formula>
    </cfRule>
    <cfRule type="containsText" priority="108" operator="containsText" dxfId="7" text="확인">
      <formula>NOT(ISERROR(SEARCH("확인",R50)))</formula>
    </cfRule>
    <cfRule type="containsText" priority="116" operator="containsText" dxfId="7" text="확인">
      <formula>NOT(ISERROR(SEARCH("확인",R50)))</formula>
    </cfRule>
    <cfRule type="containsText" priority="115" operator="containsText" dxfId="4" text="취약">
      <formula>NOT(ISERROR(SEARCH("취약",R50)))</formula>
    </cfRule>
    <cfRule type="containsText" priority="114" operator="containsText" dxfId="7" text="확인">
      <formula>NOT(ISERROR(SEARCH("확인",R50)))</formula>
    </cfRule>
    <cfRule type="containsText" priority="113" operator="containsText" dxfId="4" text="취약">
      <formula>NOT(ISERROR(SEARCH("취약",R50)))</formula>
    </cfRule>
    <cfRule type="containsText" priority="112" operator="containsText" dxfId="7" text="확인">
      <formula>NOT(ISERROR(SEARCH("확인",R50)))</formula>
    </cfRule>
    <cfRule type="containsText" priority="120" operator="containsText" dxfId="4" text="취약">
      <formula>NOT(ISERROR(SEARCH("취약",R50)))</formula>
    </cfRule>
    <cfRule type="containsText" priority="111" operator="containsText" dxfId="4" text="취약">
      <formula>NOT(ISERROR(SEARCH("취약",R50)))</formula>
    </cfRule>
    <cfRule type="containsText" priority="110" operator="containsText" dxfId="7" text="확인">
      <formula>NOT(ISERROR(SEARCH("확인",R50)))</formula>
    </cfRule>
    <cfRule type="containsText" priority="109" operator="containsText" dxfId="4" text="취약">
      <formula>NOT(ISERROR(SEARCH("취약",R50)))</formula>
    </cfRule>
    <cfRule type="containsText" priority="119" operator="containsText" dxfId="7" text="확인">
      <formula>NOT(ISERROR(SEARCH("확인",R50)))</formula>
    </cfRule>
    <cfRule type="cellIs" priority="118" operator="equal" dxfId="0">
      <formula>"미흡"</formula>
    </cfRule>
  </conditionalFormatting>
  <conditionalFormatting sqref="R1:R6 R50:R51">
    <cfRule type="cellIs" priority="153" operator="equal" dxfId="1">
      <formula>"N/A"</formula>
    </cfRule>
  </conditionalFormatting>
  <conditionalFormatting sqref="R51">
    <cfRule type="cellIs" priority="103" operator="equal" dxfId="0">
      <formula>"미흡"</formula>
    </cfRule>
    <cfRule type="containsText" priority="99" operator="containsText" dxfId="7" text="확인">
      <formula>NOT(ISERROR(SEARCH("확인",R51)))</formula>
    </cfRule>
    <cfRule type="containsText" priority="100" operator="containsText" dxfId="4" text="취약">
      <formula>NOT(ISERROR(SEARCH("취약",R51)))</formula>
    </cfRule>
  </conditionalFormatting>
  <conditionalFormatting sqref="S3:S5">
    <cfRule type="cellIs" priority="1006" operator="equal" dxfId="4">
      <formula>"취약"</formula>
    </cfRule>
  </conditionalFormatting>
  <conditionalFormatting sqref="S3:S43 S45:S51">
    <cfRule type="cellIs" priority="1105" operator="equal" dxfId="1">
      <formula>"N/A"</formula>
    </cfRule>
  </conditionalFormatting>
  <conditionalFormatting sqref="S3:S51">
    <cfRule type="cellIs" priority="859" operator="equal" dxfId="0">
      <formula>"미흡"</formula>
    </cfRule>
  </conditionalFormatting>
  <conditionalFormatting sqref="T1:T1048576">
    <cfRule type="cellIs" priority="1106" operator="equal" dxfId="1">
      <formula>"N/A"</formula>
    </cfRule>
    <cfRule type="cellIs" priority="1107" operator="equal" dxfId="154">
      <formula>"인터뷰"</formula>
    </cfRule>
  </conditionalFormatting>
  <conditionalFormatting sqref="T3:T6">
    <cfRule type="cellIs" priority="1257" operator="equal" dxfId="0">
      <formula>"미흡"</formula>
    </cfRule>
  </conditionalFormatting>
  <conditionalFormatting sqref="T6:T8">
    <cfRule type="containsText" priority="1227" operator="containsText" dxfId="4" text="취약">
      <formula>NOT(ISERROR(SEARCH("취약",T6)))</formula>
    </cfRule>
    <cfRule type="containsText" priority="1226" operator="containsText" dxfId="7" text="확인">
      <formula>NOT(ISERROR(SEARCH("확인",T6)))</formula>
    </cfRule>
  </conditionalFormatting>
  <conditionalFormatting sqref="T7">
    <cfRule type="cellIs" priority="1225" operator="equal" dxfId="0">
      <formula>"미흡"</formula>
    </cfRule>
    <cfRule type="containsText" priority="1224" operator="containsText" dxfId="4" text="취약">
      <formula>NOT(ISERROR(SEARCH("취약",T7)))</formula>
    </cfRule>
    <cfRule type="containsText" priority="1223" operator="containsText" dxfId="7" text="확인">
      <formula>NOT(ISERROR(SEARCH("확인",T7)))</formula>
    </cfRule>
  </conditionalFormatting>
  <conditionalFormatting sqref="T7:T25">
    <cfRule type="cellIs" priority="1192" operator="equal" dxfId="1">
      <formula>"N/A"</formula>
    </cfRule>
  </conditionalFormatting>
  <conditionalFormatting sqref="T8">
    <cfRule type="containsText" priority="1233" operator="containsText" dxfId="4" text="취약">
      <formula>NOT(ISERROR(SEARCH("취약",T8)))</formula>
    </cfRule>
    <cfRule type="containsText" priority="1232" operator="containsText" dxfId="7" text="확인">
      <formula>NOT(ISERROR(SEARCH("확인",T8)))</formula>
    </cfRule>
    <cfRule type="cellIs" priority="1231" operator="equal" dxfId="0">
      <formula>"미흡"</formula>
    </cfRule>
  </conditionalFormatting>
  <conditionalFormatting sqref="T9">
    <cfRule type="cellIs" priority="1213" operator="equal" dxfId="0">
      <formula>"미흡"</formula>
    </cfRule>
    <cfRule type="containsText" priority="1212" operator="containsText" dxfId="4" text="취약">
      <formula>NOT(ISERROR(SEARCH("취약",T9)))</formula>
    </cfRule>
    <cfRule type="containsText" priority="1211" operator="containsText" dxfId="7" text="확인">
      <formula>NOT(ISERROR(SEARCH("확인",T9)))</formula>
    </cfRule>
  </conditionalFormatting>
  <conditionalFormatting sqref="T9:T10">
    <cfRule type="containsText" priority="1214" operator="containsText" dxfId="7" text="확인">
      <formula>NOT(ISERROR(SEARCH("확인",T9)))</formula>
    </cfRule>
    <cfRule type="containsText" priority="1215" operator="containsText" dxfId="4" text="취약">
      <formula>NOT(ISERROR(SEARCH("취약",T9)))</formula>
    </cfRule>
  </conditionalFormatting>
  <conditionalFormatting sqref="T10">
    <cfRule type="containsText" priority="1221" operator="containsText" dxfId="4" text="취약">
      <formula>NOT(ISERROR(SEARCH("취약",T10)))</formula>
    </cfRule>
    <cfRule type="containsText" priority="1220" operator="containsText" dxfId="7" text="확인">
      <formula>NOT(ISERROR(SEARCH("확인",T10)))</formula>
    </cfRule>
    <cfRule type="cellIs" priority="1219" operator="equal" dxfId="0">
      <formula>"미흡"</formula>
    </cfRule>
  </conditionalFormatting>
  <conditionalFormatting sqref="T11">
    <cfRule type="cellIs" priority="1201" operator="equal" dxfId="0">
      <formula>"미흡"</formula>
    </cfRule>
    <cfRule type="containsText" priority="1200" operator="containsText" dxfId="4" text="취약">
      <formula>NOT(ISERROR(SEARCH("취약",T11)))</formula>
    </cfRule>
    <cfRule type="containsText" priority="1199" operator="containsText" dxfId="7" text="확인">
      <formula>NOT(ISERROR(SEARCH("확인",T11)))</formula>
    </cfRule>
  </conditionalFormatting>
  <conditionalFormatting sqref="T11:T12">
    <cfRule type="containsText" priority="1203" operator="containsText" dxfId="4" text="취약">
      <formula>NOT(ISERROR(SEARCH("취약",T11)))</formula>
    </cfRule>
    <cfRule type="containsText" priority="1202" operator="containsText" dxfId="7" text="확인">
      <formula>NOT(ISERROR(SEARCH("확인",T11)))</formula>
    </cfRule>
  </conditionalFormatting>
  <conditionalFormatting sqref="T12">
    <cfRule type="containsText" priority="1209" operator="containsText" dxfId="4" text="취약">
      <formula>NOT(ISERROR(SEARCH("취약",T12)))</formula>
    </cfRule>
    <cfRule type="containsText" priority="1208" operator="containsText" dxfId="7" text="확인">
      <formula>NOT(ISERROR(SEARCH("확인",T12)))</formula>
    </cfRule>
    <cfRule type="cellIs" priority="1207" operator="equal" dxfId="0">
      <formula>"미흡"</formula>
    </cfRule>
  </conditionalFormatting>
  <conditionalFormatting sqref="T13">
    <cfRule type="cellIs" priority="1195" operator="equal" dxfId="0">
      <formula>"미흡"</formula>
    </cfRule>
    <cfRule type="containsText" priority="1194" operator="containsText" dxfId="4" text="취약">
      <formula>NOT(ISERROR(SEARCH("취약",T13)))</formula>
    </cfRule>
    <cfRule type="containsText" priority="1193" operator="containsText" dxfId="7" text="확인">
      <formula>NOT(ISERROR(SEARCH("확인",T13)))</formula>
    </cfRule>
  </conditionalFormatting>
  <conditionalFormatting sqref="T13:T15">
    <cfRule type="containsText" priority="1197" operator="containsText" dxfId="4" text="취약">
      <formula>NOT(ISERROR(SEARCH("취약",T13)))</formula>
    </cfRule>
    <cfRule type="containsText" priority="1196" operator="containsText" dxfId="7" text="확인">
      <formula>NOT(ISERROR(SEARCH("확인",T13)))</formula>
    </cfRule>
  </conditionalFormatting>
  <conditionalFormatting sqref="T14">
    <cfRule type="containsText" priority="1350" operator="containsText" dxfId="4" text="취약">
      <formula>NOT(ISERROR(SEARCH("취약",T14)))</formula>
    </cfRule>
    <cfRule type="containsText" priority="1349" operator="containsText" dxfId="7" text="확인">
      <formula>NOT(ISERROR(SEARCH("확인",T14)))</formula>
    </cfRule>
  </conditionalFormatting>
  <conditionalFormatting sqref="T14:T15">
    <cfRule type="cellIs" priority="1245" operator="equal" dxfId="0">
      <formula>"미흡"</formula>
    </cfRule>
  </conditionalFormatting>
  <conditionalFormatting sqref="T16">
    <cfRule type="containsText" priority="1344" operator="containsText" dxfId="7" text="확인">
      <formula>NOT(ISERROR(SEARCH("확인",T16)))</formula>
    </cfRule>
    <cfRule type="cellIs" priority="1343" operator="equal" dxfId="0">
      <formula>"미흡"</formula>
    </cfRule>
    <cfRule type="containsText" priority="1345" operator="containsText" dxfId="4" text="취약">
      <formula>NOT(ISERROR(SEARCH("취약",T16)))</formula>
    </cfRule>
  </conditionalFormatting>
  <conditionalFormatting sqref="T16:T17">
    <cfRule type="containsText" priority="1340" operator="containsText" dxfId="4" text="취약">
      <formula>NOT(ISERROR(SEARCH("취약",T16)))</formula>
    </cfRule>
    <cfRule type="containsText" priority="1339" operator="containsText" dxfId="7" text="확인">
      <formula>NOT(ISERROR(SEARCH("확인",T16)))</formula>
    </cfRule>
  </conditionalFormatting>
  <conditionalFormatting sqref="T17">
    <cfRule type="containsText" priority="1336" operator="containsText" dxfId="7" text="확인">
      <formula>NOT(ISERROR(SEARCH("확인",T17)))</formula>
    </cfRule>
    <cfRule type="containsText" priority="1337" operator="containsText" dxfId="4" text="취약">
      <formula>NOT(ISERROR(SEARCH("취약",T17)))</formula>
    </cfRule>
    <cfRule type="cellIs" priority="1338" operator="equal" dxfId="0">
      <formula>"미흡"</formula>
    </cfRule>
  </conditionalFormatting>
  <conditionalFormatting sqref="T17:T18">
    <cfRule type="containsText" priority="1333" operator="containsText" dxfId="4" text="취약">
      <formula>NOT(ISERROR(SEARCH("취약",T17)))</formula>
    </cfRule>
    <cfRule type="containsText" priority="1332" operator="containsText" dxfId="7" text="확인">
      <formula>NOT(ISERROR(SEARCH("확인",T17)))</formula>
    </cfRule>
  </conditionalFormatting>
  <conditionalFormatting sqref="T18:T19">
    <cfRule type="cellIs" priority="1242" operator="equal" dxfId="0">
      <formula>"미흡"</formula>
    </cfRule>
  </conditionalFormatting>
  <conditionalFormatting sqref="T18:T20">
    <cfRule type="containsText" priority="1240" operator="containsText" dxfId="7" text="확인">
      <formula>NOT(ISERROR(SEARCH("확인",T18)))</formula>
    </cfRule>
    <cfRule type="containsText" priority="1241" operator="containsText" dxfId="4" text="취약">
      <formula>NOT(ISERROR(SEARCH("취약",T18)))</formula>
    </cfRule>
  </conditionalFormatting>
  <conditionalFormatting sqref="T20">
    <cfRule type="containsText" priority="1266" operator="containsText" dxfId="7" text="확인">
      <formula>NOT(ISERROR(SEARCH("확인",T20)))</formula>
    </cfRule>
    <cfRule type="containsText" priority="1265" operator="containsText" dxfId="4" text="취약">
      <formula>NOT(ISERROR(SEARCH("취약",T20)))</formula>
    </cfRule>
    <cfRule type="containsText" priority="1264" operator="containsText" dxfId="7" text="확인">
      <formula>NOT(ISERROR(SEARCH("확인",T20)))</formula>
    </cfRule>
    <cfRule type="cellIs" priority="1268" operator="equal" dxfId="0">
      <formula>"미흡"</formula>
    </cfRule>
    <cfRule type="containsText" priority="1267" operator="containsText" dxfId="4" text="취약">
      <formula>NOT(ISERROR(SEARCH("취약",T20)))</formula>
    </cfRule>
  </conditionalFormatting>
  <conditionalFormatting sqref="T21:T22">
    <cfRule type="containsText" priority="1191" operator="containsText" dxfId="4" text="취약">
      <formula>NOT(ISERROR(SEARCH("취약",T21)))</formula>
    </cfRule>
    <cfRule type="containsText" priority="1190" operator="containsText" dxfId="7" text="확인">
      <formula>NOT(ISERROR(SEARCH("확인",T21)))</formula>
    </cfRule>
    <cfRule type="cellIs" priority="1189" operator="equal" dxfId="0">
      <formula>"미흡"</formula>
    </cfRule>
  </conditionalFormatting>
  <conditionalFormatting sqref="T21:T23">
    <cfRule type="containsText" priority="1186" operator="containsText" dxfId="4" text="취약">
      <formula>NOT(ISERROR(SEARCH("취약",T21)))</formula>
    </cfRule>
    <cfRule type="containsText" priority="1185" operator="containsText" dxfId="7" text="확인">
      <formula>NOT(ISERROR(SEARCH("확인",T21)))</formula>
    </cfRule>
  </conditionalFormatting>
  <conditionalFormatting sqref="T23:T24">
    <cfRule type="cellIs" priority="1174" operator="equal" dxfId="0">
      <formula>"미흡"</formula>
    </cfRule>
  </conditionalFormatting>
  <conditionalFormatting sqref="T23:T28">
    <cfRule type="containsText" priority="1159" operator="containsText" dxfId="7" text="확인">
      <formula>NOT(ISERROR(SEARCH("확인",T23)))</formula>
    </cfRule>
    <cfRule type="containsText" priority="1160" operator="containsText" dxfId="4" text="취약">
      <formula>NOT(ISERROR(SEARCH("취약",T23)))</formula>
    </cfRule>
  </conditionalFormatting>
  <conditionalFormatting sqref="T25">
    <cfRule type="cellIs" priority="1181" operator="equal" dxfId="0">
      <formula>"미흡"</formula>
    </cfRule>
    <cfRule type="containsText" priority="1180" operator="containsText" dxfId="4" text="취약">
      <formula>NOT(ISERROR(SEARCH("취약",T25)))</formula>
    </cfRule>
    <cfRule type="containsText" priority="1178" operator="containsText" dxfId="4" text="취약">
      <formula>NOT(ISERROR(SEARCH("취약",T25)))</formula>
    </cfRule>
    <cfRule type="containsText" priority="1177" operator="containsText" dxfId="7" text="확인">
      <formula>NOT(ISERROR(SEARCH("확인",T25)))</formula>
    </cfRule>
    <cfRule type="containsText" priority="1179" operator="containsText" dxfId="7" text="확인">
      <formula>NOT(ISERROR(SEARCH("확인",T25)))</formula>
    </cfRule>
  </conditionalFormatting>
  <conditionalFormatting sqref="T26">
    <cfRule type="cellIs" priority="1164" operator="equal" dxfId="0">
      <formula>"미흡"</formula>
    </cfRule>
  </conditionalFormatting>
  <conditionalFormatting sqref="T27">
    <cfRule type="cellIs" priority="1171" operator="equal" dxfId="0">
      <formula>"미흡"</formula>
    </cfRule>
    <cfRule type="containsText" priority="1170" operator="containsText" dxfId="4" text="취약">
      <formula>NOT(ISERROR(SEARCH("취약",T27)))</formula>
    </cfRule>
    <cfRule type="containsText" priority="1169" operator="containsText" dxfId="7" text="확인">
      <formula>NOT(ISERROR(SEARCH("확인",T27)))</formula>
    </cfRule>
    <cfRule type="containsText" priority="1168" operator="containsText" dxfId="4" text="취약">
      <formula>NOT(ISERROR(SEARCH("취약",T27)))</formula>
    </cfRule>
    <cfRule type="containsText" priority="1167" operator="containsText" dxfId="7" text="확인">
      <formula>NOT(ISERROR(SEARCH("확인",T27)))</formula>
    </cfRule>
  </conditionalFormatting>
  <conditionalFormatting sqref="T28">
    <cfRule type="cellIs" priority="1158" operator="equal" dxfId="0">
      <formula>"미흡"</formula>
    </cfRule>
  </conditionalFormatting>
  <conditionalFormatting sqref="T28:T29">
    <cfRule type="containsText" priority="1155" operator="containsText" dxfId="4" text="취약">
      <formula>NOT(ISERROR(SEARCH("취약",T28)))</formula>
    </cfRule>
    <cfRule type="containsText" priority="1154" operator="containsText" dxfId="7" text="확인">
      <formula>NOT(ISERROR(SEARCH("확인",T28)))</formula>
    </cfRule>
  </conditionalFormatting>
  <conditionalFormatting sqref="T29">
    <cfRule type="cellIs" priority="1153" operator="equal" dxfId="0">
      <formula>"미흡"</formula>
    </cfRule>
    <cfRule type="containsText" priority="1152" operator="containsText" dxfId="4" text="취약">
      <formula>NOT(ISERROR(SEARCH("취약",T29)))</formula>
    </cfRule>
    <cfRule type="containsText" priority="1151" operator="containsText" dxfId="7" text="확인">
      <formula>NOT(ISERROR(SEARCH("확인",T29)))</formula>
    </cfRule>
  </conditionalFormatting>
  <conditionalFormatting sqref="T29:T30">
    <cfRule type="containsText" priority="1147" operator="containsText" dxfId="7" text="확인">
      <formula>NOT(ISERROR(SEARCH("확인",T29)))</formula>
    </cfRule>
    <cfRule type="containsText" priority="1148" operator="containsText" dxfId="4" text="취약">
      <formula>NOT(ISERROR(SEARCH("취약",T29)))</formula>
    </cfRule>
  </conditionalFormatting>
  <conditionalFormatting sqref="T30:T33">
    <cfRule type="cellIs" priority="1143" operator="equal" dxfId="0">
      <formula>"미흡"</formula>
    </cfRule>
    <cfRule type="containsText" priority="1142" operator="containsText" dxfId="4" text="취약">
      <formula>NOT(ISERROR(SEARCH("취약",T30)))</formula>
    </cfRule>
    <cfRule type="containsText" priority="1141" operator="containsText" dxfId="7" text="확인">
      <formula>NOT(ISERROR(SEARCH("확인",T30)))</formula>
    </cfRule>
  </conditionalFormatting>
  <conditionalFormatting sqref="T34">
    <cfRule type="containsText" priority="1327" operator="containsText" dxfId="7" text="확인">
      <formula>NOT(ISERROR(SEARCH("확인",T34)))</formula>
    </cfRule>
    <cfRule type="containsText" priority="1321" operator="containsText" dxfId="4" text="취약">
      <formula>NOT(ISERROR(SEARCH("취약",T34)))</formula>
    </cfRule>
    <cfRule type="containsText" priority="1328" operator="containsText" dxfId="4" text="취약">
      <formula>NOT(ISERROR(SEARCH("취약",T34)))</formula>
    </cfRule>
    <cfRule type="containsText" priority="1320" operator="containsText" dxfId="7" text="확인">
      <formula>NOT(ISERROR(SEARCH("확인",T34)))</formula>
    </cfRule>
    <cfRule type="containsText" priority="1322" operator="containsText" dxfId="7" text="확인">
      <formula>NOT(ISERROR(SEARCH("확인",T34)))</formula>
    </cfRule>
    <cfRule type="containsText" priority="1323" operator="containsText" dxfId="4" text="취약">
      <formula>NOT(ISERROR(SEARCH("취약",T34)))</formula>
    </cfRule>
    <cfRule type="containsText" priority="1324" operator="containsText" dxfId="7" text="확인">
      <formula>NOT(ISERROR(SEARCH("확인",T34)))</formula>
    </cfRule>
    <cfRule type="containsText" priority="1325" operator="containsText" dxfId="4" text="취약">
      <formula>NOT(ISERROR(SEARCH("취약",T34)))</formula>
    </cfRule>
    <cfRule type="cellIs" priority="1326" operator="equal" dxfId="0">
      <formula>"미흡"</formula>
    </cfRule>
  </conditionalFormatting>
  <conditionalFormatting sqref="T34:T35">
    <cfRule type="containsText" priority="1317" operator="containsText" dxfId="4" text="취약">
      <formula>NOT(ISERROR(SEARCH("취약",T34)))</formula>
    </cfRule>
    <cfRule type="containsText" priority="1316" operator="containsText" dxfId="7" text="확인">
      <formula>NOT(ISERROR(SEARCH("확인",T34)))</formula>
    </cfRule>
  </conditionalFormatting>
  <conditionalFormatting sqref="T35">
    <cfRule type="cellIs" priority="1315" operator="equal" dxfId="0">
      <formula>"미흡"</formula>
    </cfRule>
  </conditionalFormatting>
  <conditionalFormatting sqref="T35:T36">
    <cfRule type="containsText" priority="1311" operator="containsText" dxfId="7" text="확인">
      <formula>NOT(ISERROR(SEARCH("확인",T35)))</formula>
    </cfRule>
    <cfRule type="containsText" priority="1312" operator="containsText" dxfId="4" text="취약">
      <formula>NOT(ISERROR(SEARCH("취약",T35)))</formula>
    </cfRule>
  </conditionalFormatting>
  <conditionalFormatting sqref="T36">
    <cfRule type="cellIs" priority="1310" operator="equal" dxfId="0">
      <formula>"미흡"</formula>
    </cfRule>
  </conditionalFormatting>
  <conditionalFormatting sqref="T36:T37">
    <cfRule type="containsText" priority="1307" operator="containsText" dxfId="4" text="취약">
      <formula>NOT(ISERROR(SEARCH("취약",T36)))</formula>
    </cfRule>
    <cfRule type="containsText" priority="1306" operator="containsText" dxfId="7" text="확인">
      <formula>NOT(ISERROR(SEARCH("확인",T36)))</formula>
    </cfRule>
  </conditionalFormatting>
  <conditionalFormatting sqref="T37">
    <cfRule type="cellIs" priority="1305" operator="equal" dxfId="0">
      <formula>"미흡"</formula>
    </cfRule>
  </conditionalFormatting>
  <conditionalFormatting sqref="T37:T38">
    <cfRule type="containsText" priority="1139" operator="containsText" dxfId="4" text="취약">
      <formula>NOT(ISERROR(SEARCH("취약",T37)))</formula>
    </cfRule>
    <cfRule type="containsText" priority="1138" operator="containsText" dxfId="7" text="확인">
      <formula>NOT(ISERROR(SEARCH("확인",T37)))</formula>
    </cfRule>
  </conditionalFormatting>
  <conditionalFormatting sqref="T38">
    <cfRule type="cellIs" priority="1137" operator="equal" dxfId="0">
      <formula>"미흡"</formula>
    </cfRule>
  </conditionalFormatting>
  <conditionalFormatting sqref="T38:T39">
    <cfRule type="containsText" priority="1133" operator="containsText" dxfId="7" text="확인">
      <formula>NOT(ISERROR(SEARCH("확인",T38)))</formula>
    </cfRule>
    <cfRule type="containsText" priority="1134" operator="containsText" dxfId="4" text="취약">
      <formula>NOT(ISERROR(SEARCH("취약",T38)))</formula>
    </cfRule>
  </conditionalFormatting>
  <conditionalFormatting sqref="T39">
    <cfRule type="cellIs" priority="1132" operator="equal" dxfId="0">
      <formula>"미흡"</formula>
    </cfRule>
  </conditionalFormatting>
  <conditionalFormatting sqref="T39:T41">
    <cfRule type="containsText" priority="1123" operator="containsText" dxfId="4" text="취약">
      <formula>NOT(ISERROR(SEARCH("취약",T39)))</formula>
    </cfRule>
    <cfRule type="containsText" priority="1122" operator="containsText" dxfId="7" text="확인">
      <formula>NOT(ISERROR(SEARCH("확인",T39)))</formula>
    </cfRule>
  </conditionalFormatting>
  <conditionalFormatting sqref="T40">
    <cfRule type="cellIs" priority="1121" operator="equal" dxfId="0">
      <formula>"미흡"</formula>
    </cfRule>
    <cfRule type="containsText" priority="1120" operator="containsText" dxfId="4" text="취약">
      <formula>NOT(ISERROR(SEARCH("취약",T40)))</formula>
    </cfRule>
    <cfRule type="containsText" priority="1119" operator="containsText" dxfId="7" text="확인">
      <formula>NOT(ISERROR(SEARCH("확인",T40)))</formula>
    </cfRule>
  </conditionalFormatting>
  <conditionalFormatting sqref="T41">
    <cfRule type="cellIs" priority="1127" operator="equal" dxfId="0">
      <formula>"미흡"</formula>
    </cfRule>
  </conditionalFormatting>
  <conditionalFormatting sqref="T41:T42">
    <cfRule type="containsText" priority="1128" operator="containsText" dxfId="7" text="확인">
      <formula>NOT(ISERROR(SEARCH("확인",T41)))</formula>
    </cfRule>
    <cfRule type="containsText" priority="1129" operator="containsText" dxfId="4" text="취약">
      <formula>NOT(ISERROR(SEARCH("취약",T41)))</formula>
    </cfRule>
  </conditionalFormatting>
  <conditionalFormatting sqref="T42:T43">
    <cfRule type="containsText" priority="1277" operator="containsText" dxfId="4" text="취약">
      <formula>NOT(ISERROR(SEARCH("취약",T42)))</formula>
    </cfRule>
    <cfRule type="containsText" priority="1276" operator="containsText" dxfId="7" text="확인">
      <formula>NOT(ISERROR(SEARCH("확인",T42)))</formula>
    </cfRule>
    <cfRule type="cellIs" priority="1278" operator="equal" dxfId="0">
      <formula>"미흡"</formula>
    </cfRule>
  </conditionalFormatting>
  <conditionalFormatting sqref="T44">
    <cfRule type="containsText" priority="1109" operator="containsText" dxfId="7" text="확인">
      <formula>NOT(ISERROR(SEARCH("확인",T44)))</formula>
    </cfRule>
    <cfRule type="cellIs" priority="1111" operator="equal" dxfId="0">
      <formula>"미흡"</formula>
    </cfRule>
    <cfRule type="containsText" priority="1110" operator="containsText" dxfId="4" text="취약">
      <formula>NOT(ISERROR(SEARCH("취약",T44)))</formula>
    </cfRule>
  </conditionalFormatting>
  <conditionalFormatting sqref="T45:T46">
    <cfRule type="containsText" priority="1252" operator="containsText" dxfId="7" text="확인">
      <formula>NOT(ISERROR(SEARCH("확인",T45)))</formula>
    </cfRule>
    <cfRule type="containsText" priority="1253" operator="containsText" dxfId="4" text="취약">
      <formula>NOT(ISERROR(SEARCH("취약",T45)))</formula>
    </cfRule>
    <cfRule type="cellIs" priority="1254" operator="equal" dxfId="0">
      <formula>"미흡"</formula>
    </cfRule>
  </conditionalFormatting>
  <conditionalFormatting sqref="T46">
    <cfRule type="containsText" priority="1246" operator="containsText" dxfId="7" text="확인">
      <formula>NOT(ISERROR(SEARCH("확인",T46)))</formula>
    </cfRule>
    <cfRule type="containsText" priority="1248" operator="containsText" dxfId="7" text="확인">
      <formula>NOT(ISERROR(SEARCH("확인",T46)))</formula>
    </cfRule>
    <cfRule type="containsText" priority="1249" operator="containsText" dxfId="4" text="취약">
      <formula>NOT(ISERROR(SEARCH("취약",T46)))</formula>
    </cfRule>
    <cfRule type="containsText" priority="1250" operator="containsText" dxfId="7" text="확인">
      <formula>NOT(ISERROR(SEARCH("확인",T46)))</formula>
    </cfRule>
    <cfRule type="containsText" priority="1251" operator="containsText" dxfId="4" text="취약">
      <formula>NOT(ISERROR(SEARCH("취약",T46)))</formula>
    </cfRule>
    <cfRule type="containsText" priority="1247" operator="containsText" dxfId="4" text="취약">
      <formula>NOT(ISERROR(SEARCH("취약",T46)))</formula>
    </cfRule>
  </conditionalFormatting>
  <conditionalFormatting sqref="T47:T48">
    <cfRule type="containsText" priority="1356" operator="containsText" dxfId="4" text="취약">
      <formula>NOT(ISERROR(SEARCH("취약",T47)))</formula>
    </cfRule>
    <cfRule type="containsText" priority="1355" operator="containsText" dxfId="7" text="확인">
      <formula>NOT(ISERROR(SEARCH("확인",T47)))</formula>
    </cfRule>
  </conditionalFormatting>
  <conditionalFormatting sqref="T47:T49">
    <cfRule type="cellIs" priority="1281" operator="equal" dxfId="0">
      <formula>"미흡"</formula>
    </cfRule>
  </conditionalFormatting>
  <conditionalFormatting sqref="T47:T51">
    <cfRule type="containsText" priority="1272" operator="containsText" dxfId="4" text="취약">
      <formula>NOT(ISERROR(SEARCH("취약",T47)))</formula>
    </cfRule>
    <cfRule type="containsText" priority="1271" operator="containsText" dxfId="7" text="확인">
      <formula>NOT(ISERROR(SEARCH("확인",T47)))</formula>
    </cfRule>
  </conditionalFormatting>
  <conditionalFormatting sqref="T50">
    <cfRule type="containsText" priority="1287" operator="containsText" dxfId="4" text="취약">
      <formula>NOT(ISERROR(SEARCH("취약",T50)))</formula>
    </cfRule>
    <cfRule type="containsText" priority="1288" operator="containsText" dxfId="7" text="확인">
      <formula>NOT(ISERROR(SEARCH("확인",T50)))</formula>
    </cfRule>
    <cfRule type="containsText" priority="1289" operator="containsText" dxfId="4" text="취약">
      <formula>NOT(ISERROR(SEARCH("취약",T50)))</formula>
    </cfRule>
    <cfRule type="containsText" priority="1290" operator="containsText" dxfId="7" text="확인">
      <formula>NOT(ISERROR(SEARCH("확인",T50)))</formula>
    </cfRule>
    <cfRule type="containsText" priority="1291" operator="containsText" dxfId="4" text="취약">
      <formula>NOT(ISERROR(SEARCH("취약",T50)))</formula>
    </cfRule>
    <cfRule type="containsText" priority="1292" operator="containsText" dxfId="7" text="확인">
      <formula>NOT(ISERROR(SEARCH("확인",T50)))</formula>
    </cfRule>
    <cfRule type="containsText" priority="1293" operator="containsText" dxfId="4" text="취약">
      <formula>NOT(ISERROR(SEARCH("취약",T50)))</formula>
    </cfRule>
    <cfRule type="cellIs" priority="1294" operator="equal" dxfId="0">
      <formula>"미흡"</formula>
    </cfRule>
    <cfRule type="containsText" priority="1295" operator="containsText" dxfId="7" text="확인">
      <formula>NOT(ISERROR(SEARCH("확인",T50)))</formula>
    </cfRule>
    <cfRule type="containsText" priority="1296" operator="containsText" dxfId="4" text="취약">
      <formula>NOT(ISERROR(SEARCH("취약",T50)))</formula>
    </cfRule>
    <cfRule type="containsText" priority="1284" operator="containsText" dxfId="7" text="확인">
      <formula>NOT(ISERROR(SEARCH("확인",T50)))</formula>
    </cfRule>
    <cfRule type="containsText" priority="1285" operator="containsText" dxfId="4" text="취약">
      <formula>NOT(ISERROR(SEARCH("취약",T50)))</formula>
    </cfRule>
    <cfRule type="containsText" priority="1286" operator="containsText" dxfId="7" text="확인">
      <formula>NOT(ISERROR(SEARCH("확인",T50)))</formula>
    </cfRule>
  </conditionalFormatting>
  <conditionalFormatting sqref="T3:U6 T50:T51 U7:U43 U45:U51">
    <cfRule type="cellIs" priority="1358" operator="equal" dxfId="1">
      <formula>"N/A"</formula>
    </cfRule>
  </conditionalFormatting>
  <conditionalFormatting sqref="T51">
    <cfRule type="cellIs" priority="1273" operator="equal" dxfId="0">
      <formula>"미흡"</formula>
    </cfRule>
    <cfRule type="containsText" priority="1270" operator="containsText" dxfId="4" text="취약">
      <formula>NOT(ISERROR(SEARCH("취약",T51)))</formula>
    </cfRule>
    <cfRule type="containsText" priority="1269" operator="containsText" dxfId="7" text="확인">
      <formula>NOT(ISERROR(SEARCH("확인",T51)))</formula>
    </cfRule>
  </conditionalFormatting>
  <conditionalFormatting sqref="U3:U5">
    <cfRule type="cellIs" priority="1259" operator="equal" dxfId="4">
      <formula>"취약"</formula>
    </cfRule>
  </conditionalFormatting>
  <conditionalFormatting sqref="U3:U51">
    <cfRule type="cellIs" priority="1112" operator="equal" dxfId="0">
      <formula>"미흡"</formula>
    </cfRule>
  </conditionalFormatting>
  <conditionalFormatting sqref="V1:V1048576">
    <cfRule type="cellIs" priority="1359" operator="equal" dxfId="1">
      <formula>"N/A"</formula>
    </cfRule>
    <cfRule type="cellIs" priority="1360" operator="equal" dxfId="154">
      <formula>"인터뷰"</formula>
    </cfRule>
  </conditionalFormatting>
  <conditionalFormatting sqref="V3:V6">
    <cfRule type="cellIs" priority="1510" operator="equal" dxfId="0">
      <formula>"미흡"</formula>
    </cfRule>
  </conditionalFormatting>
  <conditionalFormatting sqref="V6:V8">
    <cfRule type="containsText" priority="1479" operator="containsText" dxfId="7" text="확인">
      <formula>NOT(ISERROR(SEARCH("확인",V6)))</formula>
    </cfRule>
    <cfRule type="containsText" priority="1480" operator="containsText" dxfId="4" text="취약">
      <formula>NOT(ISERROR(SEARCH("취약",V6)))</formula>
    </cfRule>
  </conditionalFormatting>
  <conditionalFormatting sqref="V7">
    <cfRule type="containsText" priority="1476" operator="containsText" dxfId="7" text="확인">
      <formula>NOT(ISERROR(SEARCH("확인",V7)))</formula>
    </cfRule>
    <cfRule type="containsText" priority="1477" operator="containsText" dxfId="4" text="취약">
      <formula>NOT(ISERROR(SEARCH("취약",V7)))</formula>
    </cfRule>
    <cfRule type="cellIs" priority="1478" operator="equal" dxfId="0">
      <formula>"미흡"</formula>
    </cfRule>
  </conditionalFormatting>
  <conditionalFormatting sqref="V7:V25">
    <cfRule type="cellIs" priority="1445" operator="equal" dxfId="1">
      <formula>"N/A"</formula>
    </cfRule>
  </conditionalFormatting>
  <conditionalFormatting sqref="V8">
    <cfRule type="containsText" priority="1486" operator="containsText" dxfId="4" text="취약">
      <formula>NOT(ISERROR(SEARCH("취약",V8)))</formula>
    </cfRule>
    <cfRule type="containsText" priority="1485" operator="containsText" dxfId="7" text="확인">
      <formula>NOT(ISERROR(SEARCH("확인",V8)))</formula>
    </cfRule>
    <cfRule type="cellIs" priority="1484" operator="equal" dxfId="0">
      <formula>"미흡"</formula>
    </cfRule>
  </conditionalFormatting>
  <conditionalFormatting sqref="V9">
    <cfRule type="cellIs" priority="1466" operator="equal" dxfId="0">
      <formula>"미흡"</formula>
    </cfRule>
    <cfRule type="containsText" priority="1465" operator="containsText" dxfId="4" text="취약">
      <formula>NOT(ISERROR(SEARCH("취약",V9)))</formula>
    </cfRule>
    <cfRule type="containsText" priority="1464" operator="containsText" dxfId="7" text="확인">
      <formula>NOT(ISERROR(SEARCH("확인",V9)))</formula>
    </cfRule>
  </conditionalFormatting>
  <conditionalFormatting sqref="V9:V10">
    <cfRule type="containsText" priority="1468" operator="containsText" dxfId="4" text="취약">
      <formula>NOT(ISERROR(SEARCH("취약",V9)))</formula>
    </cfRule>
    <cfRule type="containsText" priority="1467" operator="containsText" dxfId="7" text="확인">
      <formula>NOT(ISERROR(SEARCH("확인",V9)))</formula>
    </cfRule>
  </conditionalFormatting>
  <conditionalFormatting sqref="V10">
    <cfRule type="cellIs" priority="1472" operator="equal" dxfId="0">
      <formula>"미흡"</formula>
    </cfRule>
    <cfRule type="containsText" priority="1473" operator="containsText" dxfId="7" text="확인">
      <formula>NOT(ISERROR(SEARCH("확인",V10)))</formula>
    </cfRule>
    <cfRule type="containsText" priority="1474" operator="containsText" dxfId="4" text="취약">
      <formula>NOT(ISERROR(SEARCH("취약",V10)))</formula>
    </cfRule>
  </conditionalFormatting>
  <conditionalFormatting sqref="V11">
    <cfRule type="containsText" priority="1453" operator="containsText" dxfId="4" text="취약">
      <formula>NOT(ISERROR(SEARCH("취약",V11)))</formula>
    </cfRule>
    <cfRule type="cellIs" priority="1454" operator="equal" dxfId="0">
      <formula>"미흡"</formula>
    </cfRule>
    <cfRule type="containsText" priority="1452" operator="containsText" dxfId="7" text="확인">
      <formula>NOT(ISERROR(SEARCH("확인",V11)))</formula>
    </cfRule>
  </conditionalFormatting>
  <conditionalFormatting sqref="V11:V12">
    <cfRule type="containsText" priority="1456" operator="containsText" dxfId="4" text="취약">
      <formula>NOT(ISERROR(SEARCH("취약",V11)))</formula>
    </cfRule>
    <cfRule type="containsText" priority="1455" operator="containsText" dxfId="7" text="확인">
      <formula>NOT(ISERROR(SEARCH("확인",V11)))</formula>
    </cfRule>
  </conditionalFormatting>
  <conditionalFormatting sqref="V12">
    <cfRule type="containsText" priority="1462" operator="containsText" dxfId="4" text="취약">
      <formula>NOT(ISERROR(SEARCH("취약",V12)))</formula>
    </cfRule>
    <cfRule type="containsText" priority="1461" operator="containsText" dxfId="7" text="확인">
      <formula>NOT(ISERROR(SEARCH("확인",V12)))</formula>
    </cfRule>
    <cfRule type="cellIs" priority="1460" operator="equal" dxfId="0">
      <formula>"미흡"</formula>
    </cfRule>
  </conditionalFormatting>
  <conditionalFormatting sqref="V13">
    <cfRule type="containsText" priority="1447" operator="containsText" dxfId="4" text="취약">
      <formula>NOT(ISERROR(SEARCH("취약",V13)))</formula>
    </cfRule>
    <cfRule type="cellIs" priority="1448" operator="equal" dxfId="0">
      <formula>"미흡"</formula>
    </cfRule>
    <cfRule type="containsText" priority="1446" operator="containsText" dxfId="7" text="확인">
      <formula>NOT(ISERROR(SEARCH("확인",V13)))</formula>
    </cfRule>
  </conditionalFormatting>
  <conditionalFormatting sqref="V13:V15">
    <cfRule type="containsText" priority="1449" operator="containsText" dxfId="7" text="확인">
      <formula>NOT(ISERROR(SEARCH("확인",V13)))</formula>
    </cfRule>
    <cfRule type="containsText" priority="1450" operator="containsText" dxfId="4" text="취약">
      <formula>NOT(ISERROR(SEARCH("취약",V13)))</formula>
    </cfRule>
  </conditionalFormatting>
  <conditionalFormatting sqref="V14">
    <cfRule type="containsText" priority="1602" operator="containsText" dxfId="7" text="확인">
      <formula>NOT(ISERROR(SEARCH("확인",V14)))</formula>
    </cfRule>
    <cfRule type="containsText" priority="1603" operator="containsText" dxfId="4" text="취약">
      <formula>NOT(ISERROR(SEARCH("취약",V14)))</formula>
    </cfRule>
  </conditionalFormatting>
  <conditionalFormatting sqref="V14:V15">
    <cfRule type="cellIs" priority="1498" operator="equal" dxfId="0">
      <formula>"미흡"</formula>
    </cfRule>
  </conditionalFormatting>
  <conditionalFormatting sqref="V16">
    <cfRule type="containsText" priority="1597" operator="containsText" dxfId="7" text="확인">
      <formula>NOT(ISERROR(SEARCH("확인",V16)))</formula>
    </cfRule>
    <cfRule type="containsText" priority="1598" operator="containsText" dxfId="4" text="취약">
      <formula>NOT(ISERROR(SEARCH("취약",V16)))</formula>
    </cfRule>
    <cfRule type="cellIs" priority="1596" operator="equal" dxfId="0">
      <formula>"미흡"</formula>
    </cfRule>
  </conditionalFormatting>
  <conditionalFormatting sqref="V16:V17">
    <cfRule type="containsText" priority="1592" operator="containsText" dxfId="7" text="확인">
      <formula>NOT(ISERROR(SEARCH("확인",V16)))</formula>
    </cfRule>
    <cfRule type="containsText" priority="1593" operator="containsText" dxfId="4" text="취약">
      <formula>NOT(ISERROR(SEARCH("취약",V16)))</formula>
    </cfRule>
  </conditionalFormatting>
  <conditionalFormatting sqref="V17">
    <cfRule type="containsText" priority="1589" operator="containsText" dxfId="7" text="확인">
      <formula>NOT(ISERROR(SEARCH("확인",V17)))</formula>
    </cfRule>
    <cfRule type="containsText" priority="1590" operator="containsText" dxfId="4" text="취약">
      <formula>NOT(ISERROR(SEARCH("취약",V17)))</formula>
    </cfRule>
    <cfRule type="cellIs" priority="1591" operator="equal" dxfId="0">
      <formula>"미흡"</formula>
    </cfRule>
  </conditionalFormatting>
  <conditionalFormatting sqref="V17:V18">
    <cfRule type="containsText" priority="1586" operator="containsText" dxfId="4" text="취약">
      <formula>NOT(ISERROR(SEARCH("취약",V17)))</formula>
    </cfRule>
    <cfRule type="containsText" priority="1585" operator="containsText" dxfId="7" text="확인">
      <formula>NOT(ISERROR(SEARCH("확인",V17)))</formula>
    </cfRule>
  </conditionalFormatting>
  <conditionalFormatting sqref="V18:V19">
    <cfRule type="cellIs" priority="1495" operator="equal" dxfId="0">
      <formula>"미흡"</formula>
    </cfRule>
  </conditionalFormatting>
  <conditionalFormatting sqref="V18:V20">
    <cfRule type="containsText" priority="1493" operator="containsText" dxfId="7" text="확인">
      <formula>NOT(ISERROR(SEARCH("확인",V18)))</formula>
    </cfRule>
    <cfRule type="containsText" priority="1494" operator="containsText" dxfId="4" text="취약">
      <formula>NOT(ISERROR(SEARCH("취약",V18)))</formula>
    </cfRule>
  </conditionalFormatting>
  <conditionalFormatting sqref="V20">
    <cfRule type="containsText" priority="1517" operator="containsText" dxfId="7" text="확인">
      <formula>NOT(ISERROR(SEARCH("확인",V20)))</formula>
    </cfRule>
    <cfRule type="containsText" priority="1518" operator="containsText" dxfId="4" text="취약">
      <formula>NOT(ISERROR(SEARCH("취약",V20)))</formula>
    </cfRule>
    <cfRule type="containsText" priority="1519" operator="containsText" dxfId="7" text="확인">
      <formula>NOT(ISERROR(SEARCH("확인",V20)))</formula>
    </cfRule>
    <cfRule type="containsText" priority="1520" operator="containsText" dxfId="4" text="취약">
      <formula>NOT(ISERROR(SEARCH("취약",V20)))</formula>
    </cfRule>
    <cfRule type="cellIs" priority="1521" operator="equal" dxfId="0">
      <formula>"미흡"</formula>
    </cfRule>
  </conditionalFormatting>
  <conditionalFormatting sqref="V21:V22">
    <cfRule type="containsText" priority="1444" operator="containsText" dxfId="4" text="취약">
      <formula>NOT(ISERROR(SEARCH("취약",V21)))</formula>
    </cfRule>
    <cfRule type="containsText" priority="1443" operator="containsText" dxfId="7" text="확인">
      <formula>NOT(ISERROR(SEARCH("확인",V21)))</formula>
    </cfRule>
    <cfRule type="cellIs" priority="1442" operator="equal" dxfId="0">
      <formula>"미흡"</formula>
    </cfRule>
  </conditionalFormatting>
  <conditionalFormatting sqref="V21:V23">
    <cfRule type="containsText" priority="1439" operator="containsText" dxfId="4" text="취약">
      <formula>NOT(ISERROR(SEARCH("취약",V21)))</formula>
    </cfRule>
    <cfRule type="containsText" priority="1438" operator="containsText" dxfId="7" text="확인">
      <formula>NOT(ISERROR(SEARCH("확인",V21)))</formula>
    </cfRule>
  </conditionalFormatting>
  <conditionalFormatting sqref="V23:V24">
    <cfRule type="cellIs" priority="1427" operator="equal" dxfId="0">
      <formula>"미흡"</formula>
    </cfRule>
  </conditionalFormatting>
  <conditionalFormatting sqref="V23:V28">
    <cfRule type="containsText" priority="1413" operator="containsText" dxfId="4" text="취약">
      <formula>NOT(ISERROR(SEARCH("취약",V23)))</formula>
    </cfRule>
    <cfRule type="containsText" priority="1412" operator="containsText" dxfId="7" text="확인">
      <formula>NOT(ISERROR(SEARCH("확인",V23)))</formula>
    </cfRule>
  </conditionalFormatting>
  <conditionalFormatting sqref="V25">
    <cfRule type="cellIs" priority="1434" operator="equal" dxfId="0">
      <formula>"미흡"</formula>
    </cfRule>
    <cfRule type="containsText" priority="1433" operator="containsText" dxfId="4" text="취약">
      <formula>NOT(ISERROR(SEARCH("취약",V25)))</formula>
    </cfRule>
    <cfRule type="containsText" priority="1432" operator="containsText" dxfId="7" text="확인">
      <formula>NOT(ISERROR(SEARCH("확인",V25)))</formula>
    </cfRule>
    <cfRule type="containsText" priority="1431" operator="containsText" dxfId="4" text="취약">
      <formula>NOT(ISERROR(SEARCH("취약",V25)))</formula>
    </cfRule>
    <cfRule type="containsText" priority="1430" operator="containsText" dxfId="7" text="확인">
      <formula>NOT(ISERROR(SEARCH("확인",V25)))</formula>
    </cfRule>
  </conditionalFormatting>
  <conditionalFormatting sqref="V26">
    <cfRule type="cellIs" priority="1417" operator="equal" dxfId="0">
      <formula>"미흡"</formula>
    </cfRule>
  </conditionalFormatting>
  <conditionalFormatting sqref="V27">
    <cfRule type="containsText" priority="1420" operator="containsText" dxfId="7" text="확인">
      <formula>NOT(ISERROR(SEARCH("확인",V27)))</formula>
    </cfRule>
    <cfRule type="containsText" priority="1423" operator="containsText" dxfId="4" text="취약">
      <formula>NOT(ISERROR(SEARCH("취약",V27)))</formula>
    </cfRule>
    <cfRule type="cellIs" priority="1424" operator="equal" dxfId="0">
      <formula>"미흡"</formula>
    </cfRule>
    <cfRule type="containsText" priority="1422" operator="containsText" dxfId="7" text="확인">
      <formula>NOT(ISERROR(SEARCH("확인",V27)))</formula>
    </cfRule>
    <cfRule type="containsText" priority="1421" operator="containsText" dxfId="4" text="취약">
      <formula>NOT(ISERROR(SEARCH("취약",V27)))</formula>
    </cfRule>
  </conditionalFormatting>
  <conditionalFormatting sqref="V28">
    <cfRule type="cellIs" priority="1411" operator="equal" dxfId="0">
      <formula>"미흡"</formula>
    </cfRule>
  </conditionalFormatting>
  <conditionalFormatting sqref="V28:V29">
    <cfRule type="containsText" priority="1408" operator="containsText" dxfId="4" text="취약">
      <formula>NOT(ISERROR(SEARCH("취약",V28)))</formula>
    </cfRule>
    <cfRule type="containsText" priority="1407" operator="containsText" dxfId="7" text="확인">
      <formula>NOT(ISERROR(SEARCH("확인",V28)))</formula>
    </cfRule>
  </conditionalFormatting>
  <conditionalFormatting sqref="V29">
    <cfRule type="containsText" priority="1404" operator="containsText" dxfId="7" text="확인">
      <formula>NOT(ISERROR(SEARCH("확인",V29)))</formula>
    </cfRule>
    <cfRule type="cellIs" priority="1406" operator="equal" dxfId="0">
      <formula>"미흡"</formula>
    </cfRule>
    <cfRule type="containsText" priority="1405" operator="containsText" dxfId="4" text="취약">
      <formula>NOT(ISERROR(SEARCH("취약",V29)))</formula>
    </cfRule>
  </conditionalFormatting>
  <conditionalFormatting sqref="V29:V30">
    <cfRule type="containsText" priority="1401" operator="containsText" dxfId="4" text="취약">
      <formula>NOT(ISERROR(SEARCH("취약",V29)))</formula>
    </cfRule>
    <cfRule type="containsText" priority="1400" operator="containsText" dxfId="7" text="확인">
      <formula>NOT(ISERROR(SEARCH("확인",V29)))</formula>
    </cfRule>
  </conditionalFormatting>
  <conditionalFormatting sqref="V30:V33">
    <cfRule type="containsText" priority="1394" operator="containsText" dxfId="7" text="확인">
      <formula>NOT(ISERROR(SEARCH("확인",V30)))</formula>
    </cfRule>
    <cfRule type="cellIs" priority="1396" operator="equal" dxfId="0">
      <formula>"미흡"</formula>
    </cfRule>
    <cfRule type="containsText" priority="1395" operator="containsText" dxfId="4" text="취약">
      <formula>NOT(ISERROR(SEARCH("취약",V30)))</formula>
    </cfRule>
  </conditionalFormatting>
  <conditionalFormatting sqref="V34">
    <cfRule type="containsText" priority="1576" operator="containsText" dxfId="4" text="취약">
      <formula>NOT(ISERROR(SEARCH("취약",V34)))</formula>
    </cfRule>
    <cfRule type="containsText" priority="1578" operator="containsText" dxfId="4" text="취약">
      <formula>NOT(ISERROR(SEARCH("취약",V34)))</formula>
    </cfRule>
    <cfRule type="containsText" priority="1577" operator="containsText" dxfId="7" text="확인">
      <formula>NOT(ISERROR(SEARCH("확인",V34)))</formula>
    </cfRule>
    <cfRule type="containsText" priority="1575" operator="containsText" dxfId="7" text="확인">
      <formula>NOT(ISERROR(SEARCH("확인",V34)))</formula>
    </cfRule>
    <cfRule type="containsText" priority="1573" operator="containsText" dxfId="7" text="확인">
      <formula>NOT(ISERROR(SEARCH("확인",V34)))</formula>
    </cfRule>
    <cfRule type="containsText" priority="1574" operator="containsText" dxfId="4" text="취약">
      <formula>NOT(ISERROR(SEARCH("취약",V34)))</formula>
    </cfRule>
    <cfRule type="cellIs" priority="1579" operator="equal" dxfId="0">
      <formula>"미흡"</formula>
    </cfRule>
    <cfRule type="containsText" priority="1580" operator="containsText" dxfId="7" text="확인">
      <formula>NOT(ISERROR(SEARCH("확인",V34)))</formula>
    </cfRule>
    <cfRule type="containsText" priority="1581" operator="containsText" dxfId="4" text="취약">
      <formula>NOT(ISERROR(SEARCH("취약",V34)))</formula>
    </cfRule>
  </conditionalFormatting>
  <conditionalFormatting sqref="V34:V35">
    <cfRule type="containsText" priority="1569" operator="containsText" dxfId="7" text="확인">
      <formula>NOT(ISERROR(SEARCH("확인",V34)))</formula>
    </cfRule>
    <cfRule type="containsText" priority="1570" operator="containsText" dxfId="4" text="취약">
      <formula>NOT(ISERROR(SEARCH("취약",V34)))</formula>
    </cfRule>
  </conditionalFormatting>
  <conditionalFormatting sqref="V35">
    <cfRule type="cellIs" priority="1568" operator="equal" dxfId="0">
      <formula>"미흡"</formula>
    </cfRule>
  </conditionalFormatting>
  <conditionalFormatting sqref="V35:V36">
    <cfRule type="containsText" priority="1564" operator="containsText" dxfId="7" text="확인">
      <formula>NOT(ISERROR(SEARCH("확인",V35)))</formula>
    </cfRule>
    <cfRule type="containsText" priority="1565" operator="containsText" dxfId="4" text="취약">
      <formula>NOT(ISERROR(SEARCH("취약",V35)))</formula>
    </cfRule>
  </conditionalFormatting>
  <conditionalFormatting sqref="V36">
    <cfRule type="cellIs" priority="1563" operator="equal" dxfId="0">
      <formula>"미흡"</formula>
    </cfRule>
  </conditionalFormatting>
  <conditionalFormatting sqref="V36:V37">
    <cfRule type="containsText" priority="1559" operator="containsText" dxfId="7" text="확인">
      <formula>NOT(ISERROR(SEARCH("확인",V36)))</formula>
    </cfRule>
    <cfRule type="containsText" priority="1560" operator="containsText" dxfId="4" text="취약">
      <formula>NOT(ISERROR(SEARCH("취약",V36)))</formula>
    </cfRule>
  </conditionalFormatting>
  <conditionalFormatting sqref="V37">
    <cfRule type="cellIs" priority="1558" operator="equal" dxfId="0">
      <formula>"미흡"</formula>
    </cfRule>
  </conditionalFormatting>
  <conditionalFormatting sqref="V37:V38">
    <cfRule type="containsText" priority="1391" operator="containsText" dxfId="7" text="확인">
      <formula>NOT(ISERROR(SEARCH("확인",V37)))</formula>
    </cfRule>
    <cfRule type="containsText" priority="1392" operator="containsText" dxfId="4" text="취약">
      <formula>NOT(ISERROR(SEARCH("취약",V37)))</formula>
    </cfRule>
  </conditionalFormatting>
  <conditionalFormatting sqref="V38">
    <cfRule type="cellIs" priority="1390" operator="equal" dxfId="0">
      <formula>"미흡"</formula>
    </cfRule>
  </conditionalFormatting>
  <conditionalFormatting sqref="V38:V39">
    <cfRule type="containsText" priority="1386" operator="containsText" dxfId="7" text="확인">
      <formula>NOT(ISERROR(SEARCH("확인",V38)))</formula>
    </cfRule>
    <cfRule type="containsText" priority="1387" operator="containsText" dxfId="4" text="취약">
      <formula>NOT(ISERROR(SEARCH("취약",V38)))</formula>
    </cfRule>
  </conditionalFormatting>
  <conditionalFormatting sqref="V39">
    <cfRule type="cellIs" priority="1385" operator="equal" dxfId="0">
      <formula>"미흡"</formula>
    </cfRule>
  </conditionalFormatting>
  <conditionalFormatting sqref="V39:V41">
    <cfRule type="containsText" priority="1375" operator="containsText" dxfId="7" text="확인">
      <formula>NOT(ISERROR(SEARCH("확인",V39)))</formula>
    </cfRule>
    <cfRule type="containsText" priority="1376" operator="containsText" dxfId="4" text="취약">
      <formula>NOT(ISERROR(SEARCH("취약",V39)))</formula>
    </cfRule>
  </conditionalFormatting>
  <conditionalFormatting sqref="V40">
    <cfRule type="containsText" priority="1373" operator="containsText" dxfId="4" text="취약">
      <formula>NOT(ISERROR(SEARCH("취약",V40)))</formula>
    </cfRule>
    <cfRule type="cellIs" priority="1374" operator="equal" dxfId="0">
      <formula>"미흡"</formula>
    </cfRule>
    <cfRule type="containsText" priority="1372" operator="containsText" dxfId="7" text="확인">
      <formula>NOT(ISERROR(SEARCH("확인",V40)))</formula>
    </cfRule>
  </conditionalFormatting>
  <conditionalFormatting sqref="V41">
    <cfRule type="cellIs" priority="1380" operator="equal" dxfId="0">
      <formula>"미흡"</formula>
    </cfRule>
  </conditionalFormatting>
  <conditionalFormatting sqref="V41:V42">
    <cfRule type="containsText" priority="1382" operator="containsText" dxfId="4" text="취약">
      <formula>NOT(ISERROR(SEARCH("취약",V41)))</formula>
    </cfRule>
    <cfRule type="containsText" priority="1381" operator="containsText" dxfId="7" text="확인">
      <formula>NOT(ISERROR(SEARCH("확인",V41)))</formula>
    </cfRule>
  </conditionalFormatting>
  <conditionalFormatting sqref="V42:V43">
    <cfRule type="containsText" priority="1530" operator="containsText" dxfId="4" text="취약">
      <formula>NOT(ISERROR(SEARCH("취약",V42)))</formula>
    </cfRule>
    <cfRule type="cellIs" priority="1531" operator="equal" dxfId="0">
      <formula>"미흡"</formula>
    </cfRule>
    <cfRule type="containsText" priority="1529" operator="containsText" dxfId="7" text="확인">
      <formula>NOT(ISERROR(SEARCH("확인",V42)))</formula>
    </cfRule>
  </conditionalFormatting>
  <conditionalFormatting sqref="V44">
    <cfRule type="containsText" priority="1362" operator="containsText" dxfId="7" text="확인">
      <formula>NOT(ISERROR(SEARCH("확인",V44)))</formula>
    </cfRule>
    <cfRule type="containsText" priority="1363" operator="containsText" dxfId="4" text="취약">
      <formula>NOT(ISERROR(SEARCH("취약",V44)))</formula>
    </cfRule>
    <cfRule type="cellIs" priority="1364" operator="equal" dxfId="0">
      <formula>"미흡"</formula>
    </cfRule>
  </conditionalFormatting>
  <conditionalFormatting sqref="V45:V46">
    <cfRule type="cellIs" priority="1507" operator="equal" dxfId="0">
      <formula>"미흡"</formula>
    </cfRule>
    <cfRule type="containsText" priority="1506" operator="containsText" dxfId="4" text="취약">
      <formula>NOT(ISERROR(SEARCH("취약",V45)))</formula>
    </cfRule>
    <cfRule type="containsText" priority="1505" operator="containsText" dxfId="7" text="확인">
      <formula>NOT(ISERROR(SEARCH("확인",V45)))</formula>
    </cfRule>
  </conditionalFormatting>
  <conditionalFormatting sqref="V46">
    <cfRule type="containsText" priority="1499" operator="containsText" dxfId="7" text="확인">
      <formula>NOT(ISERROR(SEARCH("확인",V46)))</formula>
    </cfRule>
    <cfRule type="containsText" priority="1500" operator="containsText" dxfId="4" text="취약">
      <formula>NOT(ISERROR(SEARCH("취약",V46)))</formula>
    </cfRule>
    <cfRule type="containsText" priority="1503" operator="containsText" dxfId="7" text="확인">
      <formula>NOT(ISERROR(SEARCH("확인",V46)))</formula>
    </cfRule>
    <cfRule type="containsText" priority="1504" operator="containsText" dxfId="4" text="취약">
      <formula>NOT(ISERROR(SEARCH("취약",V46)))</formula>
    </cfRule>
    <cfRule type="containsText" priority="1502" operator="containsText" dxfId="4" text="취약">
      <formula>NOT(ISERROR(SEARCH("취약",V46)))</formula>
    </cfRule>
    <cfRule type="containsText" priority="1501" operator="containsText" dxfId="7" text="확인">
      <formula>NOT(ISERROR(SEARCH("확인",V46)))</formula>
    </cfRule>
  </conditionalFormatting>
  <conditionalFormatting sqref="V47:V48">
    <cfRule type="containsText" priority="1608" operator="containsText" dxfId="7" text="확인">
      <formula>NOT(ISERROR(SEARCH("확인",V47)))</formula>
    </cfRule>
    <cfRule type="containsText" priority="1609" operator="containsText" dxfId="4" text="취약">
      <formula>NOT(ISERROR(SEARCH("취약",V47)))</formula>
    </cfRule>
  </conditionalFormatting>
  <conditionalFormatting sqref="V47:V49">
    <cfRule type="cellIs" priority="1534" operator="equal" dxfId="0">
      <formula>"미흡"</formula>
    </cfRule>
  </conditionalFormatting>
  <conditionalFormatting sqref="V47:V51">
    <cfRule type="containsText" priority="1525" operator="containsText" dxfId="4" text="취약">
      <formula>NOT(ISERROR(SEARCH("취약",V47)))</formula>
    </cfRule>
    <cfRule type="containsText" priority="1524" operator="containsText" dxfId="7" text="확인">
      <formula>NOT(ISERROR(SEARCH("확인",V47)))</formula>
    </cfRule>
  </conditionalFormatting>
  <conditionalFormatting sqref="V50">
    <cfRule type="containsText" priority="1537" operator="containsText" dxfId="7" text="확인">
      <formula>NOT(ISERROR(SEARCH("확인",V50)))</formula>
    </cfRule>
    <cfRule type="containsText" priority="1544" operator="containsText" dxfId="4" text="취약">
      <formula>NOT(ISERROR(SEARCH("취약",V50)))</formula>
    </cfRule>
    <cfRule type="containsText" priority="1539" operator="containsText" dxfId="7" text="확인">
      <formula>NOT(ISERROR(SEARCH("확인",V50)))</formula>
    </cfRule>
    <cfRule type="containsText" priority="1543" operator="containsText" dxfId="7" text="확인">
      <formula>NOT(ISERROR(SEARCH("확인",V50)))</formula>
    </cfRule>
    <cfRule type="containsText" priority="1542" operator="containsText" dxfId="4" text="취약">
      <formula>NOT(ISERROR(SEARCH("취약",V50)))</formula>
    </cfRule>
    <cfRule type="containsText" priority="1541" operator="containsText" dxfId="7" text="확인">
      <formula>NOT(ISERROR(SEARCH("확인",V50)))</formula>
    </cfRule>
    <cfRule type="containsText" priority="1540" operator="containsText" dxfId="4" text="취약">
      <formula>NOT(ISERROR(SEARCH("취약",V50)))</formula>
    </cfRule>
    <cfRule type="containsText" priority="1548" operator="containsText" dxfId="7" text="확인">
      <formula>NOT(ISERROR(SEARCH("확인",V50)))</formula>
    </cfRule>
    <cfRule type="cellIs" priority="1547" operator="equal" dxfId="0">
      <formula>"미흡"</formula>
    </cfRule>
    <cfRule type="containsText" priority="1546" operator="containsText" dxfId="4" text="취약">
      <formula>NOT(ISERROR(SEARCH("취약",V50)))</formula>
    </cfRule>
    <cfRule type="containsText" priority="1545" operator="containsText" dxfId="7" text="확인">
      <formula>NOT(ISERROR(SEARCH("확인",V50)))</formula>
    </cfRule>
    <cfRule type="containsText" priority="1549" operator="containsText" dxfId="4" text="취약">
      <formula>NOT(ISERROR(SEARCH("취약",V50)))</formula>
    </cfRule>
    <cfRule type="containsText" priority="1538" operator="containsText" dxfId="4" text="취약">
      <formula>NOT(ISERROR(SEARCH("취약",V50)))</formula>
    </cfRule>
  </conditionalFormatting>
  <conditionalFormatting sqref="V3:W6 V50:V51 W7:W43 W45:W51">
    <cfRule type="cellIs" priority="1611" operator="equal" dxfId="1">
      <formula>"N/A"</formula>
    </cfRule>
  </conditionalFormatting>
  <conditionalFormatting sqref="V51">
    <cfRule type="cellIs" priority="1526" operator="equal" dxfId="0">
      <formula>"미흡"</formula>
    </cfRule>
    <cfRule type="containsText" priority="1523" operator="containsText" dxfId="4" text="취약">
      <formula>NOT(ISERROR(SEARCH("취약",V51)))</formula>
    </cfRule>
    <cfRule type="containsText" priority="1522" operator="containsText" dxfId="7" text="확인">
      <formula>NOT(ISERROR(SEARCH("확인",V51)))</formula>
    </cfRule>
  </conditionalFormatting>
  <conditionalFormatting sqref="W3:W5">
    <cfRule type="cellIs" priority="1512" operator="equal" dxfId="4">
      <formula>"취약"</formula>
    </cfRule>
  </conditionalFormatting>
  <conditionalFormatting sqref="W3:W51">
    <cfRule type="cellIs" priority="1365" operator="equal" dxfId="0">
      <formula>"미흡"</formula>
    </cfRule>
  </conditionalFormatting>
  <conditionalFormatting sqref="X1:X1048576">
    <cfRule type="cellIs" priority="2372" operator="equal" dxfId="154">
      <formula>"인터뷰"</formula>
    </cfRule>
    <cfRule type="cellIs" priority="2371" operator="equal" dxfId="1">
      <formula>"N/A"</formula>
    </cfRule>
  </conditionalFormatting>
  <conditionalFormatting sqref="X3:X6">
    <cfRule type="cellIs" priority="2522" operator="equal" dxfId="0">
      <formula>"미흡"</formula>
    </cfRule>
  </conditionalFormatting>
  <conditionalFormatting sqref="X6:X8">
    <cfRule type="containsText" priority="2492" operator="containsText" dxfId="4" text="취약">
      <formula>NOT(ISERROR(SEARCH("취약",X6)))</formula>
    </cfRule>
    <cfRule type="containsText" priority="2491" operator="containsText" dxfId="7" text="확인">
      <formula>NOT(ISERROR(SEARCH("확인",X6)))</formula>
    </cfRule>
  </conditionalFormatting>
  <conditionalFormatting sqref="X7">
    <cfRule type="containsText" priority="2489" operator="containsText" dxfId="4" text="취약">
      <formula>NOT(ISERROR(SEARCH("취약",X7)))</formula>
    </cfRule>
    <cfRule type="containsText" priority="2488" operator="containsText" dxfId="7" text="확인">
      <formula>NOT(ISERROR(SEARCH("확인",X7)))</formula>
    </cfRule>
    <cfRule type="cellIs" priority="2490" operator="equal" dxfId="0">
      <formula>"미흡"</formula>
    </cfRule>
  </conditionalFormatting>
  <conditionalFormatting sqref="X7:X25">
    <cfRule type="cellIs" priority="2457" operator="equal" dxfId="1">
      <formula>"N/A"</formula>
    </cfRule>
  </conditionalFormatting>
  <conditionalFormatting sqref="X8">
    <cfRule type="containsText" priority="2498" operator="containsText" dxfId="4" text="취약">
      <formula>NOT(ISERROR(SEARCH("취약",X8)))</formula>
    </cfRule>
    <cfRule type="containsText" priority="2497" operator="containsText" dxfId="7" text="확인">
      <formula>NOT(ISERROR(SEARCH("확인",X8)))</formula>
    </cfRule>
    <cfRule type="cellIs" priority="2496" operator="equal" dxfId="0">
      <formula>"미흡"</formula>
    </cfRule>
  </conditionalFormatting>
  <conditionalFormatting sqref="X9">
    <cfRule type="containsText" priority="2476" operator="containsText" dxfId="7" text="확인">
      <formula>NOT(ISERROR(SEARCH("확인",X9)))</formula>
    </cfRule>
    <cfRule type="containsText" priority="2477" operator="containsText" dxfId="4" text="취약">
      <formula>NOT(ISERROR(SEARCH("취약",X9)))</formula>
    </cfRule>
    <cfRule type="cellIs" priority="2478" operator="equal" dxfId="0">
      <formula>"미흡"</formula>
    </cfRule>
  </conditionalFormatting>
  <conditionalFormatting sqref="X9:X10">
    <cfRule type="containsText" priority="2479" operator="containsText" dxfId="7" text="확인">
      <formula>NOT(ISERROR(SEARCH("확인",X9)))</formula>
    </cfRule>
    <cfRule type="containsText" priority="2480" operator="containsText" dxfId="4" text="취약">
      <formula>NOT(ISERROR(SEARCH("취약",X9)))</formula>
    </cfRule>
  </conditionalFormatting>
  <conditionalFormatting sqref="X10">
    <cfRule type="containsText" priority="2486" operator="containsText" dxfId="4" text="취약">
      <formula>NOT(ISERROR(SEARCH("취약",X10)))</formula>
    </cfRule>
    <cfRule type="containsText" priority="2485" operator="containsText" dxfId="7" text="확인">
      <formula>NOT(ISERROR(SEARCH("확인",X10)))</formula>
    </cfRule>
    <cfRule type="cellIs" priority="2484" operator="equal" dxfId="0">
      <formula>"미흡"</formula>
    </cfRule>
  </conditionalFormatting>
  <conditionalFormatting sqref="X11">
    <cfRule type="containsText" priority="2464" operator="containsText" dxfId="7" text="확인">
      <formula>NOT(ISERROR(SEARCH("확인",X11)))</formula>
    </cfRule>
    <cfRule type="containsText" priority="2465" operator="containsText" dxfId="4" text="취약">
      <formula>NOT(ISERROR(SEARCH("취약",X11)))</formula>
    </cfRule>
    <cfRule type="cellIs" priority="2466" operator="equal" dxfId="0">
      <formula>"미흡"</formula>
    </cfRule>
  </conditionalFormatting>
  <conditionalFormatting sqref="X11:X12">
    <cfRule type="containsText" priority="2467" operator="containsText" dxfId="7" text="확인">
      <formula>NOT(ISERROR(SEARCH("확인",X11)))</formula>
    </cfRule>
    <cfRule type="containsText" priority="2468" operator="containsText" dxfId="4" text="취약">
      <formula>NOT(ISERROR(SEARCH("취약",X11)))</formula>
    </cfRule>
  </conditionalFormatting>
  <conditionalFormatting sqref="X12">
    <cfRule type="containsText" priority="2473" operator="containsText" dxfId="7" text="확인">
      <formula>NOT(ISERROR(SEARCH("확인",X12)))</formula>
    </cfRule>
    <cfRule type="containsText" priority="2474" operator="containsText" dxfId="4" text="취약">
      <formula>NOT(ISERROR(SEARCH("취약",X12)))</formula>
    </cfRule>
    <cfRule type="cellIs" priority="2472" operator="equal" dxfId="0">
      <formula>"미흡"</formula>
    </cfRule>
  </conditionalFormatting>
  <conditionalFormatting sqref="X13">
    <cfRule type="containsText" priority="2458" operator="containsText" dxfId="7" text="확인">
      <formula>NOT(ISERROR(SEARCH("확인",X13)))</formula>
    </cfRule>
    <cfRule type="containsText" priority="2459" operator="containsText" dxfId="4" text="취약">
      <formula>NOT(ISERROR(SEARCH("취약",X13)))</formula>
    </cfRule>
    <cfRule type="cellIs" priority="2460" operator="equal" dxfId="0">
      <formula>"미흡"</formula>
    </cfRule>
  </conditionalFormatting>
  <conditionalFormatting sqref="X13:X15">
    <cfRule type="containsText" priority="2461" operator="containsText" dxfId="7" text="확인">
      <formula>NOT(ISERROR(SEARCH("확인",X13)))</formula>
    </cfRule>
    <cfRule type="containsText" priority="2462" operator="containsText" dxfId="4" text="취약">
      <formula>NOT(ISERROR(SEARCH("취약",X13)))</formula>
    </cfRule>
  </conditionalFormatting>
  <conditionalFormatting sqref="X14">
    <cfRule type="containsText" priority="2615" operator="containsText" dxfId="4" text="취약">
      <formula>NOT(ISERROR(SEARCH("취약",X14)))</formula>
    </cfRule>
    <cfRule type="containsText" priority="2614" operator="containsText" dxfId="7" text="확인">
      <formula>NOT(ISERROR(SEARCH("확인",X14)))</formula>
    </cfRule>
  </conditionalFormatting>
  <conditionalFormatting sqref="X14:X15">
    <cfRule type="cellIs" priority="2510" operator="equal" dxfId="0">
      <formula>"미흡"</formula>
    </cfRule>
  </conditionalFormatting>
  <conditionalFormatting sqref="X16">
    <cfRule type="containsText" priority="2609" operator="containsText" dxfId="7" text="확인">
      <formula>NOT(ISERROR(SEARCH("확인",X16)))</formula>
    </cfRule>
    <cfRule type="cellIs" priority="2608" operator="equal" dxfId="0">
      <formula>"미흡"</formula>
    </cfRule>
    <cfRule type="containsText" priority="2610" operator="containsText" dxfId="4" text="취약">
      <formula>NOT(ISERROR(SEARCH("취약",X16)))</formula>
    </cfRule>
  </conditionalFormatting>
  <conditionalFormatting sqref="X16:X17">
    <cfRule type="containsText" priority="2605" operator="containsText" dxfId="4" text="취약">
      <formula>NOT(ISERROR(SEARCH("취약",X16)))</formula>
    </cfRule>
    <cfRule type="containsText" priority="2604" operator="containsText" dxfId="7" text="확인">
      <formula>NOT(ISERROR(SEARCH("확인",X16)))</formula>
    </cfRule>
  </conditionalFormatting>
  <conditionalFormatting sqref="X17">
    <cfRule type="containsText" priority="2602" operator="containsText" dxfId="4" text="취약">
      <formula>NOT(ISERROR(SEARCH("취약",X17)))</formula>
    </cfRule>
    <cfRule type="containsText" priority="2601" operator="containsText" dxfId="7" text="확인">
      <formula>NOT(ISERROR(SEARCH("확인",X17)))</formula>
    </cfRule>
    <cfRule type="cellIs" priority="2603" operator="equal" dxfId="0">
      <formula>"미흡"</formula>
    </cfRule>
  </conditionalFormatting>
  <conditionalFormatting sqref="X17:X18">
    <cfRule type="containsText" priority="2597" operator="containsText" dxfId="7" text="확인">
      <formula>NOT(ISERROR(SEARCH("확인",X17)))</formula>
    </cfRule>
    <cfRule type="containsText" priority="2598" operator="containsText" dxfId="4" text="취약">
      <formula>NOT(ISERROR(SEARCH("취약",X17)))</formula>
    </cfRule>
  </conditionalFormatting>
  <conditionalFormatting sqref="X18:X19">
    <cfRule type="cellIs" priority="2507" operator="equal" dxfId="0">
      <formula>"미흡"</formula>
    </cfRule>
  </conditionalFormatting>
  <conditionalFormatting sqref="X18:X20">
    <cfRule type="containsText" priority="2505" operator="containsText" dxfId="7" text="확인">
      <formula>NOT(ISERROR(SEARCH("확인",X18)))</formula>
    </cfRule>
    <cfRule type="containsText" priority="2506" operator="containsText" dxfId="4" text="취약">
      <formula>NOT(ISERROR(SEARCH("취약",X18)))</formula>
    </cfRule>
  </conditionalFormatting>
  <conditionalFormatting sqref="X20">
    <cfRule type="containsText" priority="2529" operator="containsText" dxfId="7" text="확인">
      <formula>NOT(ISERROR(SEARCH("확인",X20)))</formula>
    </cfRule>
    <cfRule type="containsText" priority="2530" operator="containsText" dxfId="4" text="취약">
      <formula>NOT(ISERROR(SEARCH("취약",X20)))</formula>
    </cfRule>
    <cfRule type="containsText" priority="2531" operator="containsText" dxfId="7" text="확인">
      <formula>NOT(ISERROR(SEARCH("확인",X20)))</formula>
    </cfRule>
    <cfRule type="containsText" priority="2532" operator="containsText" dxfId="4" text="취약">
      <formula>NOT(ISERROR(SEARCH("취약",X20)))</formula>
    </cfRule>
    <cfRule type="cellIs" priority="2533" operator="equal" dxfId="0">
      <formula>"미흡"</formula>
    </cfRule>
  </conditionalFormatting>
  <conditionalFormatting sqref="X21:X22">
    <cfRule type="cellIs" priority="2454" operator="equal" dxfId="0">
      <formula>"미흡"</formula>
    </cfRule>
    <cfRule type="containsText" priority="2455" operator="containsText" dxfId="7" text="확인">
      <formula>NOT(ISERROR(SEARCH("확인",X21)))</formula>
    </cfRule>
    <cfRule type="containsText" priority="2456" operator="containsText" dxfId="4" text="취약">
      <formula>NOT(ISERROR(SEARCH("취약",X21)))</formula>
    </cfRule>
  </conditionalFormatting>
  <conditionalFormatting sqref="X21:X23">
    <cfRule type="containsText" priority="2450" operator="containsText" dxfId="7" text="확인">
      <formula>NOT(ISERROR(SEARCH("확인",X21)))</formula>
    </cfRule>
    <cfRule type="containsText" priority="2451" operator="containsText" dxfId="4" text="취약">
      <formula>NOT(ISERROR(SEARCH("취약",X21)))</formula>
    </cfRule>
  </conditionalFormatting>
  <conditionalFormatting sqref="X23:X24">
    <cfRule type="cellIs" priority="2439" operator="equal" dxfId="0">
      <formula>"미흡"</formula>
    </cfRule>
  </conditionalFormatting>
  <conditionalFormatting sqref="X23:X28">
    <cfRule type="containsText" priority="2424" operator="containsText" dxfId="7" text="확인">
      <formula>NOT(ISERROR(SEARCH("확인",X23)))</formula>
    </cfRule>
    <cfRule type="containsText" priority="2425" operator="containsText" dxfId="4" text="취약">
      <formula>NOT(ISERROR(SEARCH("취약",X23)))</formula>
    </cfRule>
  </conditionalFormatting>
  <conditionalFormatting sqref="X25">
    <cfRule type="containsText" priority="2444" operator="containsText" dxfId="7" text="확인">
      <formula>NOT(ISERROR(SEARCH("확인",X25)))</formula>
    </cfRule>
    <cfRule type="containsText" priority="2445" operator="containsText" dxfId="4" text="취약">
      <formula>NOT(ISERROR(SEARCH("취약",X25)))</formula>
    </cfRule>
    <cfRule type="cellIs" priority="2446" operator="equal" dxfId="0">
      <formula>"미흡"</formula>
    </cfRule>
    <cfRule type="containsText" priority="2442" operator="containsText" dxfId="7" text="확인">
      <formula>NOT(ISERROR(SEARCH("확인",X25)))</formula>
    </cfRule>
    <cfRule type="containsText" priority="2443" operator="containsText" dxfId="4" text="취약">
      <formula>NOT(ISERROR(SEARCH("취약",X25)))</formula>
    </cfRule>
  </conditionalFormatting>
  <conditionalFormatting sqref="X26">
    <cfRule type="cellIs" priority="2429" operator="equal" dxfId="0">
      <formula>"미흡"</formula>
    </cfRule>
  </conditionalFormatting>
  <conditionalFormatting sqref="X27">
    <cfRule type="cellIs" priority="2436" operator="equal" dxfId="0">
      <formula>"미흡"</formula>
    </cfRule>
    <cfRule type="containsText" priority="2435" operator="containsText" dxfId="4" text="취약">
      <formula>NOT(ISERROR(SEARCH("취약",X27)))</formula>
    </cfRule>
    <cfRule type="containsText" priority="2434" operator="containsText" dxfId="7" text="확인">
      <formula>NOT(ISERROR(SEARCH("확인",X27)))</formula>
    </cfRule>
    <cfRule type="containsText" priority="2433" operator="containsText" dxfId="4" text="취약">
      <formula>NOT(ISERROR(SEARCH("취약",X27)))</formula>
    </cfRule>
    <cfRule type="containsText" priority="2432" operator="containsText" dxfId="7" text="확인">
      <formula>NOT(ISERROR(SEARCH("확인",X27)))</formula>
    </cfRule>
  </conditionalFormatting>
  <conditionalFormatting sqref="X28">
    <cfRule type="cellIs" priority="2423" operator="equal" dxfId="0">
      <formula>"미흡"</formula>
    </cfRule>
  </conditionalFormatting>
  <conditionalFormatting sqref="X28:X29">
    <cfRule type="containsText" priority="2419" operator="containsText" dxfId="7" text="확인">
      <formula>NOT(ISERROR(SEARCH("확인",X28)))</formula>
    </cfRule>
    <cfRule type="containsText" priority="2420" operator="containsText" dxfId="4" text="취약">
      <formula>NOT(ISERROR(SEARCH("취약",X28)))</formula>
    </cfRule>
  </conditionalFormatting>
  <conditionalFormatting sqref="X29">
    <cfRule type="containsText" priority="2416" operator="containsText" dxfId="7" text="확인">
      <formula>NOT(ISERROR(SEARCH("확인",X29)))</formula>
    </cfRule>
    <cfRule type="containsText" priority="2417" operator="containsText" dxfId="4" text="취약">
      <formula>NOT(ISERROR(SEARCH("취약",X29)))</formula>
    </cfRule>
    <cfRule type="cellIs" priority="2418" operator="equal" dxfId="0">
      <formula>"미흡"</formula>
    </cfRule>
  </conditionalFormatting>
  <conditionalFormatting sqref="X29:X30">
    <cfRule type="containsText" priority="2412" operator="containsText" dxfId="7" text="확인">
      <formula>NOT(ISERROR(SEARCH("확인",X29)))</formula>
    </cfRule>
    <cfRule type="containsText" priority="2413" operator="containsText" dxfId="4" text="취약">
      <formula>NOT(ISERROR(SEARCH("취약",X29)))</formula>
    </cfRule>
  </conditionalFormatting>
  <conditionalFormatting sqref="X30:X33">
    <cfRule type="containsText" priority="2407" operator="containsText" dxfId="4" text="취약">
      <formula>NOT(ISERROR(SEARCH("취약",X30)))</formula>
    </cfRule>
    <cfRule type="containsText" priority="2406" operator="containsText" dxfId="7" text="확인">
      <formula>NOT(ISERROR(SEARCH("확인",X30)))</formula>
    </cfRule>
    <cfRule type="cellIs" priority="2408" operator="equal" dxfId="0">
      <formula>"미흡"</formula>
    </cfRule>
  </conditionalFormatting>
  <conditionalFormatting sqref="X34">
    <cfRule type="containsText" priority="2589" operator="containsText" dxfId="7" text="확인">
      <formula>NOT(ISERROR(SEARCH("확인",X34)))</formula>
    </cfRule>
    <cfRule type="containsText" priority="2593" operator="containsText" dxfId="4" text="취약">
      <formula>NOT(ISERROR(SEARCH("취약",X34)))</formula>
    </cfRule>
    <cfRule type="containsText" priority="2585" operator="containsText" dxfId="7" text="확인">
      <formula>NOT(ISERROR(SEARCH("확인",X34)))</formula>
    </cfRule>
    <cfRule type="containsText" priority="2586" operator="containsText" dxfId="4" text="취약">
      <formula>NOT(ISERROR(SEARCH("취약",X34)))</formula>
    </cfRule>
    <cfRule type="containsText" priority="2587" operator="containsText" dxfId="7" text="확인">
      <formula>NOT(ISERROR(SEARCH("확인",X34)))</formula>
    </cfRule>
    <cfRule type="containsText" priority="2588" operator="containsText" dxfId="4" text="취약">
      <formula>NOT(ISERROR(SEARCH("취약",X34)))</formula>
    </cfRule>
    <cfRule type="containsText" priority="2590" operator="containsText" dxfId="4" text="취약">
      <formula>NOT(ISERROR(SEARCH("취약",X34)))</formula>
    </cfRule>
    <cfRule type="cellIs" priority="2591" operator="equal" dxfId="0">
      <formula>"미흡"</formula>
    </cfRule>
    <cfRule type="containsText" priority="2592" operator="containsText" dxfId="7" text="확인">
      <formula>NOT(ISERROR(SEARCH("확인",X34)))</formula>
    </cfRule>
  </conditionalFormatting>
  <conditionalFormatting sqref="X34:X35">
    <cfRule type="containsText" priority="2582" operator="containsText" dxfId="4" text="취약">
      <formula>NOT(ISERROR(SEARCH("취약",X34)))</formula>
    </cfRule>
    <cfRule type="containsText" priority="2581" operator="containsText" dxfId="7" text="확인">
      <formula>NOT(ISERROR(SEARCH("확인",X34)))</formula>
    </cfRule>
  </conditionalFormatting>
  <conditionalFormatting sqref="X35">
    <cfRule type="cellIs" priority="2580" operator="equal" dxfId="0">
      <formula>"미흡"</formula>
    </cfRule>
  </conditionalFormatting>
  <conditionalFormatting sqref="X35:X36">
    <cfRule type="containsText" priority="2577" operator="containsText" dxfId="4" text="취약">
      <formula>NOT(ISERROR(SEARCH("취약",X35)))</formula>
    </cfRule>
    <cfRule type="containsText" priority="2576" operator="containsText" dxfId="7" text="확인">
      <formula>NOT(ISERROR(SEARCH("확인",X35)))</formula>
    </cfRule>
  </conditionalFormatting>
  <conditionalFormatting sqref="X36">
    <cfRule type="cellIs" priority="2575" operator="equal" dxfId="0">
      <formula>"미흡"</formula>
    </cfRule>
  </conditionalFormatting>
  <conditionalFormatting sqref="X36:X37">
    <cfRule type="containsText" priority="2572" operator="containsText" dxfId="4" text="취약">
      <formula>NOT(ISERROR(SEARCH("취약",X36)))</formula>
    </cfRule>
    <cfRule type="containsText" priority="2571" operator="containsText" dxfId="7" text="확인">
      <formula>NOT(ISERROR(SEARCH("확인",X36)))</formula>
    </cfRule>
  </conditionalFormatting>
  <conditionalFormatting sqref="X37">
    <cfRule type="cellIs" priority="2570" operator="equal" dxfId="0">
      <formula>"미흡"</formula>
    </cfRule>
  </conditionalFormatting>
  <conditionalFormatting sqref="X37:X38">
    <cfRule type="containsText" priority="2404" operator="containsText" dxfId="4" text="취약">
      <formula>NOT(ISERROR(SEARCH("취약",X37)))</formula>
    </cfRule>
    <cfRule type="containsText" priority="2403" operator="containsText" dxfId="7" text="확인">
      <formula>NOT(ISERROR(SEARCH("확인",X37)))</formula>
    </cfRule>
  </conditionalFormatting>
  <conditionalFormatting sqref="X38">
    <cfRule type="cellIs" priority="2402" operator="equal" dxfId="0">
      <formula>"미흡"</formula>
    </cfRule>
  </conditionalFormatting>
  <conditionalFormatting sqref="X38:X39">
    <cfRule type="containsText" priority="2399" operator="containsText" dxfId="4" text="취약">
      <formula>NOT(ISERROR(SEARCH("취약",X38)))</formula>
    </cfRule>
    <cfRule type="containsText" priority="2398" operator="containsText" dxfId="7" text="확인">
      <formula>NOT(ISERROR(SEARCH("확인",X38)))</formula>
    </cfRule>
  </conditionalFormatting>
  <conditionalFormatting sqref="X39">
    <cfRule type="cellIs" priority="2397" operator="equal" dxfId="0">
      <formula>"미흡"</formula>
    </cfRule>
  </conditionalFormatting>
  <conditionalFormatting sqref="X39:X41">
    <cfRule type="containsText" priority="2388" operator="containsText" dxfId="4" text="취약">
      <formula>NOT(ISERROR(SEARCH("취약",X39)))</formula>
    </cfRule>
    <cfRule type="containsText" priority="2387" operator="containsText" dxfId="7" text="확인">
      <formula>NOT(ISERROR(SEARCH("확인",X39)))</formula>
    </cfRule>
  </conditionalFormatting>
  <conditionalFormatting sqref="X40">
    <cfRule type="cellIs" priority="2386" operator="equal" dxfId="0">
      <formula>"미흡"</formula>
    </cfRule>
    <cfRule type="containsText" priority="2385" operator="containsText" dxfId="4" text="취약">
      <formula>NOT(ISERROR(SEARCH("취약",X40)))</formula>
    </cfRule>
    <cfRule type="containsText" priority="2384" operator="containsText" dxfId="7" text="확인">
      <formula>NOT(ISERROR(SEARCH("확인",X40)))</formula>
    </cfRule>
  </conditionalFormatting>
  <conditionalFormatting sqref="X41">
    <cfRule type="cellIs" priority="2392" operator="equal" dxfId="0">
      <formula>"미흡"</formula>
    </cfRule>
  </conditionalFormatting>
  <conditionalFormatting sqref="X41:X42">
    <cfRule type="containsText" priority="2394" operator="containsText" dxfId="4" text="취약">
      <formula>NOT(ISERROR(SEARCH("취약",X41)))</formula>
    </cfRule>
    <cfRule type="containsText" priority="2393" operator="containsText" dxfId="7" text="확인">
      <formula>NOT(ISERROR(SEARCH("확인",X41)))</formula>
    </cfRule>
  </conditionalFormatting>
  <conditionalFormatting sqref="X42:X43">
    <cfRule type="containsText" priority="2542" operator="containsText" dxfId="4" text="취약">
      <formula>NOT(ISERROR(SEARCH("취약",X42)))</formula>
    </cfRule>
    <cfRule type="containsText" priority="2541" operator="containsText" dxfId="7" text="확인">
      <formula>NOT(ISERROR(SEARCH("확인",X42)))</formula>
    </cfRule>
    <cfRule type="cellIs" priority="2543" operator="equal" dxfId="0">
      <formula>"미흡"</formula>
    </cfRule>
  </conditionalFormatting>
  <conditionalFormatting sqref="X44">
    <cfRule type="cellIs" priority="2376" operator="equal" dxfId="0">
      <formula>"미흡"</formula>
    </cfRule>
    <cfRule type="containsText" priority="2375" operator="containsText" dxfId="4" text="취약">
      <formula>NOT(ISERROR(SEARCH("취약",X44)))</formula>
    </cfRule>
    <cfRule type="containsText" priority="2374" operator="containsText" dxfId="7" text="확인">
      <formula>NOT(ISERROR(SEARCH("확인",X44)))</formula>
    </cfRule>
  </conditionalFormatting>
  <conditionalFormatting sqref="X45:X46">
    <cfRule type="cellIs" priority="2519" operator="equal" dxfId="0">
      <formula>"미흡"</formula>
    </cfRule>
    <cfRule type="containsText" priority="2517" operator="containsText" dxfId="7" text="확인">
      <formula>NOT(ISERROR(SEARCH("확인",X45)))</formula>
    </cfRule>
    <cfRule type="containsText" priority="2518" operator="containsText" dxfId="4" text="취약">
      <formula>NOT(ISERROR(SEARCH("취약",X45)))</formula>
    </cfRule>
  </conditionalFormatting>
  <conditionalFormatting sqref="X46">
    <cfRule type="containsText" priority="2514" operator="containsText" dxfId="4" text="취약">
      <formula>NOT(ISERROR(SEARCH("취약",X46)))</formula>
    </cfRule>
    <cfRule type="containsText" priority="2512" operator="containsText" dxfId="4" text="취약">
      <formula>NOT(ISERROR(SEARCH("취약",X46)))</formula>
    </cfRule>
    <cfRule type="containsText" priority="2511" operator="containsText" dxfId="7" text="확인">
      <formula>NOT(ISERROR(SEARCH("확인",X46)))</formula>
    </cfRule>
    <cfRule type="containsText" priority="2513" operator="containsText" dxfId="7" text="확인">
      <formula>NOT(ISERROR(SEARCH("확인",X46)))</formula>
    </cfRule>
    <cfRule type="containsText" priority="2516" operator="containsText" dxfId="4" text="취약">
      <formula>NOT(ISERROR(SEARCH("취약",X46)))</formula>
    </cfRule>
    <cfRule type="containsText" priority="2515" operator="containsText" dxfId="7" text="확인">
      <formula>NOT(ISERROR(SEARCH("확인",X46)))</formula>
    </cfRule>
  </conditionalFormatting>
  <conditionalFormatting sqref="X47:X48">
    <cfRule type="containsText" priority="2621" operator="containsText" dxfId="4" text="취약">
      <formula>NOT(ISERROR(SEARCH("취약",X47)))</formula>
    </cfRule>
    <cfRule type="containsText" priority="2620" operator="containsText" dxfId="7" text="확인">
      <formula>NOT(ISERROR(SEARCH("확인",X47)))</formula>
    </cfRule>
  </conditionalFormatting>
  <conditionalFormatting sqref="X47:X49">
    <cfRule type="cellIs" priority="2546" operator="equal" dxfId="0">
      <formula>"미흡"</formula>
    </cfRule>
  </conditionalFormatting>
  <conditionalFormatting sqref="X47:X51">
    <cfRule type="containsText" priority="2537" operator="containsText" dxfId="4" text="취약">
      <formula>NOT(ISERROR(SEARCH("취약",X47)))</formula>
    </cfRule>
    <cfRule type="containsText" priority="2536" operator="containsText" dxfId="7" text="확인">
      <formula>NOT(ISERROR(SEARCH("확인",X47)))</formula>
    </cfRule>
  </conditionalFormatting>
  <conditionalFormatting sqref="X50">
    <cfRule type="cellIs" priority="2559" operator="equal" dxfId="0">
      <formula>"미흡"</formula>
    </cfRule>
    <cfRule type="containsText" priority="2557" operator="containsText" dxfId="7" text="확인">
      <formula>NOT(ISERROR(SEARCH("확인",X50)))</formula>
    </cfRule>
    <cfRule type="containsText" priority="2560" operator="containsText" dxfId="7" text="확인">
      <formula>NOT(ISERROR(SEARCH("확인",X50)))</formula>
    </cfRule>
    <cfRule type="containsText" priority="2553" operator="containsText" dxfId="7" text="확인">
      <formula>NOT(ISERROR(SEARCH("확인",X50)))</formula>
    </cfRule>
    <cfRule type="containsText" priority="2552" operator="containsText" dxfId="4" text="취약">
      <formula>NOT(ISERROR(SEARCH("취약",X50)))</formula>
    </cfRule>
    <cfRule type="containsText" priority="2551" operator="containsText" dxfId="7" text="확인">
      <formula>NOT(ISERROR(SEARCH("확인",X50)))</formula>
    </cfRule>
    <cfRule type="containsText" priority="2558" operator="containsText" dxfId="4" text="취약">
      <formula>NOT(ISERROR(SEARCH("취약",X50)))</formula>
    </cfRule>
    <cfRule type="containsText" priority="2561" operator="containsText" dxfId="4" text="취약">
      <formula>NOT(ISERROR(SEARCH("취약",X50)))</formula>
    </cfRule>
    <cfRule type="containsText" priority="2550" operator="containsText" dxfId="4" text="취약">
      <formula>NOT(ISERROR(SEARCH("취약",X50)))</formula>
    </cfRule>
    <cfRule type="containsText" priority="2549" operator="containsText" dxfId="7" text="확인">
      <formula>NOT(ISERROR(SEARCH("확인",X50)))</formula>
    </cfRule>
    <cfRule type="containsText" priority="2555" operator="containsText" dxfId="7" text="확인">
      <formula>NOT(ISERROR(SEARCH("확인",X50)))</formula>
    </cfRule>
    <cfRule type="containsText" priority="2556" operator="containsText" dxfId="4" text="취약">
      <formula>NOT(ISERROR(SEARCH("취약",X50)))</formula>
    </cfRule>
    <cfRule type="containsText" priority="2554" operator="containsText" dxfId="4" text="취약">
      <formula>NOT(ISERROR(SEARCH("취약",X50)))</formula>
    </cfRule>
  </conditionalFormatting>
  <conditionalFormatting sqref="X3:Y6 X50:X51 Y7:Y43 Y45:Y51">
    <cfRule type="cellIs" priority="2623" operator="equal" dxfId="1">
      <formula>"N/A"</formula>
    </cfRule>
  </conditionalFormatting>
  <conditionalFormatting sqref="X51">
    <cfRule type="cellIs" priority="2538" operator="equal" dxfId="0">
      <formula>"미흡"</formula>
    </cfRule>
    <cfRule type="containsText" priority="2535" operator="containsText" dxfId="4" text="취약">
      <formula>NOT(ISERROR(SEARCH("취약",X51)))</formula>
    </cfRule>
    <cfRule type="containsText" priority="2534" operator="containsText" dxfId="7" text="확인">
      <formula>NOT(ISERROR(SEARCH("확인",X51)))</formula>
    </cfRule>
  </conditionalFormatting>
  <conditionalFormatting sqref="Y3:Y5">
    <cfRule type="cellIs" priority="2524" operator="equal" dxfId="4">
      <formula>"취약"</formula>
    </cfRule>
  </conditionalFormatting>
  <conditionalFormatting sqref="Y3:Y51">
    <cfRule type="cellIs" priority="2377" operator="equal" dxfId="0">
      <formula>"미흡"</formula>
    </cfRule>
  </conditionalFormatting>
  <conditionalFormatting sqref="Z1:Z1048576">
    <cfRule type="cellIs" priority="2624" operator="equal" dxfId="1">
      <formula>"N/A"</formula>
    </cfRule>
    <cfRule type="cellIs" priority="2625" operator="equal" dxfId="154">
      <formula>"인터뷰"</formula>
    </cfRule>
  </conditionalFormatting>
  <conditionalFormatting sqref="Z3:Z6">
    <cfRule type="cellIs" priority="2775" operator="equal" dxfId="0">
      <formula>"미흡"</formula>
    </cfRule>
  </conditionalFormatting>
  <conditionalFormatting sqref="Z6:Z8">
    <cfRule type="containsText" priority="2744" operator="containsText" dxfId="7" text="확인">
      <formula>NOT(ISERROR(SEARCH("확인",Z6)))</formula>
    </cfRule>
    <cfRule type="containsText" priority="2745" operator="containsText" dxfId="4" text="취약">
      <formula>NOT(ISERROR(SEARCH("취약",Z6)))</formula>
    </cfRule>
  </conditionalFormatting>
  <conditionalFormatting sqref="Z7">
    <cfRule type="containsText" priority="2741" operator="containsText" dxfId="7" text="확인">
      <formula>NOT(ISERROR(SEARCH("확인",Z7)))</formula>
    </cfRule>
    <cfRule type="containsText" priority="2742" operator="containsText" dxfId="4" text="취약">
      <formula>NOT(ISERROR(SEARCH("취약",Z7)))</formula>
    </cfRule>
    <cfRule type="cellIs" priority="2743" operator="equal" dxfId="0">
      <formula>"미흡"</formula>
    </cfRule>
  </conditionalFormatting>
  <conditionalFormatting sqref="Z7:Z25">
    <cfRule type="cellIs" priority="2710" operator="equal" dxfId="1">
      <formula>"N/A"</formula>
    </cfRule>
  </conditionalFormatting>
  <conditionalFormatting sqref="Z8">
    <cfRule type="cellIs" priority="2749" operator="equal" dxfId="0">
      <formula>"미흡"</formula>
    </cfRule>
    <cfRule type="containsText" priority="2750" operator="containsText" dxfId="7" text="확인">
      <formula>NOT(ISERROR(SEARCH("확인",Z8)))</formula>
    </cfRule>
    <cfRule type="containsText" priority="2751" operator="containsText" dxfId="4" text="취약">
      <formula>NOT(ISERROR(SEARCH("취약",Z8)))</formula>
    </cfRule>
  </conditionalFormatting>
  <conditionalFormatting sqref="Z9">
    <cfRule type="containsText" priority="2729" operator="containsText" dxfId="7" text="확인">
      <formula>NOT(ISERROR(SEARCH("확인",Z9)))</formula>
    </cfRule>
    <cfRule type="containsText" priority="2730" operator="containsText" dxfId="4" text="취약">
      <formula>NOT(ISERROR(SEARCH("취약",Z9)))</formula>
    </cfRule>
    <cfRule type="cellIs" priority="2731" operator="equal" dxfId="0">
      <formula>"미흡"</formula>
    </cfRule>
  </conditionalFormatting>
  <conditionalFormatting sqref="Z9:Z10">
    <cfRule type="containsText" priority="2732" operator="containsText" dxfId="7" text="확인">
      <formula>NOT(ISERROR(SEARCH("확인",Z9)))</formula>
    </cfRule>
    <cfRule type="containsText" priority="2733" operator="containsText" dxfId="4" text="취약">
      <formula>NOT(ISERROR(SEARCH("취약",Z9)))</formula>
    </cfRule>
  </conditionalFormatting>
  <conditionalFormatting sqref="Z10">
    <cfRule type="cellIs" priority="2737" operator="equal" dxfId="0">
      <formula>"미흡"</formula>
    </cfRule>
    <cfRule type="containsText" priority="2738" operator="containsText" dxfId="7" text="확인">
      <formula>NOT(ISERROR(SEARCH("확인",Z10)))</formula>
    </cfRule>
    <cfRule type="containsText" priority="2739" operator="containsText" dxfId="4" text="취약">
      <formula>NOT(ISERROR(SEARCH("취약",Z10)))</formula>
    </cfRule>
  </conditionalFormatting>
  <conditionalFormatting sqref="Z11">
    <cfRule type="containsText" priority="2717" operator="containsText" dxfId="7" text="확인">
      <formula>NOT(ISERROR(SEARCH("확인",Z11)))</formula>
    </cfRule>
    <cfRule type="containsText" priority="2718" operator="containsText" dxfId="4" text="취약">
      <formula>NOT(ISERROR(SEARCH("취약",Z11)))</formula>
    </cfRule>
    <cfRule type="cellIs" priority="2719" operator="equal" dxfId="0">
      <formula>"미흡"</formula>
    </cfRule>
  </conditionalFormatting>
  <conditionalFormatting sqref="Z11:Z12">
    <cfRule type="containsText" priority="2720" operator="containsText" dxfId="7" text="확인">
      <formula>NOT(ISERROR(SEARCH("확인",Z11)))</formula>
    </cfRule>
    <cfRule type="containsText" priority="2721" operator="containsText" dxfId="4" text="취약">
      <formula>NOT(ISERROR(SEARCH("취약",Z11)))</formula>
    </cfRule>
  </conditionalFormatting>
  <conditionalFormatting sqref="Z12">
    <cfRule type="containsText" priority="2726" operator="containsText" dxfId="7" text="확인">
      <formula>NOT(ISERROR(SEARCH("확인",Z12)))</formula>
    </cfRule>
    <cfRule type="containsText" priority="2727" operator="containsText" dxfId="4" text="취약">
      <formula>NOT(ISERROR(SEARCH("취약",Z12)))</formula>
    </cfRule>
    <cfRule type="cellIs" priority="2725" operator="equal" dxfId="0">
      <formula>"미흡"</formula>
    </cfRule>
  </conditionalFormatting>
  <conditionalFormatting sqref="Z13">
    <cfRule type="containsText" priority="2711" operator="containsText" dxfId="7" text="확인">
      <formula>NOT(ISERROR(SEARCH("확인",Z13)))</formula>
    </cfRule>
    <cfRule type="containsText" priority="2712" operator="containsText" dxfId="4" text="취약">
      <formula>NOT(ISERROR(SEARCH("취약",Z13)))</formula>
    </cfRule>
    <cfRule type="cellIs" priority="2713" operator="equal" dxfId="0">
      <formula>"미흡"</formula>
    </cfRule>
  </conditionalFormatting>
  <conditionalFormatting sqref="Z13:Z15">
    <cfRule type="containsText" priority="2714" operator="containsText" dxfId="7" text="확인">
      <formula>NOT(ISERROR(SEARCH("확인",Z13)))</formula>
    </cfRule>
    <cfRule type="containsText" priority="2715" operator="containsText" dxfId="4" text="취약">
      <formula>NOT(ISERROR(SEARCH("취약",Z13)))</formula>
    </cfRule>
  </conditionalFormatting>
  <conditionalFormatting sqref="Z14">
    <cfRule type="containsText" priority="2867" operator="containsText" dxfId="7" text="확인">
      <formula>NOT(ISERROR(SEARCH("확인",Z14)))</formula>
    </cfRule>
    <cfRule type="containsText" priority="2868" operator="containsText" dxfId="4" text="취약">
      <formula>NOT(ISERROR(SEARCH("취약",Z14)))</formula>
    </cfRule>
  </conditionalFormatting>
  <conditionalFormatting sqref="Z14:Z15">
    <cfRule type="cellIs" priority="2763" operator="equal" dxfId="0">
      <formula>"미흡"</formula>
    </cfRule>
  </conditionalFormatting>
  <conditionalFormatting sqref="Z16">
    <cfRule type="cellIs" priority="2861" operator="equal" dxfId="0">
      <formula>"미흡"</formula>
    </cfRule>
    <cfRule type="containsText" priority="2862" operator="containsText" dxfId="7" text="확인">
      <formula>NOT(ISERROR(SEARCH("확인",Z16)))</formula>
    </cfRule>
    <cfRule type="containsText" priority="2863" operator="containsText" dxfId="4" text="취약">
      <formula>NOT(ISERROR(SEARCH("취약",Z16)))</formula>
    </cfRule>
  </conditionalFormatting>
  <conditionalFormatting sqref="Z16:Z17">
    <cfRule type="containsText" priority="2857" operator="containsText" dxfId="7" text="확인">
      <formula>NOT(ISERROR(SEARCH("확인",Z16)))</formula>
    </cfRule>
    <cfRule type="containsText" priority="2858" operator="containsText" dxfId="4" text="취약">
      <formula>NOT(ISERROR(SEARCH("취약",Z16)))</formula>
    </cfRule>
  </conditionalFormatting>
  <conditionalFormatting sqref="Z17">
    <cfRule type="cellIs" priority="2856" operator="equal" dxfId="0">
      <formula>"미흡"</formula>
    </cfRule>
    <cfRule type="containsText" priority="2855" operator="containsText" dxfId="4" text="취약">
      <formula>NOT(ISERROR(SEARCH("취약",Z17)))</formula>
    </cfRule>
    <cfRule type="containsText" priority="2854" operator="containsText" dxfId="7" text="확인">
      <formula>NOT(ISERROR(SEARCH("확인",Z17)))</formula>
    </cfRule>
  </conditionalFormatting>
  <conditionalFormatting sqref="Z17:Z18">
    <cfRule type="containsText" priority="2851" operator="containsText" dxfId="4" text="취약">
      <formula>NOT(ISERROR(SEARCH("취약",Z17)))</formula>
    </cfRule>
    <cfRule type="containsText" priority="2850" operator="containsText" dxfId="7" text="확인">
      <formula>NOT(ISERROR(SEARCH("확인",Z17)))</formula>
    </cfRule>
  </conditionalFormatting>
  <conditionalFormatting sqref="Z18:Z19">
    <cfRule type="cellIs" priority="2760" operator="equal" dxfId="0">
      <formula>"미흡"</formula>
    </cfRule>
  </conditionalFormatting>
  <conditionalFormatting sqref="Z18:Z20">
    <cfRule type="containsText" priority="2759" operator="containsText" dxfId="4" text="취약">
      <formula>NOT(ISERROR(SEARCH("취약",Z18)))</formula>
    </cfRule>
    <cfRule type="containsText" priority="2758" operator="containsText" dxfId="7" text="확인">
      <formula>NOT(ISERROR(SEARCH("확인",Z18)))</formula>
    </cfRule>
  </conditionalFormatting>
  <conditionalFormatting sqref="Z20">
    <cfRule type="containsText" priority="2784" operator="containsText" dxfId="7" text="확인">
      <formula>NOT(ISERROR(SEARCH("확인",Z20)))</formula>
    </cfRule>
    <cfRule type="cellIs" priority="2786" operator="equal" dxfId="0">
      <formula>"미흡"</formula>
    </cfRule>
    <cfRule type="containsText" priority="2783" operator="containsText" dxfId="4" text="취약">
      <formula>NOT(ISERROR(SEARCH("취약",Z20)))</formula>
    </cfRule>
    <cfRule type="containsText" priority="2785" operator="containsText" dxfId="4" text="취약">
      <formula>NOT(ISERROR(SEARCH("취약",Z20)))</formula>
    </cfRule>
    <cfRule type="containsText" priority="2782" operator="containsText" dxfId="7" text="확인">
      <formula>NOT(ISERROR(SEARCH("확인",Z20)))</formula>
    </cfRule>
  </conditionalFormatting>
  <conditionalFormatting sqref="Z21:Z22">
    <cfRule type="cellIs" priority="2707" operator="equal" dxfId="0">
      <formula>"미흡"</formula>
    </cfRule>
    <cfRule type="containsText" priority="2708" operator="containsText" dxfId="7" text="확인">
      <formula>NOT(ISERROR(SEARCH("확인",Z21)))</formula>
    </cfRule>
    <cfRule type="containsText" priority="2709" operator="containsText" dxfId="4" text="취약">
      <formula>NOT(ISERROR(SEARCH("취약",Z21)))</formula>
    </cfRule>
  </conditionalFormatting>
  <conditionalFormatting sqref="Z21:Z23">
    <cfRule type="containsText" priority="2703" operator="containsText" dxfId="7" text="확인">
      <formula>NOT(ISERROR(SEARCH("확인",Z21)))</formula>
    </cfRule>
    <cfRule type="containsText" priority="2704" operator="containsText" dxfId="4" text="취약">
      <formula>NOT(ISERROR(SEARCH("취약",Z21)))</formula>
    </cfRule>
  </conditionalFormatting>
  <conditionalFormatting sqref="Z23:Z24">
    <cfRule type="cellIs" priority="2692" operator="equal" dxfId="0">
      <formula>"미흡"</formula>
    </cfRule>
  </conditionalFormatting>
  <conditionalFormatting sqref="Z23:Z28">
    <cfRule type="containsText" priority="2677" operator="containsText" dxfId="7" text="확인">
      <formula>NOT(ISERROR(SEARCH("확인",Z23)))</formula>
    </cfRule>
    <cfRule type="containsText" priority="2678" operator="containsText" dxfId="4" text="취약">
      <formula>NOT(ISERROR(SEARCH("취약",Z23)))</formula>
    </cfRule>
  </conditionalFormatting>
  <conditionalFormatting sqref="Z25">
    <cfRule type="containsText" priority="2697" operator="containsText" dxfId="7" text="확인">
      <formula>NOT(ISERROR(SEARCH("확인",Z25)))</formula>
    </cfRule>
    <cfRule type="containsText" priority="2695" operator="containsText" dxfId="7" text="확인">
      <formula>NOT(ISERROR(SEARCH("확인",Z25)))</formula>
    </cfRule>
    <cfRule type="containsText" priority="2696" operator="containsText" dxfId="4" text="취약">
      <formula>NOT(ISERROR(SEARCH("취약",Z25)))</formula>
    </cfRule>
    <cfRule type="containsText" priority="2698" operator="containsText" dxfId="4" text="취약">
      <formula>NOT(ISERROR(SEARCH("취약",Z25)))</formula>
    </cfRule>
    <cfRule type="cellIs" priority="2699" operator="equal" dxfId="0">
      <formula>"미흡"</formula>
    </cfRule>
  </conditionalFormatting>
  <conditionalFormatting sqref="Z26">
    <cfRule type="cellIs" priority="2682" operator="equal" dxfId="0">
      <formula>"미흡"</formula>
    </cfRule>
  </conditionalFormatting>
  <conditionalFormatting sqref="Z27">
    <cfRule type="containsText" priority="2686" operator="containsText" dxfId="4" text="취약">
      <formula>NOT(ISERROR(SEARCH("취약",Z27)))</formula>
    </cfRule>
    <cfRule type="containsText" priority="2687" operator="containsText" dxfId="7" text="확인">
      <formula>NOT(ISERROR(SEARCH("확인",Z27)))</formula>
    </cfRule>
    <cfRule type="containsText" priority="2688" operator="containsText" dxfId="4" text="취약">
      <formula>NOT(ISERROR(SEARCH("취약",Z27)))</formula>
    </cfRule>
    <cfRule type="cellIs" priority="2689" operator="equal" dxfId="0">
      <formula>"미흡"</formula>
    </cfRule>
    <cfRule type="containsText" priority="2685" operator="containsText" dxfId="7" text="확인">
      <formula>NOT(ISERROR(SEARCH("확인",Z27)))</formula>
    </cfRule>
  </conditionalFormatting>
  <conditionalFormatting sqref="Z28">
    <cfRule type="cellIs" priority="2676" operator="equal" dxfId="0">
      <formula>"미흡"</formula>
    </cfRule>
  </conditionalFormatting>
  <conditionalFormatting sqref="Z28:Z29">
    <cfRule type="containsText" priority="2672" operator="containsText" dxfId="7" text="확인">
      <formula>NOT(ISERROR(SEARCH("확인",Z28)))</formula>
    </cfRule>
    <cfRule type="containsText" priority="2673" operator="containsText" dxfId="4" text="취약">
      <formula>NOT(ISERROR(SEARCH("취약",Z28)))</formula>
    </cfRule>
  </conditionalFormatting>
  <conditionalFormatting sqref="Z29">
    <cfRule type="containsText" priority="2670" operator="containsText" dxfId="4" text="취약">
      <formula>NOT(ISERROR(SEARCH("취약",Z29)))</formula>
    </cfRule>
    <cfRule type="cellIs" priority="2671" operator="equal" dxfId="0">
      <formula>"미흡"</formula>
    </cfRule>
    <cfRule type="containsText" priority="2669" operator="containsText" dxfId="7" text="확인">
      <formula>NOT(ISERROR(SEARCH("확인",Z29)))</formula>
    </cfRule>
  </conditionalFormatting>
  <conditionalFormatting sqref="Z29:Z30">
    <cfRule type="containsText" priority="2666" operator="containsText" dxfId="4" text="취약">
      <formula>NOT(ISERROR(SEARCH("취약",Z29)))</formula>
    </cfRule>
    <cfRule type="containsText" priority="2665" operator="containsText" dxfId="7" text="확인">
      <formula>NOT(ISERROR(SEARCH("확인",Z29)))</formula>
    </cfRule>
  </conditionalFormatting>
  <conditionalFormatting sqref="Z30:Z33">
    <cfRule type="cellIs" priority="2661" operator="equal" dxfId="0">
      <formula>"미흡"</formula>
    </cfRule>
    <cfRule type="containsText" priority="2660" operator="containsText" dxfId="4" text="취약">
      <formula>NOT(ISERROR(SEARCH("취약",Z30)))</formula>
    </cfRule>
    <cfRule type="containsText" priority="2659" operator="containsText" dxfId="7" text="확인">
      <formula>NOT(ISERROR(SEARCH("확인",Z30)))</formula>
    </cfRule>
  </conditionalFormatting>
  <conditionalFormatting sqref="Z34">
    <cfRule type="containsText" priority="2846" operator="containsText" dxfId="4" text="취약">
      <formula>NOT(ISERROR(SEARCH("취약",Z34)))</formula>
    </cfRule>
    <cfRule type="containsText" priority="2845" operator="containsText" dxfId="7" text="확인">
      <formula>NOT(ISERROR(SEARCH("확인",Z34)))</formula>
    </cfRule>
    <cfRule type="cellIs" priority="2844" operator="equal" dxfId="0">
      <formula>"미흡"</formula>
    </cfRule>
    <cfRule type="containsText" priority="2843" operator="containsText" dxfId="4" text="취약">
      <formula>NOT(ISERROR(SEARCH("취약",Z34)))</formula>
    </cfRule>
    <cfRule type="containsText" priority="2841" operator="containsText" dxfId="4" text="취약">
      <formula>NOT(ISERROR(SEARCH("취약",Z34)))</formula>
    </cfRule>
    <cfRule type="containsText" priority="2842" operator="containsText" dxfId="7" text="확인">
      <formula>NOT(ISERROR(SEARCH("확인",Z34)))</formula>
    </cfRule>
    <cfRule type="containsText" priority="2840" operator="containsText" dxfId="7" text="확인">
      <formula>NOT(ISERROR(SEARCH("확인",Z34)))</formula>
    </cfRule>
    <cfRule type="containsText" priority="2839" operator="containsText" dxfId="4" text="취약">
      <formula>NOT(ISERROR(SEARCH("취약",Z34)))</formula>
    </cfRule>
    <cfRule type="containsText" priority="2838" operator="containsText" dxfId="7" text="확인">
      <formula>NOT(ISERROR(SEARCH("확인",Z34)))</formula>
    </cfRule>
  </conditionalFormatting>
  <conditionalFormatting sqref="Z34:Z35">
    <cfRule type="containsText" priority="2835" operator="containsText" dxfId="4" text="취약">
      <formula>NOT(ISERROR(SEARCH("취약",Z34)))</formula>
    </cfRule>
    <cfRule type="containsText" priority="2834" operator="containsText" dxfId="7" text="확인">
      <formula>NOT(ISERROR(SEARCH("확인",Z34)))</formula>
    </cfRule>
  </conditionalFormatting>
  <conditionalFormatting sqref="Z35">
    <cfRule type="cellIs" priority="2833" operator="equal" dxfId="0">
      <formula>"미흡"</formula>
    </cfRule>
  </conditionalFormatting>
  <conditionalFormatting sqref="Z35:Z36">
    <cfRule type="containsText" priority="2829" operator="containsText" dxfId="7" text="확인">
      <formula>NOT(ISERROR(SEARCH("확인",Z35)))</formula>
    </cfRule>
    <cfRule type="containsText" priority="2830" operator="containsText" dxfId="4" text="취약">
      <formula>NOT(ISERROR(SEARCH("취약",Z35)))</formula>
    </cfRule>
  </conditionalFormatting>
  <conditionalFormatting sqref="Z36">
    <cfRule type="cellIs" priority="2828" operator="equal" dxfId="0">
      <formula>"미흡"</formula>
    </cfRule>
  </conditionalFormatting>
  <conditionalFormatting sqref="Z36:Z37">
    <cfRule type="containsText" priority="2824" operator="containsText" dxfId="7" text="확인">
      <formula>NOT(ISERROR(SEARCH("확인",Z36)))</formula>
    </cfRule>
    <cfRule type="containsText" priority="2825" operator="containsText" dxfId="4" text="취약">
      <formula>NOT(ISERROR(SEARCH("취약",Z36)))</formula>
    </cfRule>
  </conditionalFormatting>
  <conditionalFormatting sqref="Z37">
    <cfRule type="cellIs" priority="2823" operator="equal" dxfId="0">
      <formula>"미흡"</formula>
    </cfRule>
  </conditionalFormatting>
  <conditionalFormatting sqref="Z37:Z38">
    <cfRule type="containsText" priority="2656" operator="containsText" dxfId="7" text="확인">
      <formula>NOT(ISERROR(SEARCH("확인",Z37)))</formula>
    </cfRule>
    <cfRule type="containsText" priority="2657" operator="containsText" dxfId="4" text="취약">
      <formula>NOT(ISERROR(SEARCH("취약",Z37)))</formula>
    </cfRule>
  </conditionalFormatting>
  <conditionalFormatting sqref="Z38">
    <cfRule type="cellIs" priority="2655" operator="equal" dxfId="0">
      <formula>"미흡"</formula>
    </cfRule>
  </conditionalFormatting>
  <conditionalFormatting sqref="Z38:Z39">
    <cfRule type="containsText" priority="2652" operator="containsText" dxfId="4" text="취약">
      <formula>NOT(ISERROR(SEARCH("취약",Z38)))</formula>
    </cfRule>
    <cfRule type="containsText" priority="2651" operator="containsText" dxfId="7" text="확인">
      <formula>NOT(ISERROR(SEARCH("확인",Z38)))</formula>
    </cfRule>
  </conditionalFormatting>
  <conditionalFormatting sqref="Z39">
    <cfRule type="cellIs" priority="2650" operator="equal" dxfId="0">
      <formula>"미흡"</formula>
    </cfRule>
  </conditionalFormatting>
  <conditionalFormatting sqref="Z39:Z41">
    <cfRule type="containsText" priority="2640" operator="containsText" dxfId="7" text="확인">
      <formula>NOT(ISERROR(SEARCH("확인",Z39)))</formula>
    </cfRule>
    <cfRule type="containsText" priority="2641" operator="containsText" dxfId="4" text="취약">
      <formula>NOT(ISERROR(SEARCH("취약",Z39)))</formula>
    </cfRule>
  </conditionalFormatting>
  <conditionalFormatting sqref="Z40">
    <cfRule type="containsText" priority="2638" operator="containsText" dxfId="4" text="취약">
      <formula>NOT(ISERROR(SEARCH("취약",Z40)))</formula>
    </cfRule>
    <cfRule type="containsText" priority="2637" operator="containsText" dxfId="7" text="확인">
      <formula>NOT(ISERROR(SEARCH("확인",Z40)))</formula>
    </cfRule>
    <cfRule type="cellIs" priority="2639" operator="equal" dxfId="0">
      <formula>"미흡"</formula>
    </cfRule>
  </conditionalFormatting>
  <conditionalFormatting sqref="Z41">
    <cfRule type="cellIs" priority="2645" operator="equal" dxfId="0">
      <formula>"미흡"</formula>
    </cfRule>
  </conditionalFormatting>
  <conditionalFormatting sqref="Z41:Z42">
    <cfRule type="containsText" priority="2646" operator="containsText" dxfId="7" text="확인">
      <formula>NOT(ISERROR(SEARCH("확인",Z41)))</formula>
    </cfRule>
    <cfRule type="containsText" priority="2647" operator="containsText" dxfId="4" text="취약">
      <formula>NOT(ISERROR(SEARCH("취약",Z41)))</formula>
    </cfRule>
  </conditionalFormatting>
  <conditionalFormatting sqref="Z42:Z43">
    <cfRule type="cellIs" priority="2796" operator="equal" dxfId="0">
      <formula>"미흡"</formula>
    </cfRule>
    <cfRule type="containsText" priority="2795" operator="containsText" dxfId="4" text="취약">
      <formula>NOT(ISERROR(SEARCH("취약",Z42)))</formula>
    </cfRule>
    <cfRule type="containsText" priority="2794" operator="containsText" dxfId="7" text="확인">
      <formula>NOT(ISERROR(SEARCH("확인",Z42)))</formula>
    </cfRule>
  </conditionalFormatting>
  <conditionalFormatting sqref="Z44">
    <cfRule type="cellIs" priority="2629" operator="equal" dxfId="0">
      <formula>"미흡"</formula>
    </cfRule>
    <cfRule type="containsText" priority="2628" operator="containsText" dxfId="4" text="취약">
      <formula>NOT(ISERROR(SEARCH("취약",Z44)))</formula>
    </cfRule>
    <cfRule type="containsText" priority="2627" operator="containsText" dxfId="7" text="확인">
      <formula>NOT(ISERROR(SEARCH("확인",Z44)))</formula>
    </cfRule>
  </conditionalFormatting>
  <conditionalFormatting sqref="Z45:Z46">
    <cfRule type="cellIs" priority="2772" operator="equal" dxfId="0">
      <formula>"미흡"</formula>
    </cfRule>
    <cfRule type="containsText" priority="2771" operator="containsText" dxfId="4" text="취약">
      <formula>NOT(ISERROR(SEARCH("취약",Z45)))</formula>
    </cfRule>
    <cfRule type="containsText" priority="2770" operator="containsText" dxfId="7" text="확인">
      <formula>NOT(ISERROR(SEARCH("확인",Z45)))</formula>
    </cfRule>
  </conditionalFormatting>
  <conditionalFormatting sqref="Z46">
    <cfRule type="containsText" priority="2765" operator="containsText" dxfId="4" text="취약">
      <formula>NOT(ISERROR(SEARCH("취약",Z46)))</formula>
    </cfRule>
    <cfRule type="containsText" priority="2767" operator="containsText" dxfId="4" text="취약">
      <formula>NOT(ISERROR(SEARCH("취약",Z46)))</formula>
    </cfRule>
    <cfRule type="containsText" priority="2764" operator="containsText" dxfId="7" text="확인">
      <formula>NOT(ISERROR(SEARCH("확인",Z46)))</formula>
    </cfRule>
    <cfRule type="containsText" priority="2766" operator="containsText" dxfId="7" text="확인">
      <formula>NOT(ISERROR(SEARCH("확인",Z46)))</formula>
    </cfRule>
    <cfRule type="containsText" priority="2768" operator="containsText" dxfId="7" text="확인">
      <formula>NOT(ISERROR(SEARCH("확인",Z46)))</formula>
    </cfRule>
    <cfRule type="containsText" priority="2769" operator="containsText" dxfId="4" text="취약">
      <formula>NOT(ISERROR(SEARCH("취약",Z46)))</formula>
    </cfRule>
  </conditionalFormatting>
  <conditionalFormatting sqref="Z47:Z48">
    <cfRule type="containsText" priority="2874" operator="containsText" dxfId="4" text="취약">
      <formula>NOT(ISERROR(SEARCH("취약",Z47)))</formula>
    </cfRule>
    <cfRule type="containsText" priority="2873" operator="containsText" dxfId="7" text="확인">
      <formula>NOT(ISERROR(SEARCH("확인",Z47)))</formula>
    </cfRule>
  </conditionalFormatting>
  <conditionalFormatting sqref="Z47:Z49">
    <cfRule type="cellIs" priority="2799" operator="equal" dxfId="0">
      <formula>"미흡"</formula>
    </cfRule>
  </conditionalFormatting>
  <conditionalFormatting sqref="Z47:Z51">
    <cfRule type="containsText" priority="2789" operator="containsText" dxfId="7" text="확인">
      <formula>NOT(ISERROR(SEARCH("확인",Z47)))</formula>
    </cfRule>
    <cfRule type="containsText" priority="2790" operator="containsText" dxfId="4" text="취약">
      <formula>NOT(ISERROR(SEARCH("취약",Z47)))</formula>
    </cfRule>
  </conditionalFormatting>
  <conditionalFormatting sqref="Z50">
    <cfRule type="containsText" priority="2811" operator="containsText" dxfId="4" text="취약">
      <formula>NOT(ISERROR(SEARCH("취약",Z50)))</formula>
    </cfRule>
    <cfRule type="containsText" priority="2810" operator="containsText" dxfId="7" text="확인">
      <formula>NOT(ISERROR(SEARCH("확인",Z50)))</formula>
    </cfRule>
    <cfRule type="containsText" priority="2814" operator="containsText" dxfId="4" text="취약">
      <formula>NOT(ISERROR(SEARCH("취약",Z50)))</formula>
    </cfRule>
    <cfRule type="cellIs" priority="2812" operator="equal" dxfId="0">
      <formula>"미흡"</formula>
    </cfRule>
    <cfRule type="containsText" priority="2802" operator="containsText" dxfId="7" text="확인">
      <formula>NOT(ISERROR(SEARCH("확인",Z50)))</formula>
    </cfRule>
    <cfRule type="containsText" priority="2809" operator="containsText" dxfId="4" text="취약">
      <formula>NOT(ISERROR(SEARCH("취약",Z50)))</formula>
    </cfRule>
    <cfRule type="containsText" priority="2808" operator="containsText" dxfId="7" text="확인">
      <formula>NOT(ISERROR(SEARCH("확인",Z50)))</formula>
    </cfRule>
    <cfRule type="containsText" priority="2807" operator="containsText" dxfId="4" text="취약">
      <formula>NOT(ISERROR(SEARCH("취약",Z50)))</formula>
    </cfRule>
    <cfRule type="containsText" priority="2806" operator="containsText" dxfId="7" text="확인">
      <formula>NOT(ISERROR(SEARCH("확인",Z50)))</formula>
    </cfRule>
    <cfRule type="containsText" priority="2805" operator="containsText" dxfId="4" text="취약">
      <formula>NOT(ISERROR(SEARCH("취약",Z50)))</formula>
    </cfRule>
    <cfRule type="containsText" priority="2804" operator="containsText" dxfId="7" text="확인">
      <formula>NOT(ISERROR(SEARCH("확인",Z50)))</formula>
    </cfRule>
    <cfRule type="containsText" priority="2803" operator="containsText" dxfId="4" text="취약">
      <formula>NOT(ISERROR(SEARCH("취약",Z50)))</formula>
    </cfRule>
    <cfRule type="containsText" priority="2813" operator="containsText" dxfId="7" text="확인">
      <formula>NOT(ISERROR(SEARCH("확인",Z50)))</formula>
    </cfRule>
  </conditionalFormatting>
  <conditionalFormatting sqref="Z3:AA6 Z50:Z51 AA7:AA43 AA45:AA51">
    <cfRule type="cellIs" priority="2876" operator="equal" dxfId="1">
      <formula>"N/A"</formula>
    </cfRule>
  </conditionalFormatting>
  <conditionalFormatting sqref="Z51">
    <cfRule type="cellIs" priority="2791" operator="equal" dxfId="0">
      <formula>"미흡"</formula>
    </cfRule>
    <cfRule type="containsText" priority="2788" operator="containsText" dxfId="4" text="취약">
      <formula>NOT(ISERROR(SEARCH("취약",Z51)))</formula>
    </cfRule>
    <cfRule type="containsText" priority="2787" operator="containsText" dxfId="7" text="확인">
      <formula>NOT(ISERROR(SEARCH("확인",Z51)))</formula>
    </cfRule>
  </conditionalFormatting>
  <conditionalFormatting sqref="AA3:AA5">
    <cfRule type="cellIs" priority="2777" operator="equal" dxfId="4">
      <formula>"취약"</formula>
    </cfRule>
  </conditionalFormatting>
  <conditionalFormatting sqref="AA3:AA51">
    <cfRule type="cellIs" priority="2630" operator="equal" dxfId="0">
      <formula>"미흡"</formula>
    </cfRule>
  </conditionalFormatting>
  <conditionalFormatting sqref="AB1:AB1048576">
    <cfRule type="cellIs" priority="2878" operator="equal" dxfId="154">
      <formula>"인터뷰"</formula>
    </cfRule>
    <cfRule type="cellIs" priority="2877" operator="equal" dxfId="1">
      <formula>"N/A"</formula>
    </cfRule>
  </conditionalFormatting>
  <conditionalFormatting sqref="AB3:AB6">
    <cfRule type="cellIs" priority="3028" operator="equal" dxfId="0">
      <formula>"미흡"</formula>
    </cfRule>
  </conditionalFormatting>
  <conditionalFormatting sqref="AB6:AB8">
    <cfRule type="containsText" priority="2997" operator="containsText" dxfId="7" text="확인">
      <formula>NOT(ISERROR(SEARCH("확인",AB6)))</formula>
    </cfRule>
    <cfRule type="containsText" priority="2998" operator="containsText" dxfId="4" text="취약">
      <formula>NOT(ISERROR(SEARCH("취약",AB6)))</formula>
    </cfRule>
  </conditionalFormatting>
  <conditionalFormatting sqref="AB7">
    <cfRule type="containsText" priority="2994" operator="containsText" dxfId="7" text="확인">
      <formula>NOT(ISERROR(SEARCH("확인",AB7)))</formula>
    </cfRule>
    <cfRule type="containsText" priority="2995" operator="containsText" dxfId="4" text="취약">
      <formula>NOT(ISERROR(SEARCH("취약",AB7)))</formula>
    </cfRule>
    <cfRule type="cellIs" priority="2996" operator="equal" dxfId="0">
      <formula>"미흡"</formula>
    </cfRule>
  </conditionalFormatting>
  <conditionalFormatting sqref="AB7:AB25">
    <cfRule type="cellIs" priority="2963" operator="equal" dxfId="1">
      <formula>"N/A"</formula>
    </cfRule>
  </conditionalFormatting>
  <conditionalFormatting sqref="AB8">
    <cfRule type="cellIs" priority="3002" operator="equal" dxfId="0">
      <formula>"미흡"</formula>
    </cfRule>
    <cfRule type="containsText" priority="3003" operator="containsText" dxfId="7" text="확인">
      <formula>NOT(ISERROR(SEARCH("확인",AB8)))</formula>
    </cfRule>
    <cfRule type="containsText" priority="3004" operator="containsText" dxfId="4" text="취약">
      <formula>NOT(ISERROR(SEARCH("취약",AB8)))</formula>
    </cfRule>
  </conditionalFormatting>
  <conditionalFormatting sqref="AB9">
    <cfRule type="containsText" priority="2983" operator="containsText" dxfId="4" text="취약">
      <formula>NOT(ISERROR(SEARCH("취약",AB9)))</formula>
    </cfRule>
    <cfRule type="containsText" priority="2982" operator="containsText" dxfId="7" text="확인">
      <formula>NOT(ISERROR(SEARCH("확인",AB9)))</formula>
    </cfRule>
    <cfRule type="cellIs" priority="2984" operator="equal" dxfId="0">
      <formula>"미흡"</formula>
    </cfRule>
  </conditionalFormatting>
  <conditionalFormatting sqref="AB9:AB10">
    <cfRule type="containsText" priority="2985" operator="containsText" dxfId="7" text="확인">
      <formula>NOT(ISERROR(SEARCH("확인",AB9)))</formula>
    </cfRule>
    <cfRule type="containsText" priority="2986" operator="containsText" dxfId="4" text="취약">
      <formula>NOT(ISERROR(SEARCH("취약",AB9)))</formula>
    </cfRule>
  </conditionalFormatting>
  <conditionalFormatting sqref="AB10">
    <cfRule type="cellIs" priority="2990" operator="equal" dxfId="0">
      <formula>"미흡"</formula>
    </cfRule>
    <cfRule type="containsText" priority="2991" operator="containsText" dxfId="7" text="확인">
      <formula>NOT(ISERROR(SEARCH("확인",AB10)))</formula>
    </cfRule>
    <cfRule type="containsText" priority="2992" operator="containsText" dxfId="4" text="취약">
      <formula>NOT(ISERROR(SEARCH("취약",AB10)))</formula>
    </cfRule>
  </conditionalFormatting>
  <conditionalFormatting sqref="AB11">
    <cfRule type="containsText" priority="2970" operator="containsText" dxfId="7" text="확인">
      <formula>NOT(ISERROR(SEARCH("확인",AB11)))</formula>
    </cfRule>
    <cfRule type="containsText" priority="2971" operator="containsText" dxfId="4" text="취약">
      <formula>NOT(ISERROR(SEARCH("취약",AB11)))</formula>
    </cfRule>
    <cfRule type="cellIs" priority="2972" operator="equal" dxfId="0">
      <formula>"미흡"</formula>
    </cfRule>
  </conditionalFormatting>
  <conditionalFormatting sqref="AB11:AB12">
    <cfRule type="containsText" priority="2974" operator="containsText" dxfId="4" text="취약">
      <formula>NOT(ISERROR(SEARCH("취약",AB11)))</formula>
    </cfRule>
    <cfRule type="containsText" priority="2973" operator="containsText" dxfId="7" text="확인">
      <formula>NOT(ISERROR(SEARCH("확인",AB11)))</formula>
    </cfRule>
  </conditionalFormatting>
  <conditionalFormatting sqref="AB12">
    <cfRule type="cellIs" priority="2978" operator="equal" dxfId="0">
      <formula>"미흡"</formula>
    </cfRule>
    <cfRule type="containsText" priority="2979" operator="containsText" dxfId="7" text="확인">
      <formula>NOT(ISERROR(SEARCH("확인",AB12)))</formula>
    </cfRule>
    <cfRule type="containsText" priority="2980" operator="containsText" dxfId="4" text="취약">
      <formula>NOT(ISERROR(SEARCH("취약",AB12)))</formula>
    </cfRule>
  </conditionalFormatting>
  <conditionalFormatting sqref="AB13">
    <cfRule type="containsText" priority="2964" operator="containsText" dxfId="7" text="확인">
      <formula>NOT(ISERROR(SEARCH("확인",AB13)))</formula>
    </cfRule>
    <cfRule type="containsText" priority="2965" operator="containsText" dxfId="4" text="취약">
      <formula>NOT(ISERROR(SEARCH("취약",AB13)))</formula>
    </cfRule>
    <cfRule type="cellIs" priority="2966" operator="equal" dxfId="0">
      <formula>"미흡"</formula>
    </cfRule>
  </conditionalFormatting>
  <conditionalFormatting sqref="AB13:AB15">
    <cfRule type="containsText" priority="2967" operator="containsText" dxfId="7" text="확인">
      <formula>NOT(ISERROR(SEARCH("확인",AB13)))</formula>
    </cfRule>
    <cfRule type="containsText" priority="2968" operator="containsText" dxfId="4" text="취약">
      <formula>NOT(ISERROR(SEARCH("취약",AB13)))</formula>
    </cfRule>
  </conditionalFormatting>
  <conditionalFormatting sqref="AB14">
    <cfRule type="containsText" priority="3120" operator="containsText" dxfId="7" text="확인">
      <formula>NOT(ISERROR(SEARCH("확인",AB14)))</formula>
    </cfRule>
    <cfRule type="containsText" priority="3121" operator="containsText" dxfId="4" text="취약">
      <formula>NOT(ISERROR(SEARCH("취약",AB14)))</formula>
    </cfRule>
  </conditionalFormatting>
  <conditionalFormatting sqref="AB14:AB15">
    <cfRule type="cellIs" priority="3016" operator="equal" dxfId="0">
      <formula>"미흡"</formula>
    </cfRule>
  </conditionalFormatting>
  <conditionalFormatting sqref="AB16">
    <cfRule type="cellIs" priority="3114" operator="equal" dxfId="0">
      <formula>"미흡"</formula>
    </cfRule>
    <cfRule type="containsText" priority="3115" operator="containsText" dxfId="7" text="확인">
      <formula>NOT(ISERROR(SEARCH("확인",AB16)))</formula>
    </cfRule>
    <cfRule type="containsText" priority="3116" operator="containsText" dxfId="4" text="취약">
      <formula>NOT(ISERROR(SEARCH("취약",AB16)))</formula>
    </cfRule>
  </conditionalFormatting>
  <conditionalFormatting sqref="AB16:AB17">
    <cfRule type="containsText" priority="3110" operator="containsText" dxfId="7" text="확인">
      <formula>NOT(ISERROR(SEARCH("확인",AB16)))</formula>
    </cfRule>
    <cfRule type="containsText" priority="3111" operator="containsText" dxfId="4" text="취약">
      <formula>NOT(ISERROR(SEARCH("취약",AB16)))</formula>
    </cfRule>
  </conditionalFormatting>
  <conditionalFormatting sqref="AB17">
    <cfRule type="containsText" priority="3107" operator="containsText" dxfId="7" text="확인">
      <formula>NOT(ISERROR(SEARCH("확인",AB17)))</formula>
    </cfRule>
    <cfRule type="containsText" priority="3108" operator="containsText" dxfId="4" text="취약">
      <formula>NOT(ISERROR(SEARCH("취약",AB17)))</formula>
    </cfRule>
    <cfRule type="cellIs" priority="3109" operator="equal" dxfId="0">
      <formula>"미흡"</formula>
    </cfRule>
  </conditionalFormatting>
  <conditionalFormatting sqref="AB17:AB18">
    <cfRule type="containsText" priority="3103" operator="containsText" dxfId="7" text="확인">
      <formula>NOT(ISERROR(SEARCH("확인",AB17)))</formula>
    </cfRule>
    <cfRule type="containsText" priority="3104" operator="containsText" dxfId="4" text="취약">
      <formula>NOT(ISERROR(SEARCH("취약",AB17)))</formula>
    </cfRule>
  </conditionalFormatting>
  <conditionalFormatting sqref="AB18:AB19">
    <cfRule type="cellIs" priority="3013" operator="equal" dxfId="0">
      <formula>"미흡"</formula>
    </cfRule>
  </conditionalFormatting>
  <conditionalFormatting sqref="AB18:AB20">
    <cfRule type="containsText" priority="3012" operator="containsText" dxfId="4" text="취약">
      <formula>NOT(ISERROR(SEARCH("취약",AB18)))</formula>
    </cfRule>
    <cfRule type="containsText" priority="3011" operator="containsText" dxfId="7" text="확인">
      <formula>NOT(ISERROR(SEARCH("확인",AB18)))</formula>
    </cfRule>
  </conditionalFormatting>
  <conditionalFormatting sqref="AB20">
    <cfRule type="containsText" priority="3037" operator="containsText" dxfId="7" text="확인">
      <formula>NOT(ISERROR(SEARCH("확인",AB20)))</formula>
    </cfRule>
    <cfRule type="containsText" priority="3038" operator="containsText" dxfId="4" text="취약">
      <formula>NOT(ISERROR(SEARCH("취약",AB20)))</formula>
    </cfRule>
    <cfRule type="cellIs" priority="3039" operator="equal" dxfId="0">
      <formula>"미흡"</formula>
    </cfRule>
    <cfRule type="containsText" priority="3036" operator="containsText" dxfId="4" text="취약">
      <formula>NOT(ISERROR(SEARCH("취약",AB20)))</formula>
    </cfRule>
    <cfRule type="containsText" priority="3035" operator="containsText" dxfId="7" text="확인">
      <formula>NOT(ISERROR(SEARCH("확인",AB20)))</formula>
    </cfRule>
  </conditionalFormatting>
  <conditionalFormatting sqref="AB21:AB22">
    <cfRule type="cellIs" priority="2960" operator="equal" dxfId="0">
      <formula>"미흡"</formula>
    </cfRule>
    <cfRule type="containsText" priority="2961" operator="containsText" dxfId="7" text="확인">
      <formula>NOT(ISERROR(SEARCH("확인",AB21)))</formula>
    </cfRule>
    <cfRule type="containsText" priority="2962" operator="containsText" dxfId="4" text="취약">
      <formula>NOT(ISERROR(SEARCH("취약",AB21)))</formula>
    </cfRule>
  </conditionalFormatting>
  <conditionalFormatting sqref="AB21:AB23">
    <cfRule type="containsText" priority="2956" operator="containsText" dxfId="7" text="확인">
      <formula>NOT(ISERROR(SEARCH("확인",AB21)))</formula>
    </cfRule>
    <cfRule type="containsText" priority="2957" operator="containsText" dxfId="4" text="취약">
      <formula>NOT(ISERROR(SEARCH("취약",AB21)))</formula>
    </cfRule>
  </conditionalFormatting>
  <conditionalFormatting sqref="AB23:AB24">
    <cfRule type="cellIs" priority="2945" operator="equal" dxfId="0">
      <formula>"미흡"</formula>
    </cfRule>
  </conditionalFormatting>
  <conditionalFormatting sqref="AB23:AB28">
    <cfRule type="containsText" priority="2930" operator="containsText" dxfId="7" text="확인">
      <formula>NOT(ISERROR(SEARCH("확인",AB23)))</formula>
    </cfRule>
    <cfRule type="containsText" priority="2931" operator="containsText" dxfId="4" text="취약">
      <formula>NOT(ISERROR(SEARCH("취약",AB23)))</formula>
    </cfRule>
  </conditionalFormatting>
  <conditionalFormatting sqref="AB25">
    <cfRule type="containsText" priority="2948" operator="containsText" dxfId="7" text="확인">
      <formula>NOT(ISERROR(SEARCH("확인",AB25)))</formula>
    </cfRule>
    <cfRule type="containsText" priority="2949" operator="containsText" dxfId="4" text="취약">
      <formula>NOT(ISERROR(SEARCH("취약",AB25)))</formula>
    </cfRule>
    <cfRule type="containsText" priority="2950" operator="containsText" dxfId="7" text="확인">
      <formula>NOT(ISERROR(SEARCH("확인",AB25)))</formula>
    </cfRule>
    <cfRule type="containsText" priority="2951" operator="containsText" dxfId="4" text="취약">
      <formula>NOT(ISERROR(SEARCH("취약",AB25)))</formula>
    </cfRule>
    <cfRule type="cellIs" priority="2952" operator="equal" dxfId="0">
      <formula>"미흡"</formula>
    </cfRule>
  </conditionalFormatting>
  <conditionalFormatting sqref="AB26">
    <cfRule type="cellIs" priority="2935" operator="equal" dxfId="0">
      <formula>"미흡"</formula>
    </cfRule>
  </conditionalFormatting>
  <conditionalFormatting sqref="AB27">
    <cfRule type="containsText" priority="2938" operator="containsText" dxfId="7" text="확인">
      <formula>NOT(ISERROR(SEARCH("확인",AB27)))</formula>
    </cfRule>
    <cfRule type="containsText" priority="2939" operator="containsText" dxfId="4" text="취약">
      <formula>NOT(ISERROR(SEARCH("취약",AB27)))</formula>
    </cfRule>
    <cfRule type="containsText" priority="2940" operator="containsText" dxfId="7" text="확인">
      <formula>NOT(ISERROR(SEARCH("확인",AB27)))</formula>
    </cfRule>
    <cfRule type="containsText" priority="2941" operator="containsText" dxfId="4" text="취약">
      <formula>NOT(ISERROR(SEARCH("취약",AB27)))</formula>
    </cfRule>
    <cfRule type="cellIs" priority="2942" operator="equal" dxfId="0">
      <formula>"미흡"</formula>
    </cfRule>
  </conditionalFormatting>
  <conditionalFormatting sqref="AB28">
    <cfRule type="cellIs" priority="2929" operator="equal" dxfId="0">
      <formula>"미흡"</formula>
    </cfRule>
  </conditionalFormatting>
  <conditionalFormatting sqref="AB28:AB29">
    <cfRule type="containsText" priority="2926" operator="containsText" dxfId="4" text="취약">
      <formula>NOT(ISERROR(SEARCH("취약",AB28)))</formula>
    </cfRule>
    <cfRule type="containsText" priority="2925" operator="containsText" dxfId="7" text="확인">
      <formula>NOT(ISERROR(SEARCH("확인",AB28)))</formula>
    </cfRule>
  </conditionalFormatting>
  <conditionalFormatting sqref="AB29">
    <cfRule type="containsText" priority="2922" operator="containsText" dxfId="7" text="확인">
      <formula>NOT(ISERROR(SEARCH("확인",AB29)))</formula>
    </cfRule>
    <cfRule type="containsText" priority="2923" operator="containsText" dxfId="4" text="취약">
      <formula>NOT(ISERROR(SEARCH("취약",AB29)))</formula>
    </cfRule>
    <cfRule type="cellIs" priority="2924" operator="equal" dxfId="0">
      <formula>"미흡"</formula>
    </cfRule>
  </conditionalFormatting>
  <conditionalFormatting sqref="AB29:AB30">
    <cfRule type="containsText" priority="2919" operator="containsText" dxfId="4" text="취약">
      <formula>NOT(ISERROR(SEARCH("취약",AB29)))</formula>
    </cfRule>
    <cfRule type="containsText" priority="2918" operator="containsText" dxfId="7" text="확인">
      <formula>NOT(ISERROR(SEARCH("확인",AB29)))</formula>
    </cfRule>
  </conditionalFormatting>
  <conditionalFormatting sqref="AB30:AB33">
    <cfRule type="cellIs" priority="2914" operator="equal" dxfId="0">
      <formula>"미흡"</formula>
    </cfRule>
    <cfRule type="containsText" priority="2912" operator="containsText" dxfId="7" text="확인">
      <formula>NOT(ISERROR(SEARCH("확인",AB30)))</formula>
    </cfRule>
    <cfRule type="containsText" priority="2913" operator="containsText" dxfId="4" text="취약">
      <formula>NOT(ISERROR(SEARCH("취약",AB30)))</formula>
    </cfRule>
  </conditionalFormatting>
  <conditionalFormatting sqref="AB34">
    <cfRule type="cellIs" priority="3097" operator="equal" dxfId="0">
      <formula>"미흡"</formula>
    </cfRule>
    <cfRule type="containsText" priority="3096" operator="containsText" dxfId="4" text="취약">
      <formula>NOT(ISERROR(SEARCH("취약",AB34)))</formula>
    </cfRule>
    <cfRule type="containsText" priority="3093" operator="containsText" dxfId="7" text="확인">
      <formula>NOT(ISERROR(SEARCH("확인",AB34)))</formula>
    </cfRule>
    <cfRule type="containsText" priority="3095" operator="containsText" dxfId="7" text="확인">
      <formula>NOT(ISERROR(SEARCH("확인",AB34)))</formula>
    </cfRule>
    <cfRule type="containsText" priority="3094" operator="containsText" dxfId="4" text="취약">
      <formula>NOT(ISERROR(SEARCH("취약",AB34)))</formula>
    </cfRule>
    <cfRule type="containsText" priority="3092" operator="containsText" dxfId="4" text="취약">
      <formula>NOT(ISERROR(SEARCH("취약",AB34)))</formula>
    </cfRule>
    <cfRule type="containsText" priority="3098" operator="containsText" dxfId="7" text="확인">
      <formula>NOT(ISERROR(SEARCH("확인",AB34)))</formula>
    </cfRule>
    <cfRule type="containsText" priority="3099" operator="containsText" dxfId="4" text="취약">
      <formula>NOT(ISERROR(SEARCH("취약",AB34)))</formula>
    </cfRule>
    <cfRule type="containsText" priority="3091" operator="containsText" dxfId="7" text="확인">
      <formula>NOT(ISERROR(SEARCH("확인",AB34)))</formula>
    </cfRule>
  </conditionalFormatting>
  <conditionalFormatting sqref="AB34:AB35">
    <cfRule type="containsText" priority="3088" operator="containsText" dxfId="4" text="취약">
      <formula>NOT(ISERROR(SEARCH("취약",AB34)))</formula>
    </cfRule>
    <cfRule type="containsText" priority="3087" operator="containsText" dxfId="7" text="확인">
      <formula>NOT(ISERROR(SEARCH("확인",AB34)))</formula>
    </cfRule>
  </conditionalFormatting>
  <conditionalFormatting sqref="AB35">
    <cfRule type="cellIs" priority="3086" operator="equal" dxfId="0">
      <formula>"미흡"</formula>
    </cfRule>
  </conditionalFormatting>
  <conditionalFormatting sqref="AB35:AB36">
    <cfRule type="containsText" priority="3083" operator="containsText" dxfId="4" text="취약">
      <formula>NOT(ISERROR(SEARCH("취약",AB35)))</formula>
    </cfRule>
    <cfRule type="containsText" priority="3082" operator="containsText" dxfId="7" text="확인">
      <formula>NOT(ISERROR(SEARCH("확인",AB35)))</formula>
    </cfRule>
  </conditionalFormatting>
  <conditionalFormatting sqref="AB36">
    <cfRule type="cellIs" priority="3081" operator="equal" dxfId="0">
      <formula>"미흡"</formula>
    </cfRule>
  </conditionalFormatting>
  <conditionalFormatting sqref="AB36:AB37">
    <cfRule type="containsText" priority="3078" operator="containsText" dxfId="4" text="취약">
      <formula>NOT(ISERROR(SEARCH("취약",AB36)))</formula>
    </cfRule>
    <cfRule type="containsText" priority="3077" operator="containsText" dxfId="7" text="확인">
      <formula>NOT(ISERROR(SEARCH("확인",AB36)))</formula>
    </cfRule>
  </conditionalFormatting>
  <conditionalFormatting sqref="AB37">
    <cfRule type="cellIs" priority="3076" operator="equal" dxfId="0">
      <formula>"미흡"</formula>
    </cfRule>
  </conditionalFormatting>
  <conditionalFormatting sqref="AB37:AB38">
    <cfRule type="containsText" priority="2910" operator="containsText" dxfId="4" text="취약">
      <formula>NOT(ISERROR(SEARCH("취약",AB37)))</formula>
    </cfRule>
    <cfRule type="containsText" priority="2909" operator="containsText" dxfId="7" text="확인">
      <formula>NOT(ISERROR(SEARCH("확인",AB37)))</formula>
    </cfRule>
  </conditionalFormatting>
  <conditionalFormatting sqref="AB38">
    <cfRule type="cellIs" priority="2908" operator="equal" dxfId="0">
      <formula>"미흡"</formula>
    </cfRule>
  </conditionalFormatting>
  <conditionalFormatting sqref="AB38:AB39">
    <cfRule type="containsText" priority="2904" operator="containsText" dxfId="7" text="확인">
      <formula>NOT(ISERROR(SEARCH("확인",AB38)))</formula>
    </cfRule>
    <cfRule type="containsText" priority="2905" operator="containsText" dxfId="4" text="취약">
      <formula>NOT(ISERROR(SEARCH("취약",AB38)))</formula>
    </cfRule>
  </conditionalFormatting>
  <conditionalFormatting sqref="AB39">
    <cfRule type="cellIs" priority="2903" operator="equal" dxfId="0">
      <formula>"미흡"</formula>
    </cfRule>
  </conditionalFormatting>
  <conditionalFormatting sqref="AB39:AB41">
    <cfRule type="containsText" priority="2893" operator="containsText" dxfId="7" text="확인">
      <formula>NOT(ISERROR(SEARCH("확인",AB39)))</formula>
    </cfRule>
    <cfRule type="containsText" priority="2894" operator="containsText" dxfId="4" text="취약">
      <formula>NOT(ISERROR(SEARCH("취약",AB39)))</formula>
    </cfRule>
  </conditionalFormatting>
  <conditionalFormatting sqref="AB40">
    <cfRule type="containsText" priority="2890" operator="containsText" dxfId="7" text="확인">
      <formula>NOT(ISERROR(SEARCH("확인",AB40)))</formula>
    </cfRule>
    <cfRule type="containsText" priority="2891" operator="containsText" dxfId="4" text="취약">
      <formula>NOT(ISERROR(SEARCH("취약",AB40)))</formula>
    </cfRule>
    <cfRule type="cellIs" priority="2892" operator="equal" dxfId="0">
      <formula>"미흡"</formula>
    </cfRule>
  </conditionalFormatting>
  <conditionalFormatting sqref="AB41">
    <cfRule type="cellIs" priority="2898" operator="equal" dxfId="0">
      <formula>"미흡"</formula>
    </cfRule>
  </conditionalFormatting>
  <conditionalFormatting sqref="AB41:AB42">
    <cfRule type="containsText" priority="2899" operator="containsText" dxfId="7" text="확인">
      <formula>NOT(ISERROR(SEARCH("확인",AB41)))</formula>
    </cfRule>
    <cfRule type="containsText" priority="2900" operator="containsText" dxfId="4" text="취약">
      <formula>NOT(ISERROR(SEARCH("취약",AB41)))</formula>
    </cfRule>
  </conditionalFormatting>
  <conditionalFormatting sqref="AB42:AB43">
    <cfRule type="containsText" priority="3047" operator="containsText" dxfId="7" text="확인">
      <formula>NOT(ISERROR(SEARCH("확인",AB42)))</formula>
    </cfRule>
    <cfRule type="containsText" priority="3048" operator="containsText" dxfId="4" text="취약">
      <formula>NOT(ISERROR(SEARCH("취약",AB42)))</formula>
    </cfRule>
    <cfRule type="cellIs" priority="3049" operator="equal" dxfId="0">
      <formula>"미흡"</formula>
    </cfRule>
  </conditionalFormatting>
  <conditionalFormatting sqref="AB44">
    <cfRule type="cellIs" priority="2882" operator="equal" dxfId="0">
      <formula>"미흡"</formula>
    </cfRule>
    <cfRule type="containsText" priority="2881" operator="containsText" dxfId="4" text="취약">
      <formula>NOT(ISERROR(SEARCH("취약",AB44)))</formula>
    </cfRule>
    <cfRule type="containsText" priority="2880" operator="containsText" dxfId="7" text="확인">
      <formula>NOT(ISERROR(SEARCH("확인",AB44)))</formula>
    </cfRule>
  </conditionalFormatting>
  <conditionalFormatting sqref="AB45:AB46">
    <cfRule type="containsText" priority="3023" operator="containsText" dxfId="7" text="확인">
      <formula>NOT(ISERROR(SEARCH("확인",AB45)))</formula>
    </cfRule>
    <cfRule type="cellIs" priority="3025" operator="equal" dxfId="0">
      <formula>"미흡"</formula>
    </cfRule>
    <cfRule type="containsText" priority="3024" operator="containsText" dxfId="4" text="취약">
      <formula>NOT(ISERROR(SEARCH("취약",AB45)))</formula>
    </cfRule>
  </conditionalFormatting>
  <conditionalFormatting sqref="AB46">
    <cfRule type="containsText" priority="3022" operator="containsText" dxfId="4" text="취약">
      <formula>NOT(ISERROR(SEARCH("취약",AB46)))</formula>
    </cfRule>
    <cfRule type="containsText" priority="3020" operator="containsText" dxfId="4" text="취약">
      <formula>NOT(ISERROR(SEARCH("취약",AB46)))</formula>
    </cfRule>
    <cfRule type="containsText" priority="3021" operator="containsText" dxfId="7" text="확인">
      <formula>NOT(ISERROR(SEARCH("확인",AB46)))</formula>
    </cfRule>
    <cfRule type="containsText" priority="3019" operator="containsText" dxfId="7" text="확인">
      <formula>NOT(ISERROR(SEARCH("확인",AB46)))</formula>
    </cfRule>
    <cfRule type="containsText" priority="3018" operator="containsText" dxfId="4" text="취약">
      <formula>NOT(ISERROR(SEARCH("취약",AB46)))</formula>
    </cfRule>
    <cfRule type="containsText" priority="3017" operator="containsText" dxfId="7" text="확인">
      <formula>NOT(ISERROR(SEARCH("확인",AB46)))</formula>
    </cfRule>
  </conditionalFormatting>
  <conditionalFormatting sqref="AB47:AB48">
    <cfRule type="containsText" priority="3127" operator="containsText" dxfId="4" text="취약">
      <formula>NOT(ISERROR(SEARCH("취약",AB47)))</formula>
    </cfRule>
    <cfRule type="containsText" priority="3126" operator="containsText" dxfId="7" text="확인">
      <formula>NOT(ISERROR(SEARCH("확인",AB47)))</formula>
    </cfRule>
  </conditionalFormatting>
  <conditionalFormatting sqref="AB47:AB49">
    <cfRule type="cellIs" priority="3052" operator="equal" dxfId="0">
      <formula>"미흡"</formula>
    </cfRule>
  </conditionalFormatting>
  <conditionalFormatting sqref="AB47:AB51">
    <cfRule type="containsText" priority="3042" operator="containsText" dxfId="7" text="확인">
      <formula>NOT(ISERROR(SEARCH("확인",AB47)))</formula>
    </cfRule>
    <cfRule type="containsText" priority="3043" operator="containsText" dxfId="4" text="취약">
      <formula>NOT(ISERROR(SEARCH("취약",AB47)))</formula>
    </cfRule>
  </conditionalFormatting>
  <conditionalFormatting sqref="AB50">
    <cfRule type="containsText" priority="3067" operator="containsText" dxfId="4" text="취약">
      <formula>NOT(ISERROR(SEARCH("취약",AB50)))</formula>
    </cfRule>
    <cfRule type="containsText" priority="3063" operator="containsText" dxfId="7" text="확인">
      <formula>NOT(ISERROR(SEARCH("확인",AB50)))</formula>
    </cfRule>
    <cfRule type="containsText" priority="3064" operator="containsText" dxfId="4" text="취약">
      <formula>NOT(ISERROR(SEARCH("취약",AB50)))</formula>
    </cfRule>
    <cfRule type="containsText" priority="3059" operator="containsText" dxfId="7" text="확인">
      <formula>NOT(ISERROR(SEARCH("확인",AB50)))</formula>
    </cfRule>
    <cfRule type="containsText" priority="3056" operator="containsText" dxfId="4" text="취약">
      <formula>NOT(ISERROR(SEARCH("취약",AB50)))</formula>
    </cfRule>
    <cfRule type="containsText" priority="3066" operator="containsText" dxfId="7" text="확인">
      <formula>NOT(ISERROR(SEARCH("확인",AB50)))</formula>
    </cfRule>
    <cfRule type="containsText" priority="3058" operator="containsText" dxfId="4" text="취약">
      <formula>NOT(ISERROR(SEARCH("취약",AB50)))</formula>
    </cfRule>
    <cfRule type="cellIs" priority="3065" operator="equal" dxfId="0">
      <formula>"미흡"</formula>
    </cfRule>
    <cfRule type="containsText" priority="3060" operator="containsText" dxfId="4" text="취약">
      <formula>NOT(ISERROR(SEARCH("취약",AB50)))</formula>
    </cfRule>
    <cfRule type="containsText" priority="3061" operator="containsText" dxfId="7" text="확인">
      <formula>NOT(ISERROR(SEARCH("확인",AB50)))</formula>
    </cfRule>
    <cfRule type="containsText" priority="3062" operator="containsText" dxfId="4" text="취약">
      <formula>NOT(ISERROR(SEARCH("취약",AB50)))</formula>
    </cfRule>
    <cfRule type="containsText" priority="3057" operator="containsText" dxfId="7" text="확인">
      <formula>NOT(ISERROR(SEARCH("확인",AB50)))</formula>
    </cfRule>
    <cfRule type="containsText" priority="3055" operator="containsText" dxfId="7" text="확인">
      <formula>NOT(ISERROR(SEARCH("확인",AB50)))</formula>
    </cfRule>
  </conditionalFormatting>
  <conditionalFormatting sqref="AB3:AC6 AB50:AB51 AC7:AC43 AC45:AC51">
    <cfRule type="cellIs" priority="3129" operator="equal" dxfId="1">
      <formula>"N/A"</formula>
    </cfRule>
  </conditionalFormatting>
  <conditionalFormatting sqref="AB51">
    <cfRule type="containsText" priority="3040" operator="containsText" dxfId="7" text="확인">
      <formula>NOT(ISERROR(SEARCH("확인",AB51)))</formula>
    </cfRule>
    <cfRule type="containsText" priority="3041" operator="containsText" dxfId="4" text="취약">
      <formula>NOT(ISERROR(SEARCH("취약",AB51)))</formula>
    </cfRule>
    <cfRule type="cellIs" priority="3044" operator="equal" dxfId="0">
      <formula>"미흡"</formula>
    </cfRule>
  </conditionalFormatting>
  <conditionalFormatting sqref="AC3:AC5">
    <cfRule type="cellIs" priority="3030" operator="equal" dxfId="4">
      <formula>"취약"</formula>
    </cfRule>
  </conditionalFormatting>
  <conditionalFormatting sqref="AC3:AC51">
    <cfRule type="cellIs" priority="2883" operator="equal" dxfId="0">
      <formula>"미흡"</formula>
    </cfRule>
  </conditionalFormatting>
  <conditionalFormatting sqref="AD1:AD1048576">
    <cfRule type="cellIs" priority="3131" operator="equal" dxfId="154">
      <formula>"인터뷰"</formula>
    </cfRule>
    <cfRule type="cellIs" priority="3130" operator="equal" dxfId="1">
      <formula>"N/A"</formula>
    </cfRule>
  </conditionalFormatting>
  <conditionalFormatting sqref="AD3:AD6">
    <cfRule type="cellIs" priority="3281" operator="equal" dxfId="0">
      <formula>"미흡"</formula>
    </cfRule>
  </conditionalFormatting>
  <conditionalFormatting sqref="AD6:AD8">
    <cfRule type="containsText" priority="3251" operator="containsText" dxfId="4" text="취약">
      <formula>NOT(ISERROR(SEARCH("취약",AD6)))</formula>
    </cfRule>
    <cfRule type="containsText" priority="3250" operator="containsText" dxfId="7" text="확인">
      <formula>NOT(ISERROR(SEARCH("확인",AD6)))</formula>
    </cfRule>
  </conditionalFormatting>
  <conditionalFormatting sqref="AD7">
    <cfRule type="cellIs" priority="3249" operator="equal" dxfId="0">
      <formula>"미흡"</formula>
    </cfRule>
    <cfRule type="containsText" priority="3248" operator="containsText" dxfId="4" text="취약">
      <formula>NOT(ISERROR(SEARCH("취약",AD7)))</formula>
    </cfRule>
    <cfRule type="containsText" priority="3247" operator="containsText" dxfId="7" text="확인">
      <formula>NOT(ISERROR(SEARCH("확인",AD7)))</formula>
    </cfRule>
  </conditionalFormatting>
  <conditionalFormatting sqref="AD7:AD25">
    <cfRule type="cellIs" priority="3216" operator="equal" dxfId="1">
      <formula>"N/A"</formula>
    </cfRule>
  </conditionalFormatting>
  <conditionalFormatting sqref="AD8">
    <cfRule type="containsText" priority="3257" operator="containsText" dxfId="4" text="취약">
      <formula>NOT(ISERROR(SEARCH("취약",AD8)))</formula>
    </cfRule>
    <cfRule type="containsText" priority="3256" operator="containsText" dxfId="7" text="확인">
      <formula>NOT(ISERROR(SEARCH("확인",AD8)))</formula>
    </cfRule>
    <cfRule type="cellIs" priority="3255" operator="equal" dxfId="0">
      <formula>"미흡"</formula>
    </cfRule>
  </conditionalFormatting>
  <conditionalFormatting sqref="AD9">
    <cfRule type="containsText" priority="3236" operator="containsText" dxfId="4" text="취약">
      <formula>NOT(ISERROR(SEARCH("취약",AD9)))</formula>
    </cfRule>
    <cfRule type="containsText" priority="3235" operator="containsText" dxfId="7" text="확인">
      <formula>NOT(ISERROR(SEARCH("확인",AD9)))</formula>
    </cfRule>
    <cfRule type="cellIs" priority="3237" operator="equal" dxfId="0">
      <formula>"미흡"</formula>
    </cfRule>
  </conditionalFormatting>
  <conditionalFormatting sqref="AD9:AD10">
    <cfRule type="containsText" priority="3238" operator="containsText" dxfId="7" text="확인">
      <formula>NOT(ISERROR(SEARCH("확인",AD9)))</formula>
    </cfRule>
    <cfRule type="containsText" priority="3239" operator="containsText" dxfId="4" text="취약">
      <formula>NOT(ISERROR(SEARCH("취약",AD9)))</formula>
    </cfRule>
  </conditionalFormatting>
  <conditionalFormatting sqref="AD10">
    <cfRule type="cellIs" priority="3243" operator="equal" dxfId="0">
      <formula>"미흡"</formula>
    </cfRule>
    <cfRule type="containsText" priority="3244" operator="containsText" dxfId="7" text="확인">
      <formula>NOT(ISERROR(SEARCH("확인",AD10)))</formula>
    </cfRule>
    <cfRule type="containsText" priority="3245" operator="containsText" dxfId="4" text="취약">
      <formula>NOT(ISERROR(SEARCH("취약",AD10)))</formula>
    </cfRule>
  </conditionalFormatting>
  <conditionalFormatting sqref="AD11">
    <cfRule type="containsText" priority="3223" operator="containsText" dxfId="7" text="확인">
      <formula>NOT(ISERROR(SEARCH("확인",AD11)))</formula>
    </cfRule>
    <cfRule type="containsText" priority="3224" operator="containsText" dxfId="4" text="취약">
      <formula>NOT(ISERROR(SEARCH("취약",AD11)))</formula>
    </cfRule>
    <cfRule type="cellIs" priority="3225" operator="equal" dxfId="0">
      <formula>"미흡"</formula>
    </cfRule>
  </conditionalFormatting>
  <conditionalFormatting sqref="AD11:AD12">
    <cfRule type="containsText" priority="3227" operator="containsText" dxfId="4" text="취약">
      <formula>NOT(ISERROR(SEARCH("취약",AD11)))</formula>
    </cfRule>
    <cfRule type="containsText" priority="3226" operator="containsText" dxfId="7" text="확인">
      <formula>NOT(ISERROR(SEARCH("확인",AD11)))</formula>
    </cfRule>
  </conditionalFormatting>
  <conditionalFormatting sqref="AD12">
    <cfRule type="containsText" priority="3233" operator="containsText" dxfId="4" text="취약">
      <formula>NOT(ISERROR(SEARCH("취약",AD12)))</formula>
    </cfRule>
    <cfRule type="containsText" priority="3232" operator="containsText" dxfId="7" text="확인">
      <formula>NOT(ISERROR(SEARCH("확인",AD12)))</formula>
    </cfRule>
    <cfRule type="cellIs" priority="3231" operator="equal" dxfId="0">
      <formula>"미흡"</formula>
    </cfRule>
  </conditionalFormatting>
  <conditionalFormatting sqref="AD13">
    <cfRule type="containsText" priority="3218" operator="containsText" dxfId="4" text="취약">
      <formula>NOT(ISERROR(SEARCH("취약",AD13)))</formula>
    </cfRule>
    <cfRule type="cellIs" priority="3219" operator="equal" dxfId="0">
      <formula>"미흡"</formula>
    </cfRule>
    <cfRule type="containsText" priority="3217" operator="containsText" dxfId="7" text="확인">
      <formula>NOT(ISERROR(SEARCH("확인",AD13)))</formula>
    </cfRule>
  </conditionalFormatting>
  <conditionalFormatting sqref="AD13:AD15">
    <cfRule type="containsText" priority="3220" operator="containsText" dxfId="7" text="확인">
      <formula>NOT(ISERROR(SEARCH("확인",AD13)))</formula>
    </cfRule>
    <cfRule type="containsText" priority="3221" operator="containsText" dxfId="4" text="취약">
      <formula>NOT(ISERROR(SEARCH("취약",AD13)))</formula>
    </cfRule>
  </conditionalFormatting>
  <conditionalFormatting sqref="AD14">
    <cfRule type="containsText" priority="3373" operator="containsText" dxfId="7" text="확인">
      <formula>NOT(ISERROR(SEARCH("확인",AD14)))</formula>
    </cfRule>
    <cfRule type="containsText" priority="3374" operator="containsText" dxfId="4" text="취약">
      <formula>NOT(ISERROR(SEARCH("취약",AD14)))</formula>
    </cfRule>
  </conditionalFormatting>
  <conditionalFormatting sqref="AD14:AD15">
    <cfRule type="cellIs" priority="3269" operator="equal" dxfId="0">
      <formula>"미흡"</formula>
    </cfRule>
  </conditionalFormatting>
  <conditionalFormatting sqref="AD16">
    <cfRule type="containsText" priority="3369" operator="containsText" dxfId="4" text="취약">
      <formula>NOT(ISERROR(SEARCH("취약",AD16)))</formula>
    </cfRule>
    <cfRule type="containsText" priority="3368" operator="containsText" dxfId="7" text="확인">
      <formula>NOT(ISERROR(SEARCH("확인",AD16)))</formula>
    </cfRule>
    <cfRule type="cellIs" priority="3367" operator="equal" dxfId="0">
      <formula>"미흡"</formula>
    </cfRule>
  </conditionalFormatting>
  <conditionalFormatting sqref="AD16:AD17">
    <cfRule type="containsText" priority="3364" operator="containsText" dxfId="4" text="취약">
      <formula>NOT(ISERROR(SEARCH("취약",AD16)))</formula>
    </cfRule>
    <cfRule type="containsText" priority="3363" operator="containsText" dxfId="7" text="확인">
      <formula>NOT(ISERROR(SEARCH("확인",AD16)))</formula>
    </cfRule>
  </conditionalFormatting>
  <conditionalFormatting sqref="AD17">
    <cfRule type="containsText" priority="3361" operator="containsText" dxfId="4" text="취약">
      <formula>NOT(ISERROR(SEARCH("취약",AD17)))</formula>
    </cfRule>
    <cfRule type="cellIs" priority="3362" operator="equal" dxfId="0">
      <formula>"미흡"</formula>
    </cfRule>
    <cfRule type="containsText" priority="3360" operator="containsText" dxfId="7" text="확인">
      <formula>NOT(ISERROR(SEARCH("확인",AD17)))</formula>
    </cfRule>
  </conditionalFormatting>
  <conditionalFormatting sqref="AD17:AD18">
    <cfRule type="containsText" priority="3357" operator="containsText" dxfId="4" text="취약">
      <formula>NOT(ISERROR(SEARCH("취약",AD17)))</formula>
    </cfRule>
    <cfRule type="containsText" priority="3356" operator="containsText" dxfId="7" text="확인">
      <formula>NOT(ISERROR(SEARCH("확인",AD17)))</formula>
    </cfRule>
  </conditionalFormatting>
  <conditionalFormatting sqref="AD18:AD19">
    <cfRule type="cellIs" priority="3266" operator="equal" dxfId="0">
      <formula>"미흡"</formula>
    </cfRule>
  </conditionalFormatting>
  <conditionalFormatting sqref="AD18:AD20">
    <cfRule type="containsText" priority="3265" operator="containsText" dxfId="4" text="취약">
      <formula>NOT(ISERROR(SEARCH("취약",AD18)))</formula>
    </cfRule>
    <cfRule type="containsText" priority="3264" operator="containsText" dxfId="7" text="확인">
      <formula>NOT(ISERROR(SEARCH("확인",AD18)))</formula>
    </cfRule>
  </conditionalFormatting>
  <conditionalFormatting sqref="AD20">
    <cfRule type="containsText" priority="3290" operator="containsText" dxfId="7" text="확인">
      <formula>NOT(ISERROR(SEARCH("확인",AD20)))</formula>
    </cfRule>
    <cfRule type="containsText" priority="3289" operator="containsText" dxfId="4" text="취약">
      <formula>NOT(ISERROR(SEARCH("취약",AD20)))</formula>
    </cfRule>
    <cfRule type="containsText" priority="3288" operator="containsText" dxfId="7" text="확인">
      <formula>NOT(ISERROR(SEARCH("확인",AD20)))</formula>
    </cfRule>
    <cfRule type="cellIs" priority="3292" operator="equal" dxfId="0">
      <formula>"미흡"</formula>
    </cfRule>
    <cfRule type="containsText" priority="3291" operator="containsText" dxfId="4" text="취약">
      <formula>NOT(ISERROR(SEARCH("취약",AD20)))</formula>
    </cfRule>
  </conditionalFormatting>
  <conditionalFormatting sqref="AD21:AD22">
    <cfRule type="containsText" priority="3215" operator="containsText" dxfId="4" text="취약">
      <formula>NOT(ISERROR(SEARCH("취약",AD21)))</formula>
    </cfRule>
    <cfRule type="cellIs" priority="3213" operator="equal" dxfId="0">
      <formula>"미흡"</formula>
    </cfRule>
    <cfRule type="containsText" priority="3214" operator="containsText" dxfId="7" text="확인">
      <formula>NOT(ISERROR(SEARCH("확인",AD21)))</formula>
    </cfRule>
  </conditionalFormatting>
  <conditionalFormatting sqref="AD21:AD23">
    <cfRule type="containsText" priority="3209" operator="containsText" dxfId="7" text="확인">
      <formula>NOT(ISERROR(SEARCH("확인",AD21)))</formula>
    </cfRule>
    <cfRule type="containsText" priority="3210" operator="containsText" dxfId="4" text="취약">
      <formula>NOT(ISERROR(SEARCH("취약",AD21)))</formula>
    </cfRule>
  </conditionalFormatting>
  <conditionalFormatting sqref="AD23:AD24">
    <cfRule type="cellIs" priority="3198" operator="equal" dxfId="0">
      <formula>"미흡"</formula>
    </cfRule>
  </conditionalFormatting>
  <conditionalFormatting sqref="AD23:AD28">
    <cfRule type="containsText" priority="3183" operator="containsText" dxfId="7" text="확인">
      <formula>NOT(ISERROR(SEARCH("확인",AD23)))</formula>
    </cfRule>
    <cfRule type="containsText" priority="3184" operator="containsText" dxfId="4" text="취약">
      <formula>NOT(ISERROR(SEARCH("취약",AD23)))</formula>
    </cfRule>
  </conditionalFormatting>
  <conditionalFormatting sqref="AD25">
    <cfRule type="containsText" priority="3201" operator="containsText" dxfId="7" text="확인">
      <formula>NOT(ISERROR(SEARCH("확인",AD25)))</formula>
    </cfRule>
    <cfRule type="containsText" priority="3202" operator="containsText" dxfId="4" text="취약">
      <formula>NOT(ISERROR(SEARCH("취약",AD25)))</formula>
    </cfRule>
    <cfRule type="containsText" priority="3203" operator="containsText" dxfId="7" text="확인">
      <formula>NOT(ISERROR(SEARCH("확인",AD25)))</formula>
    </cfRule>
    <cfRule type="containsText" priority="3204" operator="containsText" dxfId="4" text="취약">
      <formula>NOT(ISERROR(SEARCH("취약",AD25)))</formula>
    </cfRule>
    <cfRule type="cellIs" priority="3205" operator="equal" dxfId="0">
      <formula>"미흡"</formula>
    </cfRule>
  </conditionalFormatting>
  <conditionalFormatting sqref="AD26">
    <cfRule type="cellIs" priority="3188" operator="equal" dxfId="0">
      <formula>"미흡"</formula>
    </cfRule>
  </conditionalFormatting>
  <conditionalFormatting sqref="AD27">
    <cfRule type="containsText" priority="3191" operator="containsText" dxfId="7" text="확인">
      <formula>NOT(ISERROR(SEARCH("확인",AD27)))</formula>
    </cfRule>
    <cfRule type="containsText" priority="3192" operator="containsText" dxfId="4" text="취약">
      <formula>NOT(ISERROR(SEARCH("취약",AD27)))</formula>
    </cfRule>
    <cfRule type="containsText" priority="3193" operator="containsText" dxfId="7" text="확인">
      <formula>NOT(ISERROR(SEARCH("확인",AD27)))</formula>
    </cfRule>
    <cfRule type="containsText" priority="3194" operator="containsText" dxfId="4" text="취약">
      <formula>NOT(ISERROR(SEARCH("취약",AD27)))</formula>
    </cfRule>
    <cfRule type="cellIs" priority="3195" operator="equal" dxfId="0">
      <formula>"미흡"</formula>
    </cfRule>
  </conditionalFormatting>
  <conditionalFormatting sqref="AD28">
    <cfRule type="cellIs" priority="3182" operator="equal" dxfId="0">
      <formula>"미흡"</formula>
    </cfRule>
  </conditionalFormatting>
  <conditionalFormatting sqref="AD28:AD29">
    <cfRule type="containsText" priority="3178" operator="containsText" dxfId="7" text="확인">
      <formula>NOT(ISERROR(SEARCH("확인",AD28)))</formula>
    </cfRule>
    <cfRule type="containsText" priority="3179" operator="containsText" dxfId="4" text="취약">
      <formula>NOT(ISERROR(SEARCH("취약",AD28)))</formula>
    </cfRule>
  </conditionalFormatting>
  <conditionalFormatting sqref="AD29">
    <cfRule type="cellIs" priority="3177" operator="equal" dxfId="0">
      <formula>"미흡"</formula>
    </cfRule>
    <cfRule type="containsText" priority="3176" operator="containsText" dxfId="4" text="취약">
      <formula>NOT(ISERROR(SEARCH("취약",AD29)))</formula>
    </cfRule>
    <cfRule type="containsText" priority="3175" operator="containsText" dxfId="7" text="확인">
      <formula>NOT(ISERROR(SEARCH("확인",AD29)))</formula>
    </cfRule>
  </conditionalFormatting>
  <conditionalFormatting sqref="AD29:AD30">
    <cfRule type="containsText" priority="3171" operator="containsText" dxfId="7" text="확인">
      <formula>NOT(ISERROR(SEARCH("확인",AD29)))</formula>
    </cfRule>
    <cfRule type="containsText" priority="3172" operator="containsText" dxfId="4" text="취약">
      <formula>NOT(ISERROR(SEARCH("취약",AD29)))</formula>
    </cfRule>
  </conditionalFormatting>
  <conditionalFormatting sqref="AD30:AD33">
    <cfRule type="containsText" priority="3166" operator="containsText" dxfId="4" text="취약">
      <formula>NOT(ISERROR(SEARCH("취약",AD30)))</formula>
    </cfRule>
    <cfRule type="cellIs" priority="3167" operator="equal" dxfId="0">
      <formula>"미흡"</formula>
    </cfRule>
    <cfRule type="containsText" priority="3165" operator="containsText" dxfId="7" text="확인">
      <formula>NOT(ISERROR(SEARCH("확인",AD30)))</formula>
    </cfRule>
  </conditionalFormatting>
  <conditionalFormatting sqref="AD34">
    <cfRule type="containsText" priority="3347" operator="containsText" dxfId="4" text="취약">
      <formula>NOT(ISERROR(SEARCH("취약",AD34)))</formula>
    </cfRule>
    <cfRule type="containsText" priority="3345" operator="containsText" dxfId="4" text="취약">
      <formula>NOT(ISERROR(SEARCH("취약",AD34)))</formula>
    </cfRule>
    <cfRule type="containsText" priority="3346" operator="containsText" dxfId="7" text="확인">
      <formula>NOT(ISERROR(SEARCH("확인",AD34)))</formula>
    </cfRule>
    <cfRule type="containsText" priority="3348" operator="containsText" dxfId="7" text="확인">
      <formula>NOT(ISERROR(SEARCH("확인",AD34)))</formula>
    </cfRule>
    <cfRule type="containsText" priority="3349" operator="containsText" dxfId="4" text="취약">
      <formula>NOT(ISERROR(SEARCH("취약",AD34)))</formula>
    </cfRule>
    <cfRule type="cellIs" priority="3350" operator="equal" dxfId="0">
      <formula>"미흡"</formula>
    </cfRule>
    <cfRule type="containsText" priority="3351" operator="containsText" dxfId="7" text="확인">
      <formula>NOT(ISERROR(SEARCH("확인",AD34)))</formula>
    </cfRule>
    <cfRule type="containsText" priority="3352" operator="containsText" dxfId="4" text="취약">
      <formula>NOT(ISERROR(SEARCH("취약",AD34)))</formula>
    </cfRule>
    <cfRule type="containsText" priority="3344" operator="containsText" dxfId="7" text="확인">
      <formula>NOT(ISERROR(SEARCH("확인",AD34)))</formula>
    </cfRule>
  </conditionalFormatting>
  <conditionalFormatting sqref="AD34:AD35">
    <cfRule type="containsText" priority="3340" operator="containsText" dxfId="7" text="확인">
      <formula>NOT(ISERROR(SEARCH("확인",AD34)))</formula>
    </cfRule>
    <cfRule type="containsText" priority="3341" operator="containsText" dxfId="4" text="취약">
      <formula>NOT(ISERROR(SEARCH("취약",AD34)))</formula>
    </cfRule>
  </conditionalFormatting>
  <conditionalFormatting sqref="AD35">
    <cfRule type="cellIs" priority="3339" operator="equal" dxfId="0">
      <formula>"미흡"</formula>
    </cfRule>
  </conditionalFormatting>
  <conditionalFormatting sqref="AD35:AD36">
    <cfRule type="containsText" priority="3335" operator="containsText" dxfId="7" text="확인">
      <formula>NOT(ISERROR(SEARCH("확인",AD35)))</formula>
    </cfRule>
    <cfRule type="containsText" priority="3336" operator="containsText" dxfId="4" text="취약">
      <formula>NOT(ISERROR(SEARCH("취약",AD35)))</formula>
    </cfRule>
  </conditionalFormatting>
  <conditionalFormatting sqref="AD36">
    <cfRule type="cellIs" priority="3334" operator="equal" dxfId="0">
      <formula>"미흡"</formula>
    </cfRule>
  </conditionalFormatting>
  <conditionalFormatting sqref="AD36:AD37">
    <cfRule type="containsText" priority="3330" operator="containsText" dxfId="7" text="확인">
      <formula>NOT(ISERROR(SEARCH("확인",AD36)))</formula>
    </cfRule>
    <cfRule type="containsText" priority="3331" operator="containsText" dxfId="4" text="취약">
      <formula>NOT(ISERROR(SEARCH("취약",AD36)))</formula>
    </cfRule>
  </conditionalFormatting>
  <conditionalFormatting sqref="AD37">
    <cfRule type="cellIs" priority="3329" operator="equal" dxfId="0">
      <formula>"미흡"</formula>
    </cfRule>
  </conditionalFormatting>
  <conditionalFormatting sqref="AD37:AD38">
    <cfRule type="containsText" priority="3163" operator="containsText" dxfId="4" text="취약">
      <formula>NOT(ISERROR(SEARCH("취약",AD37)))</formula>
    </cfRule>
    <cfRule type="containsText" priority="3162" operator="containsText" dxfId="7" text="확인">
      <formula>NOT(ISERROR(SEARCH("확인",AD37)))</formula>
    </cfRule>
  </conditionalFormatting>
  <conditionalFormatting sqref="AD38">
    <cfRule type="cellIs" priority="3161" operator="equal" dxfId="0">
      <formula>"미흡"</formula>
    </cfRule>
  </conditionalFormatting>
  <conditionalFormatting sqref="AD38:AD39">
    <cfRule type="containsText" priority="3157" operator="containsText" dxfId="7" text="확인">
      <formula>NOT(ISERROR(SEARCH("확인",AD38)))</formula>
    </cfRule>
    <cfRule type="containsText" priority="3158" operator="containsText" dxfId="4" text="취약">
      <formula>NOT(ISERROR(SEARCH("취약",AD38)))</formula>
    </cfRule>
  </conditionalFormatting>
  <conditionalFormatting sqref="AD39">
    <cfRule type="cellIs" priority="3156" operator="equal" dxfId="0">
      <formula>"미흡"</formula>
    </cfRule>
  </conditionalFormatting>
  <conditionalFormatting sqref="AD39:AD41">
    <cfRule type="containsText" priority="3146" operator="containsText" dxfId="7" text="확인">
      <formula>NOT(ISERROR(SEARCH("확인",AD39)))</formula>
    </cfRule>
    <cfRule type="containsText" priority="3147" operator="containsText" dxfId="4" text="취약">
      <formula>NOT(ISERROR(SEARCH("취약",AD39)))</formula>
    </cfRule>
  </conditionalFormatting>
  <conditionalFormatting sqref="AD40">
    <cfRule type="containsText" priority="3144" operator="containsText" dxfId="4" text="취약">
      <formula>NOT(ISERROR(SEARCH("취약",AD40)))</formula>
    </cfRule>
    <cfRule type="containsText" priority="3143" operator="containsText" dxfId="7" text="확인">
      <formula>NOT(ISERROR(SEARCH("확인",AD40)))</formula>
    </cfRule>
    <cfRule type="cellIs" priority="3145" operator="equal" dxfId="0">
      <formula>"미흡"</formula>
    </cfRule>
  </conditionalFormatting>
  <conditionalFormatting sqref="AD41">
    <cfRule type="cellIs" priority="3151" operator="equal" dxfId="0">
      <formula>"미흡"</formula>
    </cfRule>
  </conditionalFormatting>
  <conditionalFormatting sqref="AD41:AD42">
    <cfRule type="containsText" priority="3153" operator="containsText" dxfId="4" text="취약">
      <formula>NOT(ISERROR(SEARCH("취약",AD41)))</formula>
    </cfRule>
    <cfRule type="containsText" priority="3152" operator="containsText" dxfId="7" text="확인">
      <formula>NOT(ISERROR(SEARCH("확인",AD41)))</formula>
    </cfRule>
  </conditionalFormatting>
  <conditionalFormatting sqref="AD42:AD43">
    <cfRule type="cellIs" priority="3302" operator="equal" dxfId="0">
      <formula>"미흡"</formula>
    </cfRule>
    <cfRule type="containsText" priority="3301" operator="containsText" dxfId="4" text="취약">
      <formula>NOT(ISERROR(SEARCH("취약",AD42)))</formula>
    </cfRule>
    <cfRule type="containsText" priority="3300" operator="containsText" dxfId="7" text="확인">
      <formula>NOT(ISERROR(SEARCH("확인",AD42)))</formula>
    </cfRule>
  </conditionalFormatting>
  <conditionalFormatting sqref="AD44">
    <cfRule type="containsText" priority="3133" operator="containsText" dxfId="7" text="확인">
      <formula>NOT(ISERROR(SEARCH("확인",AD44)))</formula>
    </cfRule>
    <cfRule type="cellIs" priority="3135" operator="equal" dxfId="0">
      <formula>"미흡"</formula>
    </cfRule>
    <cfRule type="containsText" priority="3134" operator="containsText" dxfId="4" text="취약">
      <formula>NOT(ISERROR(SEARCH("취약",AD44)))</formula>
    </cfRule>
  </conditionalFormatting>
  <conditionalFormatting sqref="AD45:AD46">
    <cfRule type="containsText" priority="3277" operator="containsText" dxfId="4" text="취약">
      <formula>NOT(ISERROR(SEARCH("취약",AD45)))</formula>
    </cfRule>
    <cfRule type="containsText" priority="3276" operator="containsText" dxfId="7" text="확인">
      <formula>NOT(ISERROR(SEARCH("확인",AD45)))</formula>
    </cfRule>
    <cfRule type="cellIs" priority="3278" operator="equal" dxfId="0">
      <formula>"미흡"</formula>
    </cfRule>
  </conditionalFormatting>
  <conditionalFormatting sqref="AD46">
    <cfRule type="containsText" priority="3271" operator="containsText" dxfId="4" text="취약">
      <formula>NOT(ISERROR(SEARCH("취약",AD46)))</formula>
    </cfRule>
    <cfRule type="containsText" priority="3270" operator="containsText" dxfId="7" text="확인">
      <formula>NOT(ISERROR(SEARCH("확인",AD46)))</formula>
    </cfRule>
    <cfRule type="containsText" priority="3272" operator="containsText" dxfId="7" text="확인">
      <formula>NOT(ISERROR(SEARCH("확인",AD46)))</formula>
    </cfRule>
    <cfRule type="containsText" priority="3273" operator="containsText" dxfId="4" text="취약">
      <formula>NOT(ISERROR(SEARCH("취약",AD46)))</formula>
    </cfRule>
    <cfRule type="containsText" priority="3274" operator="containsText" dxfId="7" text="확인">
      <formula>NOT(ISERROR(SEARCH("확인",AD46)))</formula>
    </cfRule>
    <cfRule type="containsText" priority="3275" operator="containsText" dxfId="4" text="취약">
      <formula>NOT(ISERROR(SEARCH("취약",AD46)))</formula>
    </cfRule>
  </conditionalFormatting>
  <conditionalFormatting sqref="AD47:AD48">
    <cfRule type="containsText" priority="3379" operator="containsText" dxfId="7" text="확인">
      <formula>NOT(ISERROR(SEARCH("확인",AD47)))</formula>
    </cfRule>
    <cfRule type="containsText" priority="3380" operator="containsText" dxfId="4" text="취약">
      <formula>NOT(ISERROR(SEARCH("취약",AD47)))</formula>
    </cfRule>
  </conditionalFormatting>
  <conditionalFormatting sqref="AD47:AD49">
    <cfRule type="cellIs" priority="3305" operator="equal" dxfId="0">
      <formula>"미흡"</formula>
    </cfRule>
  </conditionalFormatting>
  <conditionalFormatting sqref="AD47:AD51">
    <cfRule type="containsText" priority="3296" operator="containsText" dxfId="4" text="취약">
      <formula>NOT(ISERROR(SEARCH("취약",AD47)))</formula>
    </cfRule>
    <cfRule type="containsText" priority="3295" operator="containsText" dxfId="7" text="확인">
      <formula>NOT(ISERROR(SEARCH("확인",AD47)))</formula>
    </cfRule>
  </conditionalFormatting>
  <conditionalFormatting sqref="AD50">
    <cfRule type="containsText" priority="3312" operator="containsText" dxfId="7" text="확인">
      <formula>NOT(ISERROR(SEARCH("확인",AD50)))</formula>
    </cfRule>
    <cfRule type="containsText" priority="3311" operator="containsText" dxfId="4" text="취약">
      <formula>NOT(ISERROR(SEARCH("취약",AD50)))</formula>
    </cfRule>
    <cfRule type="containsText" priority="3309" operator="containsText" dxfId="4" text="취약">
      <formula>NOT(ISERROR(SEARCH("취약",AD50)))</formula>
    </cfRule>
    <cfRule type="containsText" priority="3320" operator="containsText" dxfId="4" text="취약">
      <formula>NOT(ISERROR(SEARCH("취약",AD50)))</formula>
    </cfRule>
    <cfRule type="containsText" priority="3319" operator="containsText" dxfId="7" text="확인">
      <formula>NOT(ISERROR(SEARCH("확인",AD50)))</formula>
    </cfRule>
    <cfRule type="containsText" priority="3310" operator="containsText" dxfId="7" text="확인">
      <formula>NOT(ISERROR(SEARCH("확인",AD50)))</formula>
    </cfRule>
    <cfRule type="containsText" priority="3308" operator="containsText" dxfId="7" text="확인">
      <formula>NOT(ISERROR(SEARCH("확인",AD50)))</formula>
    </cfRule>
    <cfRule type="cellIs" priority="3318" operator="equal" dxfId="0">
      <formula>"미흡"</formula>
    </cfRule>
    <cfRule type="containsText" priority="3317" operator="containsText" dxfId="4" text="취약">
      <formula>NOT(ISERROR(SEARCH("취약",AD50)))</formula>
    </cfRule>
    <cfRule type="containsText" priority="3316" operator="containsText" dxfId="7" text="확인">
      <formula>NOT(ISERROR(SEARCH("확인",AD50)))</formula>
    </cfRule>
    <cfRule type="containsText" priority="3315" operator="containsText" dxfId="4" text="취약">
      <formula>NOT(ISERROR(SEARCH("취약",AD50)))</formula>
    </cfRule>
    <cfRule type="containsText" priority="3314" operator="containsText" dxfId="7" text="확인">
      <formula>NOT(ISERROR(SEARCH("확인",AD50)))</formula>
    </cfRule>
    <cfRule type="containsText" priority="3313" operator="containsText" dxfId="4" text="취약">
      <formula>NOT(ISERROR(SEARCH("취약",AD50)))</formula>
    </cfRule>
  </conditionalFormatting>
  <conditionalFormatting sqref="AD3:AE6 AD50:AD51 AE7:AE43 AE45:AE51">
    <cfRule type="cellIs" priority="3382" operator="equal" dxfId="1">
      <formula>"N/A"</formula>
    </cfRule>
  </conditionalFormatting>
  <conditionalFormatting sqref="AD51">
    <cfRule type="cellIs" priority="3297" operator="equal" dxfId="0">
      <formula>"미흡"</formula>
    </cfRule>
    <cfRule type="containsText" priority="3294" operator="containsText" dxfId="4" text="취약">
      <formula>NOT(ISERROR(SEARCH("취약",AD51)))</formula>
    </cfRule>
    <cfRule type="containsText" priority="3293" operator="containsText" dxfId="7" text="확인">
      <formula>NOT(ISERROR(SEARCH("확인",AD51)))</formula>
    </cfRule>
  </conditionalFormatting>
  <conditionalFormatting sqref="AE3:AE5">
    <cfRule type="cellIs" priority="3283" operator="equal" dxfId="4">
      <formula>"취약"</formula>
    </cfRule>
  </conditionalFormatting>
  <conditionalFormatting sqref="AE3:AE51">
    <cfRule type="cellIs" priority="3136" operator="equal" dxfId="0">
      <formula>"미흡"</formula>
    </cfRule>
  </conditionalFormatting>
  <conditionalFormatting sqref="AF1:AF1048576">
    <cfRule type="cellIs" priority="3391" operator="equal" dxfId="154">
      <formula>"인터뷰"</formula>
    </cfRule>
    <cfRule type="cellIs" priority="3390" operator="equal" dxfId="1">
      <formula>"N/A"</formula>
    </cfRule>
  </conditionalFormatting>
  <conditionalFormatting sqref="AF3:AF6">
    <cfRule type="cellIs" priority="4242" operator="equal" dxfId="0">
      <formula>"미흡"</formula>
    </cfRule>
  </conditionalFormatting>
  <conditionalFormatting sqref="AF6:AF8">
    <cfRule type="containsText" priority="4171" operator="containsText" dxfId="4" text="취약">
      <formula>NOT(ISERROR(SEARCH("취약",AF6)))</formula>
    </cfRule>
    <cfRule type="containsText" priority="4170" operator="containsText" dxfId="7" text="확인">
      <formula>NOT(ISERROR(SEARCH("확인",AF6)))</formula>
    </cfRule>
  </conditionalFormatting>
  <conditionalFormatting sqref="AF7">
    <cfRule type="cellIs" priority="4169" operator="equal" dxfId="0">
      <formula>"미흡"</formula>
    </cfRule>
    <cfRule type="containsText" priority="4168" operator="containsText" dxfId="4" text="취약">
      <formula>NOT(ISERROR(SEARCH("취약",AF7)))</formula>
    </cfRule>
    <cfRule type="containsText" priority="4167" operator="containsText" dxfId="7" text="확인">
      <formula>NOT(ISERROR(SEARCH("확인",AF7)))</formula>
    </cfRule>
  </conditionalFormatting>
  <conditionalFormatting sqref="AF7:AF25">
    <cfRule type="cellIs" priority="4033" operator="equal" dxfId="1">
      <formula>"N/A"</formula>
    </cfRule>
  </conditionalFormatting>
  <conditionalFormatting sqref="AF8">
    <cfRule type="cellIs" priority="4191" operator="equal" dxfId="0">
      <formula>"미흡"</formula>
    </cfRule>
    <cfRule type="containsText" priority="4193" operator="containsText" dxfId="4" text="취약">
      <formula>NOT(ISERROR(SEARCH("취약",AF8)))</formula>
    </cfRule>
    <cfRule type="containsText" priority="4192" operator="containsText" dxfId="7" text="확인">
      <formula>NOT(ISERROR(SEARCH("확인",AF8)))</formula>
    </cfRule>
  </conditionalFormatting>
  <conditionalFormatting sqref="AF9">
    <cfRule type="cellIs" priority="4125" operator="equal" dxfId="0">
      <formula>"미흡"</formula>
    </cfRule>
    <cfRule type="containsText" priority="4123" operator="containsText" dxfId="7" text="확인">
      <formula>NOT(ISERROR(SEARCH("확인",AF9)))</formula>
    </cfRule>
    <cfRule type="containsText" priority="4124" operator="containsText" dxfId="4" text="취약">
      <formula>NOT(ISERROR(SEARCH("취약",AF9)))</formula>
    </cfRule>
  </conditionalFormatting>
  <conditionalFormatting sqref="AF9:AF10">
    <cfRule type="containsText" priority="4127" operator="containsText" dxfId="4" text="취약">
      <formula>NOT(ISERROR(SEARCH("취약",AF9)))</formula>
    </cfRule>
    <cfRule type="containsText" priority="4126" operator="containsText" dxfId="7" text="확인">
      <formula>NOT(ISERROR(SEARCH("확인",AF9)))</formula>
    </cfRule>
  </conditionalFormatting>
  <conditionalFormatting sqref="AF10">
    <cfRule type="containsText" priority="4149" operator="containsText" dxfId="4" text="취약">
      <formula>NOT(ISERROR(SEARCH("취약",AF10)))</formula>
    </cfRule>
    <cfRule type="containsText" priority="4148" operator="containsText" dxfId="7" text="확인">
      <formula>NOT(ISERROR(SEARCH("확인",AF10)))</formula>
    </cfRule>
    <cfRule type="cellIs" priority="4147" operator="equal" dxfId="0">
      <formula>"미흡"</formula>
    </cfRule>
  </conditionalFormatting>
  <conditionalFormatting sqref="AF11">
    <cfRule type="cellIs" priority="4081" operator="equal" dxfId="0">
      <formula>"미흡"</formula>
    </cfRule>
    <cfRule type="containsText" priority="4080" operator="containsText" dxfId="4" text="취약">
      <formula>NOT(ISERROR(SEARCH("취약",AF11)))</formula>
    </cfRule>
    <cfRule type="containsText" priority="4079" operator="containsText" dxfId="7" text="확인">
      <formula>NOT(ISERROR(SEARCH("확인",AF11)))</formula>
    </cfRule>
  </conditionalFormatting>
  <conditionalFormatting sqref="AF11:AF12">
    <cfRule type="containsText" priority="4083" operator="containsText" dxfId="4" text="취약">
      <formula>NOT(ISERROR(SEARCH("취약",AF11)))</formula>
    </cfRule>
    <cfRule type="containsText" priority="4082" operator="containsText" dxfId="7" text="확인">
      <formula>NOT(ISERROR(SEARCH("확인",AF11)))</formula>
    </cfRule>
  </conditionalFormatting>
  <conditionalFormatting sqref="AF12">
    <cfRule type="containsText" priority="4105" operator="containsText" dxfId="4" text="취약">
      <formula>NOT(ISERROR(SEARCH("취약",AF12)))</formula>
    </cfRule>
    <cfRule type="containsText" priority="4104" operator="containsText" dxfId="7" text="확인">
      <formula>NOT(ISERROR(SEARCH("확인",AF12)))</formula>
    </cfRule>
    <cfRule type="cellIs" priority="4103" operator="equal" dxfId="0">
      <formula>"미흡"</formula>
    </cfRule>
  </conditionalFormatting>
  <conditionalFormatting sqref="AF13">
    <cfRule type="containsText" priority="4035" operator="containsText" dxfId="7" text="확인">
      <formula>NOT(ISERROR(SEARCH("확인",AF13)))</formula>
    </cfRule>
    <cfRule type="cellIs" priority="4037" operator="equal" dxfId="0">
      <formula>"미흡"</formula>
    </cfRule>
    <cfRule type="containsText" priority="4036" operator="containsText" dxfId="4" text="취약">
      <formula>NOT(ISERROR(SEARCH("취약",AF13)))</formula>
    </cfRule>
  </conditionalFormatting>
  <conditionalFormatting sqref="AF13:AF15">
    <cfRule type="containsText" priority="4039" operator="containsText" dxfId="4" text="취약">
      <formula>NOT(ISERROR(SEARCH("취약",AF13)))</formula>
    </cfRule>
    <cfRule type="containsText" priority="4038" operator="containsText" dxfId="7" text="확인">
      <formula>NOT(ISERROR(SEARCH("확인",AF13)))</formula>
    </cfRule>
  </conditionalFormatting>
  <conditionalFormatting sqref="AF14">
    <cfRule type="containsText" priority="4391" operator="containsText" dxfId="4" text="취약">
      <formula>NOT(ISERROR(SEARCH("취약",AF14)))</formula>
    </cfRule>
    <cfRule type="containsText" priority="4390" operator="containsText" dxfId="7" text="확인">
      <formula>NOT(ISERROR(SEARCH("확인",AF14)))</formula>
    </cfRule>
  </conditionalFormatting>
  <conditionalFormatting sqref="AF14:AF15">
    <cfRule type="cellIs" priority="4228" operator="equal" dxfId="0">
      <formula>"미흡"</formula>
    </cfRule>
  </conditionalFormatting>
  <conditionalFormatting sqref="AF16">
    <cfRule type="cellIs" priority="4383" operator="equal" dxfId="0">
      <formula>"미흡"</formula>
    </cfRule>
    <cfRule type="containsText" priority="4384" operator="containsText" dxfId="7" text="확인">
      <formula>NOT(ISERROR(SEARCH("확인",AF16)))</formula>
    </cfRule>
    <cfRule type="containsText" priority="4385" operator="containsText" dxfId="4" text="취약">
      <formula>NOT(ISERROR(SEARCH("취약",AF16)))</formula>
    </cfRule>
  </conditionalFormatting>
  <conditionalFormatting sqref="AF16:AF17">
    <cfRule type="containsText" priority="4378" operator="containsText" dxfId="7" text="확인">
      <formula>NOT(ISERROR(SEARCH("확인",AF16)))</formula>
    </cfRule>
    <cfRule type="containsText" priority="4379" operator="containsText" dxfId="4" text="취약">
      <formula>NOT(ISERROR(SEARCH("취약",AF16)))</formula>
    </cfRule>
  </conditionalFormatting>
  <conditionalFormatting sqref="AF17">
    <cfRule type="containsText" priority="4375" operator="containsText" dxfId="7" text="확인">
      <formula>NOT(ISERROR(SEARCH("확인",AF17)))</formula>
    </cfRule>
    <cfRule type="containsText" priority="4376" operator="containsText" dxfId="4" text="취약">
      <formula>NOT(ISERROR(SEARCH("취약",AF17)))</formula>
    </cfRule>
    <cfRule type="cellIs" priority="4377" operator="equal" dxfId="0">
      <formula>"미흡"</formula>
    </cfRule>
  </conditionalFormatting>
  <conditionalFormatting sqref="AF17:AF18">
    <cfRule type="containsText" priority="4371" operator="containsText" dxfId="7" text="확인">
      <formula>NOT(ISERROR(SEARCH("확인",AF17)))</formula>
    </cfRule>
    <cfRule type="containsText" priority="4372" operator="containsText" dxfId="4" text="취약">
      <formula>NOT(ISERROR(SEARCH("취약",AF17)))</formula>
    </cfRule>
  </conditionalFormatting>
  <conditionalFormatting sqref="AF18:AF19">
    <cfRule type="cellIs" priority="4225" operator="equal" dxfId="0">
      <formula>"미흡"</formula>
    </cfRule>
  </conditionalFormatting>
  <conditionalFormatting sqref="AF18:AF20">
    <cfRule type="containsText" priority="4224" operator="containsText" dxfId="4" text="취약">
      <formula>NOT(ISERROR(SEARCH("취약",AF18)))</formula>
    </cfRule>
    <cfRule type="containsText" priority="4223" operator="containsText" dxfId="7" text="확인">
      <formula>NOT(ISERROR(SEARCH("확인",AF18)))</formula>
    </cfRule>
  </conditionalFormatting>
  <conditionalFormatting sqref="AF20">
    <cfRule type="containsText" priority="4252" operator="containsText" dxfId="4" text="취약">
      <formula>NOT(ISERROR(SEARCH("취약",AF20)))</formula>
    </cfRule>
    <cfRule type="containsText" priority="4249" operator="containsText" dxfId="7" text="확인">
      <formula>NOT(ISERROR(SEARCH("확인",AF20)))</formula>
    </cfRule>
    <cfRule type="containsText" priority="4250" operator="containsText" dxfId="4" text="취약">
      <formula>NOT(ISERROR(SEARCH("취약",AF20)))</formula>
    </cfRule>
    <cfRule type="containsText" priority="4251" operator="containsText" dxfId="7" text="확인">
      <formula>NOT(ISERROR(SEARCH("확인",AF20)))</formula>
    </cfRule>
    <cfRule type="cellIs" priority="4253" operator="equal" dxfId="0">
      <formula>"미흡"</formula>
    </cfRule>
  </conditionalFormatting>
  <conditionalFormatting sqref="AF21:AF22">
    <cfRule type="cellIs" priority="3971" operator="equal" dxfId="0">
      <formula>"미흡"</formula>
    </cfRule>
    <cfRule type="containsText" priority="3972" operator="containsText" dxfId="7" text="확인">
      <formula>NOT(ISERROR(SEARCH("확인",AF21)))</formula>
    </cfRule>
    <cfRule type="containsText" priority="3973" operator="containsText" dxfId="4" text="취약">
      <formula>NOT(ISERROR(SEARCH("취약",AF21)))</formula>
    </cfRule>
  </conditionalFormatting>
  <conditionalFormatting sqref="AF21:AF23">
    <cfRule type="containsText" priority="3959" operator="containsText" dxfId="7" text="확인">
      <formula>NOT(ISERROR(SEARCH("확인",AF21)))</formula>
    </cfRule>
    <cfRule type="containsText" priority="3960" operator="containsText" dxfId="4" text="취약">
      <formula>NOT(ISERROR(SEARCH("취약",AF21)))</formula>
    </cfRule>
  </conditionalFormatting>
  <conditionalFormatting sqref="AF23:AF24">
    <cfRule type="cellIs" priority="3947" operator="equal" dxfId="0">
      <formula>"미흡"</formula>
    </cfRule>
  </conditionalFormatting>
  <conditionalFormatting sqref="AF23:AF28">
    <cfRule type="containsText" priority="3837" operator="containsText" dxfId="4" text="취약">
      <formula>NOT(ISERROR(SEARCH("취약",AF23)))</formula>
    </cfRule>
    <cfRule type="containsText" priority="3836" operator="containsText" dxfId="7" text="확인">
      <formula>NOT(ISERROR(SEARCH("확인",AF23)))</formula>
    </cfRule>
  </conditionalFormatting>
  <conditionalFormatting sqref="AF25">
    <cfRule type="containsText" priority="3953" operator="containsText" dxfId="4" text="취약">
      <formula>NOT(ISERROR(SEARCH("취약",AF25)))</formula>
    </cfRule>
    <cfRule type="containsText" priority="3951" operator="containsText" dxfId="4" text="취약">
      <formula>NOT(ISERROR(SEARCH("취약",AF25)))</formula>
    </cfRule>
    <cfRule type="cellIs" priority="3954" operator="equal" dxfId="0">
      <formula>"미흡"</formula>
    </cfRule>
    <cfRule type="containsText" priority="3952" operator="containsText" dxfId="7" text="확인">
      <formula>NOT(ISERROR(SEARCH("확인",AF25)))</formula>
    </cfRule>
    <cfRule type="containsText" priority="3950" operator="containsText" dxfId="7" text="확인">
      <formula>NOT(ISERROR(SEARCH("확인",AF25)))</formula>
    </cfRule>
  </conditionalFormatting>
  <conditionalFormatting sqref="AF26">
    <cfRule type="cellIs" priority="3900" operator="equal" dxfId="0">
      <formula>"미흡"</formula>
    </cfRule>
  </conditionalFormatting>
  <conditionalFormatting sqref="AF27">
    <cfRule type="containsText" priority="3903" operator="containsText" dxfId="7" text="확인">
      <formula>NOT(ISERROR(SEARCH("확인",AF27)))</formula>
    </cfRule>
    <cfRule type="cellIs" priority="3907" operator="equal" dxfId="0">
      <formula>"미흡"</formula>
    </cfRule>
    <cfRule type="containsText" priority="3906" operator="containsText" dxfId="4" text="취약">
      <formula>NOT(ISERROR(SEARCH("취약",AF27)))</formula>
    </cfRule>
    <cfRule type="containsText" priority="3905" operator="containsText" dxfId="7" text="확인">
      <formula>NOT(ISERROR(SEARCH("확인",AF27)))</formula>
    </cfRule>
    <cfRule type="containsText" priority="3904" operator="containsText" dxfId="4" text="취약">
      <formula>NOT(ISERROR(SEARCH("취약",AF27)))</formula>
    </cfRule>
  </conditionalFormatting>
  <conditionalFormatting sqref="AF28">
    <cfRule type="cellIs" priority="3835" operator="equal" dxfId="0">
      <formula>"미흡"</formula>
    </cfRule>
  </conditionalFormatting>
  <conditionalFormatting sqref="AF28:AF29">
    <cfRule type="containsText" priority="3831" operator="containsText" dxfId="4" text="취약">
      <formula>NOT(ISERROR(SEARCH("취약",AF28)))</formula>
    </cfRule>
    <cfRule type="containsText" priority="3830" operator="containsText" dxfId="7" text="확인">
      <formula>NOT(ISERROR(SEARCH("확인",AF28)))</formula>
    </cfRule>
  </conditionalFormatting>
  <conditionalFormatting sqref="AF29">
    <cfRule type="cellIs" priority="3829" operator="equal" dxfId="0">
      <formula>"미흡"</formula>
    </cfRule>
    <cfRule type="containsText" priority="3828" operator="containsText" dxfId="4" text="취약">
      <formula>NOT(ISERROR(SEARCH("취약",AF29)))</formula>
    </cfRule>
    <cfRule type="containsText" priority="3827" operator="containsText" dxfId="7" text="확인">
      <formula>NOT(ISERROR(SEARCH("확인",AF29)))</formula>
    </cfRule>
  </conditionalFormatting>
  <conditionalFormatting sqref="AF29:AF30">
    <cfRule type="containsText" priority="3824" operator="containsText" dxfId="4" text="취약">
      <formula>NOT(ISERROR(SEARCH("취약",AF29)))</formula>
    </cfRule>
    <cfRule type="containsText" priority="3823" operator="containsText" dxfId="7" text="확인">
      <formula>NOT(ISERROR(SEARCH("확인",AF29)))</formula>
    </cfRule>
  </conditionalFormatting>
  <conditionalFormatting sqref="AF30:AF33">
    <cfRule type="containsText" priority="3810" operator="containsText" dxfId="4" text="취약">
      <formula>NOT(ISERROR(SEARCH("취약",AF30)))</formula>
    </cfRule>
    <cfRule type="containsText" priority="3809" operator="containsText" dxfId="7" text="확인">
      <formula>NOT(ISERROR(SEARCH("확인",AF30)))</formula>
    </cfRule>
    <cfRule type="cellIs" priority="3811" operator="equal" dxfId="0">
      <formula>"미흡"</formula>
    </cfRule>
  </conditionalFormatting>
  <conditionalFormatting sqref="AF34">
    <cfRule type="containsText" priority="4360" operator="containsText" dxfId="7" text="확인">
      <formula>NOT(ISERROR(SEARCH("확인",AF34)))</formula>
    </cfRule>
    <cfRule type="containsText" priority="4361" operator="containsText" dxfId="4" text="취약">
      <formula>NOT(ISERROR(SEARCH("취약",AF34)))</formula>
    </cfRule>
    <cfRule type="containsText" priority="4362" operator="containsText" dxfId="7" text="확인">
      <formula>NOT(ISERROR(SEARCH("확인",AF34)))</formula>
    </cfRule>
    <cfRule type="containsText" priority="4363" operator="containsText" dxfId="4" text="취약">
      <formula>NOT(ISERROR(SEARCH("취약",AF34)))</formula>
    </cfRule>
    <cfRule type="cellIs" priority="4364" operator="equal" dxfId="0">
      <formula>"미흡"</formula>
    </cfRule>
    <cfRule type="containsText" priority="4365" operator="containsText" dxfId="7" text="확인">
      <formula>NOT(ISERROR(SEARCH("확인",AF34)))</formula>
    </cfRule>
    <cfRule type="containsText" priority="4366" operator="containsText" dxfId="4" text="취약">
      <formula>NOT(ISERROR(SEARCH("취약",AF34)))</formula>
    </cfRule>
    <cfRule type="containsText" priority="4359" operator="containsText" dxfId="4" text="취약">
      <formula>NOT(ISERROR(SEARCH("취약",AF34)))</formula>
    </cfRule>
    <cfRule type="containsText" priority="4358" operator="containsText" dxfId="7" text="확인">
      <formula>NOT(ISERROR(SEARCH("확인",AF34)))</formula>
    </cfRule>
  </conditionalFormatting>
  <conditionalFormatting sqref="AF34:AF35">
    <cfRule type="containsText" priority="4354" operator="containsText" dxfId="7" text="확인">
      <formula>NOT(ISERROR(SEARCH("확인",AF34)))</formula>
    </cfRule>
    <cfRule type="containsText" priority="4355" operator="containsText" dxfId="4" text="취약">
      <formula>NOT(ISERROR(SEARCH("취약",AF34)))</formula>
    </cfRule>
  </conditionalFormatting>
  <conditionalFormatting sqref="AF35">
    <cfRule type="cellIs" priority="4353" operator="equal" dxfId="0">
      <formula>"미흡"</formula>
    </cfRule>
  </conditionalFormatting>
  <conditionalFormatting sqref="AF35:AF36">
    <cfRule type="containsText" priority="4341" operator="containsText" dxfId="7" text="확인">
      <formula>NOT(ISERROR(SEARCH("확인",AF35)))</formula>
    </cfRule>
    <cfRule type="containsText" priority="4342" operator="containsText" dxfId="4" text="취약">
      <formula>NOT(ISERROR(SEARCH("취약",AF35)))</formula>
    </cfRule>
  </conditionalFormatting>
  <conditionalFormatting sqref="AF36">
    <cfRule type="cellIs" priority="4340" operator="equal" dxfId="0">
      <formula>"미흡"</formula>
    </cfRule>
  </conditionalFormatting>
  <conditionalFormatting sqref="AF36:AF37">
    <cfRule type="containsText" priority="4336" operator="containsText" dxfId="7" text="확인">
      <formula>NOT(ISERROR(SEARCH("확인",AF36)))</formula>
    </cfRule>
    <cfRule type="containsText" priority="4337" operator="containsText" dxfId="4" text="취약">
      <formula>NOT(ISERROR(SEARCH("취약",AF36)))</formula>
    </cfRule>
  </conditionalFormatting>
  <conditionalFormatting sqref="AF37">
    <cfRule type="cellIs" priority="4335" operator="equal" dxfId="0">
      <formula>"미흡"</formula>
    </cfRule>
  </conditionalFormatting>
  <conditionalFormatting sqref="AF37:AF38">
    <cfRule type="containsText" priority="3773" operator="containsText" dxfId="7" text="확인">
      <formula>NOT(ISERROR(SEARCH("확인",AF37)))</formula>
    </cfRule>
    <cfRule type="containsText" priority="3774" operator="containsText" dxfId="4" text="취약">
      <formula>NOT(ISERROR(SEARCH("취약",AF37)))</formula>
    </cfRule>
  </conditionalFormatting>
  <conditionalFormatting sqref="AF38">
    <cfRule type="cellIs" priority="3772" operator="equal" dxfId="0">
      <formula>"미흡"</formula>
    </cfRule>
  </conditionalFormatting>
  <conditionalFormatting sqref="AF38:AF39">
    <cfRule type="containsText" priority="3760" operator="containsText" dxfId="7" text="확인">
      <formula>NOT(ISERROR(SEARCH("확인",AF38)))</formula>
    </cfRule>
    <cfRule type="containsText" priority="3761" operator="containsText" dxfId="4" text="취약">
      <formula>NOT(ISERROR(SEARCH("취약",AF38)))</formula>
    </cfRule>
  </conditionalFormatting>
  <conditionalFormatting sqref="AF39">
    <cfRule type="cellIs" priority="3759" operator="equal" dxfId="0">
      <formula>"미흡"</formula>
    </cfRule>
  </conditionalFormatting>
  <conditionalFormatting sqref="AF39:AF41">
    <cfRule type="containsText" priority="3741" operator="containsText" dxfId="4" text="취약">
      <formula>NOT(ISERROR(SEARCH("취약",AF39)))</formula>
    </cfRule>
    <cfRule type="containsText" priority="3740" operator="containsText" dxfId="7" text="확인">
      <formula>NOT(ISERROR(SEARCH("확인",AF39)))</formula>
    </cfRule>
  </conditionalFormatting>
  <conditionalFormatting sqref="AF40">
    <cfRule type="cellIs" priority="3739" operator="equal" dxfId="0">
      <formula>"미흡"</formula>
    </cfRule>
    <cfRule type="containsText" priority="3738" operator="containsText" dxfId="4" text="취약">
      <formula>NOT(ISERROR(SEARCH("취약",AF40)))</formula>
    </cfRule>
    <cfRule type="containsText" priority="3737" operator="containsText" dxfId="7" text="확인">
      <formula>NOT(ISERROR(SEARCH("확인",AF40)))</formula>
    </cfRule>
  </conditionalFormatting>
  <conditionalFormatting sqref="AF41">
    <cfRule type="cellIs" priority="3754" operator="equal" dxfId="0">
      <formula>"미흡"</formula>
    </cfRule>
  </conditionalFormatting>
  <conditionalFormatting sqref="AF41:AF42">
    <cfRule type="containsText" priority="3755" operator="containsText" dxfId="7" text="확인">
      <formula>NOT(ISERROR(SEARCH("확인",AF41)))</formula>
    </cfRule>
    <cfRule type="containsText" priority="3756" operator="containsText" dxfId="4" text="취약">
      <formula>NOT(ISERROR(SEARCH("취약",AF41)))</formula>
    </cfRule>
  </conditionalFormatting>
  <conditionalFormatting sqref="AF42:AF43">
    <cfRule type="containsText" priority="4261" operator="containsText" dxfId="7" text="확인">
      <formula>NOT(ISERROR(SEARCH("확인",AF42)))</formula>
    </cfRule>
    <cfRule type="cellIs" priority="4263" operator="equal" dxfId="0">
      <formula>"미흡"</formula>
    </cfRule>
    <cfRule type="containsText" priority="4262" operator="containsText" dxfId="4" text="취약">
      <formula>NOT(ISERROR(SEARCH("취약",AF42)))</formula>
    </cfRule>
  </conditionalFormatting>
  <conditionalFormatting sqref="AF44">
    <cfRule type="cellIs" priority="3395" operator="equal" dxfId="0">
      <formula>"미흡"</formula>
    </cfRule>
    <cfRule type="containsText" priority="3393" operator="containsText" dxfId="7" text="확인">
      <formula>NOT(ISERROR(SEARCH("확인",AF44)))</formula>
    </cfRule>
    <cfRule type="containsText" priority="3394" operator="containsText" dxfId="4" text="취약">
      <formula>NOT(ISERROR(SEARCH("취약",AF44)))</formula>
    </cfRule>
  </conditionalFormatting>
  <conditionalFormatting sqref="AF45:AF46">
    <cfRule type="cellIs" priority="4238" operator="equal" dxfId="0">
      <formula>"미흡"</formula>
    </cfRule>
    <cfRule type="containsText" priority="4237" operator="containsText" dxfId="4" text="취약">
      <formula>NOT(ISERROR(SEARCH("취약",AF45)))</formula>
    </cfRule>
    <cfRule type="containsText" priority="4236" operator="containsText" dxfId="7" text="확인">
      <formula>NOT(ISERROR(SEARCH("확인",AF45)))</formula>
    </cfRule>
  </conditionalFormatting>
  <conditionalFormatting sqref="AF46">
    <cfRule type="containsText" priority="4235" operator="containsText" dxfId="4" text="취약">
      <formula>NOT(ISERROR(SEARCH("취약",AF46)))</formula>
    </cfRule>
    <cfRule type="containsText" priority="4234" operator="containsText" dxfId="7" text="확인">
      <formula>NOT(ISERROR(SEARCH("확인",AF46)))</formula>
    </cfRule>
    <cfRule type="containsText" priority="4233" operator="containsText" dxfId="4" text="취약">
      <formula>NOT(ISERROR(SEARCH("취약",AF46)))</formula>
    </cfRule>
    <cfRule type="containsText" priority="4232" operator="containsText" dxfId="7" text="확인">
      <formula>NOT(ISERROR(SEARCH("확인",AF46)))</formula>
    </cfRule>
    <cfRule type="containsText" priority="4231" operator="containsText" dxfId="4" text="취약">
      <formula>NOT(ISERROR(SEARCH("취약",AF46)))</formula>
    </cfRule>
    <cfRule type="containsText" priority="4230" operator="containsText" dxfId="7" text="확인">
      <formula>NOT(ISERROR(SEARCH("확인",AF46)))</formula>
    </cfRule>
  </conditionalFormatting>
  <conditionalFormatting sqref="AF47:AF48">
    <cfRule type="containsText" priority="4397" operator="containsText" dxfId="4" text="취약">
      <formula>NOT(ISERROR(SEARCH("취약",AF47)))</formula>
    </cfRule>
    <cfRule type="containsText" priority="4396" operator="containsText" dxfId="7" text="확인">
      <formula>NOT(ISERROR(SEARCH("확인",AF47)))</formula>
    </cfRule>
  </conditionalFormatting>
  <conditionalFormatting sqref="AF47:AF49">
    <cfRule type="cellIs" priority="4269" operator="equal" dxfId="0">
      <formula>"미흡"</formula>
    </cfRule>
  </conditionalFormatting>
  <conditionalFormatting sqref="AF47:AF51">
    <cfRule type="containsText" priority="4256" operator="containsText" dxfId="7" text="확인">
      <formula>NOT(ISERROR(SEARCH("확인",AF47)))</formula>
    </cfRule>
    <cfRule type="containsText" priority="4257" operator="containsText" dxfId="4" text="취약">
      <formula>NOT(ISERROR(SEARCH("취약",AF47)))</formula>
    </cfRule>
  </conditionalFormatting>
  <conditionalFormatting sqref="AF50">
    <cfRule type="containsText" priority="4313" operator="containsText" dxfId="4" text="취약">
      <formula>NOT(ISERROR(SEARCH("취약",AF50)))</formula>
    </cfRule>
    <cfRule type="containsText" priority="4316" operator="containsText" dxfId="7" text="확인">
      <formula>NOT(ISERROR(SEARCH("확인",AF50)))</formula>
    </cfRule>
    <cfRule type="containsText" priority="4308" operator="containsText" dxfId="7" text="확인">
      <formula>NOT(ISERROR(SEARCH("확인",AF50)))</formula>
    </cfRule>
    <cfRule type="containsText" priority="4309" operator="containsText" dxfId="4" text="취약">
      <formula>NOT(ISERROR(SEARCH("취약",AF50)))</formula>
    </cfRule>
    <cfRule type="containsText" priority="4310" operator="containsText" dxfId="7" text="확인">
      <formula>NOT(ISERROR(SEARCH("확인",AF50)))</formula>
    </cfRule>
    <cfRule type="containsText" priority="4311" operator="containsText" dxfId="4" text="취약">
      <formula>NOT(ISERROR(SEARCH("취약",AF50)))</formula>
    </cfRule>
    <cfRule type="containsText" priority="4314" operator="containsText" dxfId="7" text="확인">
      <formula>NOT(ISERROR(SEARCH("확인",AF50)))</formula>
    </cfRule>
    <cfRule type="containsText" priority="4312" operator="containsText" dxfId="7" text="확인">
      <formula>NOT(ISERROR(SEARCH("확인",AF50)))</formula>
    </cfRule>
    <cfRule type="containsText" priority="4320" operator="containsText" dxfId="4" text="취약">
      <formula>NOT(ISERROR(SEARCH("취약",AF50)))</formula>
    </cfRule>
    <cfRule type="containsText" priority="4319" operator="containsText" dxfId="7" text="확인">
      <formula>NOT(ISERROR(SEARCH("확인",AF50)))</formula>
    </cfRule>
    <cfRule type="containsText" priority="4317" operator="containsText" dxfId="4" text="취약">
      <formula>NOT(ISERROR(SEARCH("취약",AF50)))</formula>
    </cfRule>
    <cfRule type="containsText" priority="4315" operator="containsText" dxfId="4" text="취약">
      <formula>NOT(ISERROR(SEARCH("취약",AF50)))</formula>
    </cfRule>
    <cfRule type="cellIs" priority="4318" operator="equal" dxfId="0">
      <formula>"미흡"</formula>
    </cfRule>
  </conditionalFormatting>
  <conditionalFormatting sqref="C6:F8 C9:M9 C10:F14 C15:C72 D15:F16 D17:G51 F3:G5 H6:H7 H10:H11 H14:H16 J6:J7 J10:J11 J14:J16 L6:L7 L10:L11 L14:L16 AF3:AG6 AF50:AF51 AG7:AG43 AG45:AG51">
    <cfRule type="cellIs" priority="4399" operator="equal" dxfId="1">
      <formula>"N/A"</formula>
    </cfRule>
  </conditionalFormatting>
  <conditionalFormatting sqref="AF51">
    <cfRule type="containsText" priority="4255" operator="containsText" dxfId="4" text="취약">
      <formula>NOT(ISERROR(SEARCH("취약",AF51)))</formula>
    </cfRule>
    <cfRule type="cellIs" priority="4258" operator="equal" dxfId="0">
      <formula>"미흡"</formula>
    </cfRule>
    <cfRule type="containsText" priority="4254" operator="containsText" dxfId="7" text="확인">
      <formula>NOT(ISERROR(SEARCH("확인",AF51)))</formula>
    </cfRule>
  </conditionalFormatting>
  <conditionalFormatting sqref="AG3:AG5">
    <cfRule type="cellIs" priority="4244" operator="equal" dxfId="4">
      <formula>"취약"</formula>
    </cfRule>
  </conditionalFormatting>
  <conditionalFormatting sqref="AG3:AG51">
    <cfRule type="cellIs" priority="3396" operator="equal" dxfId="0">
      <formula>"미흡"</formula>
    </cfRule>
  </conditionalFormatting>
  <conditionalFormatting sqref="AH1:AH1048576">
    <cfRule type="cellIs" priority="3383" operator="equal" dxfId="1">
      <formula>"N/A"</formula>
    </cfRule>
    <cfRule type="cellIs" priority="3384" operator="equal" dxfId="154">
      <formula>"인터뷰"</formula>
    </cfRule>
  </conditionalFormatting>
  <conditionalFormatting sqref="AH3:AH6">
    <cfRule type="cellIs" priority="3583" operator="equal" dxfId="0">
      <formula>"미흡"</formula>
    </cfRule>
  </conditionalFormatting>
  <conditionalFormatting sqref="AH6:AH8">
    <cfRule type="containsText" priority="3543" operator="containsText" dxfId="4" text="취약">
      <formula>NOT(ISERROR(SEARCH("취약",AH6)))</formula>
    </cfRule>
    <cfRule type="containsText" priority="3542" operator="containsText" dxfId="7" text="확인">
      <formula>NOT(ISERROR(SEARCH("확인",AH6)))</formula>
    </cfRule>
  </conditionalFormatting>
  <conditionalFormatting sqref="AH7">
    <cfRule type="containsText" priority="3539" operator="containsText" dxfId="7" text="확인">
      <formula>NOT(ISERROR(SEARCH("확인",AH7)))</formula>
    </cfRule>
    <cfRule type="containsText" priority="3540" operator="containsText" dxfId="4" text="취약">
      <formula>NOT(ISERROR(SEARCH("취약",AH7)))</formula>
    </cfRule>
    <cfRule type="cellIs" priority="3541" operator="equal" dxfId="0">
      <formula>"미흡"</formula>
    </cfRule>
  </conditionalFormatting>
  <conditionalFormatting sqref="AH7:AH25">
    <cfRule type="cellIs" priority="3502" operator="equal" dxfId="1">
      <formula>"N/A"</formula>
    </cfRule>
  </conditionalFormatting>
  <conditionalFormatting sqref="AH8">
    <cfRule type="cellIs" priority="3548" operator="equal" dxfId="0">
      <formula>"미흡"</formula>
    </cfRule>
    <cfRule type="containsText" priority="3550" operator="containsText" dxfId="4" text="취약">
      <formula>NOT(ISERROR(SEARCH("취약",AH8)))</formula>
    </cfRule>
    <cfRule type="containsText" priority="3549" operator="containsText" dxfId="7" text="확인">
      <formula>NOT(ISERROR(SEARCH("확인",AH8)))</formula>
    </cfRule>
  </conditionalFormatting>
  <conditionalFormatting sqref="AH9">
    <cfRule type="containsText" priority="3525" operator="containsText" dxfId="7" text="확인">
      <formula>NOT(ISERROR(SEARCH("확인",AH9)))</formula>
    </cfRule>
    <cfRule type="containsText" priority="3526" operator="containsText" dxfId="4" text="취약">
      <formula>NOT(ISERROR(SEARCH("취약",AH9)))</formula>
    </cfRule>
    <cfRule type="cellIs" priority="3527" operator="equal" dxfId="0">
      <formula>"미흡"</formula>
    </cfRule>
  </conditionalFormatting>
  <conditionalFormatting sqref="AH9:AH10">
    <cfRule type="containsText" priority="3529" operator="containsText" dxfId="4" text="취약">
      <formula>NOT(ISERROR(SEARCH("취약",AH9)))</formula>
    </cfRule>
    <cfRule type="containsText" priority="3528" operator="containsText" dxfId="7" text="확인">
      <formula>NOT(ISERROR(SEARCH("확인",AH9)))</formula>
    </cfRule>
  </conditionalFormatting>
  <conditionalFormatting sqref="AH10">
    <cfRule type="containsText" priority="3535" operator="containsText" dxfId="7" text="확인">
      <formula>NOT(ISERROR(SEARCH("확인",AH10)))</formula>
    </cfRule>
    <cfRule type="containsText" priority="3536" operator="containsText" dxfId="4" text="취약">
      <formula>NOT(ISERROR(SEARCH("취약",AH10)))</formula>
    </cfRule>
    <cfRule type="cellIs" priority="3534" operator="equal" dxfId="0">
      <formula>"미흡"</formula>
    </cfRule>
  </conditionalFormatting>
  <conditionalFormatting sqref="AH11">
    <cfRule type="containsText" priority="3511" operator="containsText" dxfId="7" text="확인">
      <formula>NOT(ISERROR(SEARCH("확인",AH11)))</formula>
    </cfRule>
    <cfRule type="containsText" priority="3512" operator="containsText" dxfId="4" text="취약">
      <formula>NOT(ISERROR(SEARCH("취약",AH11)))</formula>
    </cfRule>
    <cfRule type="cellIs" priority="3513" operator="equal" dxfId="0">
      <formula>"미흡"</formula>
    </cfRule>
  </conditionalFormatting>
  <conditionalFormatting sqref="AH11:AH12">
    <cfRule type="containsText" priority="3514" operator="containsText" dxfId="7" text="확인">
      <formula>NOT(ISERROR(SEARCH("확인",AH11)))</formula>
    </cfRule>
    <cfRule type="containsText" priority="3515" operator="containsText" dxfId="4" text="취약">
      <formula>NOT(ISERROR(SEARCH("취약",AH11)))</formula>
    </cfRule>
  </conditionalFormatting>
  <conditionalFormatting sqref="AH12">
    <cfRule type="cellIs" priority="3520" operator="equal" dxfId="0">
      <formula>"미흡"</formula>
    </cfRule>
    <cfRule type="containsText" priority="3521" operator="containsText" dxfId="7" text="확인">
      <formula>NOT(ISERROR(SEARCH("확인",AH12)))</formula>
    </cfRule>
    <cfRule type="containsText" priority="3522" operator="containsText" dxfId="4" text="취약">
      <formula>NOT(ISERROR(SEARCH("취약",AH12)))</formula>
    </cfRule>
  </conditionalFormatting>
  <conditionalFormatting sqref="AH13">
    <cfRule type="containsText" priority="3504" operator="containsText" dxfId="7" text="확인">
      <formula>NOT(ISERROR(SEARCH("확인",AH13)))</formula>
    </cfRule>
    <cfRule type="containsText" priority="3505" operator="containsText" dxfId="4" text="취약">
      <formula>NOT(ISERROR(SEARCH("취약",AH13)))</formula>
    </cfRule>
    <cfRule type="cellIs" priority="3506" operator="equal" dxfId="0">
      <formula>"미흡"</formula>
    </cfRule>
  </conditionalFormatting>
  <conditionalFormatting sqref="AH13:AH15">
    <cfRule type="containsText" priority="3507" operator="containsText" dxfId="7" text="확인">
      <formula>NOT(ISERROR(SEARCH("확인",AH13)))</formula>
    </cfRule>
    <cfRule type="containsText" priority="3508" operator="containsText" dxfId="4" text="취약">
      <formula>NOT(ISERROR(SEARCH("취약",AH13)))</formula>
    </cfRule>
  </conditionalFormatting>
  <conditionalFormatting sqref="AH14">
    <cfRule type="containsText" priority="3686" operator="containsText" dxfId="4" text="취약">
      <formula>NOT(ISERROR(SEARCH("취약",AH14)))</formula>
    </cfRule>
    <cfRule type="containsText" priority="3685" operator="containsText" dxfId="7" text="확인">
      <formula>NOT(ISERROR(SEARCH("확인",AH14)))</formula>
    </cfRule>
  </conditionalFormatting>
  <conditionalFormatting sqref="AH14:AH15">
    <cfRule type="cellIs" priority="3569" operator="equal" dxfId="0">
      <formula>"미흡"</formula>
    </cfRule>
  </conditionalFormatting>
  <conditionalFormatting sqref="AH16">
    <cfRule type="cellIs" priority="3678" operator="equal" dxfId="0">
      <formula>"미흡"</formula>
    </cfRule>
    <cfRule type="containsText" priority="3679" operator="containsText" dxfId="7" text="확인">
      <formula>NOT(ISERROR(SEARCH("확인",AH16)))</formula>
    </cfRule>
    <cfRule type="containsText" priority="3680" operator="containsText" dxfId="4" text="취약">
      <formula>NOT(ISERROR(SEARCH("취약",AH16)))</formula>
    </cfRule>
  </conditionalFormatting>
  <conditionalFormatting sqref="AH16:AH17">
    <cfRule type="containsText" priority="3673" operator="containsText" dxfId="7" text="확인">
      <formula>NOT(ISERROR(SEARCH("확인",AH16)))</formula>
    </cfRule>
    <cfRule type="containsText" priority="3674" operator="containsText" dxfId="4" text="취약">
      <formula>NOT(ISERROR(SEARCH("취약",AH16)))</formula>
    </cfRule>
  </conditionalFormatting>
  <conditionalFormatting sqref="AH17">
    <cfRule type="cellIs" priority="3672" operator="equal" dxfId="0">
      <formula>"미흡"</formula>
    </cfRule>
    <cfRule type="containsText" priority="3671" operator="containsText" dxfId="4" text="취약">
      <formula>NOT(ISERROR(SEARCH("취약",AH17)))</formula>
    </cfRule>
    <cfRule type="containsText" priority="3670" operator="containsText" dxfId="7" text="확인">
      <formula>NOT(ISERROR(SEARCH("확인",AH17)))</formula>
    </cfRule>
  </conditionalFormatting>
  <conditionalFormatting sqref="AH17:AH18">
    <cfRule type="containsText" priority="3667" operator="containsText" dxfId="4" text="취약">
      <formula>NOT(ISERROR(SEARCH("취약",AH17)))</formula>
    </cfRule>
    <cfRule type="containsText" priority="3666" operator="containsText" dxfId="7" text="확인">
      <formula>NOT(ISERROR(SEARCH("확인",AH17)))</formula>
    </cfRule>
  </conditionalFormatting>
  <conditionalFormatting sqref="AH18:AH19">
    <cfRule type="cellIs" priority="3566" operator="equal" dxfId="0">
      <formula>"미흡"</formula>
    </cfRule>
  </conditionalFormatting>
  <conditionalFormatting sqref="AH18:AH20">
    <cfRule type="containsText" priority="3565" operator="containsText" dxfId="4" text="취약">
      <formula>NOT(ISERROR(SEARCH("취약",AH18)))</formula>
    </cfRule>
    <cfRule type="containsText" priority="3564" operator="containsText" dxfId="7" text="확인">
      <formula>NOT(ISERROR(SEARCH("확인",AH18)))</formula>
    </cfRule>
  </conditionalFormatting>
  <conditionalFormatting sqref="AH20">
    <cfRule type="containsText" priority="3591" operator="containsText" dxfId="4" text="취약">
      <formula>NOT(ISERROR(SEARCH("취약",AH20)))</formula>
    </cfRule>
    <cfRule type="cellIs" priority="3594" operator="equal" dxfId="0">
      <formula>"미흡"</formula>
    </cfRule>
    <cfRule type="containsText" priority="3593" operator="containsText" dxfId="4" text="취약">
      <formula>NOT(ISERROR(SEARCH("취약",AH20)))</formula>
    </cfRule>
    <cfRule type="containsText" priority="3592" operator="containsText" dxfId="7" text="확인">
      <formula>NOT(ISERROR(SEARCH("확인",AH20)))</formula>
    </cfRule>
    <cfRule type="containsText" priority="3590" operator="containsText" dxfId="7" text="확인">
      <formula>NOT(ISERROR(SEARCH("확인",AH20)))</formula>
    </cfRule>
  </conditionalFormatting>
  <conditionalFormatting sqref="AH21:AH22">
    <cfRule type="cellIs" priority="3499" operator="equal" dxfId="0">
      <formula>"미흡"</formula>
    </cfRule>
    <cfRule type="containsText" priority="3501" operator="containsText" dxfId="4" text="취약">
      <formula>NOT(ISERROR(SEARCH("취약",AH21)))</formula>
    </cfRule>
    <cfRule type="containsText" priority="3500" operator="containsText" dxfId="7" text="확인">
      <formula>NOT(ISERROR(SEARCH("확인",AH21)))</formula>
    </cfRule>
  </conditionalFormatting>
  <conditionalFormatting sqref="AH21:AH23">
    <cfRule type="containsText" priority="3494" operator="containsText" dxfId="7" text="확인">
      <formula>NOT(ISERROR(SEARCH("확인",AH21)))</formula>
    </cfRule>
    <cfRule type="containsText" priority="3495" operator="containsText" dxfId="4" text="취약">
      <formula>NOT(ISERROR(SEARCH("취약",AH21)))</formula>
    </cfRule>
  </conditionalFormatting>
  <conditionalFormatting sqref="AH23:AH24">
    <cfRule type="cellIs" priority="3482" operator="equal" dxfId="0">
      <formula>"미흡"</formula>
    </cfRule>
  </conditionalFormatting>
  <conditionalFormatting sqref="AH23:AH28">
    <cfRule type="containsText" priority="3466" operator="containsText" dxfId="7" text="확인">
      <formula>NOT(ISERROR(SEARCH("확인",AH23)))</formula>
    </cfRule>
    <cfRule type="containsText" priority="3467" operator="containsText" dxfId="4" text="취약">
      <formula>NOT(ISERROR(SEARCH("취약",AH23)))</formula>
    </cfRule>
  </conditionalFormatting>
  <conditionalFormatting sqref="AH25">
    <cfRule type="cellIs" priority="3489" operator="equal" dxfId="0">
      <formula>"미흡"</formula>
    </cfRule>
    <cfRule type="containsText" priority="3486" operator="containsText" dxfId="4" text="취약">
      <formula>NOT(ISERROR(SEARCH("취약",AH25)))</formula>
    </cfRule>
    <cfRule type="containsText" priority="3485" operator="containsText" dxfId="7" text="확인">
      <formula>NOT(ISERROR(SEARCH("확인",AH25)))</formula>
    </cfRule>
    <cfRule type="containsText" priority="3487" operator="containsText" dxfId="7" text="확인">
      <formula>NOT(ISERROR(SEARCH("확인",AH25)))</formula>
    </cfRule>
    <cfRule type="containsText" priority="3488" operator="containsText" dxfId="4" text="취약">
      <formula>NOT(ISERROR(SEARCH("취약",AH25)))</formula>
    </cfRule>
  </conditionalFormatting>
  <conditionalFormatting sqref="AH26">
    <cfRule type="cellIs" priority="3471" operator="equal" dxfId="0">
      <formula>"미흡"</formula>
    </cfRule>
  </conditionalFormatting>
  <conditionalFormatting sqref="AH27">
    <cfRule type="containsText" priority="3474" operator="containsText" dxfId="7" text="확인">
      <formula>NOT(ISERROR(SEARCH("확인",AH27)))</formula>
    </cfRule>
    <cfRule type="cellIs" priority="3478" operator="equal" dxfId="0">
      <formula>"미흡"</formula>
    </cfRule>
    <cfRule type="containsText" priority="3477" operator="containsText" dxfId="4" text="취약">
      <formula>NOT(ISERROR(SEARCH("취약",AH27)))</formula>
    </cfRule>
    <cfRule type="containsText" priority="3476" operator="containsText" dxfId="7" text="확인">
      <formula>NOT(ISERROR(SEARCH("확인",AH27)))</formula>
    </cfRule>
    <cfRule type="containsText" priority="3475" operator="containsText" dxfId="4" text="취약">
      <formula>NOT(ISERROR(SEARCH("취약",AH27)))</formula>
    </cfRule>
  </conditionalFormatting>
  <conditionalFormatting sqref="AH28">
    <cfRule type="cellIs" priority="3465" operator="equal" dxfId="0">
      <formula>"미흡"</formula>
    </cfRule>
  </conditionalFormatting>
  <conditionalFormatting sqref="AH28:AH29">
    <cfRule type="containsText" priority="3460" operator="containsText" dxfId="7" text="확인">
      <formula>NOT(ISERROR(SEARCH("확인",AH28)))</formula>
    </cfRule>
    <cfRule type="containsText" priority="3461" operator="containsText" dxfId="4" text="취약">
      <formula>NOT(ISERROR(SEARCH("취약",AH28)))</formula>
    </cfRule>
  </conditionalFormatting>
  <conditionalFormatting sqref="AH29">
    <cfRule type="containsText" priority="3457" operator="containsText" dxfId="7" text="확인">
      <formula>NOT(ISERROR(SEARCH("확인",AH29)))</formula>
    </cfRule>
    <cfRule type="containsText" priority="3458" operator="containsText" dxfId="4" text="취약">
      <formula>NOT(ISERROR(SEARCH("취약",AH29)))</formula>
    </cfRule>
    <cfRule type="cellIs" priority="3459" operator="equal" dxfId="0">
      <formula>"미흡"</formula>
    </cfRule>
  </conditionalFormatting>
  <conditionalFormatting sqref="AH29:AH30">
    <cfRule type="containsText" priority="3453" operator="containsText" dxfId="7" text="확인">
      <formula>NOT(ISERROR(SEARCH("확인",AH29)))</formula>
    </cfRule>
    <cfRule type="containsText" priority="3454" operator="containsText" dxfId="4" text="취약">
      <formula>NOT(ISERROR(SEARCH("취약",AH29)))</formula>
    </cfRule>
  </conditionalFormatting>
  <conditionalFormatting sqref="AH30:AH33">
    <cfRule type="containsText" priority="3447" operator="containsText" dxfId="7" text="확인">
      <formula>NOT(ISERROR(SEARCH("확인",AH30)))</formula>
    </cfRule>
    <cfRule type="cellIs" priority="3449" operator="equal" dxfId="0">
      <formula>"미흡"</formula>
    </cfRule>
    <cfRule type="containsText" priority="3448" operator="containsText" dxfId="4" text="취약">
      <formula>NOT(ISERROR(SEARCH("취약",AH30)))</formula>
    </cfRule>
  </conditionalFormatting>
  <conditionalFormatting sqref="AH34">
    <cfRule type="containsText" priority="3660" operator="containsText" dxfId="7" text="확인">
      <formula>NOT(ISERROR(SEARCH("확인",AH34)))</formula>
    </cfRule>
    <cfRule type="containsText" priority="3661" operator="containsText" dxfId="4" text="취약">
      <formula>NOT(ISERROR(SEARCH("취약",AH34)))</formula>
    </cfRule>
    <cfRule type="containsText" priority="3654" operator="containsText" dxfId="4" text="취약">
      <formula>NOT(ISERROR(SEARCH("취약",AH34)))</formula>
    </cfRule>
    <cfRule type="containsText" priority="3653" operator="containsText" dxfId="7" text="확인">
      <formula>NOT(ISERROR(SEARCH("확인",AH34)))</formula>
    </cfRule>
    <cfRule type="containsText" priority="3655" operator="containsText" dxfId="7" text="확인">
      <formula>NOT(ISERROR(SEARCH("확인",AH34)))</formula>
    </cfRule>
    <cfRule type="containsText" priority="3656" operator="containsText" dxfId="4" text="취약">
      <formula>NOT(ISERROR(SEARCH("취약",AH34)))</formula>
    </cfRule>
    <cfRule type="containsText" priority="3657" operator="containsText" dxfId="7" text="확인">
      <formula>NOT(ISERROR(SEARCH("확인",AH34)))</formula>
    </cfRule>
    <cfRule type="containsText" priority="3658" operator="containsText" dxfId="4" text="취약">
      <formula>NOT(ISERROR(SEARCH("취약",AH34)))</formula>
    </cfRule>
    <cfRule type="cellIs" priority="3659" operator="equal" dxfId="0">
      <formula>"미흡"</formula>
    </cfRule>
  </conditionalFormatting>
  <conditionalFormatting sqref="AH34:AH35">
    <cfRule type="containsText" priority="3649" operator="containsText" dxfId="7" text="확인">
      <formula>NOT(ISERROR(SEARCH("확인",AH34)))</formula>
    </cfRule>
    <cfRule type="containsText" priority="3650" operator="containsText" dxfId="4" text="취약">
      <formula>NOT(ISERROR(SEARCH("취약",AH34)))</formula>
    </cfRule>
  </conditionalFormatting>
  <conditionalFormatting sqref="AH35">
    <cfRule type="cellIs" priority="3648" operator="equal" dxfId="0">
      <formula>"미흡"</formula>
    </cfRule>
  </conditionalFormatting>
  <conditionalFormatting sqref="AH35:AH36">
    <cfRule type="containsText" priority="3639" operator="containsText" dxfId="4" text="취약">
      <formula>NOT(ISERROR(SEARCH("취약",AH35)))</formula>
    </cfRule>
    <cfRule type="containsText" priority="3638" operator="containsText" dxfId="7" text="확인">
      <formula>NOT(ISERROR(SEARCH("확인",AH35)))</formula>
    </cfRule>
  </conditionalFormatting>
  <conditionalFormatting sqref="AH36">
    <cfRule type="cellIs" priority="3637" operator="equal" dxfId="0">
      <formula>"미흡"</formula>
    </cfRule>
  </conditionalFormatting>
  <conditionalFormatting sqref="AH36:AH37">
    <cfRule type="containsText" priority="3634" operator="containsText" dxfId="4" text="취약">
      <formula>NOT(ISERROR(SEARCH("취약",AH36)))</formula>
    </cfRule>
    <cfRule type="containsText" priority="3633" operator="containsText" dxfId="7" text="확인">
      <formula>NOT(ISERROR(SEARCH("확인",AH36)))</formula>
    </cfRule>
  </conditionalFormatting>
  <conditionalFormatting sqref="AH37">
    <cfRule type="cellIs" priority="3632" operator="equal" dxfId="0">
      <formula>"미흡"</formula>
    </cfRule>
  </conditionalFormatting>
  <conditionalFormatting sqref="AH37:AH38">
    <cfRule type="containsText" priority="3445" operator="containsText" dxfId="4" text="취약">
      <formula>NOT(ISERROR(SEARCH("취약",AH37)))</formula>
    </cfRule>
    <cfRule type="containsText" priority="3444" operator="containsText" dxfId="7" text="확인">
      <formula>NOT(ISERROR(SEARCH("확인",AH37)))</formula>
    </cfRule>
  </conditionalFormatting>
  <conditionalFormatting sqref="AH38">
    <cfRule type="cellIs" priority="3443" operator="equal" dxfId="0">
      <formula>"미흡"</formula>
    </cfRule>
  </conditionalFormatting>
  <conditionalFormatting sqref="AH38:AH39">
    <cfRule type="containsText" priority="3434" operator="containsText" dxfId="4" text="취약">
      <formula>NOT(ISERROR(SEARCH("취약",AH38)))</formula>
    </cfRule>
    <cfRule type="containsText" priority="3433" operator="containsText" dxfId="7" text="확인">
      <formula>NOT(ISERROR(SEARCH("확인",AH38)))</formula>
    </cfRule>
  </conditionalFormatting>
  <conditionalFormatting sqref="AH39">
    <cfRule type="cellIs" priority="3432" operator="equal" dxfId="0">
      <formula>"미흡"</formula>
    </cfRule>
  </conditionalFormatting>
  <conditionalFormatting sqref="AH39:AH41">
    <cfRule type="containsText" priority="3423" operator="containsText" dxfId="4" text="취약">
      <formula>NOT(ISERROR(SEARCH("취약",AH39)))</formula>
    </cfRule>
    <cfRule type="containsText" priority="3422" operator="containsText" dxfId="7" text="확인">
      <formula>NOT(ISERROR(SEARCH("확인",AH39)))</formula>
    </cfRule>
  </conditionalFormatting>
  <conditionalFormatting sqref="AH40">
    <cfRule type="cellIs" priority="3421" operator="equal" dxfId="0">
      <formula>"미흡"</formula>
    </cfRule>
    <cfRule type="containsText" priority="3420" operator="containsText" dxfId="4" text="취약">
      <formula>NOT(ISERROR(SEARCH("취약",AH40)))</formula>
    </cfRule>
    <cfRule type="containsText" priority="3419" operator="containsText" dxfId="7" text="확인">
      <formula>NOT(ISERROR(SEARCH("확인",AH40)))</formula>
    </cfRule>
  </conditionalFormatting>
  <conditionalFormatting sqref="AH41">
    <cfRule type="cellIs" priority="3427" operator="equal" dxfId="0">
      <formula>"미흡"</formula>
    </cfRule>
  </conditionalFormatting>
  <conditionalFormatting sqref="AH41:AH42">
    <cfRule type="containsText" priority="3429" operator="containsText" dxfId="4" text="취약">
      <formula>NOT(ISERROR(SEARCH("취약",AH41)))</formula>
    </cfRule>
    <cfRule type="containsText" priority="3428" operator="containsText" dxfId="7" text="확인">
      <formula>NOT(ISERROR(SEARCH("확인",AH41)))</formula>
    </cfRule>
  </conditionalFormatting>
  <conditionalFormatting sqref="AH42:AH43">
    <cfRule type="cellIs" priority="3604" operator="equal" dxfId="0">
      <formula>"미흡"</formula>
    </cfRule>
    <cfRule type="containsText" priority="3603" operator="containsText" dxfId="4" text="취약">
      <formula>NOT(ISERROR(SEARCH("취약",AH42)))</formula>
    </cfRule>
    <cfRule type="containsText" priority="3602" operator="containsText" dxfId="7" text="확인">
      <formula>NOT(ISERROR(SEARCH("확인",AH42)))</formula>
    </cfRule>
  </conditionalFormatting>
  <conditionalFormatting sqref="AH44:AH45">
    <cfRule type="cellIs" priority="3388" operator="equal" dxfId="0">
      <formula>"미흡"</formula>
    </cfRule>
  </conditionalFormatting>
  <conditionalFormatting sqref="AH44:AH46">
    <cfRule type="containsText" priority="3387" operator="containsText" dxfId="4" text="취약">
      <formula>NOT(ISERROR(SEARCH("취약",AH44)))</formula>
    </cfRule>
    <cfRule type="containsText" priority="3386" operator="containsText" dxfId="7" text="확인">
      <formula>NOT(ISERROR(SEARCH("확인",AH44)))</formula>
    </cfRule>
  </conditionalFormatting>
  <conditionalFormatting sqref="AH46">
    <cfRule type="containsText" priority="3574" operator="containsText" dxfId="4" text="취약">
      <formula>NOT(ISERROR(SEARCH("취약",AH46)))</formula>
    </cfRule>
    <cfRule type="containsText" priority="3573" operator="containsText" dxfId="7" text="확인">
      <formula>NOT(ISERROR(SEARCH("확인",AH46)))</formula>
    </cfRule>
    <cfRule type="containsText" priority="3578" operator="containsText" dxfId="4" text="취약">
      <formula>NOT(ISERROR(SEARCH("취약",AH46)))</formula>
    </cfRule>
    <cfRule type="cellIs" priority="3579" operator="equal" dxfId="0">
      <formula>"미흡"</formula>
    </cfRule>
    <cfRule type="containsText" priority="3577" operator="containsText" dxfId="7" text="확인">
      <formula>NOT(ISERROR(SEARCH("확인",AH46)))</formula>
    </cfRule>
    <cfRule type="containsText" priority="3576" operator="containsText" dxfId="4" text="취약">
      <formula>NOT(ISERROR(SEARCH("취약",AH46)))</formula>
    </cfRule>
    <cfRule type="containsText" priority="3575" operator="containsText" dxfId="7" text="확인">
      <formula>NOT(ISERROR(SEARCH("확인",AH46)))</formula>
    </cfRule>
  </conditionalFormatting>
  <conditionalFormatting sqref="AH47:AH48">
    <cfRule type="containsText" priority="3691" operator="containsText" dxfId="7" text="확인">
      <formula>NOT(ISERROR(SEARCH("확인",AH47)))</formula>
    </cfRule>
    <cfRule type="containsText" priority="3692" operator="containsText" dxfId="4" text="취약">
      <formula>NOT(ISERROR(SEARCH("취약",AH47)))</formula>
    </cfRule>
  </conditionalFormatting>
  <conditionalFormatting sqref="AH47:AH49">
    <cfRule type="cellIs" priority="3607" operator="equal" dxfId="0">
      <formula>"미흡"</formula>
    </cfRule>
  </conditionalFormatting>
  <conditionalFormatting sqref="AH47:AH51">
    <cfRule type="containsText" priority="3597" operator="containsText" dxfId="7" text="확인">
      <formula>NOT(ISERROR(SEARCH("확인",AH47)))</formula>
    </cfRule>
    <cfRule type="containsText" priority="3598" operator="containsText" dxfId="4" text="취약">
      <formula>NOT(ISERROR(SEARCH("취약",AH47)))</formula>
    </cfRule>
  </conditionalFormatting>
  <conditionalFormatting sqref="AH50">
    <cfRule type="containsText" priority="3615" operator="containsText" dxfId="4" text="취약">
      <formula>NOT(ISERROR(SEARCH("취약",AH50)))</formula>
    </cfRule>
    <cfRule type="containsText" priority="3614" operator="containsText" dxfId="7" text="확인">
      <formula>NOT(ISERROR(SEARCH("확인",AH50)))</formula>
    </cfRule>
    <cfRule type="containsText" priority="3610" operator="containsText" dxfId="7" text="확인">
      <formula>NOT(ISERROR(SEARCH("확인",AH50)))</formula>
    </cfRule>
    <cfRule type="containsText" priority="3611" operator="containsText" dxfId="4" text="취약">
      <formula>NOT(ISERROR(SEARCH("취약",AH50)))</formula>
    </cfRule>
    <cfRule type="containsText" priority="3612" operator="containsText" dxfId="7" text="확인">
      <formula>NOT(ISERROR(SEARCH("확인",AH50)))</formula>
    </cfRule>
    <cfRule type="containsText" priority="3613" operator="containsText" dxfId="4" text="취약">
      <formula>NOT(ISERROR(SEARCH("취약",AH50)))</formula>
    </cfRule>
    <cfRule type="containsText" priority="3619" operator="containsText" dxfId="4" text="취약">
      <formula>NOT(ISERROR(SEARCH("취약",AH50)))</formula>
    </cfRule>
    <cfRule type="containsText" priority="3622" operator="containsText" dxfId="4" text="취약">
      <formula>NOT(ISERROR(SEARCH("취약",AH50)))</formula>
    </cfRule>
    <cfRule type="containsText" priority="3621" operator="containsText" dxfId="7" text="확인">
      <formula>NOT(ISERROR(SEARCH("확인",AH50)))</formula>
    </cfRule>
    <cfRule type="cellIs" priority="3620" operator="equal" dxfId="0">
      <formula>"미흡"</formula>
    </cfRule>
    <cfRule type="containsText" priority="3618" operator="containsText" dxfId="7" text="확인">
      <formula>NOT(ISERROR(SEARCH("확인",AH50)))</formula>
    </cfRule>
    <cfRule type="containsText" priority="3617" operator="containsText" dxfId="4" text="취약">
      <formula>NOT(ISERROR(SEARCH("취약",AH50)))</formula>
    </cfRule>
    <cfRule type="containsText" priority="3616" operator="containsText" dxfId="7" text="확인">
      <formula>NOT(ISERROR(SEARCH("확인",AH50)))</formula>
    </cfRule>
  </conditionalFormatting>
  <conditionalFormatting sqref="AH3:AI5 AH6 AH50:AH51">
    <cfRule type="cellIs" priority="3694" operator="equal" dxfId="1">
      <formula>"N/A"</formula>
    </cfRule>
  </conditionalFormatting>
  <conditionalFormatting sqref="AH51">
    <cfRule type="containsText" priority="3595" operator="containsText" dxfId="7" text="확인">
      <formula>NOT(ISERROR(SEARCH("확인",AH51)))</formula>
    </cfRule>
    <cfRule type="containsText" priority="3596" operator="containsText" dxfId="4" text="취약">
      <formula>NOT(ISERROR(SEARCH("취약",AH51)))</formula>
    </cfRule>
    <cfRule type="cellIs" priority="3599" operator="equal" dxfId="0">
      <formula>"미흡"</formula>
    </cfRule>
  </conditionalFormatting>
  <conditionalFormatting sqref="AI3:AI5">
    <cfRule type="cellIs" priority="3585" operator="equal" dxfId="4">
      <formula>"취약"</formula>
    </cfRule>
  </conditionalFormatting>
  <conditionalFormatting sqref="AI3:AI51">
    <cfRule type="cellIs" priority="3389" operator="equal" dxfId="0">
      <formula>"미흡"</formula>
    </cfRule>
  </conditionalFormatting>
  <conditionalFormatting sqref="AI6:AI43">
    <cfRule type="cellIs" priority="3409" operator="equal" dxfId="1">
      <formula>"N/A"</formula>
    </cfRule>
  </conditionalFormatting>
  <conditionalFormatting sqref="AI45:AI51">
    <cfRule type="cellIs" priority="3405" operator="equal" dxfId="1">
      <formula>"N/A"</formula>
    </cfRule>
  </conditionalFormatting>
  <conditionalFormatting sqref="A4:A51 B6 B15 B34 B43 B45 B51 C7:C72 C13:E14 D15:E31 D38:E51 F2:G5 AJ1:XFD1048576">
    <cfRule type="cellIs" priority="3700" operator="equal" dxfId="0">
      <formula>"미흡"</formula>
    </cfRule>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2026-08-26T08:10:44Z</dcterms:created>
  <dcterms:modified xsi:type="dcterms:W3CDTF">2026-08-31T04:22:13Z</dcterms:modified>
  <cp:lastModifiedBy>도희 길</cp:lastModifiedBy>
  <cp:revision>3</cp:revision>
</cp:coreProperties>
</file>