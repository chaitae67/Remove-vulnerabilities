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xr:revisionPtr revIDLastSave="0" documentId="8_{3AA7D5D4-B0E6-42BE-B53C-FDC34A59BA91}" xr6:coauthVersionLast="47" xr6:coauthVersionMax="47" xr10:uidLastSave="{00000000-0000-0000-0000-000000000000}"/>
  <bookViews>
    <workbookView xWindow="-108" yWindow="-108" windowWidth="23256" windowHeight="12456" activeTab="0" xr2:uid="{00000000-000D-0000-FFFF-FFFF00000000}" firstSheet="0"/>
  </bookViews>
  <sheets>
    <sheet name="0. 표지" sheetId="1" r:id="rId1"/>
    <sheet name="1. 진단 대상" sheetId="2" r:id="rId2"/>
    <sheet name="2-1. 요약결과(그래프)" sheetId="6" r:id="rId3"/>
    <sheet name="2-2. 요약 진단결과(Window)" sheetId="4" r:id="rId4"/>
    <sheet name="3-1. 진단 결과(window)" sheetId="5" r:id="rId5"/>
  </sheets>
  <definedNames>
    <definedName name="_xlnm.Print_Area" localSheetId="0">'0. 표지'!$A$1:$L$23</definedName>
    <definedName name="_xlnm.Print_Area" localSheetId="1">'1. 진단 대상'!$A$1:$G$6</definedName>
    <definedName name="_xlnm.Print_Area" localSheetId="2">'2-1. 요약결과(그래프)'!$A$1:$X$104</definedName>
    <definedName name="_xlnm.Print_Area" localSheetId="4">'3-1. 진단 결과(window)'!$E$6:$I$71</definedName>
    <definedName name="_xlnm.Print_Titles" localSheetId="3">'2-2. 요약 진단결과(Window)'!$2:$5</definedName>
    <definedName name="_xlnm.Print_Titles" localSheetId="4">'3-1. 진단 결과(window)'!$B:$D,'3-1. 진단 결과(window)'!$2:$5</definedName>
  </definedName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<sst xmlns="http://schemas.openxmlformats.org/spreadsheetml/2006/main" count="447" uniqueCount="245">
  <si>
    <t>문서번호</t>
  </si>
  <si>
    <t>작성자</t>
  </si>
  <si>
    <t>보안등급</t>
  </si>
  <si>
    <t>Ver</t>
  </si>
  <si>
    <t>서버 진단 상세결과</t>
  </si>
  <si>
    <t>※ 진단 대상 리스트 - 서버 2대 (Windows 2대)</t>
  </si>
  <si>
    <t>순번</t>
  </si>
  <si>
    <t>진단 대상</t>
  </si>
  <si>
    <t>비고</t>
  </si>
  <si>
    <t>Hostname</t>
  </si>
  <si>
    <t>IP Address</t>
  </si>
  <si>
    <t>버전정보</t>
  </si>
  <si>
    <t>용도</t>
  </si>
  <si>
    <t>Windows</t>
  </si>
  <si>
    <r>
      <rPr>
        <b/>
        <sz val="409"/>
        <color rgb="FF000000"/>
        <rFont val="Arial"/>
        <family val="2"/>
      </rPr>
      <t xml:space="preserve">  </t>
    </r>
    <r>
      <rPr>
        <b/>
        <sz val="409"/>
        <color rgb="FF000000"/>
        <rFont val="맑은 고딕"/>
        <family val="3"/>
      </rPr>
      <t>※</t>
    </r>
    <r>
      <rPr>
        <b/>
        <sz val="409"/>
        <color rgb="FF000000"/>
        <rFont val="Arial"/>
        <family val="2"/>
      </rPr>
      <t xml:space="preserve"> </t>
    </r>
    <r>
      <rPr>
        <b/>
        <sz val="409"/>
        <color rgb="FF000000"/>
        <rFont val="맑은 고딕"/>
        <family val="3"/>
      </rPr>
      <t>대상별</t>
    </r>
    <r>
      <rPr>
        <b/>
        <sz val="409"/>
        <color rgb="FF000000"/>
        <rFont val="Arial"/>
        <family val="2"/>
      </rPr>
      <t xml:space="preserve"> </t>
    </r>
    <r>
      <rPr>
        <b/>
        <sz val="409"/>
        <color rgb="FF000000"/>
        <rFont val="맑은 고딕"/>
        <family val="3"/>
      </rPr>
      <t>평균</t>
    </r>
    <r>
      <rPr>
        <b/>
        <sz val="409"/>
        <color rgb="FF000000"/>
        <rFont val="Arial"/>
        <family val="2"/>
      </rPr>
      <t xml:space="preserve"> </t>
    </r>
    <r>
      <rPr>
        <b/>
        <sz val="409"/>
        <color rgb="FF000000"/>
        <rFont val="맑은 고딕"/>
        <family val="3"/>
      </rPr>
      <t>점수</t>
    </r>
    <r>
      <rPr>
        <b/>
        <sz val="409"/>
        <color rgb="FF000000"/>
        <rFont val="Arial"/>
        <family val="2"/>
      </rPr>
      <t xml:space="preserve"> </t>
    </r>
    <r>
      <rPr>
        <b/>
        <sz val="409"/>
        <color rgb="FF000000"/>
        <rFont val="맑은 고딕"/>
        <family val="3"/>
      </rPr>
      <t>그래프</t>
    </r>
  </si>
  <si>
    <t>평균</t>
  </si>
  <si>
    <t>수량</t>
  </si>
  <si>
    <t>총 평균</t>
  </si>
  <si>
    <t>전체</t>
  </si>
  <si>
    <t>안전(85이상)</t>
  </si>
  <si>
    <t>양호(70~85미만)</t>
  </si>
  <si>
    <t>취약(70미만)</t>
  </si>
  <si>
    <t>NO.</t>
  </si>
  <si>
    <t>점수</t>
  </si>
  <si>
    <t>진단 도메인</t>
  </si>
  <si>
    <t>평균 점수</t>
  </si>
  <si>
    <t>Windows 서버 취약점 진단 요약결과(64항목)</t>
  </si>
  <si>
    <t>진단항목</t>
  </si>
  <si>
    <t>No.</t>
  </si>
  <si>
    <t>세부진단항목</t>
  </si>
  <si>
    <t>중요도</t>
  </si>
  <si>
    <t xml:space="preserve"> </t>
  </si>
  <si>
    <t>영역별점수</t>
  </si>
  <si>
    <t>양호</t>
  </si>
  <si>
    <t>취약</t>
  </si>
  <si>
    <t>N/A</t>
  </si>
  <si>
    <t>1. 계정 관리</t>
  </si>
  <si>
    <t>W-01</t>
  </si>
  <si>
    <t>Administrator 계정 이름 변경 등 보안성 강화</t>
  </si>
  <si>
    <t>상</t>
  </si>
  <si>
    <t>W-02</t>
  </si>
  <si>
    <t>Guest 계정 비활성화</t>
  </si>
  <si>
    <t>W-03</t>
  </si>
  <si>
    <t>불필요한 계정 제거</t>
  </si>
  <si>
    <t>W-04</t>
  </si>
  <si>
    <t>계정 잠금 임계값 설정</t>
  </si>
  <si>
    <t>W-05</t>
  </si>
  <si>
    <t>해독 가능한 암호화를 사용하여 암호 저장 해제</t>
  </si>
  <si>
    <t>W-06</t>
  </si>
  <si>
    <t>관리자 그룹에 최소한의 사용자 포함</t>
  </si>
  <si>
    <t>W-07</t>
  </si>
  <si>
    <t>Everyone 사용 권한을 익명 사용자에게 적용</t>
  </si>
  <si>
    <t>중</t>
  </si>
  <si>
    <t>W-08</t>
  </si>
  <si>
    <t>계정 잠금 기간 설정</t>
  </si>
  <si>
    <t>W-09</t>
  </si>
  <si>
    <t>비밀번호 관리정책 설정</t>
  </si>
  <si>
    <t>W-10</t>
  </si>
  <si>
    <t>마지막 사용자 이름 표시 안 함</t>
  </si>
  <si>
    <t>W-11</t>
  </si>
  <si>
    <t>로컬 로그온 허용</t>
  </si>
  <si>
    <t>W-12</t>
  </si>
  <si>
    <t>익명 SID/이름 변환 허용 해제</t>
  </si>
  <si>
    <t>W-13</t>
  </si>
  <si>
    <t>콘솔 로그온 시 로컬 계정에서 빈 암호 사용 제한</t>
  </si>
  <si>
    <t>W-14</t>
  </si>
  <si>
    <t>원격터미널 접속 가능한 사용자 그룹 제한</t>
  </si>
  <si>
    <t>2. 서비스 관리</t>
  </si>
  <si>
    <t>W-15</t>
  </si>
  <si>
    <t>사용자 개인키 사용 시 암호 입력</t>
  </si>
  <si>
    <t>W-16</t>
  </si>
  <si>
    <t>공유 권한 및 사용자 그룹 설정</t>
  </si>
  <si>
    <t>W-17</t>
  </si>
  <si>
    <t>하드디스크 기본 공유 제거</t>
  </si>
  <si>
    <t>W-18</t>
  </si>
  <si>
    <t>불필요한 서비스 제거</t>
  </si>
  <si>
    <t>W-19</t>
  </si>
  <si>
    <t>불필요한 IIS 서비스 구동 점검</t>
  </si>
  <si>
    <t>W-20</t>
  </si>
  <si>
    <t>NetBIOS 바인딩 서비스 구동 점검</t>
  </si>
  <si>
    <t>W-21</t>
  </si>
  <si>
    <t>암호화되지 않는 FTP 서비스 비활성화</t>
  </si>
  <si>
    <t>W-22</t>
  </si>
  <si>
    <t>FTP 디렉토리 접근권한 설정</t>
  </si>
  <si>
    <t>W-23</t>
  </si>
  <si>
    <t>공유 서비스에 대한 익명 접근 제한 설정</t>
  </si>
  <si>
    <t>W-24</t>
  </si>
  <si>
    <t>FTP 접근 제어 설정</t>
  </si>
  <si>
    <t>W-25</t>
  </si>
  <si>
    <t>DNS Zone Transfer 설정</t>
  </si>
  <si>
    <t>W-26</t>
  </si>
  <si>
    <t>RDS(Remote Data Services) 제거</t>
  </si>
  <si>
    <t>W-27</t>
  </si>
  <si>
    <t>최신 Windows OS Build 버전 적용</t>
  </si>
  <si>
    <t>W-28</t>
  </si>
  <si>
    <t>터미널 서비스 암호화 수준 설정</t>
  </si>
  <si>
    <t>W-29</t>
  </si>
  <si>
    <t>불필요한 SNMP 서비스 구동 점검</t>
  </si>
  <si>
    <t>W-30</t>
  </si>
  <si>
    <t>SNMP Community String 복잡성 설정</t>
  </si>
  <si>
    <t>W-31</t>
  </si>
  <si>
    <t>SNMP Access control 설정</t>
  </si>
  <si>
    <t>W-32</t>
  </si>
  <si>
    <t>DNS 서비스 구동 점검</t>
  </si>
  <si>
    <t>W-33</t>
  </si>
  <si>
    <t>HTTP/FTP/SMTP 배너 차단</t>
  </si>
  <si>
    <t>하</t>
  </si>
  <si>
    <t>W-34</t>
  </si>
  <si>
    <t>Telnet 서비스 비활성화</t>
  </si>
  <si>
    <t>W-35</t>
  </si>
  <si>
    <t>불필요한 ODBC/OLE-DB 데이터 소스와 드라이브 제거</t>
  </si>
  <si>
    <t>W-36</t>
  </si>
  <si>
    <t>원격터미널 접속 타임아웃 설정</t>
  </si>
  <si>
    <t>W-37</t>
  </si>
  <si>
    <t>예약된 작업에 의심스러운 명령이 등록되어 있는지 점검</t>
  </si>
  <si>
    <t>3. 패치 관리</t>
  </si>
  <si>
    <t>W-38</t>
  </si>
  <si>
    <t>주기적 보안 패치 및 벤더 권고사항 적용</t>
  </si>
  <si>
    <t>W-39</t>
  </si>
  <si>
    <t>백신 프로그램 업데이트</t>
  </si>
  <si>
    <t>4. 로그 관리</t>
  </si>
  <si>
    <t>W-40</t>
  </si>
  <si>
    <t>정책에 따른 시스템 로깅 설정</t>
  </si>
  <si>
    <t>W-41</t>
  </si>
  <si>
    <t>NTP 및 시각 동기화 설정</t>
  </si>
  <si>
    <t>W-42</t>
  </si>
  <si>
    <t>이벤트 로그 관리 설정</t>
  </si>
  <si>
    <t>W-43</t>
  </si>
  <si>
    <t>이벤트 로그 파일 접근 통제 설정</t>
  </si>
  <si>
    <t>5. 보안 관리</t>
  </si>
  <si>
    <t>W-44</t>
  </si>
  <si>
    <t>원격으로 액세스할 수 있는 레지스트리 경로</t>
  </si>
  <si>
    <t>W-45</t>
  </si>
  <si>
    <t>백신 프로그램 설치</t>
  </si>
  <si>
    <t>W-46</t>
  </si>
  <si>
    <t>SAM 파일 접근 통제 설정</t>
  </si>
  <si>
    <t>W-47</t>
  </si>
  <si>
    <t>화면보호기 설정</t>
  </si>
  <si>
    <t>W-48</t>
  </si>
  <si>
    <t>로그온하지 않고 시스템 종료 허용</t>
  </si>
  <si>
    <t>W-49</t>
  </si>
  <si>
    <t>원격 시스템에서 강제로 시스템 종료</t>
  </si>
  <si>
    <t>W-50</t>
  </si>
  <si>
    <t>보안 감사를 로그할 수 없는 경우 즉시 시스템 종료</t>
  </si>
  <si>
    <t>W-51</t>
  </si>
  <si>
    <t>SAM 계정과 공유의 익명 열거 허용 안 함</t>
  </si>
  <si>
    <t>W-52</t>
  </si>
  <si>
    <t>Autologon 기능 제어</t>
  </si>
  <si>
    <t>W-53</t>
  </si>
  <si>
    <t>이동식 미디어 포맷 및 꺼내기 허용</t>
  </si>
  <si>
    <t>W-54</t>
  </si>
  <si>
    <t>Dos공격 방어 레지스트리 설정</t>
  </si>
  <si>
    <t>W-55</t>
  </si>
  <si>
    <t>사용자가 프린터 드라이버를 설치할 수 없게 함</t>
  </si>
  <si>
    <t>W-56</t>
  </si>
  <si>
    <t>SMB 세션 중단 관리 설정</t>
  </si>
  <si>
    <t>W-57</t>
  </si>
  <si>
    <t>로그온 시 경고 메시지 설정</t>
  </si>
  <si>
    <t>W-58</t>
  </si>
  <si>
    <t>사용자별 홈 디렉터리 권한 설정</t>
  </si>
  <si>
    <t>W-59</t>
  </si>
  <si>
    <t>LAN Manager 인증 수준</t>
  </si>
  <si>
    <t>W-60</t>
  </si>
  <si>
    <t>보안 채널 데이터 디지털 암호화 또는 서명</t>
  </si>
  <si>
    <t>W-61</t>
  </si>
  <si>
    <t>파일 및 디렉토리 보호</t>
  </si>
  <si>
    <t>W-62</t>
  </si>
  <si>
    <t>시작프로그램 목록 분석</t>
  </si>
  <si>
    <t>W-63</t>
  </si>
  <si>
    <t>도메인 컨트롤러-사용자의 시간 동기화</t>
  </si>
  <si>
    <t>W-64</t>
  </si>
  <si>
    <t>윈도우 방화벽 설정</t>
  </si>
  <si>
    <t>점검결과</t>
  </si>
  <si>
    <t>취약항목 개수</t>
  </si>
  <si>
    <t>보안 적용율 (양호항목 / 진단항목) %</t>
  </si>
  <si>
    <t>Windows 서버 취약점 진단 상세결과(64항목)</t>
  </si>
  <si>
    <t>세부 진단항목</t>
  </si>
  <si>
    <t>진단기준</t>
  </si>
  <si>
    <t>양호 - Administrator 기본 계정 이름을 변경하거나 강화된 비밀번호를 적용한 경우 
취약 - Administrator 기본 계정 이름을 변경하지 않거나 단순 비밀번호를 적용한 경우</t>
  </si>
  <si>
    <t>양호 - Guest 계정이 비활성화되어 있는 경우
취약 - Guest 계정이 활성화되어 있는 경우</t>
  </si>
  <si>
    <t>양호 - 불필요한 계정이 존재하지 않는 경우 
취약 - 불필요한 계정이 존재하는 경우</t>
  </si>
  <si>
    <t>양호 - 계정 잠금 임계값이 5 이하의 값으로 설정된 경우
취약 - 계정 잠금 임계값이 5 초과의 값으로 설정된 경우</t>
  </si>
  <si>
    <t>양호 - “해독 가능한 암호화를 사용하여 암호 저장” 정책이 “사용 안 함”으로 설정된 경우 
취약 - “해독 가능한 암호화를 사용하여 암호 저장” 정책이 “사용”으로 설정된 경우</t>
  </si>
  <si>
    <t>양호 - Administrators 그룹의 구성원을 1명 이하로 유지하거나, 불필요한 관리자 계정이 존재하지 않는 경우
취약 - Administrators 그룹에 불필요한 관리자 계정이 존재하는 경우</t>
  </si>
  <si>
    <t>양호 - “Everyone 사용 권한을 익명 사용자에게 적용” 정책이 “사용 안 함”으로 되어 있는 경우
취약 - “Everyone 사용 권한을 익명 사용자에게 적용” 정책이 “사용”으로 되어 있는 경우</t>
  </si>
  <si>
    <t>양호 - “계정 잠금 기간” 및 “계정 잠금 기간 원래대로 설정 기간”이 60분 이상으로 설정된 경우
취약 - “계정 잠금 기간” 및 “잠금 기간 원래대로 설정 기간”이 설정되지 않거나 60분 미만으로 설정된 
경우</t>
  </si>
  <si>
    <t>양호 - 계정 비밀번호 관리 정책이 모두 적용된 경우 
취약 - 계정 비밀번호 관리 정책이 모두 적용되어 있지 않은 경우</t>
  </si>
  <si>
    <t>양호 - “마지막 사용자 이름 표시 안 함”이 “사용”으로 설정된 경우 
취약 - “마지막 사용자 이름 표시 안 함”이 “사용 안 함”으로 설정된 경우</t>
  </si>
  <si>
    <t>양호 - 로컬 로그온 허용 정책에 Administrators, IUSR_ 만 존재하는 경우 
취약 - 로컬 로그온 허용 정책에 Administrators, IUSR_ 외 다른 계정 및 그룹이 존재하는 경우</t>
  </si>
  <si>
    <t>양호 - “익명 SID/이름 변환 허용” 정책이 “사용 안 함”으로 설정된 경우 
취약 - “익명 SID/이름 변환 허용” 정책이 “사용”으로 설정된 경우</t>
  </si>
  <si>
    <t>양호 - “콘솔 로그온 시 로컬 계정에서 빈 암호 사용 제한” 정책이 “사용”인 경우 
취약 - “콘솔 로그온 시 로컬 계정에서 빈 암호 사용 제한” 정책이 “사용 안 함”인 경우</t>
  </si>
  <si>
    <t>W-14</t>
    <phoneticPr fontId="62" type="noConversion"/>
  </si>
  <si>
    <t>양호 - (관리자 계정을 제외한) 원격 접속이 가능한 계정을 생성하여 타 사용자의 원격 접속을 제한하고, 원격 접속 사용자 그룹에 불필요한 계정이 등록되어 있지 않은 경우 
취약 - (관리자 계정을 제외한) 원격 접속이 가능한 별도의 계정이 존재하지 않는 경우</t>
  </si>
  <si>
    <t>2. 서비스 관리</t>
    <phoneticPr fontId="62" type="noConversion"/>
  </si>
  <si>
    <t>양호 - 사용자 개인 키를 사용할 때마다 암호 입력을 받는 경우 
취약 - 사용자 개인 키를 사용할 때마다 암호 입력을 받지 않는 경우</t>
  </si>
  <si>
    <t>양호 : 일반 공유 디렉터리가 없거나 공유 디렉터리 접근 권한에 Everyone 권한이 없는 경우 
취약 : 일반 공유 디렉터리의 접근 권한에 Everyone 권한이 있는 경우</t>
  </si>
  <si>
    <t>양호 - 레지스트리의 AutoShareServer (WinNT: AutoShareWks)가 0이며 기본 공유가 존재하지 않는 경우
취약 - 레지스트리의 AutoShareServer (WinNT: AutoShareWks)가 1이거나 기본 공유가 존재하는 
경우</t>
  </si>
  <si>
    <t>양호 - 일반적으로 불필요한 서비스(아래 목록 참조)가 중지된 경우 
취약 - 일반적으로 불필요한 서비스(아래 목록 참조)가 구동 중인 경우</t>
  </si>
  <si>
    <t>양호 - IIS 서비스를 사용하지 않는 경우 또는 필요에 의해 IIS 서비스를 사용하는 경우
취약 - IIS 서비스를 불필요하게 사용하는 경우</t>
  </si>
  <si>
    <t>양호 - TCP/IP와 NetBIOS 간의 바인딩이 제거되어 있는 경우 
취약 - TCP/IP와 NetBIOS 간의 바인딩이 제거되어 있지 않은 경우</t>
  </si>
  <si>
    <t>양호 - FTP 서비스를 사용하지 않는 경우 또는 Secure FTP 서비스를 사용하는 경우 
취약 - 암호화되지 않는 FTP 서비스를 사용하는 경우</t>
  </si>
  <si>
    <t>양호 - FTP 홈 디렉터리에 Everyone 권한이 없는 경우 
취약 - FTP 홈 디렉터리에 Everyone 권한이 있는 경우</t>
  </si>
  <si>
    <t>양호 - 공유 서비스를 사용하지 않거나, 익명 인증 사용 안 함으로 설정된 경우 
취약 - 공유 서비스를 사용하거나, 익명 인증 사용함으로 설정된 경우</t>
  </si>
  <si>
    <t>양호 - 특정 IP주소에서만 FTP 서버에 접속하도록 접근 제어 설정을 적용한 경우 
취약 - 특정 IP주소에서만 FTP 서버에 접속하도록 접근 제어 설정을 적용하지 않는 경우 
※ 조치 시 마스터 속성과 모든 사이트에 적용함</t>
  </si>
  <si>
    <t>양호 - 아래 기준에 해당하는 경우
1. DNS 서비스가 비활성화인 경우
2. 영역 전송 허용을 하지 않는 경우
3. 특정 서버로만 설정이 되어있는 경우
취약 - 위 3개 기준 중 하나라도 해당하지 않는 경우</t>
  </si>
  <si>
    <t>양호 - 다음 중 한 가지라도 해당하는 경우
1. IIS를 사용하지 않는 경우
2. Windows 2008 이상 버전을 사용하는 경우
3. Windows 2000 서비스팩 4, Windows 2003 서비스팩 2 이상 설치된 경우
4. 기본 웹 사이트에 MSADC 가상 디렉터리가 존재하지 않는 경우
5. 해당 레지스트리 값이 존재하지 않는 경우
취약 - 양호 기준에 한 가지도 해당하지 않는 경우</t>
  </si>
  <si>
    <t>양호 - 최신 Build가 설치되어 있으며 적용 절차 및 방법이 수립된 경우 
취약 - 최신 Build가 설치되지 않거나, 적용 절차 및 방법이 수립되지 않은 경우</t>
  </si>
  <si>
    <t>양호 - 원격 데스크톱 서비스를 사용하지 않거나 사용 시 암호화 수준을 “클라이언트와 호환 가능(중간)” 이상으로 설정한 경우
취약 - 원격 데스크톱 서비스를 사용하고 암호화 수준이 “낮음”으로 설정한 경우</t>
  </si>
  <si>
    <t>양호 - SNMP 서비스를 사용하지 않는 경우 또는 Community String을 설정하여 SNMP 서비스를 사용하는 경우
취약 - 불필요하게 SNMP 서비스를 사용하는 경우</t>
  </si>
  <si>
    <t>양호 - SNMP 서비스를 사용하지 않거나 Community String이 public, private 이 아닌 경우 
취약 - SNMP 서비스를 사용하며, Community String이 public, private인 경우</t>
  </si>
  <si>
    <t>양호 - SNMP 서비스를 사용하지 않거나 특정 호스트로부터 SNMP 패킷 받아들이기가 설정된 경우 
취약 - 모든 호스트로부터 SNMP 패킷 받아들이기가 설정된 경우</t>
  </si>
  <si>
    <t>양호 - DNS 서비스를 사용하지 않거나 동적 업데이트 “없음(아니오)”으로 설정된 경우 
취약 - 서비스를 사용하며 동적 업데이트가 설정된 경우</t>
  </si>
  <si>
    <t>양호 : HTTP, FTP, SMTP 접속 시 배너 정보가 보이지 않는 경우 
취약 : HTTP, FTP, SMTP 접속 시 배너 정보가 보이는 경우</t>
  </si>
  <si>
    <t>W-34</t>
    <phoneticPr fontId="62" type="noConversion"/>
  </si>
  <si>
    <t>양호 : Telnet 서비스가 구동되어 있지 않거나 인증 방법이 NTLM인 경우 
취약 : Telnet 서비스가 구동되어 있으며 인증 방법이 NTLM이 아닌 경우</t>
  </si>
  <si>
    <t>양호 : 시스템 DSN 부분의 데이터 소스를 현재 사용하고 있는 경우
취약 : 시스템 DSN 부분의 데이터 소스를 현재 사용하고 있지 않은 경우</t>
  </si>
  <si>
    <t>양호 : 원격 제어 시 Timeout 제어 설정을 30분 이하로 설정한 경우 
취약 : 원격 제어 시 Timeout 제어 설정을 적용하지 않거나 30분 초과로 설정한 경우</t>
  </si>
  <si>
    <t>양호 : 불필요한 명령어나 파일 등 주기적인 예약 작업의 존재 여부를 주기적으로 점검하고 제거한 경우
취약 : 불필요한 명령어나 파일 등 주기적인 예약 작업의 존재 여부를 주기적으로 점검하지 않거나, 불필
요한 작업을 제거하지 않은 경우</t>
  </si>
  <si>
    <t>양호 : 패치 절차를 수립하여 주기적으로 패치를 확인 및 설치하는 경우
취약 : 패치 절차가 수립되어 있지 않거나 주기적으로 패치를 설치하지 않는 경우</t>
  </si>
  <si>
    <t>양호 : 바이러스 백신 프로그램의 최신 엔진 업데이트가 설치되어 있거나, 망 격리 환경의 경우 백신 업데이트를 위한 절차 및 적용 방법이 수립된 경우
취약 : 바이러스 백신 프로그램의 최신 엔진 업데이트가 설치되어 있지 않거나, 망 격리 환경의 경우 백신 업데이트를 위한 절차 및 적용 방법이 수립되지 않은 경우</t>
  </si>
  <si>
    <t>양호 : 감사 정책 권고 기준에 따라 감사 설정이 되어 있는 경우
취약 : 감사 정책 권고 기준에 따라 감사 설정이 되어 있지 않은 경우</t>
  </si>
  <si>
    <t>양호 : NTP 및 시각 동기화를 설정한 경우
취약 : NTP 및 시각 동기화를 설정하지 않은 경우</t>
  </si>
  <si>
    <t>양호 : 최대 로그 크기 “10,240KB 이상”으로 설정, “90일 이후 이벤트 덮어씀”을 설정한 경우
취약 : 최대 로그 크기 “10,240KB 미만”으로 설정, 이벤트 덮어씀 기간이 “90일 이하로 설정된 경우</t>
  </si>
  <si>
    <t>양호 : 로그 디렉터리의 접근 권한에 Everyone 권한이 없는 경우
취약 : 로그 디렉터리의 접근 권한에 Everyone 권한이 있는 경우</t>
  </si>
  <si>
    <t>양호 - Remote Registry Service가 중지된 경우
취약 - Remote Registry Service가 사용 중인 경우</t>
  </si>
  <si>
    <t>양호 - 바이러스 백신 프로그램이 설치된 경우
취약 - 바이러스 백신 프로그램이 설치되어 있지 않은 경우</t>
  </si>
  <si>
    <t>양호 - SAM 파일 접근 권한에 Administrator, System 그룹만 모든 권한으로 설정된 경우
취약 - SAM 파일 접근 권한에 Administrator, System 그룹 외 다른 그룹에 권한이 설정된 경우</t>
  </si>
  <si>
    <t>양호 - 화면 보호기를 설정하고 대기 시간이 10분 이하의 값으로 설정되어 있으며, 화면 보호기 해제를 위한 암호를 사용하는 경우
취약 - 화면 보호기가 설정되지 않았거나 암호를 사용하지 않거나, 화면 보호기 대기 시간이 10분을 초과한 값으로 설정된 경우</t>
  </si>
  <si>
    <t>양호 - “로그온하지 않고 시스템 종료 허용”이 “사용 안 함”으로 설정된 경우
취약 - “로그온하지 않고 시스템 종료 허용”이 “사용”으로 설정된 경우</t>
  </si>
  <si>
    <t>양호 - “원격 시스템에서 강제로 시스템 종료” 정책에 “Administrators”만 존재하는 경우
취약 - “원격 시스템에서 강제로 시스템 종료” 정책에 “Administrators” 외 다른 계정 및 그룹이 존재하는 경우</t>
  </si>
  <si>
    <t>양호 - “보안 감사를 로그 할 수 없는 경우 즉시 시스템 종료” 정책이 “사용 안 함”으로 되어있는 경우
취약 - “보안 감사를 로그 할 수 없는 경우 즉시 시스템 종료” 정책이 “사용”으로 되어있는 경우</t>
  </si>
  <si>
    <t>양호 - “SAM 계정과 공유의 익명 열거 허용 안 함”이 “사용”으로 설정된 경우
취약 - “SAM 계정과 공유의 익명 열거 허용 안 함”이 “사용 안 함”으로 설정된 경우</t>
  </si>
  <si>
    <t>양호 - AutoAdminLogon 값이 없거나 0으로 설정된 경우
취약 - AutoAdminLogon 값이 1로 설정된 경우</t>
  </si>
  <si>
    <t>양호 - “이동식 미디어 포맷 및 꺼내기 허용” 정책이 “Administrators”로 되어있는 경우
취약 - “이동식 미디어 포맷 및 꺼내기 허용” 정책이 “Administrators”로 되어있지 않은 경우</t>
  </si>
  <si>
    <t>양호 - 아래 4가지 DoS 방어 레지스트리를 설정한 경우
SynAttackProtect → 1이상
EnableDeadGWDetect → 0
KeepAliveTime → 300,000
NoNameReleaseOnDemand → 1
취약 - DoS 방어 레지스트리 값이 설정되어 있지 않은 경우</t>
  </si>
  <si>
    <t>양호 - “사용자가 프린터 드라이버를 설치할 수 없게 함” 정책이 “사용”인 경우
취약 - “사용자가 프린터 드라이버를 설치할 수 없게 함” 정책이 “사용 안 함”인 경우</t>
  </si>
  <si>
    <t>양호 - “로그온 시간이 만료되면 클라이언트 연결 끊기” 정책을 “사용”으로, “세션 연결을 중단하기 전에 필요한 유휴 시간” 정책을 “15분” 이하로 설정한 경우
취약 - “로그온 시간이 만료되면 클라이언트 연결 끊기” 정책이 “사용 안 함” 또는 “세션 연결을 중단하기 전에 필요한 유휴 시간” 정책이 “15분” 초과로 설정한 경우</t>
  </si>
  <si>
    <t>양호 - 로그인 경고 메시지 제목 및 내용이 설정된 경우
취약 - 로그인 경고 메시지 제목 및 내용이 설정되어 있지 않은 경우</t>
  </si>
  <si>
    <t>양호 - 홈 디렉터리에 Everyone 권한이 없는 경우 (All Users, Default User 디렉터리 제외)
취약 - 홈 디렉터리에 Everyone 권한이 있는 경우</t>
  </si>
  <si>
    <t>양호 - "LAN Manager 인증 수준" 정책에 "NTLMv2 응답만 보냄"이 설정되어 있는 경우
취약 - "LAN Manager 인증 수준" 정책에 "LM" 및 "NTLM"인증이 설정되어 있는 경우</t>
  </si>
  <si>
    <t>양호 - 아래 3가지 정책 모두 “사용"으로 되어있는 경우
도메인 구성원: 보안 채널 데이터를 디지털 암호화 또는 서명(항상)
도메인 구성원: 보안 채널 데이터를 디지털 암호화(가능한 경우)
도메인 구성원: 보안 채널 데이터 디지털 서명(가능한 경우)
취약 - 아래 3가지 정책 중 일부가 "사용 안 함"으로 되어있는 경우
도메인 구성원: 보안 채널 데이터를 디지털 암호화 또는 서명(항상)
도메인 구성원: 보안 채널 데이터를 디지털 암호화(가능한 경우)
도메인 구성원: 보안 채널 데이터 디지털 서명(가능한 경우)</t>
  </si>
  <si>
    <t>양호 - NTFS 파일 시스템을 사용하는 경우
취약 - FAT 파일 시스템을 사용하는 경우</t>
  </si>
  <si>
    <t>양호 - 시작 프로그램 목록을 정기적으로 검사하고 불필요한 서비스를 비활성화한 경우
취약 - 시작 프로그램 목록을 정기적으로 검사하지 않고, 부팅 시 불필요한 서비스도 실행되고 있는 경우</t>
  </si>
  <si>
    <t>양호 - 컴퓨터 시계 동기화 최대 허용 오차값이 5분 이하인 경우
취약 : 컴퓨터 시계 동기화 최대 허용 오차값이 5분 초과인 경우</t>
  </si>
  <si>
    <t>양호 - Windows 방화벽 "사용"으로 설정된 경우
취약 - Windows 방화벽 "사용 안 함"으로 설정된 경우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</si>
</sst>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.0_);[Red]\(0.0\)"/>
    <numFmt numFmtId="177" formatCode="0.0%"/>
    <numFmt numFmtId="178" formatCode="0_);[Red]\(0\)"/>
    <numFmt numFmtId="179" formatCode="0_ "/>
    <numFmt numFmtId="180" formatCode="0.0_ "/>
  </numFmts>
  <fonts count="76">
    <font>
      <sz val="11"/>
      <color rgb="FF000000"/>
      <name val="돋움"/>
    </font>
    <font>
      <sz val="11"/>
      <color theme="1"/>
      <name val="맑은 고딕"/>
      <family val="3"/>
      <charset val="129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Arial"/>
      <family val="2"/>
    </font>
    <font>
      <sz val="1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돋움"/>
      <family val="3"/>
      <charset val="129"/>
    </font>
    <font>
      <sz val="11"/>
      <color rgb="FFFF0000"/>
      <name val="Arial"/>
      <family val="2"/>
    </font>
    <font>
      <sz val="11"/>
      <color theme="0" tint="-0.49986266670735802"/>
      <name val="Arial"/>
      <family val="2"/>
    </font>
    <font>
      <sz val="12"/>
      <color rgb="FF000000"/>
      <name val="바탕체"/>
      <family val="1"/>
      <charset val="129"/>
    </font>
    <font>
      <sz val="12"/>
      <color rgb="FF9999FF"/>
      <name val="바탕체"/>
      <family val="1"/>
      <charset val="129"/>
    </font>
    <font>
      <b/>
      <sz val="18"/>
      <color rgb="FF9999FF"/>
      <name val="바탕체"/>
      <family val="1"/>
      <charset val="129"/>
    </font>
    <font>
      <b/>
      <sz val="15"/>
      <color rgb="FF9999FF"/>
      <name val="바탕체"/>
      <family val="1"/>
      <charset val="129"/>
    </font>
    <font>
      <sz val="14"/>
      <color rgb="FF000000"/>
      <name val="뼻뮝"/>
      <family val="3"/>
      <charset val="129"/>
    </font>
    <font>
      <sz val="12"/>
      <color rgb="FF000000"/>
      <name val="뼻뮝"/>
      <family val="3"/>
      <charset val="129"/>
    </font>
    <font>
      <sz val="10"/>
      <color rgb="FF000000"/>
      <name val="명조"/>
      <family val="3"/>
      <charset val="129"/>
    </font>
    <font>
      <b/>
      <sz val="10"/>
      <color rgb="FF000000"/>
      <name val="MS Sans Serif"/>
    </font>
    <font>
      <b/>
      <sz val="24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2"/>
      <color rgb="FF000000"/>
      <name val="명조"/>
      <family val="3"/>
      <charset val="129"/>
    </font>
    <font>
      <sz val="10"/>
      <color rgb="FF000000"/>
      <name val="Helv"/>
    </font>
    <font>
      <sz val="9"/>
      <color theme="1"/>
      <name val="Verdana"/>
      <family val="2"/>
    </font>
    <font>
      <sz val="11"/>
      <color theme="10"/>
      <name val="돋움"/>
      <family val="3"/>
      <charset val="129"/>
    </font>
    <font>
      <sz val="11"/>
      <color theme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0"/>
      <name val="돋움"/>
      <family val="3"/>
      <charset val="129"/>
    </font>
    <font>
      <sz val="11"/>
      <color theme="11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1"/>
      <color rgb="FF000000"/>
      <name val="Arial"/>
      <family val="2"/>
    </font>
    <font>
      <b/>
      <sz val="10"/>
      <color rgb="FFC00000"/>
      <name val="Malgun Gothic"/>
      <family val="3"/>
      <charset val="129"/>
    </font>
    <font>
      <b/>
      <sz val="9"/>
      <color rgb="FF7030A0"/>
      <name val="Malgun Gothic"/>
      <family val="3"/>
      <charset val="129"/>
    </font>
    <font>
      <sz val="11"/>
      <color rgb="FF000000"/>
      <name val="Calibri"/>
      <family val="2"/>
    </font>
    <font>
      <sz val="10"/>
      <color theme="1"/>
      <name val="Malgun Gothic"/>
      <family val="3"/>
      <charset val="129"/>
    </font>
    <font>
      <sz val="8"/>
      <name val="돋움"/>
      <family val="3"/>
      <charset val="129"/>
    </font>
    <font>
      <b/>
      <sz val="14"/>
      <color theme="1"/>
      <name val="Malgun Gothic"/>
      <family val="3"/>
      <charset val="129"/>
    </font>
    <font>
      <b/>
      <sz val="16"/>
      <color theme="1"/>
      <name val="Malgun Gothic"/>
      <family val="3"/>
      <charset val="129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rgb="FF7030A0"/>
      <name val="Malgun Gothic"/>
      <family val="3"/>
      <charset val="129"/>
    </font>
    <font>
      <sz val="12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name val="Calibri"/>
      <family val="2"/>
    </font>
    <font>
      <b/>
      <sz val="12"/>
      <color theme="1"/>
      <name val="Malgun Gothic"/>
      <family val="3"/>
      <charset val="129"/>
    </font>
    <font>
      <b/>
      <sz val="409"/>
      <color rgb="FF000000"/>
      <name val="Arial"/>
      <family val="2"/>
    </font>
    <font>
      <b/>
      <sz val="409"/>
      <color rgb="FF000000"/>
      <name val="맑은 고딕"/>
      <family val="3"/>
    </font>
    <font>
      <sz val="9"/>
      <color rgb="FF000000"/>
      <name val="Noto Sans CJK SC"/>
      <family val="2"/>
      <charset val="1"/>
    </font>
  </fonts>
  <fills count="35">
    <fill>
      <patternFill patternType="none"/>
    </fill>
    <fill>
      <patternFill patternType="gray125"/>
    </fill>
    <fill>
      <patternFill patternType="solid">
        <fgColor theme="0" tint="-0.1499679555650502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2"/>
      </patternFill>
    </fill>
    <fill>
      <patternFill patternType="solid">
        <fgColor rgb="FFFFFFCC"/>
      </patternFill>
    </fill>
    <fill>
      <patternFill patternType="solid">
        <fgColor rgb="FFCCCCFF"/>
      </patternFill>
    </fill>
    <fill>
      <patternFill patternType="solid">
        <fgColor rgb="FFFF99CC"/>
      </patternFill>
    </fill>
    <fill>
      <patternFill patternType="solid">
        <fgColor rgb="FFCCFFCC"/>
      </patternFill>
    </fill>
    <fill>
      <patternFill patternType="solid">
        <fgColor rgb="FFCC99FF"/>
      </patternFill>
    </fill>
    <fill>
      <patternFill patternType="solid">
        <fgColor rgb="FFCCFFFF"/>
      </patternFill>
    </fill>
    <fill>
      <patternFill patternType="solid">
        <fgColor rgb="FFFFCC99"/>
      </patternFill>
    </fill>
    <fill>
      <patternFill patternType="solid">
        <fgColor rgb="FF99CCFF"/>
      </patternFill>
    </fill>
    <fill>
      <patternFill patternType="solid">
        <fgColor rgb="FFFF8080"/>
      </patternFill>
    </fill>
    <fill>
      <patternFill patternType="solid">
        <fgColor rgb="FF00FF00"/>
      </patternFill>
    </fill>
    <fill>
      <patternFill patternType="solid">
        <fgColor rgb="FFFFCC00"/>
      </patternFill>
    </fill>
    <fill>
      <patternFill patternType="solid">
        <fgColor rgb="FF0066CC"/>
      </patternFill>
    </fill>
    <fill>
      <patternFill patternType="solid">
        <fgColor rgb="FF800080"/>
      </patternFill>
    </fill>
    <fill>
      <patternFill patternType="solid">
        <fgColor rgb="FF33CCCC"/>
      </patternFill>
    </fill>
    <fill>
      <patternFill patternType="solid">
        <fgColor rgb="FFFF9900"/>
      </patternFill>
    </fill>
    <fill>
      <patternFill patternType="solid">
        <fgColor rgb="FF333399"/>
      </patternFill>
    </fill>
    <fill>
      <patternFill patternType="solid">
        <fgColor rgb="FFFF0000"/>
      </patternFill>
    </fill>
    <fill>
      <patternFill patternType="solid">
        <fgColor rgb="FF339966"/>
      </patternFill>
    </fill>
    <fill>
      <patternFill patternType="solid">
        <fgColor rgb="FFFF6600"/>
      </patternFill>
    </fill>
    <fill>
      <patternFill patternType="solid">
        <fgColor rgb="FFC0C0C0"/>
      </patternFill>
    </fill>
    <fill>
      <patternFill patternType="solid">
        <fgColor rgb="FFFFFF99"/>
      </patternFill>
    </fill>
    <fill>
      <patternFill patternType="solid">
        <fgColor rgb="FF969696"/>
      </patternFill>
    </fill>
    <fill>
      <patternFill patternType="solid">
        <fgColor theme="9" tint="0.59987182226020086"/>
        <bgColor indexed="65"/>
      </patternFill>
    </fill>
    <fill>
      <patternFill patternType="solid">
        <fgColor theme="0" tint="-0.24994659260841701"/>
        <bgColor indexed="65"/>
      </patternFill>
    </fill>
    <fill>
      <patternFill patternType="solid">
        <fgColor theme="2"/>
      </patternFill>
    </fill>
    <fill>
      <patternFill patternType="solid">
        <fgColor rgb="FFD8D8D8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FF"/>
      </patternFill>
    </fill>
  </fills>
  <borders count="9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60" fillId="0" borderId="45"/>
  </cellStyleXfs>
  <cellXfs count="287">
    <xf numFmtId="0" fontId="0" fillId="0" borderId="0" xfId="0" applyAlignment="1"/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9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11" fillId="0" borderId="0" xfId="0" applyFont="1" applyAlignment="1"/>
    <xf numFmtId="0" fontId="10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7" fillId="2" borderId="2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9" fillId="28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2" fillId="0" borderId="45" xfId="0" applyFont="1" applyBorder="1" applyAlignment="1">
      <alignment vertical="center" wrapText="1"/>
    </xf>
    <xf numFmtId="0" fontId="8" fillId="0" borderId="45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61" fillId="0" borderId="45" xfId="1" applyFont="1" applyAlignment="1">
      <alignment vertical="center" wrapText="1"/>
    </xf>
    <xf numFmtId="0" fontId="60" fillId="0" borderId="45" xfId="1"/>
    <xf numFmtId="0" fontId="64" fillId="0" borderId="45" xfId="1" applyFont="1" applyAlignment="1">
      <alignment horizontal="center" vertical="top" wrapText="1"/>
    </xf>
    <xf numFmtId="0" fontId="66" fillId="0" borderId="45" xfId="1" applyFont="1" applyAlignment="1">
      <alignment vertical="center" wrapText="1"/>
    </xf>
    <xf numFmtId="0" fontId="67" fillId="0" borderId="45" xfId="1" applyFont="1" applyAlignment="1">
      <alignment horizontal="center" vertical="center" wrapText="1"/>
    </xf>
    <xf numFmtId="0" fontId="61" fillId="0" borderId="45" xfId="1" applyFont="1" applyAlignment="1">
      <alignment horizontal="center" vertical="center" wrapText="1"/>
    </xf>
    <xf numFmtId="0" fontId="68" fillId="0" borderId="45" xfId="1" applyFont="1" applyAlignment="1">
      <alignment horizontal="left" vertical="center" wrapText="1"/>
    </xf>
    <xf numFmtId="0" fontId="69" fillId="30" borderId="14" xfId="1" applyFont="1" applyFill="1" applyBorder="1" applyAlignment="1">
      <alignment horizontal="center" vertical="center" wrapText="1"/>
    </xf>
    <xf numFmtId="0" fontId="69" fillId="30" borderId="4" xfId="1" applyFont="1" applyFill="1" applyBorder="1" applyAlignment="1">
      <alignment horizontal="center" vertical="center" wrapText="1"/>
    </xf>
    <xf numFmtId="0" fontId="69" fillId="30" borderId="9" xfId="1" applyFont="1" applyFill="1" applyBorder="1" applyAlignment="1">
      <alignment horizontal="center" vertical="center" wrapText="1"/>
    </xf>
    <xf numFmtId="0" fontId="69" fillId="30" borderId="15" xfId="1" applyFont="1" applyFill="1" applyBorder="1" applyAlignment="1">
      <alignment horizontal="center" vertical="center" wrapText="1"/>
    </xf>
    <xf numFmtId="177" fontId="58" fillId="0" borderId="2" xfId="1" applyNumberFormat="1" applyFont="1" applyBorder="1" applyAlignment="1">
      <alignment horizontal="center" vertical="center" wrapText="1"/>
    </xf>
    <xf numFmtId="0" fontId="61" fillId="0" borderId="10" xfId="1" applyFont="1" applyBorder="1" applyAlignment="1">
      <alignment horizontal="center" vertical="center" wrapText="1"/>
    </xf>
    <xf numFmtId="0" fontId="69" fillId="30" borderId="16" xfId="1" applyFont="1" applyFill="1" applyBorder="1" applyAlignment="1">
      <alignment horizontal="center" vertical="center" wrapText="1"/>
    </xf>
    <xf numFmtId="177" fontId="59" fillId="0" borderId="3" xfId="1" applyNumberFormat="1" applyFont="1" applyBorder="1" applyAlignment="1">
      <alignment horizontal="center" vertical="center" wrapText="1"/>
    </xf>
    <xf numFmtId="0" fontId="61" fillId="0" borderId="11" xfId="1" applyFont="1" applyBorder="1" applyAlignment="1">
      <alignment horizontal="center" vertical="center" wrapText="1"/>
    </xf>
    <xf numFmtId="9" fontId="70" fillId="0" borderId="45" xfId="1" applyNumberFormat="1" applyFont="1" applyAlignment="1">
      <alignment vertical="center" wrapText="1"/>
    </xf>
    <xf numFmtId="0" fontId="70" fillId="0" borderId="45" xfId="1" applyFont="1"/>
    <xf numFmtId="0" fontId="70" fillId="0" borderId="45" xfId="1" applyFont="1" applyAlignment="1">
      <alignment vertical="center" wrapText="1"/>
    </xf>
    <xf numFmtId="178" fontId="61" fillId="0" borderId="38" xfId="1" applyNumberFormat="1" applyFont="1" applyBorder="1" applyAlignment="1">
      <alignment horizontal="center" vertical="center" wrapText="1"/>
    </xf>
    <xf numFmtId="0" fontId="68" fillId="0" borderId="45" xfId="1" applyFont="1" applyAlignment="1">
      <alignment horizontal="center" vertical="center" wrapText="1"/>
    </xf>
    <xf numFmtId="176" fontId="61" fillId="0" borderId="45" xfId="1" applyNumberFormat="1" applyFont="1" applyAlignment="1">
      <alignment horizontal="center" vertical="center" wrapText="1"/>
    </xf>
    <xf numFmtId="0" fontId="69" fillId="31" borderId="15" xfId="1" applyFont="1" applyFill="1" applyBorder="1" applyAlignment="1">
      <alignment horizontal="center" vertical="center" wrapText="1"/>
    </xf>
    <xf numFmtId="177" fontId="61" fillId="0" borderId="2" xfId="1" applyNumberFormat="1" applyFont="1" applyBorder="1" applyAlignment="1">
      <alignment horizontal="center" vertical="center" wrapText="1"/>
    </xf>
    <xf numFmtId="178" fontId="61" fillId="0" borderId="10" xfId="1" applyNumberFormat="1" applyFont="1" applyBorder="1" applyAlignment="1">
      <alignment horizontal="center" vertical="center" wrapText="1"/>
    </xf>
    <xf numFmtId="0" fontId="69" fillId="31" borderId="16" xfId="1" applyFont="1" applyFill="1" applyBorder="1" applyAlignment="1">
      <alignment horizontal="center" vertical="center" wrapText="1"/>
    </xf>
    <xf numFmtId="177" fontId="61" fillId="0" borderId="3" xfId="1" applyNumberFormat="1" applyFont="1" applyBorder="1" applyAlignment="1">
      <alignment horizontal="center" vertical="center" wrapText="1"/>
    </xf>
    <xf numFmtId="178" fontId="61" fillId="0" borderId="11" xfId="1" applyNumberFormat="1" applyFont="1" applyBorder="1" applyAlignment="1">
      <alignment horizontal="center" vertical="center" wrapText="1"/>
    </xf>
    <xf numFmtId="0" fontId="61" fillId="31" borderId="15" xfId="1" applyFont="1" applyFill="1" applyBorder="1" applyAlignment="1">
      <alignment horizontal="center" vertical="center" wrapText="1"/>
    </xf>
    <xf numFmtId="0" fontId="61" fillId="31" borderId="2" xfId="1" applyFont="1" applyFill="1" applyBorder="1" applyAlignment="1">
      <alignment horizontal="center" vertical="center" wrapText="1"/>
    </xf>
    <xf numFmtId="0" fontId="61" fillId="31" borderId="10" xfId="1" applyFont="1" applyFill="1" applyBorder="1" applyAlignment="1">
      <alignment horizontal="center" vertical="center" wrapText="1"/>
    </xf>
    <xf numFmtId="0" fontId="61" fillId="0" borderId="2" xfId="1" applyFont="1" applyBorder="1" applyAlignment="1">
      <alignment horizontal="center" vertical="center" wrapText="1"/>
    </xf>
    <xf numFmtId="0" fontId="61" fillId="31" borderId="16" xfId="1" applyFont="1" applyFill="1" applyBorder="1" applyAlignment="1">
      <alignment horizontal="center" vertical="center" wrapText="1"/>
    </xf>
    <xf numFmtId="0" fontId="61" fillId="0" borderId="3" xfId="1" applyFont="1" applyBorder="1" applyAlignment="1">
      <alignment horizontal="center" vertical="center" wrapText="1"/>
    </xf>
    <xf numFmtId="0" fontId="69" fillId="31" borderId="14" xfId="1" applyFont="1" applyFill="1" applyBorder="1" applyAlignment="1">
      <alignment horizontal="center" vertical="center" wrapText="1"/>
    </xf>
    <xf numFmtId="176" fontId="61" fillId="31" borderId="4" xfId="1" applyNumberFormat="1" applyFont="1" applyFill="1" applyBorder="1" applyAlignment="1">
      <alignment horizontal="center" vertical="center" wrapText="1"/>
    </xf>
    <xf numFmtId="176" fontId="61" fillId="31" borderId="9" xfId="1" applyNumberFormat="1" applyFont="1" applyFill="1" applyBorder="1" applyAlignment="1">
      <alignment horizontal="center" vertical="center" wrapText="1"/>
    </xf>
    <xf numFmtId="0" fontId="69" fillId="0" borderId="45" xfId="1" applyFont="1" applyAlignment="1">
      <alignment horizontal="center" vertical="center" wrapText="1"/>
    </xf>
    <xf numFmtId="177" fontId="61" fillId="0" borderId="45" xfId="1" applyNumberFormat="1" applyFont="1" applyAlignment="1">
      <alignment horizontal="center" vertical="center" wrapText="1"/>
    </xf>
    <xf numFmtId="177" fontId="61" fillId="0" borderId="10" xfId="0" applyNumberFormat="1" applyFont="1" applyBorder="1" applyAlignment="1">
      <alignment horizontal="center" vertical="center" wrapText="1"/>
    </xf>
    <xf numFmtId="177" fontId="61" fillId="0" borderId="11" xfId="0" applyNumberFormat="1" applyFont="1" applyBorder="1" applyAlignment="1">
      <alignment horizontal="center" vertical="center" wrapText="1"/>
    </xf>
    <xf numFmtId="177" fontId="61" fillId="0" borderId="2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177" fontId="3" fillId="0" borderId="14" xfId="0" applyNumberFormat="1" applyFont="1" applyBorder="1" applyAlignment="1">
      <alignment horizontal="center" vertical="center"/>
    </xf>
    <xf numFmtId="177" fontId="3" fillId="0" borderId="15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7" fontId="3" fillId="0" borderId="16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79" fontId="7" fillId="2" borderId="4" xfId="0" applyNumberFormat="1" applyFont="1" applyFill="1" applyBorder="1" applyAlignment="1">
      <alignment horizontal="center" vertical="center" wrapText="1"/>
    </xf>
    <xf numFmtId="177" fontId="16" fillId="2" borderId="46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7" fontId="61" fillId="0" borderId="3" xfId="0" applyNumberFormat="1" applyFont="1" applyBorder="1" applyAlignment="1">
      <alignment horizontal="center" vertical="center" wrapText="1"/>
    </xf>
    <xf numFmtId="177" fontId="3" fillId="0" borderId="41" xfId="0" applyNumberFormat="1" applyFont="1" applyBorder="1" applyAlignment="1">
      <alignment horizontal="center" vertical="center"/>
    </xf>
    <xf numFmtId="177" fontId="3" fillId="0" borderId="62" xfId="0" applyNumberFormat="1" applyFont="1" applyBorder="1" applyAlignment="1">
      <alignment horizontal="center" vertical="center"/>
    </xf>
    <xf numFmtId="0" fontId="9" fillId="0" borderId="39" xfId="0" applyFont="1" applyBorder="1" applyAlignment="1">
      <alignment horizontal="left" vertical="center" wrapText="1"/>
    </xf>
    <xf numFmtId="0" fontId="9" fillId="0" borderId="66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left" vertical="center" wrapText="1"/>
    </xf>
    <xf numFmtId="0" fontId="9" fillId="0" borderId="67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39" xfId="0" applyFont="1" applyBorder="1" applyAlignment="1">
      <alignment vertical="center" wrapText="1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0" borderId="72" xfId="0" applyFont="1" applyBorder="1" applyAlignment="1">
      <alignment horizontal="center" vertical="center" wrapText="1"/>
    </xf>
    <xf numFmtId="0" fontId="9" fillId="0" borderId="73" xfId="0" applyFont="1" applyBorder="1" applyAlignment="1">
      <alignment horizontal="center" vertical="center" wrapText="1"/>
    </xf>
    <xf numFmtId="0" fontId="9" fillId="0" borderId="71" xfId="0" applyFont="1" applyBorder="1" applyAlignment="1">
      <alignment horizontal="center" vertical="center" wrapText="1"/>
    </xf>
    <xf numFmtId="0" fontId="9" fillId="33" borderId="4" xfId="0" applyFont="1" applyFill="1" applyBorder="1" applyAlignment="1">
      <alignment vertical="center" wrapText="1"/>
    </xf>
    <xf numFmtId="177" fontId="9" fillId="33" borderId="46" xfId="0" applyNumberFormat="1" applyFont="1" applyFill="1" applyBorder="1" applyAlignment="1">
      <alignment vertical="center" wrapText="1"/>
    </xf>
    <xf numFmtId="177" fontId="7" fillId="33" borderId="46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80" fontId="7" fillId="33" borderId="4" xfId="0" applyNumberFormat="1" applyFont="1" applyFill="1" applyBorder="1" applyAlignment="1">
      <alignment horizontal="center" vertical="center"/>
    </xf>
    <xf numFmtId="0" fontId="9" fillId="0" borderId="69" xfId="0" applyFont="1" applyBorder="1" applyAlignment="1">
      <alignment horizontal="left" vertical="center" wrapText="1"/>
    </xf>
    <xf numFmtId="0" fontId="9" fillId="0" borderId="65" xfId="0" applyFont="1" applyBorder="1" applyAlignment="1">
      <alignment vertical="center" wrapText="1"/>
    </xf>
    <xf numFmtId="0" fontId="9" fillId="0" borderId="68" xfId="0" applyFont="1" applyBorder="1" applyAlignment="1">
      <alignment vertical="center" wrapText="1"/>
    </xf>
    <xf numFmtId="0" fontId="9" fillId="0" borderId="69" xfId="0" applyFont="1" applyBorder="1" applyAlignment="1">
      <alignment vertical="center" wrapText="1"/>
    </xf>
    <xf numFmtId="0" fontId="9" fillId="34" borderId="65" xfId="0" applyFont="1" applyFill="1" applyBorder="1" applyAlignment="1">
      <alignment vertical="center" wrapText="1"/>
    </xf>
    <xf numFmtId="0" fontId="9" fillId="0" borderId="74" xfId="0" applyFont="1" applyBorder="1" applyAlignment="1"/>
    <xf numFmtId="0" fontId="11" fillId="0" borderId="74" xfId="0" applyFont="1" applyBorder="1" applyAlignment="1"/>
    <xf numFmtId="0" fontId="14" fillId="0" borderId="75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7" fillId="2" borderId="77" xfId="0" applyFont="1" applyFill="1" applyBorder="1" applyAlignment="1">
      <alignment horizontal="center" vertical="center" wrapText="1"/>
    </xf>
    <xf numFmtId="0" fontId="7" fillId="2" borderId="78" xfId="0" applyFont="1" applyFill="1" applyBorder="1" applyAlignment="1">
      <alignment horizontal="center" vertical="center" wrapText="1"/>
    </xf>
    <xf numFmtId="0" fontId="7" fillId="2" borderId="80" xfId="0" applyFont="1" applyFill="1" applyBorder="1" applyAlignment="1">
      <alignment horizontal="center" vertical="center" wrapText="1"/>
    </xf>
    <xf numFmtId="0" fontId="7" fillId="2" borderId="82" xfId="0" applyFont="1" applyFill="1" applyBorder="1" applyAlignment="1">
      <alignment horizontal="center" vertical="center" wrapText="1"/>
    </xf>
    <xf numFmtId="0" fontId="75" fillId="0" borderId="84" xfId="0" applyFont="1" applyBorder="1" applyAlignment="1">
      <alignment horizontal="center" vertical="center" wrapText="1"/>
    </xf>
    <xf numFmtId="0" fontId="75" fillId="0" borderId="85" xfId="0" applyFont="1" applyBorder="1" applyAlignment="1">
      <alignment horizontal="center" vertical="center" wrapText="1"/>
    </xf>
    <xf numFmtId="0" fontId="75" fillId="0" borderId="86" xfId="0" applyFont="1" applyBorder="1" applyAlignment="1">
      <alignment horizontal="center" vertical="center" wrapText="1"/>
    </xf>
    <xf numFmtId="0" fontId="75" fillId="0" borderId="87" xfId="0" applyFont="1" applyBorder="1" applyAlignment="1">
      <alignment horizontal="center" vertical="center" wrapText="1"/>
    </xf>
    <xf numFmtId="0" fontId="75" fillId="0" borderId="88" xfId="0" applyFont="1" applyBorder="1" applyAlignment="1">
      <alignment horizontal="center" vertical="center" wrapText="1"/>
    </xf>
    <xf numFmtId="179" fontId="7" fillId="2" borderId="90" xfId="0" applyNumberFormat="1" applyFont="1" applyFill="1" applyBorder="1" applyAlignment="1">
      <alignment horizontal="center" vertical="center" wrapText="1"/>
    </xf>
    <xf numFmtId="177" fontId="16" fillId="2" borderId="92" xfId="0" applyNumberFormat="1" applyFont="1" applyFill="1" applyBorder="1" applyAlignment="1">
      <alignment horizontal="center" vertical="center" wrapText="1"/>
    </xf>
    <xf numFmtId="0" fontId="7" fillId="2" borderId="96" xfId="0" applyFont="1" applyFill="1" applyBorder="1" applyAlignment="1">
      <alignment horizontal="center" vertical="center" wrapText="1"/>
    </xf>
    <xf numFmtId="0" fontId="9" fillId="0" borderId="84" xfId="0" applyFont="1" applyBorder="1" applyAlignment="1">
      <alignment horizontal="left" wrapText="1"/>
    </xf>
    <xf numFmtId="0" fontId="9" fillId="0" borderId="85" xfId="0" applyFont="1" applyBorder="1" applyAlignment="1">
      <alignment horizontal="left" vertical="center" wrapText="1"/>
    </xf>
    <xf numFmtId="0" fontId="9" fillId="0" borderId="80" xfId="0" applyFont="1" applyBorder="1" applyAlignment="1">
      <alignment horizontal="left" vertical="center" wrapText="1"/>
    </xf>
    <xf numFmtId="0" fontId="9" fillId="0" borderId="85" xfId="0" applyFont="1" applyBorder="1" applyAlignment="1">
      <alignment horizontal="left" wrapText="1"/>
    </xf>
    <xf numFmtId="0" fontId="9" fillId="0" borderId="86" xfId="0" applyFont="1" applyBorder="1" applyAlignment="1">
      <alignment horizontal="left" vertical="center" wrapText="1"/>
    </xf>
    <xf numFmtId="0" fontId="9" fillId="33" borderId="90" xfId="0" applyFont="1" applyFill="1" applyBorder="1" applyAlignment="1">
      <alignment vertical="center" wrapText="1"/>
    </xf>
    <xf numFmtId="177" fontId="9" fillId="33" borderId="92" xfId="0" applyNumberFormat="1" applyFont="1" applyFill="1" applyBorder="1" applyAlignment="1">
      <alignment vertical="center" wrapText="1"/>
    </xf>
    <xf numFmtId="0" fontId="9" fillId="0" borderId="85" xfId="0" quotePrefix="1" applyFont="1" applyBorder="1" applyAlignment="1">
      <alignment horizontal="left" wrapText="1"/>
    </xf>
    <xf numFmtId="0" fontId="9" fillId="0" borderId="86" xfId="0" applyFont="1" applyBorder="1" applyAlignment="1">
      <alignment horizontal="left" wrapText="1"/>
    </xf>
    <xf numFmtId="0" fontId="12" fillId="0" borderId="0" xfId="0" applyFont="1" applyAlignment="1">
      <alignment horizontal="center" vertical="center"/>
    </xf>
    <xf numFmtId="0" fontId="0" fillId="0" borderId="0" xfId="0" applyAlignment="1"/>
    <xf numFmtId="0" fontId="28" fillId="0" borderId="0" xfId="0" applyFont="1" applyAlignment="1">
      <alignment horizontal="center" vertical="top"/>
    </xf>
    <xf numFmtId="0" fontId="29" fillId="0" borderId="0" xfId="0" applyFont="1" applyAlignment="1">
      <alignment horizontal="left"/>
    </xf>
    <xf numFmtId="3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7" fillId="2" borderId="14" xfId="0" applyFont="1" applyFill="1" applyBorder="1" applyAlignment="1">
      <alignment horizontal="center" vertical="center"/>
    </xf>
    <xf numFmtId="0" fontId="0" fillId="0" borderId="18" xfId="0" applyBorder="1" applyAlignment="1"/>
    <xf numFmtId="0" fontId="7" fillId="2" borderId="4" xfId="0" applyFont="1" applyFill="1" applyBorder="1" applyAlignment="1">
      <alignment horizontal="center" vertical="center"/>
    </xf>
    <xf numFmtId="0" fontId="0" fillId="0" borderId="42" xfId="0" applyBorder="1" applyAlignment="1"/>
    <xf numFmtId="0" fontId="0" fillId="0" borderId="41" xfId="0" applyBorder="1" applyAlignment="1"/>
    <xf numFmtId="0" fontId="7" fillId="2" borderId="9" xfId="0" applyFont="1" applyFill="1" applyBorder="1" applyAlignment="1">
      <alignment horizontal="center" vertical="center"/>
    </xf>
    <xf numFmtId="0" fontId="0" fillId="0" borderId="19" xfId="0" applyBorder="1" applyAlignment="1"/>
    <xf numFmtId="0" fontId="53" fillId="27" borderId="44" xfId="0" applyFont="1" applyFill="1" applyBorder="1" applyAlignment="1">
      <alignment horizontal="center" vertical="center"/>
    </xf>
    <xf numFmtId="0" fontId="0" fillId="0" borderId="22" xfId="0" applyBorder="1" applyAlignment="1"/>
    <xf numFmtId="0" fontId="0" fillId="0" borderId="35" xfId="0" applyBorder="1" applyAlignment="1"/>
    <xf numFmtId="0" fontId="72" fillId="0" borderId="45" xfId="1" applyFont="1" applyAlignment="1">
      <alignment horizontal="center" vertical="center" wrapText="1"/>
    </xf>
    <xf numFmtId="0" fontId="60" fillId="0" borderId="45" xfId="1"/>
    <xf numFmtId="0" fontId="63" fillId="0" borderId="45" xfId="1" applyFont="1" applyAlignment="1">
      <alignment horizontal="center" vertical="center" wrapText="1"/>
    </xf>
    <xf numFmtId="0" fontId="65" fillId="0" borderId="45" xfId="1" applyFont="1" applyAlignment="1">
      <alignment horizontal="left" vertical="center"/>
    </xf>
    <xf numFmtId="0" fontId="69" fillId="31" borderId="43" xfId="1" applyFont="1" applyFill="1" applyBorder="1" applyAlignment="1">
      <alignment horizontal="center" vertical="center" wrapText="1"/>
    </xf>
    <xf numFmtId="0" fontId="71" fillId="0" borderId="41" xfId="1" applyFont="1" applyBorder="1"/>
    <xf numFmtId="0" fontId="72" fillId="32" borderId="43" xfId="1" applyFont="1" applyFill="1" applyBorder="1" applyAlignment="1">
      <alignment horizontal="center" vertical="center" wrapText="1"/>
    </xf>
    <xf numFmtId="0" fontId="71" fillId="0" borderId="42" xfId="1" applyFont="1" applyBorder="1"/>
    <xf numFmtId="0" fontId="71" fillId="0" borderId="38" xfId="1" applyFont="1" applyBorder="1"/>
    <xf numFmtId="0" fontId="7" fillId="2" borderId="89" xfId="0" applyFont="1" applyFill="1" applyBorder="1" applyAlignment="1">
      <alignment horizontal="center" vertical="center" wrapText="1"/>
    </xf>
    <xf numFmtId="0" fontId="0" fillId="0" borderId="91" xfId="0" applyBorder="1" applyAlignment="1"/>
    <xf numFmtId="0" fontId="9" fillId="33" borderId="4" xfId="0" applyFont="1" applyFill="1" applyBorder="1" applyAlignment="1">
      <alignment horizontal="center" vertical="center" wrapText="1"/>
    </xf>
    <xf numFmtId="0" fontId="9" fillId="33" borderId="4" xfId="0" applyFont="1" applyFill="1" applyBorder="1" applyAlignment="1">
      <alignment horizontal="left" vertical="center" wrapText="1"/>
    </xf>
    <xf numFmtId="0" fontId="9" fillId="33" borderId="46" xfId="0" applyFont="1" applyFill="1" applyBorder="1" applyAlignment="1">
      <alignment horizontal="center" vertical="center" wrapText="1"/>
    </xf>
    <xf numFmtId="0" fontId="9" fillId="33" borderId="46" xfId="0" applyFont="1" applyFill="1" applyBorder="1" applyAlignment="1">
      <alignment horizontal="left" vertical="center" wrapText="1"/>
    </xf>
    <xf numFmtId="0" fontId="7" fillId="2" borderId="83" xfId="0" applyFont="1" applyFill="1" applyBorder="1" applyAlignment="1">
      <alignment horizontal="center" vertical="center" wrapText="1"/>
    </xf>
    <xf numFmtId="0" fontId="7" fillId="2" borderId="58" xfId="0" applyFont="1" applyFill="1" applyBorder="1" applyAlignment="1">
      <alignment horizontal="center" vertical="center" wrapText="1"/>
    </xf>
    <xf numFmtId="0" fontId="7" fillId="2" borderId="61" xfId="0" applyFont="1" applyFill="1" applyBorder="1" applyAlignment="1">
      <alignment horizontal="center" vertical="center" wrapText="1"/>
    </xf>
    <xf numFmtId="0" fontId="7" fillId="3" borderId="83" xfId="0" applyFont="1" applyFill="1" applyBorder="1" applyAlignment="1">
      <alignment horizontal="center" vertical="center" wrapText="1"/>
    </xf>
    <xf numFmtId="0" fontId="7" fillId="3" borderId="58" xfId="0" applyFont="1" applyFill="1" applyBorder="1" applyAlignment="1">
      <alignment horizontal="center" vertical="center" wrapText="1"/>
    </xf>
    <xf numFmtId="0" fontId="7" fillId="3" borderId="61" xfId="0" applyFont="1" applyFill="1" applyBorder="1" applyAlignment="1">
      <alignment horizontal="center" vertical="center" wrapText="1"/>
    </xf>
    <xf numFmtId="0" fontId="17" fillId="3" borderId="83" xfId="0" applyFont="1" applyFill="1" applyBorder="1" applyAlignment="1">
      <alignment horizontal="center" vertical="center" wrapText="1"/>
    </xf>
    <xf numFmtId="0" fontId="17" fillId="3" borderId="61" xfId="0" applyFont="1" applyFill="1" applyBorder="1" applyAlignment="1">
      <alignment horizontal="center" vertical="center" wrapText="1"/>
    </xf>
    <xf numFmtId="0" fontId="17" fillId="3" borderId="58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7" fillId="2" borderId="76" xfId="0" applyFont="1" applyFill="1" applyBorder="1" applyAlignment="1">
      <alignment horizontal="center" vertical="center" wrapText="1"/>
    </xf>
    <xf numFmtId="0" fontId="0" fillId="0" borderId="79" xfId="0" applyBorder="1" applyAlignment="1"/>
    <xf numFmtId="0" fontId="0" fillId="0" borderId="81" xfId="0" applyBorder="1" applyAlignment="1"/>
    <xf numFmtId="0" fontId="7" fillId="2" borderId="77" xfId="0" applyFont="1" applyFill="1" applyBorder="1" applyAlignment="1">
      <alignment horizontal="center" vertical="center" wrapText="1"/>
    </xf>
    <xf numFmtId="0" fontId="0" fillId="0" borderId="36" xfId="0" applyBorder="1" applyAlignment="1"/>
    <xf numFmtId="0" fontId="0" fillId="0" borderId="5" xfId="0" applyBorder="1" applyAlignment="1"/>
    <xf numFmtId="177" fontId="8" fillId="4" borderId="43" xfId="0" applyNumberFormat="1" applyFont="1" applyFill="1" applyBorder="1" applyAlignment="1">
      <alignment horizontal="center" vertical="center"/>
    </xf>
    <xf numFmtId="0" fontId="0" fillId="0" borderId="48" xfId="0" applyBorder="1" applyAlignment="1"/>
    <xf numFmtId="0" fontId="57" fillId="29" borderId="50" xfId="0" applyFont="1" applyFill="1" applyBorder="1" applyAlignment="1">
      <alignment horizontal="center" vertical="center" wrapText="1"/>
    </xf>
    <xf numFmtId="9" fontId="57" fillId="29" borderId="51" xfId="0" applyNumberFormat="1" applyFont="1" applyFill="1" applyBorder="1" applyAlignment="1">
      <alignment horizontal="center" vertical="center" wrapText="1"/>
    </xf>
    <xf numFmtId="9" fontId="57" fillId="29" borderId="48" xfId="0" applyNumberFormat="1" applyFont="1" applyFill="1" applyBorder="1" applyAlignment="1">
      <alignment horizontal="center" vertical="center"/>
    </xf>
    <xf numFmtId="9" fontId="57" fillId="29" borderId="49" xfId="0" applyNumberFormat="1" applyFont="1" applyFill="1" applyBorder="1" applyAlignment="1">
      <alignment horizontal="center" vertical="center"/>
    </xf>
    <xf numFmtId="9" fontId="57" fillId="29" borderId="47" xfId="0" applyNumberFormat="1" applyFont="1" applyFill="1" applyBorder="1" applyAlignment="1">
      <alignment horizontal="center" vertical="center" wrapText="1"/>
    </xf>
    <xf numFmtId="9" fontId="57" fillId="29" borderId="52" xfId="0" applyNumberFormat="1" applyFont="1" applyFill="1" applyBorder="1" applyAlignment="1">
      <alignment horizontal="center" vertical="center"/>
    </xf>
    <xf numFmtId="9" fontId="57" fillId="29" borderId="63" xfId="0" applyNumberFormat="1" applyFont="1" applyFill="1" applyBorder="1" applyAlignment="1">
      <alignment horizontal="center" vertical="center"/>
    </xf>
    <xf numFmtId="9" fontId="57" fillId="29" borderId="64" xfId="0" applyNumberFormat="1" applyFont="1" applyFill="1" applyBorder="1" applyAlignment="1">
      <alignment horizontal="center" vertical="center"/>
    </xf>
    <xf numFmtId="9" fontId="57" fillId="29" borderId="51" xfId="0" applyNumberFormat="1" applyFont="1" applyFill="1" applyBorder="1" applyAlignment="1">
      <alignment horizontal="center" vertical="center"/>
    </xf>
    <xf numFmtId="9" fontId="8" fillId="4" borderId="52" xfId="0" applyNumberFormat="1" applyFont="1" applyFill="1" applyBorder="1" applyAlignment="1">
      <alignment horizontal="center" vertical="center"/>
    </xf>
    <xf numFmtId="0" fontId="11" fillId="0" borderId="36" xfId="0" applyFont="1" applyBorder="1" applyAlignment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7" fillId="2" borderId="93" xfId="0" applyFont="1" applyFill="1" applyBorder="1" applyAlignment="1">
      <alignment horizontal="center" vertical="center" wrapText="1"/>
    </xf>
    <xf numFmtId="0" fontId="11" fillId="0" borderId="79" xfId="0" applyFont="1" applyBorder="1" applyAlignment="1"/>
    <xf numFmtId="0" fontId="11" fillId="0" borderId="95" xfId="0" applyFont="1" applyBorder="1" applyAlignment="1"/>
    <xf numFmtId="0" fontId="7" fillId="2" borderId="94" xfId="0" applyFont="1" applyFill="1" applyBorder="1" applyAlignment="1">
      <alignment horizontal="center" vertical="center" wrapText="1"/>
    </xf>
    <xf numFmtId="0" fontId="11" fillId="0" borderId="70" xfId="0" applyFont="1" applyBorder="1" applyAlignment="1"/>
    <xf numFmtId="0" fontId="7" fillId="3" borderId="95" xfId="0" applyFont="1" applyFill="1" applyBorder="1" applyAlignment="1">
      <alignment horizontal="center" vertical="center" wrapText="1"/>
    </xf>
    <xf numFmtId="0" fontId="11" fillId="0" borderId="91" xfId="0" applyFont="1" applyBorder="1" applyAlignment="1"/>
    <xf numFmtId="0" fontId="7" fillId="33" borderId="4" xfId="0" applyFont="1" applyFill="1" applyBorder="1" applyAlignment="1">
      <alignment horizontal="center" vertical="center" wrapText="1"/>
    </xf>
    <xf numFmtId="0" fontId="7" fillId="33" borderId="4" xfId="0" applyFont="1" applyFill="1" applyBorder="1" applyAlignment="1">
      <alignment horizontal="left" vertical="center" wrapText="1"/>
    </xf>
    <xf numFmtId="0" fontId="7" fillId="33" borderId="5" xfId="0" applyFont="1" applyFill="1" applyBorder="1" applyAlignment="1">
      <alignment horizontal="left" vertical="center" wrapText="1"/>
    </xf>
    <xf numFmtId="0" fontId="7" fillId="33" borderId="46" xfId="0" applyFont="1" applyFill="1" applyBorder="1" applyAlignment="1">
      <alignment horizontal="center" vertical="center" wrapText="1"/>
    </xf>
    <xf numFmtId="0" fontId="7" fillId="33" borderId="46" xfId="0" applyFont="1" applyFill="1" applyBorder="1" applyAlignment="1">
      <alignment horizontal="left" vertical="center" wrapText="1"/>
    </xf>
    <xf numFmtId="0" fontId="7" fillId="2" borderId="97" xfId="0" applyFont="1" applyFill="1" applyBorder="1" applyAlignment="1">
      <alignment horizontal="center" vertical="center" wrapText="1"/>
    </xf>
    <xf numFmtId="0" fontId="11" fillId="0" borderId="58" xfId="0" applyFont="1" applyBorder="1" applyAlignment="1">
      <alignment wrapText="1"/>
    </xf>
    <xf numFmtId="0" fontId="7" fillId="3" borderId="53" xfId="0" applyFont="1" applyFill="1" applyBorder="1" applyAlignment="1">
      <alignment horizontal="center" vertical="center" wrapText="1"/>
    </xf>
    <xf numFmtId="0" fontId="7" fillId="3" borderId="54" xfId="0" applyFont="1" applyFill="1" applyBorder="1" applyAlignment="1">
      <alignment horizontal="center" vertical="center" wrapText="1"/>
    </xf>
    <xf numFmtId="0" fontId="7" fillId="3" borderId="55" xfId="0" applyFont="1" applyFill="1" applyBorder="1" applyAlignment="1">
      <alignment horizontal="center" vertical="center" wrapText="1"/>
    </xf>
    <xf numFmtId="0" fontId="7" fillId="3" borderId="56" xfId="0" applyFont="1" applyFill="1" applyBorder="1" applyAlignment="1">
      <alignment horizontal="center" vertical="center" wrapText="1"/>
    </xf>
    <xf numFmtId="0" fontId="7" fillId="3" borderId="57" xfId="0" applyFont="1" applyFill="1" applyBorder="1" applyAlignment="1">
      <alignment horizontal="center" vertical="center" wrapText="1"/>
    </xf>
    <xf numFmtId="0" fontId="7" fillId="3" borderId="59" xfId="0" applyFont="1" applyFill="1" applyBorder="1" applyAlignment="1">
      <alignment horizontal="center" vertical="center" wrapText="1"/>
    </xf>
    <xf numFmtId="0" fontId="7" fillId="3" borderId="60" xfId="0" applyFont="1" applyFill="1" applyBorder="1" applyAlignment="1">
      <alignment horizontal="center" vertical="center" wrapText="1"/>
    </xf>
    <xf numFmtId="0" fontId="7" fillId="3" borderId="98" xfId="0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1" xfId="0" applyFont="1" applyBorder="1" applyAlignment="1">
      <alignment horizontal="center" vertical="center" wrapText="1"/>
    </xf>
    <xf numFmtId="0" fontId="9" fillId="0" borderId="66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73" xfId="0" applyFont="1" applyBorder="1" applyAlignment="1">
      <alignment horizontal="center" vertical="center" wrapText="1"/>
    </xf>
    <xf numFmtId="0" fontId="9" fillId="0" borderId="6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wrapText="1" vertical="center"/>
    </xf>
    <xf numFmtId="0" fontId="9" fillId="0" borderId="84" xfId="0" applyFont="1" applyBorder="1" applyAlignment="1">
      <alignment horizontal="left" wrapText="1" vertical="center"/>
    </xf>
    <xf numFmtId="0" fontId="9" fillId="0" borderId="2" xfId="0" applyFont="1" applyBorder="1" applyAlignment="1">
      <alignment horizontal="left" vertical="center" wrapText="1"/>
    </xf>
    <xf numFmtId="0" fontId="9" fillId="0" borderId="85" xfId="0" applyFont="1" applyBorder="1" applyAlignment="1">
      <alignment horizontal="left" vertical="center" wrapText="1"/>
    </xf>
    <xf numFmtId="0" fontId="9" fillId="0" borderId="80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wrapText="1" vertical="center"/>
    </xf>
    <xf numFmtId="0" fontId="9" fillId="0" borderId="85" xfId="0" applyFont="1" applyBorder="1" applyAlignment="1">
      <alignment horizontal="left" wrapText="1" vertical="center"/>
    </xf>
    <xf numFmtId="0" fontId="9" fillId="0" borderId="85" xfId="0" quotePrefix="1" applyFont="1" applyBorder="1" applyAlignment="1">
      <alignment horizontal="left" wrapText="1" vertical="center"/>
    </xf>
    <xf numFmtId="0" fontId="9" fillId="0" borderId="3" xfId="0" applyFont="1" applyBorder="1" applyAlignment="1">
      <alignment horizontal="left" wrapText="1" vertical="center"/>
    </xf>
    <xf numFmtId="0" fontId="9" fillId="0" borderId="86" xfId="0" applyFont="1" applyBorder="1" applyAlignment="1">
      <alignment horizontal="left" wrapText="1" vertical="center"/>
    </xf>
    <xf numFmtId="0" fontId="9" fillId="0" borderId="3" xfId="0" applyFont="1" applyBorder="1" applyAlignment="1">
      <alignment horizontal="left" vertical="center" wrapText="1"/>
    </xf>
    <xf numFmtId="0" fontId="9" fillId="0" borderId="86" xfId="0" applyFont="1" applyBorder="1" applyAlignment="1">
      <alignment horizontal="left" vertical="center" wrapText="1"/>
    </xf>
    <xf numFmtId="0" fontId="9" fillId="0" borderId="7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1" fillId="0" borderId="7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8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8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8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87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88" xfId="0" applyFont="1" applyBorder="1" applyAlignment="1">
      <alignment horizontal="center" vertical="center" wrapText="1"/>
    </xf>
    <xf numFmtId="1" fontId="7" fillId="33" borderId="4" xfId="0" applyNumberFormat="1" applyFont="1" applyFill="1" applyBorder="1" applyAlignment="1">
      <alignment horizontal="center" vertical="center"/>
    </xf>
    <xf numFmtId="1" fontId="7" fillId="2" borderId="4" xfId="0" applyNumberFormat="1" applyFont="1" applyFill="1" applyBorder="1" applyAlignment="1">
      <alignment horizontal="center" vertical="center" wrapText="1"/>
    </xf>
    <xf numFmtId="1" fontId="7" fillId="2" borderId="90" xfId="0" applyNumberFormat="1" applyFont="1" applyFill="1" applyBorder="1" applyAlignment="1">
      <alignment horizontal="center" vertical="center" wrapText="1"/>
    </xf>
    <xf numFmtId="0" fontId="7" fillId="33" borderId="4" xfId="0" applyFont="1" applyFill="1" applyBorder="1" applyAlignment="1">
      <alignment horizontal="center" vertical="center" wrapText="0" shrinkToFit="1"/>
    </xf>
    <xf numFmtId="0" fontId="7" fillId="33" borderId="46" xfId="0" applyFont="1" applyFill="1" applyBorder="1" applyAlignment="1">
      <alignment horizontal="center" vertical="center" wrapText="0" shrinkToFit="1"/>
    </xf>
    <xf numFmtId="0" fontId="69" fillId="31" borderId="15" xfId="1" applyFont="1" applyFill="1" applyBorder="1" applyAlignment="1">
      <alignment horizontal="center" vertical="center" wrapText="0" shrinkToFit="1"/>
    </xf>
    <xf numFmtId="0" fontId="69" fillId="31" borderId="16" xfId="1" applyFont="1" applyFill="1" applyBorder="1" applyAlignment="1">
      <alignment horizontal="center" vertical="center" wrapText="0" shrinkToFit="1"/>
    </xf>
  </cellXfs>
  <cellStyles count="2">
    <cellStyle name="표준" xfId="0" builtinId="0"/>
    <cellStyle name="표준 72" xfId="1" xr:uid="{00000000-0005-0000-0000-0000886C0000}"/>
  </cellStyles>
  <dxfs count="116">
    <dxf>
      <font>
        <b/>
        <color rgb="FFFFC000"/>
      </font>
    </dxf>
    <dxf>
      <font>
        <i/>
        <color theme="0" tint="-0.49986266670735802"/>
      </font>
    </dxf>
    <dxf>
      <font>
        <b/>
        <color rgb="FFFFC000"/>
      </font>
    </dxf>
    <dxf>
      <font>
        <i/>
        <color rgb="FF808080"/>
      </font>
    </dxf>
    <dxf>
      <font>
        <b/>
        <color rgb="FFFF0000"/>
      </font>
    </dxf>
    <dxf>
      <font>
        <b/>
        <color rgb="FFFFC000"/>
      </font>
    </dxf>
    <dxf>
      <font>
        <b/>
        <color rgb="FF0070C0"/>
      </font>
    </dxf>
    <dxf>
      <font>
        <b/>
        <color rgb="FFFF0000"/>
      </font>
    </dxf>
    <dxf>
      <font>
        <b/>
        <color rgb="FF0070C0"/>
      </font>
    </dxf>
    <dxf>
      <font>
        <b/>
        <color rgb="FFFF0000"/>
      </font>
    </dxf>
    <dxf>
      <font>
        <b/>
        <color rgb="FF0070C0"/>
      </font>
    </dxf>
    <dxf>
      <font>
        <b/>
        <color rgb="FFFF0000"/>
      </font>
    </dxf>
    <dxf>
      <font>
        <b/>
        <color rgb="FFFFC000"/>
      </font>
    </dxf>
    <dxf>
      <font>
        <b/>
        <color rgb="FF0070C0"/>
      </font>
    </dxf>
    <dxf>
      <font>
        <b/>
        <color rgb="FFFF0000"/>
      </font>
    </dxf>
    <dxf>
      <font>
        <b/>
        <color rgb="FFFFC000"/>
      </font>
    </dxf>
    <dxf>
      <font>
        <b/>
        <color rgb="FFFF0000"/>
      </font>
    </dxf>
    <dxf>
      <font>
        <b/>
        <color rgb="FF0070C0"/>
      </font>
    </dxf>
    <dxf>
      <font>
        <b/>
        <color rgb="FFFF0000"/>
      </font>
    </dxf>
    <dxf>
      <font>
        <b/>
        <color rgb="FFFFC000"/>
      </font>
    </dxf>
    <dxf>
      <font>
        <b/>
        <color rgb="FF0070C0"/>
      </font>
    </dxf>
    <dxf>
      <font>
        <b/>
        <color rgb="FF0070C0"/>
      </font>
    </dxf>
    <dxf>
      <font>
        <b/>
        <color rgb="FFFF0000"/>
      </font>
    </dxf>
    <dxf>
      <font>
        <b/>
        <color rgb="FFFFC000"/>
      </font>
    </dxf>
    <dxf>
      <font>
        <b/>
        <color rgb="FF0070C0"/>
      </font>
    </dxf>
    <dxf>
      <font>
        <b/>
        <color rgb="FFFFC000"/>
      </font>
    </dxf>
    <dxf>
      <font>
        <b/>
        <color rgb="FFFF0000"/>
      </font>
    </dxf>
    <dxf>
      <font>
        <b/>
        <color rgb="FF0070C0"/>
      </font>
    </dxf>
    <dxf>
      <font>
        <b/>
        <color rgb="FFFF0000"/>
      </font>
    </dxf>
    <dxf>
      <font>
        <b/>
        <color rgb="FFFFC000"/>
      </font>
    </dxf>
    <dxf>
      <font>
        <b/>
        <color rgb="FFFFC000"/>
      </font>
    </dxf>
    <dxf>
      <font>
        <b/>
        <color rgb="FFFF0000"/>
      </font>
    </dxf>
    <dxf>
      <font>
        <b/>
        <color rgb="FF0070C0"/>
      </font>
    </dxf>
    <dxf>
      <font>
        <b/>
        <color rgb="FFFFC000"/>
      </font>
    </dxf>
    <dxf>
      <font>
        <b/>
        <color rgb="FF0070C0"/>
      </font>
    </dxf>
    <dxf>
      <font>
        <b/>
        <color rgb="FFFF0000"/>
      </font>
    </dxf>
    <dxf>
      <font>
        <i/>
        <color rgb="FF808080"/>
      </font>
    </dxf>
    <dxf>
      <font>
        <i/>
        <color rgb="FF808080"/>
      </font>
    </dxf>
    <dxf>
      <font>
        <b/>
        <color rgb="FFFFC000"/>
      </font>
    </dxf>
    <dxf>
      <fill>
        <patternFill>
          <bgColor rgb="FFFFC000"/>
        </patternFill>
      </fill>
    </dxf>
    <dxf>
      <font>
        <i/>
        <color theme="0" tint="-0.49986266670735802"/>
      </font>
    </dxf>
    <dxf>
      <font>
        <b/>
        <color rgb="FFFF0000"/>
      </font>
    </dxf>
    <dxf>
      <font>
        <i/>
        <color theme="0" tint="-0.49986266670735802"/>
      </font>
    </dxf>
    <dxf>
      <font>
        <i/>
        <color theme="0" tint="-0.49986266670735802"/>
      </font>
    </dxf>
    <dxf>
      <font>
        <b/>
        <color rgb="FFFFC000"/>
      </font>
    </dxf>
    <dxf>
      <font>
        <b/>
        <color rgb="FF0070C0"/>
      </font>
    </dxf>
    <dxf>
      <font>
        <b/>
        <color rgb="FFFF0000"/>
      </font>
    </dxf>
    <dxf>
      <font>
        <b/>
        <color rgb="FFFF0000"/>
      </font>
    </dxf>
    <dxf>
      <font>
        <b/>
        <color rgb="FF0070C0"/>
      </font>
    </dxf>
    <dxf>
      <font>
        <b/>
        <color rgb="FFFF0000"/>
      </font>
    </dxf>
    <dxf>
      <font>
        <b/>
        <color rgb="FF0070C0"/>
      </font>
    </dxf>
    <dxf>
      <font>
        <b/>
        <color rgb="FFFFC000"/>
      </font>
    </dxf>
    <dxf>
      <font>
        <b/>
        <color rgb="FF0070C0"/>
      </font>
    </dxf>
    <dxf>
      <font>
        <b/>
        <color rgb="FFFF0000"/>
      </font>
    </dxf>
    <dxf>
      <font>
        <b/>
        <color rgb="FFFF0000"/>
      </font>
    </dxf>
    <dxf>
      <font>
        <b/>
        <color rgb="FFFFC000"/>
      </font>
    </dxf>
    <dxf>
      <font>
        <b/>
        <color rgb="FF0070C0"/>
      </font>
    </dxf>
    <dxf>
      <font>
        <b/>
        <color rgb="FF0070C0"/>
      </font>
    </dxf>
    <dxf>
      <font>
        <b/>
        <color rgb="FFFF0000"/>
      </font>
    </dxf>
    <dxf>
      <font>
        <b/>
        <color rgb="FFFFC000"/>
      </font>
    </dxf>
    <dxf>
      <font>
        <b/>
        <color rgb="FF0070C0"/>
      </font>
    </dxf>
    <dxf>
      <font>
        <b/>
        <color rgb="FFFF0000"/>
      </font>
    </dxf>
    <dxf>
      <font>
        <b/>
        <color rgb="FFFFC000"/>
      </font>
    </dxf>
    <dxf>
      <font>
        <b/>
        <color rgb="FF0070C0"/>
      </font>
    </dxf>
    <dxf>
      <font>
        <b/>
        <color rgb="FFFF0000"/>
      </font>
    </dxf>
    <dxf>
      <font>
        <b/>
        <color rgb="FFFFC000"/>
      </font>
    </dxf>
    <dxf>
      <font>
        <b/>
        <color rgb="FF0070C0"/>
      </font>
    </dxf>
    <dxf>
      <font>
        <b/>
        <color rgb="FFFF0000"/>
      </font>
    </dxf>
    <dxf>
      <font>
        <b/>
        <color rgb="FFFFC000"/>
      </font>
    </dxf>
    <dxf>
      <font>
        <b/>
        <color rgb="FFFFC000"/>
      </font>
    </dxf>
    <dxf>
      <font>
        <b/>
        <color rgb="FF0070C0"/>
      </font>
    </dxf>
    <dxf>
      <font>
        <b/>
        <color rgb="FFFF0000"/>
      </font>
    </dxf>
    <dxf>
      <font>
        <b/>
        <color rgb="FFFFC000"/>
      </font>
    </dxf>
    <dxf>
      <font>
        <b/>
        <color rgb="FF0070C0"/>
      </font>
    </dxf>
    <dxf>
      <font>
        <b/>
        <color rgb="FFFF0000"/>
      </font>
    </dxf>
    <dxf>
      <font>
        <i/>
        <color theme="0" tint="-0.49986266670735802"/>
      </font>
    </dxf>
    <dxf>
      <fill>
        <patternFill>
          <bgColor rgb="FFFFC000"/>
        </patternFill>
      </fill>
    </dxf>
    <dxf>
      <font>
        <b/>
        <color rgb="FF0070C0"/>
      </font>
    </dxf>
    <dxf>
      <font>
        <b/>
        <color rgb="FFFF0000"/>
      </font>
    </dxf>
    <dxf>
      <font>
        <b/>
        <color rgb="FF0070C0"/>
      </font>
    </dxf>
    <dxf>
      <font>
        <b/>
        <color rgb="FFFF0000"/>
      </font>
    </dxf>
    <dxf>
      <font>
        <b/>
        <color rgb="FFFFC000"/>
      </font>
    </dxf>
    <dxf>
      <font>
        <b/>
        <color rgb="FFFFC000"/>
      </font>
    </dxf>
    <dxf>
      <font>
        <i/>
        <color theme="0" tint="-0.49986266670735802"/>
      </font>
    </dxf>
    <dxf>
      <font>
        <b/>
        <color rgb="FFFFC000"/>
      </font>
    </dxf>
    <dxf>
      <font>
        <b/>
        <color rgb="FFFFC000"/>
      </font>
    </dxf>
    <dxf>
      <font>
        <color rgb="FFBFBFBF"/>
      </font>
    </dxf>
    <dxf>
      <font>
        <color rgb="FFBFBFBF"/>
      </font>
    </dxf>
    <dxf>
      <font>
        <color rgb="FFA6A6A6"/>
      </font>
    </dxf>
    <dxf>
      <font>
        <i/>
        <color rgb="FFBFBFBF"/>
      </font>
    </dxf>
    <dxf>
      <font>
        <b/>
        <color rgb="FFFFC000"/>
      </font>
    </dxf>
    <dxf>
      <font>
        <b/>
        <color rgb="FFFF0000"/>
      </font>
    </dxf>
    <dxf>
      <font>
        <b/>
        <color rgb="FFFFC000"/>
      </font>
    </dxf>
    <dxf>
      <font>
        <color rgb="FF0070C0"/>
      </font>
    </dxf>
    <dxf>
      <fill>
        <patternFill>
          <bgColor rgb="FFFFC000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i/>
        <color theme="0" tint="-0.24994659260841701"/>
      </font>
    </dxf>
    <dxf>
      <font>
        <b/>
        <color rgb="FFFFC000"/>
      </font>
    </dxf>
    <dxf>
      <font>
        <b/>
        <color rgb="FFFFC000"/>
      </font>
    </dxf>
    <dxf>
      <font>
        <b/>
        <color rgb="FFFFC000"/>
      </font>
    </dxf>
    <dxf>
      <font>
        <b/>
        <color rgb="FFFFC000"/>
      </font>
    </dxf>
    <dxf>
      <font>
        <b/>
        <color rgb="FFFFC000"/>
      </font>
    </dxf>
    <dxf>
      <font>
        <b/>
        <color rgb="FFFFC000"/>
      </font>
    </dxf>
    <dxf>
      <font>
        <b/>
        <color rgb="FFFFC000"/>
      </font>
    </dxf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b/>
        <color rgb="FFFF0000"/>
      </font>
    </dxf>
    <dxf>
      <font>
        <i/>
        <color rgb="FF7F7F7F"/>
      </font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0070C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8D6F-4CA0-8B73-F12F6236507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3-8D6F-4CA0-8B73-F12F6236507C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5-8D6F-4CA0-8B73-F12F6236507C}"/>
              </c:ext>
            </c:extLst>
          </c:dPt>
          <c:dLbls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1800" b="1" i="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요약결과(그래프)'!$B$5:$B$6</c:f>
            </c:strRef>
          </c:cat>
          <c:val>
            <c:numRef>
              <c:f>'2-1. 요약결과(그래프)'!$C$5:$C$6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8D6F-4CA0-8B73-F12F62365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4417301"/>
        <c:axId val="1747415794"/>
        <c:axId val="0"/>
      </c:bar3DChart>
      <c:catAx>
        <c:axId val="7644173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anchorCtr="1"/>
          <a:lstStyle/>
          <a:p>
            <a:pPr>
              <a:defRPr sz="1400" b="1" i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ko-KR"/>
          </a:p>
        </c:txPr>
        <c:crossAx val="1747415794"/>
        <c:crosses val="autoZero"/>
        <c:auto val="1"/>
        <c:lblAlgn val="ctr"/>
        <c:lblOffset val="100"/>
        <c:noMultiLvlLbl val="1"/>
      </c:catAx>
      <c:valAx>
        <c:axId val="174741579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0.0%" sourceLinked="1"/>
        <c:majorTickMark val="out"/>
        <c:minorTickMark val="none"/>
        <c:tickLblPos val="nextTo"/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ko-KR"/>
          </a:p>
        </c:txPr>
        <c:crossAx val="764417301"/>
        <c:crosses val="autoZero"/>
        <c:crossBetween val="between"/>
        <c:majorUnit val="0.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7.7128059229816082E-2"/>
          <c:y val="0.18445467347761871"/>
          <c:w val="0.70710209837196936"/>
          <c:h val="0.8126048764975258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20DD-4F8E-9E17-999658D531B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20DD-4F8E-9E17-999658D531B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20DD-4F8E-9E17-999658D531B0}"/>
              </c:ext>
            </c:extLst>
          </c:dPt>
          <c:dLbls>
            <c:numFmt formatCode="0.0%;;;" sourceLinked="0"/>
            <c:spPr>
              <a:noFill/>
              <a:ln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'2-1. 요약결과(그래프)'!$B$18:$B$20</c:f>
            </c:strRef>
          </c:cat>
          <c:val>
            <c:numRef>
              <c:f>'2-1. 요약결과(그래프)'!$C$18:$C$20</c:f>
            </c:numRef>
          </c:val>
          <c:extLst>
            <c:ext xmlns:c16="http://schemas.microsoft.com/office/drawing/2014/chart" uri="{C3380CC4-5D6E-409C-BE32-E72D297353CC}">
              <c16:uniqueId val="{00000006-20DD-4F8E-9E17-999658D53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 anchorCtr="1"/>
        <a:lstStyle/>
        <a:p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'2-1. 요약결과(그래프)'!$C$71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'2-1. 요약결과(그래프)'!$B$72:$B$76</c:f>
            </c:strRef>
          </c:cat>
          <c:val>
            <c:numRef>
              <c:f>'2-1. 요약결과(그래프)'!$BA$72:$BA$76</c:f>
            </c:numRef>
          </c:val>
          <c:extLst>
            <c:ext xmlns:c16="http://schemas.microsoft.com/office/drawing/2014/chart" uri="{C3380CC4-5D6E-409C-BE32-E72D297353CC}">
              <c16:uniqueId val="{00000000-5E15-43F1-85DA-247891EFAC2E}"/>
            </c:ext>
          </c:extLst>
        </c:ser>
        <c:ser>
          <c:idx val="1"/>
          <c:order val="1"/>
          <c:tx>
            <c:strRef>
              <c:f>'2-1. 요약결과(그래프)'!$D$71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'2-1. 요약결과(그래프)'!$B$72:$B$76</c:f>
            </c:strRef>
          </c:cat>
          <c:val>
            <c:numRef>
              <c:f>'2-1. 요약결과(그래프)'!$BB$72:$BB$76</c:f>
            </c:numRef>
          </c:val>
          <c:extLst>
            <c:ext xmlns:c16="http://schemas.microsoft.com/office/drawing/2014/chart" uri="{C3380CC4-5D6E-409C-BE32-E72D297353CC}">
              <c16:uniqueId val="{00000001-5E15-43F1-85DA-247891EF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36284"/>
        <c:axId val="2110193178"/>
      </c:radarChart>
      <c:catAx>
        <c:axId val="1263362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ko-KR"/>
          </a:p>
        </c:txPr>
        <c:crossAx val="2110193178"/>
        <c:crosses val="autoZero"/>
        <c:auto val="1"/>
        <c:lblAlgn val="ctr"/>
        <c:lblOffset val="100"/>
        <c:noMultiLvlLbl val="1"/>
      </c:catAx>
      <c:valAx>
        <c:axId val="2110193178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ko-KR"/>
          </a:p>
        </c:txPr>
        <c:crossAx val="126336284"/>
        <c:crosses val="autoZero"/>
        <c:crossBetween val="between"/>
      </c:valAx>
    </c:plotArea>
    <c:legend>
      <c:legendPos val="r"/>
      <c:overlay val="0"/>
      <c:txPr>
        <a:bodyPr anchorCtr="1"/>
        <a:lstStyle/>
        <a:p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'1.0' encoding='UTF-8' standalone='yes'?>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'1.0' encoding='UTF-8' standalone='yes'?>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302968</xdr:colOff>
      <xdr:row>18</xdr:row>
      <xdr:rowOff>93027</xdr:rowOff>
    </xdr:from>
    <xdr:to>
      <xdr:col>7</xdr:col>
      <xdr:colOff>464746</xdr:colOff>
      <xdr:row>22</xdr:row>
      <xdr:rowOff>49847</xdr:rowOff>
    </xdr:to>
    <xdr:pic>
      <xdr:nvPicPr>
        <xdr:cNvPr id="3" name="SK쉴더스 로고">
          <a:extLst>
            <a:ext uri="{FF2B5EF4-FFF2-40B4-BE49-F238E27FC236}">
              <a16:creationId xmlns:a16="http://schemas.microsoft.com/office/drawing/2014/main" id="{FAB938E5-1638-B54E-D72B-5710F4814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2928" y="2996247"/>
          <a:ext cx="832338" cy="406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266700</xdr:colOff>
      <xdr:row>1</xdr:row>
      <xdr:rowOff>609600</xdr:rowOff>
    </xdr:from>
    <xdr:ext cx="4524375" cy="2905125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222885</xdr:colOff>
      <xdr:row>30</xdr:row>
      <xdr:rowOff>47625</xdr:rowOff>
    </xdr:from>
    <xdr:ext cx="4514850" cy="2543175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352425</xdr:colOff>
      <xdr:row>70</xdr:row>
      <xdr:rowOff>9525</xdr:rowOff>
    </xdr:from>
    <xdr:ext cx="4895850" cy="335280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171450</xdr:colOff>
      <xdr:row>1</xdr:row>
      <xdr:rowOff>104775</xdr:rowOff>
    </xdr:from>
    <xdr:ext cx="3009900" cy="4476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Grp="1"/>
        </xdr:cNvSpPr>
      </xdr:nvSpPr>
      <xdr:spPr>
        <a:xfrm>
          <a:off x="3310890" y="180975"/>
          <a:ext cx="3009900" cy="447675"/>
        </a:xfrm>
        <a:prstGeom prst="rect">
          <a:avLst/>
        </a:prstGeom>
        <a:solidFill>
          <a:schemeClr val="lt1"/>
        </a:solidFill>
        <a:ln w="25400" cap="flat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>
          <a:noAutofit/>
        </a:bodyPr>
        <a:lstStyle/>
        <a:p>
          <a:pPr marL="0" indent="0" algn="ctr">
            <a:spcBef>
              <a:spcPts val="0"/>
            </a:spcBef>
            <a:spcAft>
              <a:spcPts val="0"/>
            </a:spcAft>
            <a:buNone/>
          </a:pPr>
          <a:r>
            <a:rPr sz="1600" b="1">
              <a:solidFill>
                <a:schemeClr val="dk1"/>
              </a:solidFill>
              <a:latin typeface="Cambria"/>
              <a:ea typeface="Cambria"/>
              <a:cs typeface="Cambria"/>
            </a:rPr>
            <a:t>대상별 평균 점수 현황</a:t>
          </a:r>
          <a:endParaRPr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'1.0' encoding='UTF-8' standalone='yes'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23"/>
  <sheetViews>
    <sheetView workbookViewId="0" tabSelected="1">
      <selection activeCell="A1" sqref="A1"/>
    </sheetView>
  </sheetViews>
  <sheetFormatPr defaultRowHeight="14.4"/>
  <cols>
    <col min="1" max="1" width="1.796875" customWidth="1"/>
    <col min="12" max="12" width="18.59765625" customWidth="1"/>
  </cols>
  <sheetData>
    <row r="1" spans="2:12" ht="5.0999999999999996" customHeight="1"/>
    <row r="2" spans="2:12" ht="8.4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2:12" ht="10.050000000000001" customHeight="1">
      <c r="B3" s="23"/>
      <c r="C3" s="23"/>
      <c r="D3" s="23"/>
      <c r="E3" s="23"/>
      <c r="F3" s="23"/>
      <c r="G3" s="23"/>
      <c r="H3" s="23"/>
      <c r="I3" s="23"/>
      <c r="J3" s="23"/>
      <c r="K3" s="41" t="s">
        <v>0</v>
      </c>
      <c r="L3" s="6"/>
    </row>
    <row r="4" spans="2:12" ht="10.050000000000001" customHeight="1">
      <c r="B4" s="23"/>
      <c r="C4" s="23"/>
      <c r="D4" s="23"/>
      <c r="E4" s="23"/>
      <c r="F4" s="23"/>
      <c r="G4" s="23"/>
      <c r="H4" s="23"/>
      <c r="I4" s="23"/>
      <c r="J4" s="23"/>
      <c r="K4" s="41" t="s">
        <v>1</v>
      </c>
      <c r="L4" s="11"/>
    </row>
    <row r="5" spans="2:12" ht="10.050000000000001" customHeight="1">
      <c r="B5" s="23"/>
      <c r="C5" s="23"/>
      <c r="D5" s="23"/>
      <c r="E5" s="23"/>
      <c r="F5" s="23"/>
      <c r="G5" s="23"/>
      <c r="H5" s="23"/>
      <c r="I5" s="23"/>
      <c r="J5" s="23"/>
      <c r="K5" s="41" t="s">
        <v>2</v>
      </c>
      <c r="L5" s="11"/>
    </row>
    <row r="6" spans="2:12" ht="10.050000000000001" customHeight="1">
      <c r="B6" s="23"/>
      <c r="C6" s="23"/>
      <c r="D6" s="23"/>
      <c r="E6" s="23"/>
      <c r="F6" s="23"/>
      <c r="G6" s="23"/>
      <c r="H6" s="23"/>
      <c r="I6" s="23"/>
      <c r="J6" s="23"/>
      <c r="K6" s="41" t="s">
        <v>3</v>
      </c>
      <c r="L6" s="11"/>
    </row>
    <row r="7" spans="2:12" ht="8.4" customHeight="1"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2:12" ht="8.4" customHeight="1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2:12" ht="8.4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2:12" ht="8.4" customHeight="1"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2:12" ht="25.2">
      <c r="B11" s="163" t="inlineStr">
        <is>
          <t xml:space="preserve">"제로데이클리닉" 취약점 진단</t>
        </is>
      </c>
      <c r="C11" s="164"/>
      <c r="D11" s="164"/>
      <c r="E11" s="164"/>
      <c r="F11" s="164"/>
      <c r="G11" s="164"/>
      <c r="H11" s="164"/>
      <c r="I11" s="164"/>
      <c r="J11" s="164"/>
      <c r="K11" s="164"/>
      <c r="L11" s="164"/>
    </row>
    <row r="12" spans="2:12" ht="8.4" customHeight="1"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2:12" ht="36">
      <c r="B13" s="165" t="s">
        <v>4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64"/>
    </row>
    <row r="14" spans="2:12" ht="17.399999999999999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2:12" ht="9.9" customHeight="1">
      <c r="B15" s="23"/>
      <c r="C15" s="23"/>
      <c r="D15" s="23"/>
      <c r="E15" s="166"/>
      <c r="F15" s="164"/>
      <c r="G15" s="164"/>
      <c r="H15" s="164"/>
      <c r="I15" s="164"/>
      <c r="J15" s="164"/>
      <c r="K15" s="164"/>
      <c r="L15" s="23"/>
    </row>
    <row r="16" spans="2:12" ht="8.4" customHeight="1"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2:12" ht="17.399999999999999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2:12" ht="21">
      <c r="B18" s="167"/>
      <c r="C18" s="164"/>
      <c r="D18" s="164"/>
      <c r="E18" s="164"/>
      <c r="F18" s="164"/>
      <c r="G18" s="164"/>
      <c r="H18" s="164"/>
      <c r="I18" s="164"/>
      <c r="J18" s="164"/>
      <c r="K18" s="164"/>
      <c r="L18" s="164"/>
    </row>
    <row r="19" spans="2:12" ht="10.35" customHeight="1">
      <c r="B19" s="23"/>
      <c r="C19" s="23"/>
      <c r="D19" s="23"/>
      <c r="E19" s="23"/>
      <c r="F19" s="24"/>
      <c r="G19" s="25"/>
      <c r="H19" s="25"/>
      <c r="I19" s="25"/>
      <c r="J19" s="25"/>
      <c r="K19" s="23"/>
      <c r="L19" s="23"/>
    </row>
    <row r="20" spans="2:12" ht="8.4" customHeight="1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2:12" ht="8.4" customHeight="1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2:12" ht="8.4" customHeight="1"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2:12" ht="8.4" customHeight="1"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</sheetData>
  <mergeCells count="4">
    <mergeCell ref="B11:L11"/>
    <mergeCell ref="B13:L13"/>
    <mergeCell ref="E15:K15"/>
    <mergeCell ref="B18:L18"/>
  </mergeCells>
  <phoneticPr fontId="62" type="noConversion"/>
  <printOptions horizontalCentered="1"/>
  <pageMargins left="0.7" right="0.7" top="0.75" bottom="0.75" header="0.3" footer="0.3"/>
  <pageSetup paperSize="9" orientation="portrait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H6"/>
  <sheetViews>
    <sheetView workbookViewId="0">
      <selection activeCell="A1" sqref="A1"/>
    </sheetView>
  </sheetViews>
  <sheetFormatPr defaultRowHeight="14.4"/>
  <cols>
    <col min="1" max="1" width="1.796875" customWidth="1"/>
    <col min="2" max="2" width="3.796875" customWidth="1"/>
    <col min="3" max="4" width="14.796875" customWidth="1"/>
    <col min="5" max="5" width="37" customWidth="1"/>
    <col min="6" max="6" width="22.8984375" customWidth="1"/>
    <col min="7" max="7" width="8.296875" customWidth="1"/>
  </cols>
  <sheetData>
    <row r="1" spans="2:8" ht="21.6" customHeight="1">
      <c r="B1" s="168" t="s">
        <v>5</v>
      </c>
      <c r="C1" s="164"/>
      <c r="D1" s="164"/>
      <c r="E1" s="164"/>
      <c r="F1" s="164"/>
      <c r="G1" s="164"/>
    </row>
    <row r="2" spans="2:8" ht="14.4" customHeight="1">
      <c r="B2" s="169" t="s">
        <v>6</v>
      </c>
      <c r="C2" s="171" t="s">
        <v>7</v>
      </c>
      <c r="D2" s="172"/>
      <c r="E2" s="172"/>
      <c r="F2" s="173"/>
      <c r="G2" s="174" t="s">
        <v>8</v>
      </c>
    </row>
    <row r="3" spans="2:8" ht="13.8" customHeight="1">
      <c r="B3" s="170"/>
      <c r="C3" s="26" t="s">
        <v>9</v>
      </c>
      <c r="D3" s="26" t="s">
        <v>10</v>
      </c>
      <c r="E3" s="26" t="s">
        <v>11</v>
      </c>
      <c r="F3" s="26" t="s">
        <v>12</v>
      </c>
      <c r="G3" s="175"/>
    </row>
    <row r="4" spans="2:8" ht="16.8" customHeight="1">
      <c r="B4" s="176" t="s">
        <v>13</v>
      </c>
      <c r="C4" s="177"/>
      <c r="D4" s="177"/>
      <c r="E4" s="177"/>
      <c r="F4" s="177"/>
      <c r="G4" s="178"/>
      <c r="H4" s="14"/>
    </row>
    <row r="5" spans="2:8" ht="15.6">
      <c r="B5" s="34"/>
      <c r="C5" s="35"/>
      <c r="D5" s="118"/>
      <c r="E5" s="36"/>
      <c r="F5" s="36"/>
      <c r="G5" s="37"/>
      <c r="H5" s="14"/>
    </row>
    <row r="6" spans="2:8" ht="16.2" thickBot="1">
      <c r="B6" s="138"/>
      <c r="C6" s="139"/>
      <c r="D6" s="140"/>
      <c r="E6" s="140"/>
      <c r="F6" s="140"/>
      <c r="G6" s="141"/>
      <c r="H6" s="14"/>
    </row>
  </sheetData>
  <mergeCells count="5">
    <mergeCell ref="B1:G1"/>
    <mergeCell ref="B2:B3"/>
    <mergeCell ref="C2:F2"/>
    <mergeCell ref="G2:G3"/>
    <mergeCell ref="B4:G4"/>
  </mergeCells>
  <phoneticPr fontId="62" type="noConversion"/>
  <pageMargins left="0.7" right="0.7" top="0.75" bottom="0.75" header="0.3" footer="0.3"/>
  <pageSetup paperSize="9" fitToWidth="1" fitToHeight="0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workbookViewId="0">
      <selection activeCell="A1" sqref="A1"/>
    </sheetView>
  </sheetViews>
  <sheetFormatPr defaultColWidth="13" defaultRowHeight="14.4"/>
  <cols>
    <col min="1" max="1" width="0.3984375" style="49" customWidth="1"/>
    <col min="2" max="2" width="13.796875" style="49" customWidth="1"/>
    <col min="3" max="3" width="9.296875" style="49" customWidth="1"/>
    <col min="4" max="4" width="5.8984375" style="49" customWidth="1"/>
    <col min="5" max="5" width="3" style="49" customWidth="1"/>
    <col min="6" max="19" width="4.3984375" style="49" customWidth="1"/>
    <col min="20" max="20" width="6" style="49" customWidth="1"/>
    <col min="21" max="21" width="13.796875" style="49" customWidth="1"/>
    <col min="22" max="22" width="5.09765625" style="49" customWidth="1"/>
    <col min="23" max="24" width="7.796875" style="49" customWidth="1"/>
    <col min="25" max="25" width="3.296875" style="49" customWidth="1"/>
    <col min="26" max="33" width="8" style="49" customWidth="1"/>
    <col min="34" max="34" width="1.3984375" style="49" customWidth="1"/>
    <col min="35" max="36" width="8" style="49" customWidth="1"/>
    <col min="37" max="37" width="5.5" style="49" customWidth="1"/>
    <col min="38" max="38" width="4.59765625" style="49" customWidth="1"/>
    <col min="39" max="39" width="17.69921875" style="49" customWidth="1"/>
    <col min="40" max="40" width="6.3984375" style="49" customWidth="1"/>
    <col min="41" max="44" width="8" style="49" customWidth="1"/>
    <col min="45" max="16384" width="13" style="49"/>
  </cols>
  <sheetData>
    <row r="1" spans="1:44" ht="3.15" customHeight="1">
      <c r="A1" s="48"/>
      <c r="B1" s="48"/>
      <c r="C1" s="181"/>
      <c r="D1" s="180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</row>
    <row r="2" spans="1:44" ht="25.35" customHeight="1">
      <c r="A2" s="50"/>
      <c r="B2" s="182" t="s">
        <v>14</v>
      </c>
      <c r="C2" s="180"/>
      <c r="D2" s="180"/>
      <c r="E2" s="51"/>
      <c r="F2" s="51"/>
      <c r="G2" s="51"/>
      <c r="H2" s="51"/>
      <c r="I2" s="51"/>
      <c r="J2" s="51"/>
      <c r="K2" s="51"/>
      <c r="L2" s="51"/>
      <c r="M2" s="51"/>
      <c r="N2" s="51"/>
      <c r="O2" s="52"/>
      <c r="P2" s="52"/>
      <c r="Q2" s="52"/>
      <c r="R2" s="52"/>
      <c r="S2" s="52"/>
      <c r="T2" s="52"/>
      <c r="U2" s="52"/>
      <c r="V2" s="52"/>
      <c r="W2" s="52"/>
      <c r="X2" s="52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</row>
    <row r="3" spans="1:44" ht="10.35" customHeight="1">
      <c r="A3" s="48"/>
      <c r="B3" s="48"/>
      <c r="C3" s="48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4"/>
      <c r="P3" s="54"/>
      <c r="Q3" s="54"/>
      <c r="R3" s="54"/>
      <c r="S3" s="54"/>
      <c r="T3" s="54"/>
      <c r="U3" s="54"/>
      <c r="V3" s="54"/>
      <c r="W3" s="54"/>
      <c r="X3" s="54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</row>
    <row r="4" spans="1:44" ht="15" customHeight="1">
      <c r="A4" s="48"/>
      <c r="B4" s="55" t="s">
        <v>7</v>
      </c>
      <c r="C4" s="56" t="s">
        <v>15</v>
      </c>
      <c r="D4" s="57" t="s">
        <v>16</v>
      </c>
      <c r="E4" s="53"/>
      <c r="F4" s="53"/>
      <c r="G4" s="53"/>
      <c r="H4" s="53"/>
      <c r="I4" s="53"/>
      <c r="J4" s="53"/>
      <c r="K4" s="53"/>
      <c r="L4" s="53"/>
      <c r="M4" s="53"/>
      <c r="N4" s="53"/>
      <c r="O4" s="54"/>
      <c r="P4" s="54"/>
      <c r="Q4" s="54"/>
      <c r="R4" s="54"/>
      <c r="S4" s="54"/>
      <c r="T4" s="54"/>
      <c r="U4" s="54"/>
      <c r="V4" s="54"/>
      <c r="W4" s="54"/>
      <c r="X4" s="54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</row>
    <row r="5" spans="1:44" ht="15" customHeight="1">
      <c r="A5" s="48"/>
      <c r="B5" s="58" t="s">
        <v>17</v>
      </c>
      <c r="C5" s="59">
        <f>IFERROR(AVERAGE('2-2. 요약 진단결과(Window)'!$F$71:$G$71),"")</f>
      </c>
      <c r="D5" s="60">
        <f>D6</f>
      </c>
      <c r="E5" s="53"/>
      <c r="F5" s="53"/>
      <c r="G5" s="53"/>
      <c r="H5" s="53"/>
      <c r="I5" s="53"/>
      <c r="J5" s="53"/>
      <c r="K5" s="53"/>
      <c r="L5" s="53"/>
      <c r="M5" s="53"/>
      <c r="N5" s="53"/>
      <c r="O5" s="54"/>
      <c r="P5" s="54"/>
      <c r="Q5" s="54"/>
      <c r="R5" s="54"/>
      <c r="S5" s="54"/>
      <c r="T5" s="54"/>
      <c r="U5" s="54"/>
      <c r="V5" s="54"/>
      <c r="W5" s="54"/>
      <c r="X5" s="54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</row>
    <row r="6" spans="1:44" ht="15" customHeight="1">
      <c r="A6" s="48"/>
      <c r="B6" s="61" t="s">
        <v>13</v>
      </c>
      <c r="C6" s="62">
        <f>IFERROR(AVERAGE('2-2. 요약 진단결과(Window)'!$F$71:$G$71),"")</f>
      </c>
      <c r="D6" s="63">
        <f>COUNT('1. 진단 대상'!$B$5:$B$6)</f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4"/>
      <c r="P6" s="54"/>
      <c r="Q6" s="54"/>
      <c r="R6" s="54"/>
      <c r="S6" s="54"/>
      <c r="T6" s="54"/>
      <c r="U6" s="54"/>
      <c r="V6" s="54"/>
      <c r="W6" s="54"/>
      <c r="X6" s="54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</row>
    <row r="7" spans="1:44" ht="9.6" customHeight="1">
      <c r="A7" s="48"/>
      <c r="B7" s="48"/>
      <c r="C7" s="48"/>
      <c r="D7" s="48"/>
      <c r="E7" s="53"/>
      <c r="F7" s="53"/>
      <c r="G7" s="53"/>
      <c r="H7" s="53"/>
      <c r="I7" s="53"/>
      <c r="J7" s="53"/>
      <c r="K7" s="53"/>
      <c r="L7" s="53"/>
      <c r="M7" s="53"/>
      <c r="N7" s="53"/>
      <c r="O7" s="54"/>
      <c r="P7" s="54"/>
      <c r="Q7" s="54"/>
      <c r="R7" s="54"/>
      <c r="S7" s="54"/>
      <c r="T7" s="54"/>
      <c r="U7" s="54"/>
      <c r="V7" s="54"/>
      <c r="W7" s="54"/>
      <c r="X7" s="54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</row>
    <row r="8" spans="1:44" ht="9.6" customHeight="1">
      <c r="A8" s="48"/>
      <c r="B8" s="48"/>
      <c r="C8" s="48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4"/>
      <c r="P8" s="54"/>
      <c r="Q8" s="54"/>
      <c r="R8" s="54"/>
      <c r="S8" s="54"/>
      <c r="T8" s="54"/>
      <c r="U8" s="54"/>
      <c r="V8" s="54"/>
      <c r="W8" s="54"/>
      <c r="X8" s="54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</row>
    <row r="9" spans="1:44" ht="9.6" customHeight="1">
      <c r="A9" s="48"/>
      <c r="B9" s="48"/>
      <c r="C9" s="48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4"/>
      <c r="P9" s="54"/>
      <c r="Q9" s="54"/>
      <c r="R9" s="54"/>
      <c r="S9" s="54"/>
      <c r="T9" s="54"/>
      <c r="U9" s="54"/>
      <c r="V9" s="54"/>
      <c r="W9" s="54"/>
      <c r="X9" s="54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</row>
    <row r="10" spans="1:44" ht="9.6" customHeight="1">
      <c r="A10" s="48"/>
      <c r="B10" s="48"/>
      <c r="C10" s="48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</row>
    <row r="11" spans="1:44" ht="9.6" customHeight="1">
      <c r="A11" s="48"/>
      <c r="B11" s="48"/>
      <c r="C11" s="48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</row>
    <row r="12" spans="1:44" ht="9.6" customHeight="1">
      <c r="A12" s="48"/>
      <c r="B12" s="48"/>
      <c r="C12" s="48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</row>
    <row r="13" spans="1:44" ht="9.6" customHeight="1">
      <c r="A13" s="48"/>
      <c r="B13" s="48"/>
      <c r="C13" s="48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48"/>
      <c r="AK13" s="48"/>
      <c r="AL13" s="48"/>
      <c r="AM13" s="64"/>
      <c r="AN13" s="64"/>
      <c r="AO13" s="64"/>
      <c r="AP13" s="64"/>
      <c r="AQ13" s="64"/>
      <c r="AR13" s="64"/>
    </row>
    <row r="14" spans="1:44" ht="9.6" customHeight="1">
      <c r="A14" s="48"/>
      <c r="B14" s="48"/>
      <c r="C14" s="48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</row>
    <row r="15" spans="1:44" ht="9.6" customHeight="1">
      <c r="A15" s="48"/>
      <c r="B15" s="48"/>
      <c r="C15" s="48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65"/>
      <c r="Z15" s="65"/>
      <c r="AA15" s="65"/>
      <c r="AB15" s="65"/>
      <c r="AC15" s="65"/>
      <c r="AD15" s="65"/>
      <c r="AE15" s="65"/>
      <c r="AF15" s="65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</row>
    <row r="16" spans="1:44" ht="9.6" customHeight="1">
      <c r="A16" s="48"/>
      <c r="B16" s="48"/>
      <c r="C16" s="48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48"/>
      <c r="V16" s="48"/>
      <c r="W16" s="48"/>
      <c r="X16" s="48"/>
      <c r="Y16" s="66"/>
      <c r="Z16" s="66"/>
      <c r="AA16" s="66"/>
      <c r="AB16" s="66"/>
      <c r="AC16" s="66"/>
      <c r="AD16" s="66"/>
      <c r="AE16" s="66"/>
      <c r="AF16" s="66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</row>
    <row r="17" spans="1:44" ht="15" customHeight="1">
      <c r="A17" s="48"/>
      <c r="B17" s="183" t="s">
        <v>18</v>
      </c>
      <c r="C17" s="184"/>
      <c r="D17" s="67">
        <f>COUNT('1. 진단 대상'!$B$5:$B$6)</f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48"/>
      <c r="V17" s="48"/>
      <c r="W17" s="48"/>
      <c r="X17" s="48"/>
      <c r="Y17" s="66"/>
      <c r="Z17" s="66"/>
      <c r="AA17" s="66"/>
      <c r="AB17" s="66"/>
      <c r="AC17" s="66"/>
      <c r="AD17" s="66"/>
      <c r="AE17" s="66"/>
      <c r="AF17" s="66"/>
      <c r="AG17" s="48"/>
      <c r="AH17" s="48"/>
      <c r="AI17" s="48"/>
      <c r="AJ17" s="68"/>
      <c r="AK17" s="53"/>
      <c r="AL17" s="69"/>
      <c r="AM17" s="48"/>
      <c r="AN17" s="48"/>
      <c r="AO17" s="48"/>
      <c r="AP17" s="48"/>
      <c r="AQ17" s="48"/>
      <c r="AR17" s="48"/>
    </row>
    <row r="18" spans="1:44" ht="15" customHeight="1">
      <c r="A18" s="48"/>
      <c r="B18" s="70" t="s">
        <v>19</v>
      </c>
      <c r="C18" s="71">
        <f>IF($D$17=0,0,D18/$D$17)</f>
      </c>
      <c r="D18" s="72">
        <f>COUNTIF('2-2. 요약 진단결과(Window)'!$F$71:$G$71,"&gt;=0.85")</f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68"/>
      <c r="AK18" s="53"/>
      <c r="AL18" s="69"/>
      <c r="AM18" s="48"/>
      <c r="AN18" s="48"/>
      <c r="AO18" s="48"/>
      <c r="AP18" s="48"/>
      <c r="AQ18" s="48"/>
      <c r="AR18" s="48"/>
    </row>
    <row r="19" spans="1:44" ht="15" customHeight="1">
      <c r="A19" s="48"/>
      <c r="B19" s="70" t="s">
        <v>20</v>
      </c>
      <c r="C19" s="71">
        <f>IF($D$17=0,0,D19/$D$17)</f>
      </c>
      <c r="D19" s="72">
        <f>COUNTIFS('2-2. 요약 진단결과(Window)'!$F$71:$G$71,"&gt;=0.7",'2-2. 요약 진단결과(Window)'!$F$71:$G$71,"&lt;0.85")</f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68"/>
      <c r="AK19" s="53"/>
      <c r="AL19" s="69"/>
      <c r="AM19" s="48"/>
      <c r="AN19" s="48"/>
      <c r="AO19" s="48"/>
      <c r="AP19" s="48"/>
      <c r="AQ19" s="48"/>
      <c r="AR19" s="48"/>
    </row>
    <row r="20" spans="1:44" ht="15" customHeight="1">
      <c r="A20" s="48"/>
      <c r="B20" s="73" t="s">
        <v>21</v>
      </c>
      <c r="C20" s="74">
        <f>IF($D$17=0,0,D20/$D$17)</f>
      </c>
      <c r="D20" s="75">
        <f>COUNTIF('2-2. 요약 진단결과(Window)'!$F$71:$G$71,"&lt;0.7")</f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68"/>
      <c r="AK20" s="53"/>
      <c r="AL20" s="69"/>
      <c r="AM20" s="48"/>
      <c r="AN20" s="48"/>
      <c r="AO20" s="48"/>
      <c r="AP20" s="48"/>
      <c r="AQ20" s="48"/>
      <c r="AR20" s="48"/>
    </row>
    <row r="21" spans="1:44" ht="9.6" customHeight="1">
      <c r="A21" s="48"/>
      <c r="B21" s="48"/>
      <c r="C21" s="48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68"/>
      <c r="AK21" s="53"/>
      <c r="AL21" s="69"/>
      <c r="AM21" s="48"/>
      <c r="AN21" s="48"/>
      <c r="AO21" s="48"/>
      <c r="AP21" s="48"/>
      <c r="AQ21" s="48"/>
      <c r="AR21" s="48"/>
    </row>
    <row r="22" spans="1:44" ht="6.9" customHeight="1">
      <c r="A22" s="48"/>
      <c r="B22" s="48"/>
      <c r="C22" s="48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68"/>
      <c r="AK22" s="53"/>
      <c r="AL22" s="69"/>
      <c r="AM22" s="48"/>
      <c r="AN22" s="48"/>
      <c r="AO22" s="48"/>
      <c r="AP22" s="48"/>
      <c r="AQ22" s="48"/>
      <c r="AR22" s="48"/>
    </row>
    <row r="23" spans="1:44" ht="6.9" customHeight="1">
      <c r="A23" s="48"/>
      <c r="B23" s="48"/>
      <c r="C23" s="48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68"/>
      <c r="AK23" s="53"/>
      <c r="AL23" s="69"/>
      <c r="AM23" s="48"/>
      <c r="AN23" s="48"/>
      <c r="AO23" s="48"/>
      <c r="AP23" s="48"/>
      <c r="AQ23" s="48"/>
      <c r="AR23" s="48"/>
    </row>
    <row r="24" spans="1:44" ht="6.9" customHeight="1">
      <c r="A24" s="48"/>
      <c r="B24" s="48"/>
      <c r="C24" s="48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68"/>
      <c r="AK24" s="53"/>
      <c r="AL24" s="69"/>
      <c r="AM24" s="48"/>
      <c r="AN24" s="48"/>
      <c r="AO24" s="48"/>
      <c r="AP24" s="48"/>
      <c r="AQ24" s="48"/>
      <c r="AR24" s="48"/>
    </row>
    <row r="25" spans="1:44" ht="6.9" customHeight="1">
      <c r="A25" s="48"/>
      <c r="B25" s="48"/>
      <c r="C25" s="48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68"/>
      <c r="AK25" s="53"/>
      <c r="AL25" s="69"/>
      <c r="AM25" s="48"/>
      <c r="AN25" s="48"/>
      <c r="AO25" s="48"/>
      <c r="AP25" s="48"/>
      <c r="AQ25" s="48"/>
      <c r="AR25" s="48"/>
    </row>
    <row r="26" spans="1:44" ht="6.9" customHeight="1">
      <c r="A26" s="48"/>
      <c r="B26" s="48"/>
      <c r="C26" s="48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68"/>
      <c r="AK26" s="53"/>
      <c r="AL26" s="69"/>
      <c r="AM26" s="48"/>
      <c r="AN26" s="48"/>
      <c r="AO26" s="48"/>
      <c r="AP26" s="48"/>
      <c r="AQ26" s="48"/>
      <c r="AR26" s="48"/>
    </row>
    <row r="27" spans="1:44" ht="6.9" customHeight="1">
      <c r="A27" s="48"/>
      <c r="B27" s="48"/>
      <c r="C27" s="48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68"/>
      <c r="AK27" s="53"/>
      <c r="AL27" s="69"/>
      <c r="AM27" s="48"/>
      <c r="AN27" s="48"/>
      <c r="AO27" s="48"/>
      <c r="AP27" s="48"/>
      <c r="AQ27" s="48"/>
      <c r="AR27" s="48"/>
    </row>
    <row r="28" spans="1:44" ht="6.9" customHeight="1">
      <c r="A28" s="48"/>
      <c r="B28" s="48"/>
      <c r="C28" s="48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68"/>
      <c r="AK28" s="53"/>
      <c r="AL28" s="69"/>
      <c r="AM28" s="48"/>
      <c r="AN28" s="48"/>
      <c r="AO28" s="48"/>
      <c r="AP28" s="48"/>
      <c r="AQ28" s="48"/>
      <c r="AR28" s="48"/>
    </row>
    <row r="29" spans="1:44" ht="6.9" customHeight="1">
      <c r="A29" s="48"/>
      <c r="B29" s="48"/>
      <c r="C29" s="48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68"/>
      <c r="AK29" s="53"/>
      <c r="AL29" s="69"/>
      <c r="AM29" s="48"/>
      <c r="AN29" s="48"/>
      <c r="AO29" s="48"/>
      <c r="AP29" s="48"/>
      <c r="AQ29" s="48"/>
      <c r="AR29" s="48"/>
    </row>
    <row r="30" spans="1:44" ht="6.9" customHeight="1">
      <c r="A30" s="48"/>
      <c r="B30" s="48"/>
      <c r="C30" s="48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68"/>
      <c r="AK30" s="53"/>
      <c r="AL30" s="69"/>
      <c r="AM30" s="48"/>
      <c r="AN30" s="48"/>
      <c r="AO30" s="48"/>
      <c r="AP30" s="48"/>
      <c r="AQ30" s="48"/>
      <c r="AR30" s="48"/>
    </row>
    <row r="31" spans="1:44" ht="6.9" customHeight="1">
      <c r="A31" s="48"/>
      <c r="B31" s="48"/>
      <c r="C31" s="48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68"/>
      <c r="AK31" s="53"/>
      <c r="AL31" s="69"/>
      <c r="AM31" s="48"/>
      <c r="AN31" s="48"/>
      <c r="AO31" s="48"/>
      <c r="AP31" s="48"/>
      <c r="AQ31" s="48"/>
      <c r="AR31" s="48"/>
    </row>
    <row r="32" spans="1:44" ht="6.9" customHeight="1">
      <c r="A32" s="48"/>
      <c r="B32" s="48"/>
      <c r="C32" s="48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</row>
    <row r="33" spans="1:44" ht="6.9" customHeight="1">
      <c r="A33" s="48"/>
      <c r="B33" s="48"/>
      <c r="C33" s="48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179"/>
      <c r="AK33" s="180"/>
      <c r="AL33" s="180"/>
      <c r="AM33" s="48"/>
      <c r="AN33" s="48"/>
      <c r="AO33" s="48"/>
      <c r="AP33" s="48"/>
      <c r="AQ33" s="48"/>
      <c r="AR33" s="48"/>
    </row>
    <row r="34" spans="1:44" ht="15" customHeight="1">
      <c r="A34" s="48"/>
      <c r="B34" s="48"/>
      <c r="C34" s="48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185" t="s">
        <v>13</v>
      </c>
      <c r="W34" s="186"/>
      <c r="X34" s="187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68"/>
      <c r="AK34" s="68"/>
      <c r="AL34" s="68"/>
      <c r="AM34" s="48"/>
      <c r="AN34" s="48"/>
      <c r="AO34" s="48"/>
      <c r="AP34" s="48"/>
      <c r="AQ34" s="48"/>
      <c r="AR34" s="48"/>
    </row>
    <row r="35" spans="1:44" ht="15" customHeight="1">
      <c r="A35" s="48"/>
      <c r="B35" s="48"/>
      <c r="C35" s="48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76" t="s">
        <v>22</v>
      </c>
      <c r="W35" s="77" t="s">
        <v>9</v>
      </c>
      <c r="X35" s="78" t="s">
        <v>23</v>
      </c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68"/>
      <c r="AJ35" s="53"/>
      <c r="AK35" s="179"/>
      <c r="AL35" s="180"/>
      <c r="AM35" s="180"/>
      <c r="AN35" s="48"/>
      <c r="AO35" s="48"/>
      <c r="AP35" s="48"/>
      <c r="AQ35" s="48"/>
      <c r="AR35" s="48"/>
    </row>
    <row r="36" spans="1:44" ht="10.050000000000001" customHeight="1">
      <c r="A36" s="48"/>
      <c r="B36" s="48"/>
      <c r="C36" s="48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76">
        <v>1</v>
      </c>
      <c r="W36" s="79">
        <f>IFERROR(VLOOKUP($V36,'1. 진단 대상'!$B$5:$F$6,2,FALSE),"")</f>
      </c>
      <c r="X36" s="87">
        <f>IFERROR(HLOOKUP($V36,'2-2. 요약 진단결과(Window)'!$F$3:$G$71,69,FALSE),"")</f>
      </c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68"/>
      <c r="AJ36" s="53"/>
      <c r="AK36" s="68"/>
      <c r="AL36" s="68"/>
      <c r="AM36" s="68"/>
      <c r="AN36" s="48"/>
      <c r="AO36" s="48"/>
      <c r="AP36" s="48"/>
      <c r="AQ36" s="48"/>
      <c r="AR36" s="48"/>
    </row>
    <row r="37" spans="1:44" ht="10.050000000000001" customHeight="1">
      <c r="A37" s="48"/>
      <c r="B37" s="48"/>
      <c r="C37" s="48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76">
        <v>2</v>
      </c>
      <c r="W37" s="79">
        <f>IFERROR(VLOOKUP($V37,'1. 진단 대상'!$B$5:$F$6,2,FALSE),"")</f>
      </c>
      <c r="X37" s="87">
        <f>IFERROR(HLOOKUP($V37,'2-2. 요약 진단결과(Window)'!$F$3:$G$71,69,FALSE),"")</f>
      </c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68"/>
      <c r="AJ37" s="53"/>
      <c r="AK37" s="68"/>
      <c r="AL37" s="53"/>
      <c r="AM37" s="69"/>
      <c r="AN37" s="48"/>
      <c r="AO37" s="48"/>
      <c r="AP37" s="48"/>
      <c r="AQ37" s="48"/>
      <c r="AR37" s="48"/>
    </row>
    <row r="38" spans="1:44" ht="6.9" customHeight="1">
      <c r="A38" s="48"/>
      <c r="B38" s="48"/>
      <c r="C38" s="48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76">
        <v>3</v>
      </c>
      <c r="W38" s="79">
        <f>IFERROR(VLOOKUP($V38,'1. 진단 대상'!$B$5:$F$6,2,FALSE),"")</f>
      </c>
      <c r="X38" s="87">
        <f>IFERROR(HLOOKUP($V38,'2-2. 요약 진단결과(Window)'!$F$3:$G$71,69,FALSE),"")</f>
      </c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8"/>
      <c r="AJ38" s="53"/>
      <c r="AK38" s="68"/>
      <c r="AL38" s="53"/>
      <c r="AM38" s="69"/>
      <c r="AN38" s="48"/>
      <c r="AO38" s="48"/>
      <c r="AP38" s="48"/>
      <c r="AQ38" s="48"/>
      <c r="AR38" s="48"/>
    </row>
    <row r="39" spans="1:44" ht="6.9" customHeight="1">
      <c r="A39" s="48"/>
      <c r="B39" s="48"/>
      <c r="C39" s="48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76">
        <v>4</v>
      </c>
      <c r="W39" s="79">
        <f>IFERROR(VLOOKUP($V39,'1. 진단 대상'!$B$5:$F$6,2,FALSE),"")</f>
      </c>
      <c r="X39" s="87">
        <f>IFERROR(HLOOKUP($V39,'2-2. 요약 진단결과(Window)'!$F$3:$G$71,69,FALSE),"")</f>
      </c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8"/>
      <c r="AJ39" s="53"/>
      <c r="AK39" s="68"/>
      <c r="AL39" s="53"/>
      <c r="AM39" s="69"/>
      <c r="AN39" s="48"/>
      <c r="AO39" s="48"/>
      <c r="AP39" s="48"/>
      <c r="AQ39" s="48"/>
      <c r="AR39" s="48"/>
    </row>
    <row r="40" spans="1:44" ht="6.9" customHeight="1">
      <c r="A40" s="48"/>
      <c r="B40" s="48"/>
      <c r="C40" s="48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76">
        <v>5</v>
      </c>
      <c r="W40" s="79">
        <f>IFERROR(VLOOKUP($V40,'1. 진단 대상'!$B$5:$F$6,2,FALSE),"")</f>
      </c>
      <c r="X40" s="87">
        <f>IFERROR(HLOOKUP($V40,'2-2. 요약 진단결과(Window)'!$F$3:$G$71,69,FALSE),"")</f>
      </c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8"/>
      <c r="AJ40" s="53"/>
      <c r="AK40" s="68"/>
      <c r="AL40" s="53"/>
      <c r="AM40" s="69"/>
      <c r="AN40" s="48"/>
      <c r="AO40" s="48"/>
      <c r="AP40" s="48"/>
      <c r="AQ40" s="48"/>
      <c r="AR40" s="48"/>
    </row>
    <row r="41" spans="1:44" ht="6.9" customHeight="1">
      <c r="A41" s="48"/>
      <c r="B41" s="48"/>
      <c r="C41" s="48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76">
        <v>6</v>
      </c>
      <c r="W41" s="79">
        <f>IFERROR(VLOOKUP($V41,'1. 진단 대상'!$B$5:$F$6,2,FALSE),"")</f>
      </c>
      <c r="X41" s="87">
        <f>IFERROR(HLOOKUP($V41,'2-2. 요약 진단결과(Window)'!$F$3:$G$71,69,FALSE),"")</f>
      </c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8"/>
      <c r="AJ41" s="53"/>
      <c r="AK41" s="68"/>
      <c r="AL41" s="53"/>
      <c r="AM41" s="69"/>
      <c r="AN41" s="48"/>
      <c r="AO41" s="48"/>
      <c r="AP41" s="48"/>
      <c r="AQ41" s="48"/>
      <c r="AR41" s="48"/>
    </row>
    <row r="42" spans="1:44" ht="6.9" customHeight="1">
      <c r="A42" s="48"/>
      <c r="B42" s="48"/>
      <c r="C42" s="48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76">
        <v>7</v>
      </c>
      <c r="W42" s="79">
        <f>IFERROR(VLOOKUP($V42,'1. 진단 대상'!$B$5:$F$6,2,FALSE),"")</f>
      </c>
      <c r="X42" s="87">
        <f>IFERROR(HLOOKUP($V42,'2-2. 요약 진단결과(Window)'!$F$3:$G$71,69,FALSE),"")</f>
      </c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8"/>
      <c r="AJ42" s="53"/>
      <c r="AK42" s="68"/>
      <c r="AL42" s="53"/>
      <c r="AM42" s="69"/>
      <c r="AN42" s="48"/>
      <c r="AO42" s="48"/>
      <c r="AP42" s="48"/>
      <c r="AQ42" s="48"/>
      <c r="AR42" s="48"/>
    </row>
    <row r="43" spans="1:44" ht="6.9" customHeight="1">
      <c r="A43" s="48"/>
      <c r="B43" s="48"/>
      <c r="C43" s="48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76">
        <v>8</v>
      </c>
      <c r="W43" s="79">
        <f>IFERROR(VLOOKUP($V43,'1. 진단 대상'!$B$5:$F$6,2,FALSE),"")</f>
      </c>
      <c r="X43" s="87">
        <f>IFERROR(HLOOKUP($V43,'2-2. 요약 진단결과(Window)'!$F$3:$G$71,69,FALSE),"")</f>
      </c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68"/>
      <c r="AJ43" s="53"/>
      <c r="AK43" s="68"/>
      <c r="AL43" s="53"/>
      <c r="AM43" s="69"/>
      <c r="AN43" s="48"/>
      <c r="AO43" s="48"/>
      <c r="AP43" s="48"/>
      <c r="AQ43" s="48"/>
      <c r="AR43" s="48"/>
    </row>
    <row r="44" spans="1:44" ht="6.9" customHeight="1">
      <c r="A44" s="48"/>
      <c r="B44" s="48"/>
      <c r="C44" s="48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76">
        <v>9</v>
      </c>
      <c r="W44" s="79">
        <f>IFERROR(VLOOKUP($V44,'1. 진단 대상'!$B$5:$F$6,2,FALSE),"")</f>
      </c>
      <c r="X44" s="87">
        <f>IFERROR(HLOOKUP($V44,'2-2. 요약 진단결과(Window)'!$F$3:$G$71,69,FALSE),"")</f>
      </c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68"/>
      <c r="AJ44" s="53"/>
      <c r="AK44" s="68"/>
      <c r="AL44" s="53"/>
      <c r="AM44" s="69"/>
      <c r="AN44" s="48"/>
      <c r="AO44" s="48"/>
      <c r="AP44" s="48"/>
      <c r="AQ44" s="48"/>
      <c r="AR44" s="48"/>
    </row>
    <row r="45" spans="1:44" ht="6.9" customHeight="1">
      <c r="A45" s="48"/>
      <c r="B45" s="48"/>
      <c r="C45" s="48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76">
        <v>10</v>
      </c>
      <c r="W45" s="79">
        <f>IFERROR(VLOOKUP($V45,'1. 진단 대상'!$B$5:$F$6,2,FALSE),"")</f>
      </c>
      <c r="X45" s="87">
        <f>IFERROR(HLOOKUP($V45,'2-2. 요약 진단결과(Window)'!$F$3:$G$71,69,FALSE),"")</f>
      </c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68"/>
      <c r="AJ45" s="53"/>
      <c r="AK45" s="68"/>
      <c r="AL45" s="53"/>
      <c r="AM45" s="69"/>
      <c r="AN45" s="48"/>
      <c r="AO45" s="48"/>
      <c r="AP45" s="48"/>
      <c r="AQ45" s="48"/>
      <c r="AR45" s="48"/>
    </row>
    <row r="46" spans="1:44" ht="6.9" customHeight="1">
      <c r="A46" s="48"/>
      <c r="B46" s="48"/>
      <c r="C46" s="48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76">
        <v>11</v>
      </c>
      <c r="W46" s="79">
        <f>IFERROR(VLOOKUP($V46,'1. 진단 대상'!$B$5:$F$6,2,FALSE),"")</f>
      </c>
      <c r="X46" s="87">
        <f>IFERROR(HLOOKUP($V46,'2-2. 요약 진단결과(Window)'!$F$3:$G$71,69,FALSE),"")</f>
      </c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68"/>
      <c r="AJ46" s="53"/>
      <c r="AK46" s="68"/>
      <c r="AL46" s="53"/>
      <c r="AM46" s="69"/>
      <c r="AN46" s="48"/>
      <c r="AO46" s="48"/>
      <c r="AP46" s="48"/>
      <c r="AQ46" s="48"/>
      <c r="AR46" s="48"/>
    </row>
    <row r="47" spans="1:44" ht="6.9" customHeight="1">
      <c r="A47" s="48"/>
      <c r="B47" s="48"/>
      <c r="C47" s="48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76">
        <v>12</v>
      </c>
      <c r="W47" s="79">
        <f>IFERROR(VLOOKUP($V47,'1. 진단 대상'!$B$5:$F$6,2,FALSE),"")</f>
      </c>
      <c r="X47" s="87">
        <f>IFERROR(HLOOKUP($V47,'2-2. 요약 진단결과(Window)'!$F$3:$G$71,69,FALSE),"")</f>
      </c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68"/>
      <c r="AJ47" s="53"/>
      <c r="AK47" s="68"/>
      <c r="AL47" s="53"/>
      <c r="AM47" s="69"/>
      <c r="AN47" s="48"/>
      <c r="AO47" s="48"/>
      <c r="AP47" s="48"/>
      <c r="AQ47" s="48"/>
      <c r="AR47" s="48"/>
    </row>
    <row r="48" spans="1:44" ht="6.9" customHeight="1">
      <c r="A48" s="48"/>
      <c r="B48" s="48"/>
      <c r="C48" s="48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76">
        <v>13</v>
      </c>
      <c r="W48" s="79">
        <f>IFERROR(VLOOKUP($V48,'1. 진단 대상'!$B$5:$F$6,2,FALSE),"")</f>
      </c>
      <c r="X48" s="87">
        <f>IFERROR(HLOOKUP($V48,'2-2. 요약 진단결과(Window)'!$F$3:$G$71,69,FALSE),"")</f>
      </c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68"/>
      <c r="AJ48" s="53"/>
      <c r="AK48" s="68"/>
      <c r="AL48" s="53"/>
      <c r="AM48" s="69"/>
      <c r="AN48" s="48"/>
      <c r="AO48" s="48"/>
      <c r="AP48" s="48"/>
      <c r="AQ48" s="48"/>
      <c r="AR48" s="48"/>
    </row>
    <row r="49" spans="1:44" ht="6.9" customHeight="1">
      <c r="A49" s="48"/>
      <c r="B49" s="48"/>
      <c r="C49" s="48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76">
        <v>14</v>
      </c>
      <c r="W49" s="79">
        <f>IFERROR(VLOOKUP($V49,'1. 진단 대상'!$B$5:$F$6,2,FALSE),"")</f>
      </c>
      <c r="X49" s="87">
        <f>IFERROR(HLOOKUP($V49,'2-2. 요약 진단결과(Window)'!$F$3:$G$71,69,FALSE),"")</f>
      </c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68"/>
      <c r="AJ49" s="53"/>
      <c r="AK49" s="68"/>
      <c r="AL49" s="53"/>
      <c r="AM49" s="69"/>
      <c r="AN49" s="48"/>
      <c r="AO49" s="48"/>
      <c r="AP49" s="48"/>
      <c r="AQ49" s="48"/>
      <c r="AR49" s="48"/>
    </row>
    <row r="50" spans="1:44" ht="6.9" customHeight="1">
      <c r="A50" s="48"/>
      <c r="B50" s="48"/>
      <c r="C50" s="48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80">
        <v>15</v>
      </c>
      <c r="W50" s="81">
        <f>IFERROR(VLOOKUP($V50,'1. 진단 대상'!$B$5:$F$6,2,FALSE),"")</f>
      </c>
      <c r="X50" s="88">
        <f>IFERROR(HLOOKUP($V50,'2-2. 요약 진단결과(Window)'!$F$3:$G$71,69,FALSE),"")</f>
      </c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68"/>
      <c r="AJ50" s="53"/>
      <c r="AK50" s="68"/>
      <c r="AL50" s="53"/>
      <c r="AM50" s="69"/>
      <c r="AN50" s="48"/>
      <c r="AO50" s="48"/>
      <c r="AP50" s="48"/>
      <c r="AQ50" s="48"/>
      <c r="AR50" s="48"/>
    </row>
    <row r="51" spans="1:44" ht="6.9" customHeight="1">
      <c r="A51" s="48"/>
      <c r="B51" s="48"/>
      <c r="C51" s="48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68"/>
      <c r="AJ51" s="53"/>
      <c r="AK51" s="69"/>
      <c r="AL51" s="48"/>
      <c r="AM51" s="48"/>
      <c r="AN51" s="48"/>
      <c r="AO51" s="48"/>
      <c r="AP51" s="48"/>
      <c r="AQ51" s="48"/>
      <c r="AR51" s="48"/>
    </row>
    <row r="52" spans="1:44" ht="6.9" customHeight="1">
      <c r="A52" s="48"/>
      <c r="B52" s="48"/>
      <c r="C52" s="48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6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68"/>
      <c r="AJ52" s="53"/>
      <c r="AK52" s="69"/>
      <c r="AL52" s="48"/>
      <c r="AM52" s="48"/>
      <c r="AN52" s="48"/>
      <c r="AO52" s="48"/>
      <c r="AP52" s="48"/>
      <c r="AQ52" s="48"/>
      <c r="AR52" s="48"/>
    </row>
    <row r="53" spans="1:44" ht="6.9" customHeight="1">
      <c r="A53" s="48"/>
      <c r="B53" s="48"/>
      <c r="C53" s="48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6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68"/>
      <c r="AJ53" s="53"/>
      <c r="AK53" s="69"/>
      <c r="AL53" s="48"/>
      <c r="AM53" s="48"/>
      <c r="AN53" s="48"/>
      <c r="AO53" s="48"/>
      <c r="AP53" s="48"/>
      <c r="AQ53" s="48"/>
      <c r="AR53" s="48"/>
    </row>
    <row r="54" spans="1:44" ht="6.9" customHeight="1">
      <c r="A54" s="48"/>
      <c r="B54" s="48"/>
      <c r="C54" s="48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6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68"/>
      <c r="AJ54" s="53"/>
      <c r="AK54" s="69"/>
      <c r="AL54" s="48"/>
      <c r="AM54" s="48"/>
      <c r="AN54" s="48"/>
      <c r="AO54" s="48"/>
      <c r="AP54" s="48"/>
      <c r="AQ54" s="48"/>
      <c r="AR54" s="48"/>
    </row>
    <row r="55" spans="1:44" ht="6.9" customHeight="1">
      <c r="A55" s="48"/>
      <c r="B55" s="48"/>
      <c r="C55" s="48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6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</row>
    <row r="56" spans="1:44" ht="6.9" customHeight="1">
      <c r="A56" s="48"/>
      <c r="B56" s="48"/>
      <c r="C56" s="48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68"/>
      <c r="X56" s="53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</row>
    <row r="57" spans="1:44" ht="6.9" customHeight="1">
      <c r="A57" s="48"/>
      <c r="B57" s="48"/>
      <c r="C57" s="48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68"/>
      <c r="X57" s="53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</row>
    <row r="58" spans="1:44" ht="6.9" customHeight="1">
      <c r="A58" s="48"/>
      <c r="B58" s="48"/>
      <c r="C58" s="48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68"/>
      <c r="X58" s="53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</row>
    <row r="59" spans="1:44" ht="6.9" customHeight="1">
      <c r="A59" s="48"/>
      <c r="B59" s="48"/>
      <c r="C59" s="48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68"/>
      <c r="X59" s="53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</row>
    <row r="60" spans="1:44" ht="6.9" customHeight="1">
      <c r="A60" s="48"/>
      <c r="B60" s="48"/>
      <c r="C60" s="48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68"/>
      <c r="X60" s="53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</row>
    <row r="61" spans="1:44" ht="6.9" customHeight="1">
      <c r="A61" s="48"/>
      <c r="B61" s="48"/>
      <c r="C61" s="48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68"/>
      <c r="X61" s="53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</row>
    <row r="62" spans="1:44" ht="6.9" customHeight="1">
      <c r="A62" s="48"/>
      <c r="B62" s="48"/>
      <c r="C62" s="4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68"/>
      <c r="X62" s="53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</row>
    <row r="63" spans="1:44" ht="6.9" customHeight="1">
      <c r="A63" s="48"/>
      <c r="B63" s="48"/>
      <c r="C63" s="48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68"/>
      <c r="X63" s="53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</row>
    <row r="64" spans="1:44" ht="6.9" customHeight="1">
      <c r="A64" s="48"/>
      <c r="B64" s="48"/>
      <c r="C64" s="48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68"/>
      <c r="X64" s="53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</row>
    <row r="65" spans="1:44" ht="6.9" customHeight="1">
      <c r="A65" s="48"/>
      <c r="B65" s="48"/>
      <c r="C65" s="48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</row>
    <row r="66" spans="1:44" ht="6.9" customHeight="1">
      <c r="A66" s="48"/>
      <c r="B66" s="48"/>
      <c r="C66" s="48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</row>
    <row r="67" spans="1:44" ht="6.9" customHeight="1">
      <c r="A67" s="48"/>
      <c r="B67" s="48"/>
      <c r="C67" s="48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</row>
    <row r="68" spans="1:44" ht="6.9" customHeight="1">
      <c r="A68" s="48"/>
      <c r="B68" s="48"/>
      <c r="C68" s="48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48"/>
      <c r="W68" s="53"/>
      <c r="X68" s="53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</row>
    <row r="69" spans="1:44" ht="6.9" customHeight="1">
      <c r="A69" s="48"/>
      <c r="B69" s="48"/>
      <c r="C69" s="48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48"/>
      <c r="W69" s="53"/>
      <c r="X69" s="53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</row>
    <row r="70" spans="1:44" ht="6.9" customHeight="1">
      <c r="A70" s="48"/>
      <c r="B70" s="48"/>
      <c r="C70" s="48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48"/>
      <c r="W70" s="53"/>
      <c r="X70" s="53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</row>
    <row r="71" spans="1:44" ht="15" customHeight="1">
      <c r="A71" s="48"/>
      <c r="B71" s="82" t="s">
        <v>24</v>
      </c>
      <c r="C71" s="83" t="s">
        <v>25</v>
      </c>
      <c r="D71" s="84" t="s">
        <v>17</v>
      </c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48"/>
      <c r="V71" s="48"/>
      <c r="W71" s="53"/>
      <c r="X71" s="53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</row>
    <row r="72" spans="1:44" ht="15" customHeight="1">
      <c r="A72" s="48"/>
      <c r="B72" s="285">
        <f>SUBSTITUTE('2-2. 요약 진단결과(Window)'!B6,CHAR(10),"")</f>
      </c>
      <c r="C72" s="89">
        <f>'2-2. 요약 진단결과(Window)'!I6</f>
      </c>
      <c r="D72" s="87">
        <f>$C$6</f>
      </c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48"/>
      <c r="V72" s="48"/>
      <c r="W72" s="53"/>
      <c r="X72" s="53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BA72" s="89">
        <f>IF(ISNUMBER(C72),C72,NA())</f>
      </c>
      <c r="BB72" s="87">
        <f>IF(ISNUMBER(D72),D72,NA())</f>
      </c>
    </row>
    <row r="73" spans="1:44" ht="15" customHeight="1">
      <c r="A73" s="48"/>
      <c r="B73" s="285">
        <f>SUBSTITUTE('2-2. 요약 진단결과(Window)'!B20,CHAR(10),"")</f>
      </c>
      <c r="C73" s="89">
        <f>'2-2. 요약 진단결과(Window)'!I20</f>
      </c>
      <c r="D73" s="87">
        <f>$C$6</f>
      </c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48"/>
      <c r="V73" s="48"/>
      <c r="W73" s="53"/>
      <c r="X73" s="53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BA73" s="89">
        <f>IF(ISNUMBER(C73),C73,NA())</f>
      </c>
      <c r="BB73" s="87">
        <f>IF(ISNUMBER(D73),D73,NA())</f>
      </c>
    </row>
    <row r="74" spans="1:44" ht="15" customHeight="1">
      <c r="A74" s="48"/>
      <c r="B74" s="285">
        <f>SUBSTITUTE('2-2. 요약 진단결과(Window)'!B43,CHAR(10),"")</f>
      </c>
      <c r="C74" s="89">
        <f>'2-2. 요약 진단결과(Window)'!I43</f>
      </c>
      <c r="D74" s="87">
        <f>$C$6</f>
      </c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48"/>
      <c r="V74" s="48"/>
      <c r="W74" s="53"/>
      <c r="X74" s="53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BA74" s="89">
        <f>IF(ISNUMBER(C74),C74,NA())</f>
      </c>
      <c r="BB74" s="87">
        <f>IF(ISNUMBER(D74),D74,NA())</f>
      </c>
    </row>
    <row r="75" spans="1:44" ht="15" customHeight="1">
      <c r="A75" s="48"/>
      <c r="B75" s="285">
        <f>SUBSTITUTE('2-2. 요약 진단결과(Window)'!B45,CHAR(10),"")</f>
      </c>
      <c r="C75" s="89">
        <f>'2-2. 요약 진단결과(Window)'!I45</f>
      </c>
      <c r="D75" s="87">
        <f>$C$6</f>
      </c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48"/>
      <c r="V75" s="48"/>
      <c r="W75" s="53"/>
      <c r="X75" s="53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BA75" s="89">
        <f>IF(ISNUMBER(C75),C75,NA())</f>
      </c>
      <c r="BB75" s="87">
        <f>IF(ISNUMBER(D75),D75,NA())</f>
      </c>
    </row>
    <row r="76" spans="1:44" ht="15" customHeight="1">
      <c r="A76" s="48"/>
      <c r="B76" s="286">
        <f>SUBSTITUTE('2-2. 요약 진단결과(Window)'!B49,CHAR(10),"")</f>
      </c>
      <c r="C76" s="108">
        <f>'2-2. 요약 진단결과(Window)'!I49</f>
      </c>
      <c r="D76" s="88">
        <f>$C$6</f>
      </c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48"/>
      <c r="V76" s="48"/>
      <c r="W76" s="53"/>
      <c r="X76" s="53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BA76" s="108">
        <f>IF(ISNUMBER(C76),C76,NA())</f>
      </c>
      <c r="BB76" s="88">
        <f>IF(ISNUMBER(D76),D76,NA())</f>
      </c>
    </row>
    <row r="77" spans="1:44" ht="6.9" customHeight="1">
      <c r="A77" s="48"/>
      <c r="B77" s="48"/>
      <c r="C77" s="48"/>
      <c r="D77" s="48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48"/>
      <c r="V77" s="48"/>
      <c r="W77" s="53"/>
      <c r="X77" s="53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</row>
    <row r="78" spans="1:44" ht="6.9" customHeight="1">
      <c r="A78" s="48"/>
      <c r="B78" s="48"/>
      <c r="C78" s="48"/>
      <c r="D78" s="48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85"/>
      <c r="V78" s="86"/>
      <c r="W78" s="53"/>
      <c r="X78" s="53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</row>
    <row r="79" spans="1:44" ht="6.9" customHeight="1">
      <c r="A79" s="48"/>
      <c r="B79" s="48"/>
      <c r="C79" s="48"/>
      <c r="D79" s="48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85"/>
      <c r="V79" s="86"/>
      <c r="W79" s="53"/>
      <c r="X79" s="53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</row>
    <row r="80" spans="1:44" ht="6.9" customHeight="1">
      <c r="A80" s="48"/>
      <c r="B80" s="48"/>
      <c r="C80" s="48"/>
      <c r="D80" s="48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</row>
    <row r="81" spans="1:44" ht="6.9" customHeight="1">
      <c r="A81" s="48"/>
      <c r="B81" s="48"/>
      <c r="C81" s="48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</row>
    <row r="82" spans="1:44" ht="6.9" customHeight="1">
      <c r="A82" s="48"/>
      <c r="B82" s="48"/>
      <c r="C82" s="48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</row>
    <row r="83" spans="1:44" ht="6.9" customHeight="1">
      <c r="A83" s="48"/>
      <c r="B83" s="48"/>
      <c r="C83" s="48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</row>
    <row r="84" spans="1:44" ht="6.9" customHeight="1">
      <c r="A84" s="48"/>
      <c r="B84" s="48"/>
      <c r="C84" s="48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</row>
    <row r="85" spans="1:44" ht="6.9" customHeight="1">
      <c r="A85" s="48"/>
      <c r="B85" s="48"/>
      <c r="C85" s="48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</row>
    <row r="86" spans="1:44" ht="6.9" customHeight="1">
      <c r="A86" s="48"/>
      <c r="B86" s="48"/>
      <c r="C86" s="48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</row>
    <row r="87" spans="1:44" ht="6.9" customHeight="1">
      <c r="A87" s="48"/>
      <c r="B87" s="48"/>
      <c r="C87" s="48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</row>
    <row r="88" spans="1:44" ht="6.9" customHeight="1">
      <c r="A88" s="48"/>
      <c r="B88" s="48"/>
      <c r="C88" s="48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</row>
    <row r="89" spans="1:44" ht="6.9" customHeight="1">
      <c r="A89" s="48"/>
      <c r="B89" s="48"/>
      <c r="C89" s="48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</row>
    <row r="90" spans="1:44" ht="6.9" customHeight="1">
      <c r="A90" s="48"/>
      <c r="B90" s="48"/>
      <c r="C90" s="48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</row>
    <row r="91" spans="1:44" ht="6.9" customHeight="1">
      <c r="A91" s="48"/>
      <c r="B91" s="48"/>
      <c r="C91" s="48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</row>
    <row r="92" spans="1:44" ht="6.9" customHeight="1">
      <c r="A92" s="48"/>
      <c r="B92" s="48"/>
      <c r="C92" s="48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</row>
    <row r="93" spans="1:44" ht="6.9" customHeight="1">
      <c r="A93" s="48"/>
      <c r="B93" s="48"/>
      <c r="C93" s="48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</row>
    <row r="94" spans="1:44" ht="6.9" customHeight="1">
      <c r="A94" s="48"/>
      <c r="B94" s="48"/>
      <c r="C94" s="48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</row>
    <row r="95" spans="1:44" ht="6.9" customHeight="1">
      <c r="A95" s="48"/>
      <c r="B95" s="48"/>
      <c r="C95" s="48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</row>
    <row r="96" spans="1:44" ht="6.9" customHeight="1">
      <c r="A96" s="48"/>
      <c r="B96" s="48"/>
      <c r="C96" s="48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</row>
    <row r="97" spans="1:44" ht="6.9" customHeight="1">
      <c r="A97" s="48"/>
      <c r="B97" s="48"/>
      <c r="C97" s="48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</row>
    <row r="98" spans="1:44" ht="6.9" customHeight="1">
      <c r="A98" s="48"/>
      <c r="B98" s="48"/>
      <c r="C98" s="48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</row>
    <row r="99" spans="1:44" ht="6.9" customHeight="1">
      <c r="A99" s="48"/>
      <c r="B99" s="48"/>
      <c r="C99" s="48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</row>
    <row r="100" spans="1:44" ht="6.9" customHeight="1">
      <c r="A100" s="48"/>
      <c r="B100" s="48"/>
      <c r="C100" s="48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</row>
    <row r="101" spans="1:44" ht="6.9" customHeight="1">
      <c r="A101" s="48"/>
      <c r="B101" s="48"/>
      <c r="C101" s="48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</row>
    <row r="102" spans="1:44" ht="6.9" customHeight="1">
      <c r="A102" s="48"/>
      <c r="B102" s="48"/>
      <c r="C102" s="48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</row>
    <row r="103" spans="1:44" ht="6.9" customHeight="1">
      <c r="A103" s="48"/>
      <c r="B103" s="48"/>
      <c r="C103" s="48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</row>
    <row r="104" spans="1:44" ht="6.9" customHeight="1">
      <c r="A104" s="48"/>
      <c r="B104" s="48"/>
      <c r="C104" s="48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</row>
    <row r="105" spans="1:44" ht="6.9" customHeight="1">
      <c r="A105" s="48"/>
      <c r="B105" s="48"/>
      <c r="C105" s="48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</row>
    <row r="106" spans="1:44" ht="6.9" customHeight="1">
      <c r="A106" s="48"/>
      <c r="B106" s="48"/>
      <c r="C106" s="48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</row>
    <row r="107" spans="1:44" ht="6.9" customHeight="1">
      <c r="A107" s="48"/>
      <c r="B107" s="48"/>
      <c r="C107" s="48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</row>
    <row r="108" spans="1:44" ht="6.9" customHeight="1">
      <c r="A108" s="48"/>
      <c r="B108" s="48"/>
      <c r="C108" s="48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</row>
    <row r="109" spans="1:44" ht="6.9" customHeight="1">
      <c r="A109" s="48"/>
      <c r="B109" s="48"/>
      <c r="C109" s="48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</row>
    <row r="110" spans="1:44" ht="6.9" customHeight="1">
      <c r="A110" s="48"/>
      <c r="B110" s="48"/>
      <c r="C110" s="48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</row>
    <row r="111" spans="1:44" ht="6.9" customHeight="1">
      <c r="A111" s="48"/>
      <c r="B111" s="48"/>
      <c r="C111" s="48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</row>
    <row r="112" spans="1:44" ht="6.9" customHeight="1">
      <c r="A112" s="48"/>
      <c r="B112" s="48"/>
      <c r="C112" s="48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</row>
    <row r="113" spans="1:44" ht="6.9" customHeight="1">
      <c r="A113" s="48"/>
      <c r="B113" s="48"/>
      <c r="C113" s="48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</row>
    <row r="114" spans="1:44" ht="6.9" customHeight="1">
      <c r="A114" s="48"/>
      <c r="B114" s="48"/>
      <c r="C114" s="48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</row>
    <row r="115" spans="1:44" ht="6.9" customHeight="1">
      <c r="A115" s="48"/>
      <c r="B115" s="48"/>
      <c r="C115" s="48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</row>
    <row r="116" spans="1:44" ht="6.9" customHeight="1">
      <c r="A116" s="48"/>
      <c r="B116" s="48"/>
      <c r="C116" s="48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</row>
    <row r="117" spans="1:44" ht="6.9" customHeight="1">
      <c r="A117" s="48"/>
      <c r="B117" s="48"/>
      <c r="C117" s="48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</row>
    <row r="118" spans="1:44" ht="6.9" customHeight="1">
      <c r="A118" s="48"/>
      <c r="B118" s="48"/>
      <c r="C118" s="48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</row>
    <row r="119" spans="1:44" ht="6.9" customHeight="1">
      <c r="A119" s="48"/>
      <c r="B119" s="48"/>
      <c r="C119" s="48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</row>
    <row r="120" spans="1:44" ht="6.9" customHeight="1">
      <c r="A120" s="48"/>
      <c r="B120" s="48"/>
      <c r="C120" s="48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</row>
    <row r="121" spans="1:44" ht="6.9" customHeight="1">
      <c r="A121" s="48"/>
      <c r="B121" s="48"/>
      <c r="C121" s="48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</row>
    <row r="122" spans="1:44" ht="6.9" customHeight="1">
      <c r="A122" s="48"/>
      <c r="B122" s="48"/>
      <c r="C122" s="48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</row>
    <row r="123" spans="1:44" ht="6.9" customHeight="1">
      <c r="A123" s="48"/>
      <c r="B123" s="48"/>
      <c r="C123" s="48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</row>
    <row r="124" spans="1:44" ht="6.9" customHeight="1">
      <c r="A124" s="48"/>
      <c r="B124" s="48"/>
      <c r="C124" s="48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</row>
    <row r="125" spans="1:44" ht="6.9" customHeight="1">
      <c r="A125" s="48"/>
      <c r="B125" s="48"/>
      <c r="C125" s="48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</row>
    <row r="126" spans="1:44" ht="6.9" customHeight="1">
      <c r="A126" s="48"/>
      <c r="B126" s="48"/>
      <c r="C126" s="48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</row>
    <row r="127" spans="1:44" ht="6.9" customHeight="1">
      <c r="A127" s="48"/>
      <c r="B127" s="48"/>
      <c r="C127" s="48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</row>
    <row r="128" spans="1:44" ht="6.9" customHeight="1">
      <c r="A128" s="48"/>
      <c r="B128" s="48"/>
      <c r="C128" s="48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</row>
    <row r="129" spans="1:44" ht="6.9" customHeight="1">
      <c r="A129" s="48"/>
      <c r="B129" s="48"/>
      <c r="C129" s="48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</row>
    <row r="130" spans="1:44" ht="6.9" customHeight="1">
      <c r="A130" s="48"/>
      <c r="B130" s="48"/>
      <c r="C130" s="48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</row>
    <row r="131" spans="1:44" ht="6.9" customHeight="1">
      <c r="A131" s="48"/>
      <c r="B131" s="48"/>
      <c r="C131" s="48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</row>
    <row r="132" spans="1:44" ht="6.9" customHeight="1">
      <c r="A132" s="48"/>
      <c r="B132" s="48"/>
      <c r="C132" s="48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</row>
    <row r="133" spans="1:44" ht="6.9" customHeight="1">
      <c r="A133" s="48"/>
      <c r="B133" s="48"/>
      <c r="C133" s="48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</row>
    <row r="134" spans="1:44" ht="6.9" customHeight="1">
      <c r="A134" s="48"/>
      <c r="B134" s="48"/>
      <c r="C134" s="48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</row>
    <row r="135" spans="1:44" ht="6.9" customHeight="1">
      <c r="A135" s="48"/>
      <c r="B135" s="48"/>
      <c r="C135" s="48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</row>
    <row r="136" spans="1:44" ht="6.9" customHeight="1">
      <c r="A136" s="48"/>
      <c r="B136" s="48"/>
      <c r="C136" s="48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</row>
    <row r="137" spans="1:44" ht="6.9" customHeight="1">
      <c r="A137" s="48"/>
      <c r="B137" s="48"/>
      <c r="C137" s="48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</row>
    <row r="138" spans="1:44" ht="6.9" customHeight="1">
      <c r="A138" s="48"/>
      <c r="B138" s="48"/>
      <c r="C138" s="48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</row>
    <row r="139" spans="1:44" ht="6.9" customHeight="1">
      <c r="A139" s="48"/>
      <c r="B139" s="48"/>
      <c r="C139" s="48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</row>
    <row r="140" spans="1:44" ht="6.9" customHeight="1">
      <c r="A140" s="48"/>
      <c r="B140" s="48"/>
      <c r="C140" s="48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</row>
    <row r="141" spans="1:44" ht="6.9" customHeight="1">
      <c r="A141" s="48"/>
      <c r="B141" s="48"/>
      <c r="C141" s="48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</row>
    <row r="142" spans="1:44" ht="6.9" customHeight="1">
      <c r="A142" s="48"/>
      <c r="B142" s="48"/>
      <c r="C142" s="48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</row>
    <row r="143" spans="1:44" ht="6.9" customHeight="1">
      <c r="A143" s="48"/>
      <c r="B143" s="48"/>
      <c r="C143" s="48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</row>
    <row r="144" spans="1:44" ht="6.9" customHeight="1">
      <c r="A144" s="48"/>
      <c r="B144" s="48"/>
      <c r="C144" s="48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</row>
    <row r="145" spans="1:44" ht="6.9" customHeight="1">
      <c r="A145" s="48"/>
      <c r="B145" s="48"/>
      <c r="C145" s="48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</row>
    <row r="146" spans="1:44" ht="6.9" customHeight="1">
      <c r="A146" s="48"/>
      <c r="B146" s="48"/>
      <c r="C146" s="48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</row>
    <row r="147" spans="1:44" ht="6.9" customHeight="1">
      <c r="A147" s="48"/>
      <c r="B147" s="48"/>
      <c r="C147" s="48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</row>
    <row r="148" spans="1:44" ht="6.9" customHeight="1">
      <c r="A148" s="48"/>
      <c r="B148" s="48"/>
      <c r="C148" s="48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</row>
    <row r="149" spans="1:44" ht="6.9" customHeight="1">
      <c r="A149" s="48"/>
      <c r="B149" s="48"/>
      <c r="C149" s="48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</row>
    <row r="150" spans="1:44" ht="6.9" customHeight="1">
      <c r="A150" s="48"/>
      <c r="B150" s="48"/>
      <c r="C150" s="48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</row>
    <row r="151" spans="1:44" ht="6.9" customHeight="1">
      <c r="A151" s="48"/>
      <c r="B151" s="48"/>
      <c r="C151" s="48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</row>
    <row r="152" spans="1:44" ht="6.9" customHeight="1">
      <c r="A152" s="48"/>
      <c r="B152" s="48"/>
      <c r="C152" s="48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</row>
    <row r="153" spans="1:44" ht="6.9" customHeight="1">
      <c r="A153" s="48"/>
      <c r="B153" s="48"/>
      <c r="C153" s="48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</row>
    <row r="154" spans="1:44" ht="6.9" customHeight="1">
      <c r="A154" s="48"/>
      <c r="B154" s="48"/>
      <c r="C154" s="48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</row>
    <row r="155" spans="1:44" ht="6.9" customHeight="1">
      <c r="A155" s="48"/>
      <c r="B155" s="48"/>
      <c r="C155" s="48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</row>
    <row r="156" spans="1:44" ht="6.9" customHeight="1">
      <c r="A156" s="48"/>
      <c r="B156" s="48"/>
      <c r="C156" s="48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</row>
    <row r="157" spans="1:44" ht="6.9" customHeight="1">
      <c r="A157" s="48"/>
      <c r="B157" s="48"/>
      <c r="C157" s="48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</row>
    <row r="158" spans="1:44" ht="6.9" customHeight="1">
      <c r="A158" s="48"/>
      <c r="B158" s="48"/>
      <c r="C158" s="48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</row>
    <row r="159" spans="1:44" ht="6.9" customHeight="1">
      <c r="A159" s="48"/>
      <c r="B159" s="48"/>
      <c r="C159" s="48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</row>
    <row r="160" spans="1:44" ht="6.9" customHeight="1">
      <c r="A160" s="48"/>
      <c r="B160" s="48"/>
      <c r="C160" s="48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</row>
    <row r="161" spans="1:44" ht="6.9" customHeight="1">
      <c r="A161" s="48"/>
      <c r="B161" s="48"/>
      <c r="C161" s="48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</row>
    <row r="162" spans="1:44" ht="6.9" customHeight="1">
      <c r="A162" s="48"/>
      <c r="B162" s="48"/>
      <c r="C162" s="48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</row>
    <row r="163" spans="1:44" ht="6.9" customHeight="1">
      <c r="A163" s="48"/>
      <c r="B163" s="48"/>
      <c r="C163" s="48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</row>
    <row r="164" spans="1:44" ht="6.9" customHeight="1">
      <c r="A164" s="48"/>
      <c r="B164" s="48"/>
      <c r="C164" s="48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</row>
    <row r="165" spans="1:44" ht="6.9" customHeight="1">
      <c r="A165" s="48"/>
      <c r="B165" s="48"/>
      <c r="C165" s="48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</row>
    <row r="166" spans="1:44" ht="6.9" customHeight="1">
      <c r="A166" s="48"/>
      <c r="B166" s="48"/>
      <c r="C166" s="48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</row>
    <row r="167" spans="1:44" ht="6.9" customHeight="1">
      <c r="A167" s="48"/>
      <c r="B167" s="48"/>
      <c r="C167" s="48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</row>
    <row r="168" spans="1:44" ht="6.9" customHeight="1">
      <c r="A168" s="48"/>
      <c r="B168" s="48"/>
      <c r="C168" s="48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</row>
    <row r="169" spans="1:44" ht="6.9" customHeight="1">
      <c r="A169" s="48"/>
      <c r="B169" s="48"/>
      <c r="C169" s="48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</row>
    <row r="170" spans="1:44" ht="6.9" customHeight="1">
      <c r="A170" s="48"/>
      <c r="B170" s="48"/>
      <c r="C170" s="48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</row>
    <row r="171" spans="1:44" ht="6.9" customHeight="1">
      <c r="A171" s="48"/>
      <c r="B171" s="48"/>
      <c r="C171" s="48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</row>
    <row r="172" spans="1:44" ht="6.9" customHeight="1">
      <c r="A172" s="48"/>
      <c r="B172" s="48"/>
      <c r="C172" s="48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</row>
    <row r="173" spans="1:44" ht="6.9" customHeight="1">
      <c r="A173" s="48"/>
      <c r="B173" s="48"/>
      <c r="C173" s="48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</row>
    <row r="174" spans="1:44" ht="6.9" customHeight="1">
      <c r="A174" s="48"/>
      <c r="B174" s="48"/>
      <c r="C174" s="48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</row>
    <row r="175" spans="1:44" ht="6.9" customHeight="1">
      <c r="A175" s="48"/>
      <c r="B175" s="48"/>
      <c r="C175" s="48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</row>
    <row r="176" spans="1:44" ht="6.9" customHeight="1">
      <c r="A176" s="48"/>
      <c r="B176" s="48"/>
      <c r="C176" s="48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</row>
    <row r="177" spans="1:44" ht="6.9" customHeight="1">
      <c r="A177" s="48"/>
      <c r="B177" s="48"/>
      <c r="C177" s="48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</row>
    <row r="178" spans="1:44" ht="6.9" customHeight="1">
      <c r="A178" s="48"/>
      <c r="B178" s="48"/>
      <c r="C178" s="48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</row>
    <row r="179" spans="1:44" ht="6.9" customHeight="1">
      <c r="A179" s="48"/>
      <c r="B179" s="48"/>
      <c r="C179" s="48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</row>
    <row r="180" spans="1:44" ht="6.9" customHeight="1">
      <c r="A180" s="48"/>
      <c r="B180" s="48"/>
      <c r="C180" s="48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</row>
    <row r="181" spans="1:44" ht="6.9" customHeight="1">
      <c r="A181" s="48"/>
      <c r="B181" s="48"/>
      <c r="C181" s="48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</row>
    <row r="182" spans="1:44" ht="6.9" customHeight="1">
      <c r="A182" s="48"/>
      <c r="B182" s="48"/>
      <c r="C182" s="48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</row>
    <row r="183" spans="1:44" ht="6.9" customHeight="1">
      <c r="A183" s="48"/>
      <c r="B183" s="48"/>
      <c r="C183" s="48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</row>
    <row r="184" spans="1:44" ht="6.9" customHeight="1">
      <c r="A184" s="48"/>
      <c r="B184" s="48"/>
      <c r="C184" s="48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</row>
    <row r="185" spans="1:44" ht="6.9" customHeight="1">
      <c r="A185" s="48"/>
      <c r="B185" s="48"/>
      <c r="C185" s="48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</row>
    <row r="186" spans="1:44" ht="6.9" customHeight="1">
      <c r="A186" s="48"/>
      <c r="B186" s="48"/>
      <c r="C186" s="48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</row>
    <row r="187" spans="1:44" ht="6.9" customHeight="1">
      <c r="A187" s="48"/>
      <c r="B187" s="48"/>
      <c r="C187" s="48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</row>
    <row r="188" spans="1:44" ht="6.9" customHeight="1">
      <c r="A188" s="48"/>
      <c r="B188" s="48"/>
      <c r="C188" s="48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</row>
    <row r="189" spans="1:44" ht="6.9" customHeight="1">
      <c r="A189" s="48"/>
      <c r="B189" s="48"/>
      <c r="C189" s="48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</row>
    <row r="190" spans="1:44" ht="6.9" customHeight="1">
      <c r="A190" s="48"/>
      <c r="B190" s="48"/>
      <c r="C190" s="48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</row>
    <row r="191" spans="1:44" ht="6.9" customHeight="1">
      <c r="A191" s="48"/>
      <c r="B191" s="48"/>
      <c r="C191" s="48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</row>
    <row r="192" spans="1:44" ht="6.9" customHeight="1">
      <c r="A192" s="48"/>
      <c r="B192" s="48"/>
      <c r="C192" s="48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</row>
    <row r="193" spans="1:44" ht="6.9" customHeight="1">
      <c r="A193" s="48"/>
      <c r="B193" s="48"/>
      <c r="C193" s="48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</row>
    <row r="194" spans="1:44" ht="6.9" customHeight="1">
      <c r="A194" s="48"/>
      <c r="B194" s="48"/>
      <c r="C194" s="48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</row>
    <row r="195" spans="1:44" ht="6.9" customHeight="1">
      <c r="A195" s="48"/>
      <c r="B195" s="48"/>
      <c r="C195" s="48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</row>
    <row r="196" spans="1:44" ht="6.9" customHeight="1">
      <c r="A196" s="48"/>
      <c r="B196" s="48"/>
      <c r="C196" s="48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</row>
    <row r="197" spans="1:44" ht="6.9" customHeight="1">
      <c r="A197" s="48"/>
      <c r="B197" s="48"/>
      <c r="C197" s="48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</row>
    <row r="198" spans="1:44" ht="6.9" customHeight="1">
      <c r="A198" s="48"/>
      <c r="B198" s="48"/>
      <c r="C198" s="48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</row>
    <row r="199" spans="1:44" ht="6.9" customHeight="1">
      <c r="A199" s="48"/>
      <c r="B199" s="48"/>
      <c r="C199" s="48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</row>
    <row r="200" spans="1:44" ht="6.9" customHeight="1">
      <c r="A200" s="48"/>
      <c r="B200" s="48"/>
      <c r="C200" s="48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</row>
    <row r="201" spans="1:44" ht="6.9" customHeight="1">
      <c r="A201" s="48"/>
      <c r="B201" s="48"/>
      <c r="C201" s="48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</row>
    <row r="202" spans="1:44" ht="6.9" customHeight="1">
      <c r="A202" s="48"/>
      <c r="B202" s="48"/>
      <c r="C202" s="48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</row>
    <row r="203" spans="1:44" ht="6.9" customHeight="1">
      <c r="A203" s="48"/>
      <c r="B203" s="48"/>
      <c r="C203" s="48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</row>
    <row r="204" spans="1:44" ht="6.9" customHeight="1">
      <c r="A204" s="48"/>
      <c r="B204" s="48"/>
      <c r="C204" s="48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</row>
    <row r="205" spans="1:44" ht="6.9" customHeight="1">
      <c r="A205" s="48"/>
      <c r="B205" s="48"/>
      <c r="C205" s="48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</row>
    <row r="206" spans="1:44" ht="6.9" customHeight="1">
      <c r="A206" s="48"/>
      <c r="B206" s="48"/>
      <c r="C206" s="48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</row>
    <row r="207" spans="1:44" ht="6.9" customHeight="1">
      <c r="A207" s="48"/>
      <c r="B207" s="48"/>
      <c r="C207" s="48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</row>
    <row r="208" spans="1:44" ht="6.9" customHeight="1">
      <c r="A208" s="48"/>
      <c r="B208" s="48"/>
      <c r="C208" s="48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</row>
    <row r="209" spans="1:44" ht="6.9" customHeight="1">
      <c r="A209" s="48"/>
      <c r="B209" s="48"/>
      <c r="C209" s="48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</row>
    <row r="210" spans="1:44" ht="6.9" customHeight="1">
      <c r="A210" s="48"/>
      <c r="B210" s="48"/>
      <c r="C210" s="48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</row>
    <row r="211" spans="1:44" ht="6.9" customHeight="1">
      <c r="A211" s="48"/>
      <c r="B211" s="48"/>
      <c r="C211" s="48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</row>
    <row r="212" spans="1:44" ht="6.9" customHeight="1">
      <c r="A212" s="48"/>
      <c r="B212" s="48"/>
      <c r="C212" s="48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</row>
    <row r="213" spans="1:44" ht="6.9" customHeight="1">
      <c r="A213" s="48"/>
      <c r="B213" s="48"/>
      <c r="C213" s="48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</row>
    <row r="214" spans="1:44" ht="6.9" customHeight="1">
      <c r="A214" s="48"/>
      <c r="B214" s="48"/>
      <c r="C214" s="48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</row>
    <row r="215" spans="1:44" ht="6.9" customHeight="1">
      <c r="A215" s="48"/>
      <c r="B215" s="48"/>
      <c r="C215" s="48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</row>
    <row r="216" spans="1:44" ht="6.9" customHeight="1">
      <c r="A216" s="48"/>
      <c r="B216" s="48"/>
      <c r="C216" s="48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</row>
    <row r="217" spans="1:44" ht="6.9" customHeight="1">
      <c r="A217" s="48"/>
      <c r="B217" s="48"/>
      <c r="C217" s="48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</row>
    <row r="218" spans="1:44" ht="6.9" customHeight="1">
      <c r="A218" s="48"/>
      <c r="B218" s="48"/>
      <c r="C218" s="48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</row>
    <row r="219" spans="1:44" ht="6.9" customHeight="1">
      <c r="A219" s="48"/>
      <c r="B219" s="48"/>
      <c r="C219" s="48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</row>
    <row r="220" spans="1:44" ht="6.9" customHeight="1">
      <c r="A220" s="48"/>
      <c r="B220" s="48"/>
      <c r="C220" s="48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</row>
    <row r="221" spans="1:44" ht="6.9" customHeight="1">
      <c r="A221" s="48"/>
      <c r="B221" s="48"/>
      <c r="C221" s="48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</row>
    <row r="222" spans="1:44" ht="6.9" customHeight="1">
      <c r="A222" s="48"/>
      <c r="B222" s="48"/>
      <c r="C222" s="48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</row>
    <row r="223" spans="1:44" ht="6.9" customHeight="1">
      <c r="A223" s="48"/>
      <c r="B223" s="48"/>
      <c r="C223" s="48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</row>
    <row r="224" spans="1:44" ht="6.9" customHeight="1">
      <c r="A224" s="48"/>
      <c r="B224" s="48"/>
      <c r="C224" s="48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</row>
    <row r="225" spans="1:44" ht="6.9" customHeight="1">
      <c r="A225" s="48"/>
      <c r="B225" s="48"/>
      <c r="C225" s="48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</row>
    <row r="226" spans="1:44" ht="6.9" customHeight="1">
      <c r="A226" s="48"/>
      <c r="B226" s="48"/>
      <c r="C226" s="48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</row>
    <row r="227" spans="1:44" ht="6.9" customHeight="1">
      <c r="A227" s="48"/>
      <c r="B227" s="48"/>
      <c r="C227" s="48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</row>
    <row r="228" spans="1:44" ht="6.9" customHeight="1">
      <c r="A228" s="48"/>
      <c r="B228" s="48"/>
      <c r="C228" s="48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</row>
    <row r="229" spans="1:44" ht="6.9" customHeight="1">
      <c r="A229" s="48"/>
      <c r="B229" s="48"/>
      <c r="C229" s="48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</row>
    <row r="230" spans="1:44" ht="6.9" customHeight="1">
      <c r="A230" s="48"/>
      <c r="B230" s="48"/>
      <c r="C230" s="48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</row>
    <row r="231" spans="1:44" ht="6.9" customHeight="1">
      <c r="A231" s="48"/>
      <c r="B231" s="48"/>
      <c r="C231" s="48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</row>
    <row r="232" spans="1:44" ht="6.9" customHeight="1">
      <c r="A232" s="48"/>
      <c r="B232" s="48"/>
      <c r="C232" s="48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</row>
    <row r="233" spans="1:44" ht="6.9" customHeight="1">
      <c r="A233" s="48"/>
      <c r="B233" s="48"/>
      <c r="C233" s="48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</row>
    <row r="234" spans="1:44" ht="6.9" customHeight="1">
      <c r="A234" s="48"/>
      <c r="B234" s="48"/>
      <c r="C234" s="48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</row>
    <row r="235" spans="1:44" ht="6.9" customHeight="1">
      <c r="A235" s="48"/>
      <c r="B235" s="48"/>
      <c r="C235" s="48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</row>
    <row r="236" spans="1:44" ht="6.9" customHeight="1">
      <c r="A236" s="48"/>
      <c r="B236" s="48"/>
      <c r="C236" s="48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</row>
    <row r="237" spans="1:44" ht="6.9" customHeight="1">
      <c r="A237" s="48"/>
      <c r="B237" s="48"/>
      <c r="C237" s="48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</row>
    <row r="238" spans="1:44" ht="6.9" customHeight="1">
      <c r="A238" s="48"/>
      <c r="B238" s="48"/>
      <c r="C238" s="48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</row>
    <row r="239" spans="1:44" ht="6.9" customHeight="1">
      <c r="A239" s="48"/>
      <c r="B239" s="48"/>
      <c r="C239" s="48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</row>
    <row r="240" spans="1:44" ht="6.9" customHeight="1">
      <c r="A240" s="48"/>
      <c r="B240" s="48"/>
      <c r="C240" s="48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</row>
    <row r="241" spans="1:44" ht="6.9" customHeight="1">
      <c r="A241" s="48"/>
      <c r="B241" s="48"/>
      <c r="C241" s="48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</row>
    <row r="242" spans="1:44" ht="6.9" customHeight="1">
      <c r="A242" s="48"/>
      <c r="B242" s="48"/>
      <c r="C242" s="48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</row>
    <row r="243" spans="1:44" ht="6.9" customHeight="1">
      <c r="A243" s="48"/>
      <c r="B243" s="48"/>
      <c r="C243" s="48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</row>
    <row r="244" spans="1:44" ht="6.9" customHeight="1">
      <c r="A244" s="48"/>
      <c r="B244" s="48"/>
      <c r="C244" s="48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</row>
    <row r="245" spans="1:44" ht="6.9" customHeight="1">
      <c r="A245" s="48"/>
      <c r="B245" s="48"/>
      <c r="C245" s="48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</row>
    <row r="246" spans="1:44" ht="6.9" customHeight="1">
      <c r="A246" s="48"/>
      <c r="B246" s="48"/>
      <c r="C246" s="48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</row>
    <row r="247" spans="1:44" ht="6.9" customHeight="1">
      <c r="A247" s="48"/>
      <c r="B247" s="48"/>
      <c r="C247" s="48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</row>
    <row r="248" spans="1:44" ht="6.9" customHeight="1">
      <c r="A248" s="48"/>
      <c r="B248" s="48"/>
      <c r="C248" s="48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</row>
    <row r="249" spans="1:44" ht="6.9" customHeight="1">
      <c r="A249" s="48"/>
      <c r="B249" s="48"/>
      <c r="C249" s="48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</row>
    <row r="250" spans="1:44" ht="6.9" customHeight="1">
      <c r="A250" s="48"/>
      <c r="B250" s="48"/>
      <c r="C250" s="48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</row>
    <row r="251" spans="1:44" ht="6.9" customHeight="1">
      <c r="A251" s="48"/>
      <c r="B251" s="48"/>
      <c r="C251" s="48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</row>
    <row r="252" spans="1:44" ht="6.9" customHeight="1">
      <c r="A252" s="48"/>
      <c r="B252" s="48"/>
      <c r="C252" s="48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</row>
    <row r="253" spans="1:44" ht="6.9" customHeight="1">
      <c r="A253" s="48"/>
      <c r="B253" s="48"/>
      <c r="C253" s="48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</row>
    <row r="254" spans="1:44" ht="6.9" customHeight="1">
      <c r="A254" s="48"/>
      <c r="B254" s="48"/>
      <c r="C254" s="48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</row>
    <row r="255" spans="1:44" ht="6.9" customHeight="1">
      <c r="A255" s="48"/>
      <c r="B255" s="48"/>
      <c r="C255" s="48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</row>
    <row r="256" spans="1:44" ht="6.9" customHeight="1">
      <c r="A256" s="48"/>
      <c r="B256" s="48"/>
      <c r="C256" s="48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</row>
    <row r="257" spans="1:44" ht="6.9" customHeight="1">
      <c r="A257" s="48"/>
      <c r="B257" s="48"/>
      <c r="C257" s="48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</row>
    <row r="258" spans="1:44" ht="6.9" customHeight="1">
      <c r="A258" s="48"/>
      <c r="B258" s="48"/>
      <c r="C258" s="48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</row>
    <row r="259" spans="1:44" ht="6.9" customHeight="1">
      <c r="A259" s="48"/>
      <c r="B259" s="48"/>
      <c r="C259" s="48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</row>
    <row r="260" spans="1:44" ht="6.9" customHeight="1">
      <c r="A260" s="48"/>
      <c r="B260" s="48"/>
      <c r="C260" s="48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</row>
    <row r="261" spans="1:44" ht="6.9" customHeight="1">
      <c r="A261" s="48"/>
      <c r="B261" s="48"/>
      <c r="C261" s="48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</row>
    <row r="262" spans="1:44" ht="6.9" customHeight="1">
      <c r="A262" s="48"/>
      <c r="B262" s="48"/>
      <c r="C262" s="48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</row>
    <row r="263" spans="1:44" ht="6.9" customHeight="1">
      <c r="A263" s="48"/>
      <c r="B263" s="48"/>
      <c r="C263" s="48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</row>
    <row r="264" spans="1:44" ht="6.9" customHeight="1">
      <c r="A264" s="48"/>
      <c r="B264" s="48"/>
      <c r="C264" s="48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</row>
    <row r="265" spans="1:44" ht="6.9" customHeight="1">
      <c r="A265" s="48"/>
      <c r="B265" s="48"/>
      <c r="C265" s="48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</row>
    <row r="266" spans="1:44" ht="6.9" customHeight="1">
      <c r="A266" s="48"/>
      <c r="B266" s="48"/>
      <c r="C266" s="48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</row>
    <row r="267" spans="1:44" ht="6.9" customHeight="1">
      <c r="A267" s="48"/>
      <c r="B267" s="48"/>
      <c r="C267" s="48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</row>
    <row r="268" spans="1:44" ht="6.9" customHeight="1">
      <c r="A268" s="48"/>
      <c r="B268" s="48"/>
      <c r="C268" s="48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</row>
    <row r="269" spans="1:44" ht="6.9" customHeight="1">
      <c r="A269" s="48"/>
      <c r="B269" s="48"/>
      <c r="C269" s="48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</row>
    <row r="270" spans="1:44" ht="6.9" customHeight="1">
      <c r="A270" s="48"/>
      <c r="B270" s="48"/>
      <c r="C270" s="48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</row>
    <row r="271" spans="1:44" ht="6.9" customHeight="1">
      <c r="A271" s="48"/>
      <c r="B271" s="48"/>
      <c r="C271" s="48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</row>
    <row r="272" spans="1:44" ht="6.9" customHeight="1">
      <c r="A272" s="48"/>
      <c r="B272" s="48"/>
      <c r="C272" s="48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</row>
    <row r="273" spans="1:44" ht="6.9" customHeight="1">
      <c r="A273" s="48"/>
      <c r="B273" s="48"/>
      <c r="C273" s="48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</row>
    <row r="274" spans="1:44" ht="6.9" customHeight="1">
      <c r="A274" s="48"/>
      <c r="B274" s="48"/>
      <c r="C274" s="48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</row>
    <row r="275" spans="1:44" ht="6.9" customHeight="1">
      <c r="A275" s="48"/>
      <c r="B275" s="48"/>
      <c r="C275" s="48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</row>
    <row r="276" spans="1:44" ht="6.9" customHeight="1">
      <c r="A276" s="48"/>
      <c r="B276" s="48"/>
      <c r="C276" s="48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</row>
    <row r="277" spans="1:44" ht="6.9" customHeight="1">
      <c r="A277" s="48"/>
      <c r="B277" s="48"/>
      <c r="C277" s="48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</row>
    <row r="278" spans="1:44" ht="6.9" customHeight="1">
      <c r="A278" s="48"/>
      <c r="B278" s="48"/>
      <c r="C278" s="48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</row>
    <row r="279" spans="1:44" ht="6.9" customHeight="1">
      <c r="A279" s="48"/>
      <c r="B279" s="48"/>
      <c r="C279" s="48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</row>
    <row r="280" spans="1:44" ht="6.9" customHeight="1">
      <c r="A280" s="48"/>
      <c r="B280" s="48"/>
      <c r="C280" s="48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</row>
    <row r="281" spans="1:44" ht="6.9" customHeight="1">
      <c r="A281" s="48"/>
      <c r="B281" s="48"/>
      <c r="C281" s="48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</row>
    <row r="282" spans="1:44" ht="6.9" customHeight="1">
      <c r="A282" s="48"/>
      <c r="B282" s="48"/>
      <c r="C282" s="48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</row>
    <row r="283" spans="1:44" ht="6.9" customHeight="1">
      <c r="A283" s="48"/>
      <c r="B283" s="48"/>
      <c r="C283" s="48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</row>
    <row r="284" spans="1:44" ht="6.9" customHeight="1">
      <c r="A284" s="48"/>
      <c r="B284" s="48"/>
      <c r="C284" s="48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</row>
    <row r="285" spans="1:44" ht="6.9" customHeight="1">
      <c r="A285" s="48"/>
      <c r="B285" s="48"/>
      <c r="C285" s="48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</row>
    <row r="286" spans="1:44" ht="6.9" customHeight="1">
      <c r="A286" s="48"/>
      <c r="B286" s="48"/>
      <c r="C286" s="48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</row>
    <row r="287" spans="1:44" ht="6.9" customHeight="1">
      <c r="A287" s="48"/>
      <c r="B287" s="48"/>
      <c r="C287" s="48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</row>
    <row r="288" spans="1:44" ht="6.9" customHeight="1">
      <c r="A288" s="48"/>
      <c r="B288" s="48"/>
      <c r="C288" s="48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</row>
    <row r="289" spans="1:44" ht="6.9" customHeight="1">
      <c r="A289" s="48"/>
      <c r="B289" s="48"/>
      <c r="C289" s="48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</row>
    <row r="290" spans="1:44" ht="6.9" customHeight="1">
      <c r="A290" s="48"/>
      <c r="B290" s="48"/>
      <c r="C290" s="48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</row>
    <row r="291" spans="1:44" ht="6.9" customHeight="1">
      <c r="A291" s="48"/>
      <c r="B291" s="48"/>
      <c r="C291" s="48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</row>
    <row r="292" spans="1:44" ht="6.9" customHeight="1">
      <c r="A292" s="48"/>
      <c r="B292" s="48"/>
      <c r="C292" s="48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</row>
    <row r="293" spans="1:44" ht="6.9" customHeight="1">
      <c r="A293" s="48"/>
      <c r="B293" s="48"/>
      <c r="C293" s="48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</row>
    <row r="294" spans="1:44" ht="6.9" customHeight="1">
      <c r="A294" s="48"/>
      <c r="B294" s="48"/>
      <c r="C294" s="48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</row>
    <row r="295" spans="1:44" ht="6.9" customHeight="1">
      <c r="A295" s="48"/>
      <c r="B295" s="48"/>
      <c r="C295" s="48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</row>
    <row r="296" spans="1:44" ht="6.9" customHeight="1">
      <c r="A296" s="48"/>
      <c r="B296" s="48"/>
      <c r="C296" s="48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</row>
    <row r="297" spans="1:44" ht="6.9" customHeight="1">
      <c r="A297" s="48"/>
      <c r="B297" s="48"/>
      <c r="C297" s="48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</row>
    <row r="298" spans="1:44" ht="6.9" customHeight="1">
      <c r="A298" s="48"/>
      <c r="B298" s="48"/>
      <c r="C298" s="48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</row>
    <row r="299" spans="1:44" ht="6.9" customHeight="1">
      <c r="A299" s="48"/>
      <c r="B299" s="48"/>
      <c r="C299" s="48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</row>
    <row r="300" spans="1:44" ht="6.9" customHeight="1">
      <c r="A300" s="48"/>
      <c r="B300" s="48"/>
      <c r="C300" s="48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</row>
    <row r="301" spans="1:44" ht="6.9" customHeight="1">
      <c r="A301" s="48"/>
      <c r="B301" s="48"/>
      <c r="C301" s="48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</row>
    <row r="302" spans="1:44" ht="6.9" customHeight="1">
      <c r="A302" s="48"/>
      <c r="B302" s="48"/>
      <c r="C302" s="48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</row>
    <row r="303" spans="1:44" ht="6.9" customHeight="1">
      <c r="A303" s="48"/>
      <c r="B303" s="48"/>
      <c r="C303" s="48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</row>
    <row r="304" spans="1:44" ht="6.9" customHeight="1">
      <c r="A304" s="48"/>
      <c r="B304" s="48"/>
      <c r="C304" s="48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</row>
    <row r="305" spans="1:44" ht="6.9" customHeight="1">
      <c r="A305" s="48"/>
      <c r="B305" s="48"/>
      <c r="C305" s="48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</row>
    <row r="306" spans="1:44" ht="6.9" customHeight="1">
      <c r="A306" s="48"/>
      <c r="B306" s="48"/>
      <c r="C306" s="48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</row>
    <row r="307" spans="1:44" ht="6.9" customHeight="1">
      <c r="A307" s="48"/>
      <c r="B307" s="48"/>
      <c r="C307" s="48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</row>
    <row r="308" spans="1:44" ht="6.9" customHeight="1">
      <c r="A308" s="48"/>
      <c r="B308" s="48"/>
      <c r="C308" s="48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</row>
    <row r="309" spans="1:44" ht="6.9" customHeight="1">
      <c r="A309" s="48"/>
      <c r="B309" s="48"/>
      <c r="C309" s="48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</row>
    <row r="310" spans="1:44" ht="6.9" customHeight="1">
      <c r="A310" s="48"/>
      <c r="B310" s="48"/>
      <c r="C310" s="48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</row>
    <row r="311" spans="1:44" ht="6.9" customHeight="1">
      <c r="A311" s="48"/>
      <c r="B311" s="48"/>
      <c r="C311" s="48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</row>
    <row r="312" spans="1:44" ht="6.9" customHeight="1">
      <c r="A312" s="48"/>
      <c r="B312" s="48"/>
      <c r="C312" s="48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</row>
    <row r="313" spans="1:44" ht="6.9" customHeight="1">
      <c r="A313" s="48"/>
      <c r="B313" s="48"/>
      <c r="C313" s="48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</row>
    <row r="314" spans="1:44" ht="6.9" customHeight="1">
      <c r="A314" s="48"/>
      <c r="B314" s="48"/>
      <c r="C314" s="48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</row>
    <row r="315" spans="1:44" ht="6.9" customHeight="1">
      <c r="A315" s="48"/>
      <c r="B315" s="48"/>
      <c r="C315" s="48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</row>
    <row r="316" spans="1:44" ht="6.9" customHeight="1">
      <c r="A316" s="48"/>
      <c r="B316" s="48"/>
      <c r="C316" s="48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</row>
    <row r="317" spans="1:44" ht="6.9" customHeight="1">
      <c r="A317" s="48"/>
      <c r="B317" s="48"/>
      <c r="C317" s="48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</row>
    <row r="318" spans="1:44" ht="6.9" customHeight="1">
      <c r="A318" s="48"/>
      <c r="B318" s="48"/>
      <c r="C318" s="48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</row>
    <row r="319" spans="1:44" ht="6.9" customHeight="1">
      <c r="A319" s="48"/>
      <c r="B319" s="48"/>
      <c r="C319" s="48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</row>
    <row r="320" spans="1:44" ht="6.9" customHeight="1">
      <c r="A320" s="48"/>
      <c r="B320" s="48"/>
      <c r="C320" s="48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</row>
    <row r="321" spans="1:44" ht="6.9" customHeight="1">
      <c r="A321" s="48"/>
      <c r="B321" s="48"/>
      <c r="C321" s="48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</row>
    <row r="322" spans="1:44" ht="6.9" customHeight="1">
      <c r="A322" s="48"/>
      <c r="B322" s="48"/>
      <c r="C322" s="48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</row>
    <row r="323" spans="1:44" ht="6.9" customHeight="1">
      <c r="A323" s="48"/>
      <c r="B323" s="48"/>
      <c r="C323" s="48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</row>
    <row r="324" spans="1:44" ht="6.9" customHeight="1">
      <c r="A324" s="48"/>
      <c r="B324" s="48"/>
      <c r="C324" s="48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</row>
    <row r="325" spans="1:44" ht="6.9" customHeight="1">
      <c r="A325" s="48"/>
      <c r="B325" s="48"/>
      <c r="C325" s="48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</row>
    <row r="326" spans="1:44" ht="6.9" customHeight="1">
      <c r="A326" s="48"/>
      <c r="B326" s="48"/>
      <c r="C326" s="48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</row>
    <row r="327" spans="1:44" ht="6.9" customHeight="1">
      <c r="A327" s="48"/>
      <c r="B327" s="48"/>
      <c r="C327" s="48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</row>
    <row r="328" spans="1:44" ht="6.9" customHeight="1">
      <c r="A328" s="48"/>
      <c r="B328" s="48"/>
      <c r="C328" s="48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</row>
    <row r="329" spans="1:44" ht="6.9" customHeight="1">
      <c r="A329" s="48"/>
      <c r="B329" s="48"/>
      <c r="C329" s="48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</row>
    <row r="330" spans="1:44" ht="6.9" customHeight="1">
      <c r="A330" s="48"/>
      <c r="B330" s="48"/>
      <c r="C330" s="48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</row>
    <row r="331" spans="1:44" ht="6.9" customHeight="1">
      <c r="A331" s="48"/>
      <c r="B331" s="48"/>
      <c r="C331" s="48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</row>
    <row r="332" spans="1:44" ht="6.9" customHeight="1">
      <c r="A332" s="48"/>
      <c r="B332" s="48"/>
      <c r="C332" s="48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</row>
    <row r="333" spans="1:44" ht="6.9" customHeight="1">
      <c r="A333" s="48"/>
      <c r="B333" s="48"/>
      <c r="C333" s="48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</row>
    <row r="334" spans="1:44" ht="6.9" customHeight="1">
      <c r="A334" s="48"/>
      <c r="B334" s="48"/>
      <c r="C334" s="48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</row>
    <row r="335" spans="1:44" ht="6.9" customHeight="1">
      <c r="A335" s="48"/>
      <c r="B335" s="48"/>
      <c r="C335" s="48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</row>
    <row r="336" spans="1:44" ht="6.9" customHeight="1">
      <c r="A336" s="48"/>
      <c r="B336" s="48"/>
      <c r="C336" s="48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</row>
    <row r="337" spans="1:44" ht="6.9" customHeight="1">
      <c r="A337" s="48"/>
      <c r="B337" s="48"/>
      <c r="C337" s="48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</row>
    <row r="338" spans="1:44" ht="6.9" customHeight="1">
      <c r="A338" s="48"/>
      <c r="B338" s="48"/>
      <c r="C338" s="48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</row>
    <row r="339" spans="1:44" ht="6.9" customHeight="1">
      <c r="A339" s="48"/>
      <c r="B339" s="48"/>
      <c r="C339" s="48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</row>
    <row r="340" spans="1:44" ht="6.9" customHeight="1">
      <c r="A340" s="48"/>
      <c r="B340" s="48"/>
      <c r="C340" s="48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</row>
    <row r="341" spans="1:44" ht="6.9" customHeight="1">
      <c r="A341" s="48"/>
      <c r="B341" s="48"/>
      <c r="C341" s="48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</row>
    <row r="342" spans="1:44" ht="6.9" customHeight="1">
      <c r="A342" s="48"/>
      <c r="B342" s="48"/>
      <c r="C342" s="48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</row>
    <row r="343" spans="1:44" ht="6.9" customHeight="1">
      <c r="A343" s="48"/>
      <c r="B343" s="48"/>
      <c r="C343" s="48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</row>
    <row r="344" spans="1:44" ht="6.9" customHeight="1">
      <c r="A344" s="48"/>
      <c r="B344" s="48"/>
      <c r="C344" s="48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</row>
    <row r="345" spans="1:44" ht="6.9" customHeight="1">
      <c r="A345" s="48"/>
      <c r="B345" s="48"/>
      <c r="C345" s="48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</row>
    <row r="346" spans="1:44" ht="6.9" customHeight="1">
      <c r="A346" s="48"/>
      <c r="B346" s="48"/>
      <c r="C346" s="48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</row>
    <row r="347" spans="1:44" ht="6.9" customHeight="1">
      <c r="A347" s="48"/>
      <c r="B347" s="48"/>
      <c r="C347" s="48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</row>
    <row r="348" spans="1:44" ht="6.9" customHeight="1">
      <c r="A348" s="48"/>
      <c r="B348" s="48"/>
      <c r="C348" s="48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</row>
    <row r="349" spans="1:44" ht="6.9" customHeight="1">
      <c r="A349" s="48"/>
      <c r="B349" s="48"/>
      <c r="C349" s="48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</row>
    <row r="350" spans="1:44" ht="6.9" customHeight="1">
      <c r="A350" s="48"/>
      <c r="B350" s="48"/>
      <c r="C350" s="48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</row>
    <row r="351" spans="1:44" ht="6.9" customHeight="1">
      <c r="A351" s="48"/>
      <c r="B351" s="48"/>
      <c r="C351" s="48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</row>
    <row r="352" spans="1:44" ht="6.9" customHeight="1">
      <c r="A352" s="48"/>
      <c r="B352" s="48"/>
      <c r="C352" s="48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</row>
    <row r="353" spans="1:44" ht="6.9" customHeight="1">
      <c r="A353" s="48"/>
      <c r="B353" s="48"/>
      <c r="C353" s="48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</row>
    <row r="354" spans="1:44" ht="6.9" customHeight="1">
      <c r="A354" s="48"/>
      <c r="B354" s="48"/>
      <c r="C354" s="48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</row>
    <row r="355" spans="1:44" ht="6.9" customHeight="1">
      <c r="A355" s="48"/>
      <c r="B355" s="48"/>
      <c r="C355" s="48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</row>
    <row r="356" spans="1:44" ht="6.9" customHeight="1">
      <c r="A356" s="48"/>
      <c r="B356" s="48"/>
      <c r="C356" s="48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</row>
    <row r="357" spans="1:44" ht="6.9" customHeight="1">
      <c r="A357" s="48"/>
      <c r="B357" s="48"/>
      <c r="C357" s="48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</row>
    <row r="358" spans="1:44" ht="6.9" customHeight="1">
      <c r="A358" s="48"/>
      <c r="B358" s="48"/>
      <c r="C358" s="48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</row>
    <row r="359" spans="1:44" ht="6.9" customHeight="1">
      <c r="A359" s="48"/>
      <c r="B359" s="48"/>
      <c r="C359" s="48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</row>
    <row r="360" spans="1:44" ht="6.9" customHeight="1">
      <c r="A360" s="48"/>
      <c r="B360" s="48"/>
      <c r="C360" s="48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</row>
    <row r="361" spans="1:44" ht="6.9" customHeight="1">
      <c r="A361" s="48"/>
      <c r="B361" s="48"/>
      <c r="C361" s="48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</row>
    <row r="362" spans="1:44" ht="6.9" customHeight="1">
      <c r="A362" s="48"/>
      <c r="B362" s="48"/>
      <c r="C362" s="48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</row>
    <row r="363" spans="1:44" ht="6.9" customHeight="1">
      <c r="A363" s="48"/>
      <c r="B363" s="48"/>
      <c r="C363" s="48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</row>
    <row r="364" spans="1:44" ht="6.9" customHeight="1">
      <c r="A364" s="48"/>
      <c r="B364" s="48"/>
      <c r="C364" s="48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</row>
    <row r="365" spans="1:44" ht="6.9" customHeight="1">
      <c r="A365" s="48"/>
      <c r="B365" s="48"/>
      <c r="C365" s="48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</row>
    <row r="366" spans="1:44" ht="6.9" customHeight="1">
      <c r="A366" s="48"/>
      <c r="B366" s="48"/>
      <c r="C366" s="48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</row>
    <row r="367" spans="1:44" ht="6.9" customHeight="1">
      <c r="A367" s="48"/>
      <c r="B367" s="48"/>
      <c r="C367" s="48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</row>
    <row r="368" spans="1:44" ht="6.9" customHeight="1">
      <c r="A368" s="48"/>
      <c r="B368" s="48"/>
      <c r="C368" s="48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</row>
    <row r="369" spans="1:44" ht="6.9" customHeight="1">
      <c r="A369" s="48"/>
      <c r="B369" s="48"/>
      <c r="C369" s="48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</row>
    <row r="370" spans="1:44" ht="6.9" customHeight="1">
      <c r="A370" s="48"/>
      <c r="B370" s="48"/>
      <c r="C370" s="48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</row>
    <row r="371" spans="1:44" ht="6.9" customHeight="1">
      <c r="A371" s="48"/>
      <c r="B371" s="48"/>
      <c r="C371" s="48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</row>
    <row r="372" spans="1:44" ht="6.9" customHeight="1">
      <c r="A372" s="48"/>
      <c r="B372" s="48"/>
      <c r="C372" s="48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</row>
    <row r="373" spans="1:44" ht="6.9" customHeight="1">
      <c r="A373" s="48"/>
      <c r="B373" s="48"/>
      <c r="C373" s="48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</row>
    <row r="374" spans="1:44" ht="6.9" customHeight="1">
      <c r="A374" s="48"/>
      <c r="B374" s="48"/>
      <c r="C374" s="48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</row>
    <row r="375" spans="1:44" ht="6.9" customHeight="1">
      <c r="A375" s="48"/>
      <c r="B375" s="48"/>
      <c r="C375" s="48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</row>
    <row r="376" spans="1:44" ht="6.9" customHeight="1">
      <c r="A376" s="48"/>
      <c r="B376" s="48"/>
      <c r="C376" s="48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</row>
    <row r="377" spans="1:44" ht="6.9" customHeight="1">
      <c r="A377" s="48"/>
      <c r="B377" s="48"/>
      <c r="C377" s="48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</row>
    <row r="378" spans="1:44" ht="6.9" customHeight="1">
      <c r="A378" s="48"/>
      <c r="B378" s="48"/>
      <c r="C378" s="48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</row>
    <row r="379" spans="1:44" ht="6.9" customHeight="1">
      <c r="A379" s="48"/>
      <c r="B379" s="48"/>
      <c r="C379" s="48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</row>
    <row r="380" spans="1:44" ht="6.9" customHeight="1">
      <c r="A380" s="48"/>
      <c r="B380" s="48"/>
      <c r="C380" s="48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</row>
    <row r="381" spans="1:44" ht="6.9" customHeight="1">
      <c r="A381" s="48"/>
      <c r="B381" s="48"/>
      <c r="C381" s="48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</row>
    <row r="382" spans="1:44" ht="6.9" customHeight="1">
      <c r="A382" s="48"/>
      <c r="B382" s="48"/>
      <c r="C382" s="48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</row>
    <row r="383" spans="1:44" ht="6.9" customHeight="1">
      <c r="A383" s="48"/>
      <c r="B383" s="48"/>
      <c r="C383" s="48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</row>
    <row r="384" spans="1:44" ht="6.9" customHeight="1">
      <c r="A384" s="48"/>
      <c r="B384" s="48"/>
      <c r="C384" s="48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</row>
    <row r="385" spans="1:44" ht="6.9" customHeight="1">
      <c r="A385" s="48"/>
      <c r="B385" s="48"/>
      <c r="C385" s="48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</row>
    <row r="386" spans="1:44" ht="6.9" customHeight="1">
      <c r="A386" s="48"/>
      <c r="B386" s="48"/>
      <c r="C386" s="48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</row>
    <row r="387" spans="1:44" ht="6.9" customHeight="1">
      <c r="A387" s="48"/>
      <c r="B387" s="48"/>
      <c r="C387" s="48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</row>
    <row r="388" spans="1:44" ht="6.9" customHeight="1">
      <c r="A388" s="48"/>
      <c r="B388" s="48"/>
      <c r="C388" s="48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</row>
    <row r="389" spans="1:44" ht="6.9" customHeight="1">
      <c r="A389" s="48"/>
      <c r="B389" s="48"/>
      <c r="C389" s="48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</row>
    <row r="390" spans="1:44" ht="6.9" customHeight="1">
      <c r="A390" s="48"/>
      <c r="B390" s="48"/>
      <c r="C390" s="48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</row>
    <row r="391" spans="1:44" ht="6.9" customHeight="1">
      <c r="A391" s="48"/>
      <c r="B391" s="48"/>
      <c r="C391" s="48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</row>
    <row r="392" spans="1:44" ht="6.9" customHeight="1">
      <c r="A392" s="48"/>
      <c r="B392" s="48"/>
      <c r="C392" s="48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</row>
    <row r="393" spans="1:44" ht="6.9" customHeight="1">
      <c r="A393" s="48"/>
      <c r="B393" s="48"/>
      <c r="C393" s="48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</row>
    <row r="394" spans="1:44" ht="6.9" customHeight="1">
      <c r="A394" s="48"/>
      <c r="B394" s="48"/>
      <c r="C394" s="48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</row>
    <row r="395" spans="1:44" ht="6.9" customHeight="1">
      <c r="A395" s="48"/>
      <c r="B395" s="48"/>
      <c r="C395" s="48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</row>
    <row r="396" spans="1:44" ht="6.9" customHeight="1">
      <c r="A396" s="48"/>
      <c r="B396" s="48"/>
      <c r="C396" s="48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</row>
    <row r="397" spans="1:44" ht="6.9" customHeight="1">
      <c r="A397" s="48"/>
      <c r="B397" s="48"/>
      <c r="C397" s="48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</row>
    <row r="398" spans="1:44" ht="6.9" customHeight="1">
      <c r="A398" s="48"/>
      <c r="B398" s="48"/>
      <c r="C398" s="48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</row>
    <row r="399" spans="1:44" ht="6.9" customHeight="1">
      <c r="A399" s="48"/>
      <c r="B399" s="48"/>
      <c r="C399" s="48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</row>
    <row r="400" spans="1:44" ht="6.9" customHeight="1">
      <c r="A400" s="48"/>
      <c r="B400" s="48"/>
      <c r="C400" s="48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</row>
    <row r="401" spans="1:44" ht="6.9" customHeight="1">
      <c r="A401" s="48"/>
      <c r="B401" s="48"/>
      <c r="C401" s="48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</row>
    <row r="402" spans="1:44" ht="6.9" customHeight="1">
      <c r="A402" s="48"/>
      <c r="B402" s="48"/>
      <c r="C402" s="48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</row>
    <row r="403" spans="1:44" ht="6.9" customHeight="1">
      <c r="A403" s="48"/>
      <c r="B403" s="48"/>
      <c r="C403" s="48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</row>
    <row r="404" spans="1:44" ht="6.9" customHeight="1">
      <c r="A404" s="48"/>
      <c r="B404" s="48"/>
      <c r="C404" s="48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</row>
    <row r="405" spans="1:44" ht="6.9" customHeight="1">
      <c r="A405" s="48"/>
      <c r="B405" s="48"/>
      <c r="C405" s="48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</row>
    <row r="406" spans="1:44" ht="6.9" customHeight="1">
      <c r="A406" s="48"/>
      <c r="B406" s="48"/>
      <c r="C406" s="48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</row>
    <row r="407" spans="1:44" ht="6.9" customHeight="1">
      <c r="A407" s="48"/>
      <c r="B407" s="48"/>
      <c r="C407" s="48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</row>
    <row r="408" spans="1:44" ht="6.9" customHeight="1">
      <c r="A408" s="48"/>
      <c r="B408" s="48"/>
      <c r="C408" s="48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</row>
    <row r="409" spans="1:44" ht="6.9" customHeight="1">
      <c r="A409" s="48"/>
      <c r="B409" s="48"/>
      <c r="C409" s="48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</row>
    <row r="410" spans="1:44" ht="6.9" customHeight="1">
      <c r="A410" s="48"/>
      <c r="B410" s="48"/>
      <c r="C410" s="48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</row>
    <row r="411" spans="1:44" ht="6.9" customHeight="1">
      <c r="A411" s="48"/>
      <c r="B411" s="48"/>
      <c r="C411" s="48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</row>
    <row r="412" spans="1:44" ht="6.9" customHeight="1">
      <c r="A412" s="48"/>
      <c r="B412" s="48"/>
      <c r="C412" s="48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</row>
    <row r="413" spans="1:44" ht="6.9" customHeight="1">
      <c r="A413" s="48"/>
      <c r="B413" s="48"/>
      <c r="C413" s="48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</row>
    <row r="414" spans="1:44" ht="6.9" customHeight="1">
      <c r="A414" s="48"/>
      <c r="B414" s="48"/>
      <c r="C414" s="48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</row>
    <row r="415" spans="1:44" ht="6.9" customHeight="1">
      <c r="A415" s="48"/>
      <c r="B415" s="48"/>
      <c r="C415" s="48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</row>
    <row r="416" spans="1:44" ht="6.9" customHeight="1">
      <c r="A416" s="48"/>
      <c r="B416" s="48"/>
      <c r="C416" s="48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</row>
    <row r="417" spans="1:44" ht="6.9" customHeight="1">
      <c r="A417" s="48"/>
      <c r="B417" s="48"/>
      <c r="C417" s="48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</row>
    <row r="418" spans="1:44" ht="6.9" customHeight="1">
      <c r="A418" s="48"/>
      <c r="B418" s="48"/>
      <c r="C418" s="48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</row>
    <row r="419" spans="1:44" ht="6.9" customHeight="1">
      <c r="A419" s="48"/>
      <c r="B419" s="48"/>
      <c r="C419" s="48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</row>
    <row r="420" spans="1:44" ht="6.9" customHeight="1">
      <c r="A420" s="48"/>
      <c r="B420" s="48"/>
      <c r="C420" s="48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</row>
    <row r="421" spans="1:44" ht="6.9" customHeight="1">
      <c r="A421" s="48"/>
      <c r="B421" s="48"/>
      <c r="C421" s="48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</row>
    <row r="422" spans="1:44" ht="6.9" customHeight="1">
      <c r="A422" s="48"/>
      <c r="B422" s="48"/>
      <c r="C422" s="48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</row>
    <row r="423" spans="1:44" ht="6.9" customHeight="1">
      <c r="A423" s="48"/>
      <c r="B423" s="48"/>
      <c r="C423" s="48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</row>
    <row r="424" spans="1:44" ht="6.9" customHeight="1">
      <c r="A424" s="48"/>
      <c r="B424" s="48"/>
      <c r="C424" s="48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</row>
    <row r="425" spans="1:44" ht="6.9" customHeight="1">
      <c r="A425" s="48"/>
      <c r="B425" s="48"/>
      <c r="C425" s="48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</row>
    <row r="426" spans="1:44" ht="6.9" customHeight="1">
      <c r="A426" s="48"/>
      <c r="B426" s="48"/>
      <c r="C426" s="48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</row>
    <row r="427" spans="1:44" ht="6.9" customHeight="1">
      <c r="A427" s="48"/>
      <c r="B427" s="48"/>
      <c r="C427" s="48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</row>
    <row r="428" spans="1:44" ht="6.9" customHeight="1">
      <c r="A428" s="48"/>
      <c r="B428" s="48"/>
      <c r="C428" s="48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</row>
    <row r="429" spans="1:44" ht="6.9" customHeight="1">
      <c r="A429" s="48"/>
      <c r="B429" s="48"/>
      <c r="C429" s="48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</row>
    <row r="430" spans="1:44" ht="6.9" customHeight="1">
      <c r="A430" s="48"/>
      <c r="B430" s="48"/>
      <c r="C430" s="48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</row>
    <row r="431" spans="1:44" ht="6.9" customHeight="1">
      <c r="A431" s="48"/>
      <c r="B431" s="48"/>
      <c r="C431" s="48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</row>
    <row r="432" spans="1:44" ht="6.9" customHeight="1">
      <c r="A432" s="48"/>
      <c r="B432" s="48"/>
      <c r="C432" s="48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</row>
    <row r="433" spans="1:44" ht="6.9" customHeight="1">
      <c r="A433" s="48"/>
      <c r="B433" s="48"/>
      <c r="C433" s="48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</row>
    <row r="434" spans="1:44" ht="6.9" customHeight="1">
      <c r="A434" s="48"/>
      <c r="B434" s="48"/>
      <c r="C434" s="48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</row>
    <row r="435" spans="1:44" ht="6.9" customHeight="1">
      <c r="A435" s="48"/>
      <c r="B435" s="48"/>
      <c r="C435" s="48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</row>
    <row r="436" spans="1:44" ht="6.9" customHeight="1">
      <c r="A436" s="48"/>
      <c r="B436" s="48"/>
      <c r="C436" s="48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</row>
    <row r="437" spans="1:44" ht="6.9" customHeight="1">
      <c r="A437" s="48"/>
      <c r="B437" s="48"/>
      <c r="C437" s="48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</row>
    <row r="438" spans="1:44" ht="6.9" customHeight="1">
      <c r="A438" s="48"/>
      <c r="B438" s="48"/>
      <c r="C438" s="48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</row>
    <row r="439" spans="1:44" ht="6.9" customHeight="1">
      <c r="A439" s="48"/>
      <c r="B439" s="48"/>
      <c r="C439" s="48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</row>
    <row r="440" spans="1:44" ht="6.9" customHeight="1">
      <c r="A440" s="48"/>
      <c r="B440" s="48"/>
      <c r="C440" s="48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</row>
    <row r="441" spans="1:44" ht="6.9" customHeight="1">
      <c r="A441" s="48"/>
      <c r="B441" s="48"/>
      <c r="C441" s="48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</row>
    <row r="442" spans="1:44" ht="6.9" customHeight="1">
      <c r="A442" s="48"/>
      <c r="B442" s="48"/>
      <c r="C442" s="48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</row>
    <row r="443" spans="1:44" ht="6.9" customHeight="1">
      <c r="A443" s="48"/>
      <c r="B443" s="48"/>
      <c r="C443" s="48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</row>
    <row r="444" spans="1:44" ht="6.9" customHeight="1">
      <c r="A444" s="48"/>
      <c r="B444" s="48"/>
      <c r="C444" s="48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</row>
    <row r="445" spans="1:44" ht="6.9" customHeight="1">
      <c r="A445" s="48"/>
      <c r="B445" s="48"/>
      <c r="C445" s="48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</row>
    <row r="446" spans="1:44" ht="6.9" customHeight="1">
      <c r="A446" s="48"/>
      <c r="B446" s="48"/>
      <c r="C446" s="48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</row>
    <row r="447" spans="1:44" ht="6.9" customHeight="1">
      <c r="A447" s="48"/>
      <c r="B447" s="48"/>
      <c r="C447" s="48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</row>
    <row r="448" spans="1:44" ht="6.9" customHeight="1">
      <c r="A448" s="48"/>
      <c r="B448" s="48"/>
      <c r="C448" s="48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</row>
    <row r="449" spans="1:44" ht="6.9" customHeight="1">
      <c r="A449" s="48"/>
      <c r="B449" s="48"/>
      <c r="C449" s="48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</row>
    <row r="450" spans="1:44" ht="6.9" customHeight="1">
      <c r="A450" s="48"/>
      <c r="B450" s="48"/>
      <c r="C450" s="48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</row>
    <row r="451" spans="1:44" ht="6.9" customHeight="1">
      <c r="A451" s="48"/>
      <c r="B451" s="48"/>
      <c r="C451" s="48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</row>
    <row r="452" spans="1:44" ht="6.9" customHeight="1">
      <c r="A452" s="48"/>
      <c r="B452" s="48"/>
      <c r="C452" s="48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</row>
    <row r="453" spans="1:44" ht="6.9" customHeight="1">
      <c r="A453" s="48"/>
      <c r="B453" s="48"/>
      <c r="C453" s="48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</row>
    <row r="454" spans="1:44" ht="6.9" customHeight="1">
      <c r="A454" s="48"/>
      <c r="B454" s="48"/>
      <c r="C454" s="48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</row>
    <row r="455" spans="1:44" ht="6.9" customHeight="1">
      <c r="A455" s="48"/>
      <c r="B455" s="48"/>
      <c r="C455" s="48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</row>
    <row r="456" spans="1:44" ht="6.9" customHeight="1">
      <c r="A456" s="48"/>
      <c r="B456" s="48"/>
      <c r="C456" s="48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</row>
    <row r="457" spans="1:44" ht="6.9" customHeight="1">
      <c r="A457" s="48"/>
      <c r="B457" s="48"/>
      <c r="C457" s="48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</row>
    <row r="458" spans="1:44" ht="6.9" customHeight="1">
      <c r="A458" s="48"/>
      <c r="B458" s="48"/>
      <c r="C458" s="48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</row>
    <row r="459" spans="1:44" ht="6.9" customHeight="1">
      <c r="A459" s="48"/>
      <c r="B459" s="48"/>
      <c r="C459" s="48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</row>
    <row r="460" spans="1:44" ht="6.9" customHeight="1">
      <c r="A460" s="48"/>
      <c r="B460" s="48"/>
      <c r="C460" s="48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</row>
    <row r="461" spans="1:44" ht="6.9" customHeight="1">
      <c r="A461" s="48"/>
      <c r="B461" s="48"/>
      <c r="C461" s="48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</row>
    <row r="462" spans="1:44" ht="6.9" customHeight="1">
      <c r="A462" s="48"/>
      <c r="B462" s="48"/>
      <c r="C462" s="48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</row>
    <row r="463" spans="1:44" ht="6.9" customHeight="1">
      <c r="A463" s="48"/>
      <c r="B463" s="48"/>
      <c r="C463" s="48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</row>
    <row r="464" spans="1:44" ht="6.9" customHeight="1">
      <c r="A464" s="48"/>
      <c r="B464" s="48"/>
      <c r="C464" s="48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</row>
    <row r="465" spans="1:44" ht="6.9" customHeight="1">
      <c r="A465" s="48"/>
      <c r="B465" s="48"/>
      <c r="C465" s="48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</row>
    <row r="466" spans="1:44" ht="6.9" customHeight="1">
      <c r="A466" s="48"/>
      <c r="B466" s="48"/>
      <c r="C466" s="48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</row>
    <row r="467" spans="1:44" ht="6.9" customHeight="1">
      <c r="A467" s="48"/>
      <c r="B467" s="48"/>
      <c r="C467" s="48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</row>
    <row r="468" spans="1:44" ht="6.9" customHeight="1">
      <c r="A468" s="48"/>
      <c r="B468" s="48"/>
      <c r="C468" s="48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</row>
    <row r="469" spans="1:44" ht="6.9" customHeight="1">
      <c r="A469" s="48"/>
      <c r="B469" s="48"/>
      <c r="C469" s="48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</row>
    <row r="470" spans="1:44" ht="6.9" customHeight="1">
      <c r="A470" s="48"/>
      <c r="B470" s="48"/>
      <c r="C470" s="48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</row>
    <row r="471" spans="1:44" ht="6.9" customHeight="1">
      <c r="A471" s="48"/>
      <c r="B471" s="48"/>
      <c r="C471" s="48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</row>
    <row r="472" spans="1:44" ht="6.9" customHeight="1">
      <c r="A472" s="48"/>
      <c r="B472" s="48"/>
      <c r="C472" s="48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</row>
    <row r="473" spans="1:44" ht="6.9" customHeight="1">
      <c r="A473" s="48"/>
      <c r="B473" s="48"/>
      <c r="C473" s="48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</row>
    <row r="474" spans="1:44" ht="6.9" customHeight="1">
      <c r="A474" s="48"/>
      <c r="B474" s="48"/>
      <c r="C474" s="48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</row>
    <row r="475" spans="1:44" ht="6.9" customHeight="1">
      <c r="A475" s="48"/>
      <c r="B475" s="48"/>
      <c r="C475" s="48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</row>
    <row r="476" spans="1:44" ht="6.9" customHeight="1">
      <c r="A476" s="48"/>
      <c r="B476" s="48"/>
      <c r="C476" s="48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</row>
    <row r="477" spans="1:44" ht="6.9" customHeight="1">
      <c r="A477" s="48"/>
      <c r="B477" s="48"/>
      <c r="C477" s="48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</row>
    <row r="478" spans="1:44" ht="6.9" customHeight="1">
      <c r="A478" s="48"/>
      <c r="B478" s="48"/>
      <c r="C478" s="48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</row>
    <row r="479" spans="1:44" ht="6.9" customHeight="1">
      <c r="A479" s="48"/>
      <c r="B479" s="48"/>
      <c r="C479" s="48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</row>
    <row r="480" spans="1:44" ht="6.9" customHeight="1">
      <c r="A480" s="48"/>
      <c r="B480" s="48"/>
      <c r="C480" s="48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</row>
    <row r="481" spans="1:44" ht="6.9" customHeight="1">
      <c r="A481" s="48"/>
      <c r="B481" s="48"/>
      <c r="C481" s="48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</row>
    <row r="482" spans="1:44" ht="6.9" customHeight="1">
      <c r="A482" s="48"/>
      <c r="B482" s="48"/>
      <c r="C482" s="48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</row>
    <row r="483" spans="1:44" ht="6.9" customHeight="1">
      <c r="A483" s="48"/>
      <c r="B483" s="48"/>
      <c r="C483" s="48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</row>
    <row r="484" spans="1:44" ht="6.9" customHeight="1">
      <c r="A484" s="48"/>
      <c r="B484" s="48"/>
      <c r="C484" s="48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</row>
    <row r="485" spans="1:44" ht="6.9" customHeight="1">
      <c r="A485" s="48"/>
      <c r="B485" s="48"/>
      <c r="C485" s="48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</row>
    <row r="486" spans="1:44" ht="6.9" customHeight="1">
      <c r="A486" s="48"/>
      <c r="B486" s="48"/>
      <c r="C486" s="48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</row>
    <row r="487" spans="1:44" ht="6.9" customHeight="1">
      <c r="A487" s="48"/>
      <c r="B487" s="48"/>
      <c r="C487" s="48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</row>
    <row r="488" spans="1:44" ht="6.9" customHeight="1">
      <c r="A488" s="48"/>
      <c r="B488" s="48"/>
      <c r="C488" s="48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</row>
    <row r="489" spans="1:44" ht="6.9" customHeight="1">
      <c r="A489" s="48"/>
      <c r="B489" s="48"/>
      <c r="C489" s="48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</row>
    <row r="490" spans="1:44" ht="6.9" customHeight="1">
      <c r="A490" s="48"/>
      <c r="B490" s="48"/>
      <c r="C490" s="48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</row>
    <row r="491" spans="1:44" ht="6.9" customHeight="1">
      <c r="A491" s="48"/>
      <c r="B491" s="48"/>
      <c r="C491" s="48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</row>
    <row r="492" spans="1:44" ht="6.9" customHeight="1">
      <c r="A492" s="48"/>
      <c r="B492" s="48"/>
      <c r="C492" s="48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</row>
    <row r="493" spans="1:44" ht="6.9" customHeight="1">
      <c r="A493" s="48"/>
      <c r="B493" s="48"/>
      <c r="C493" s="48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</row>
    <row r="494" spans="1:44" ht="6.9" customHeight="1">
      <c r="A494" s="48"/>
      <c r="B494" s="48"/>
      <c r="C494" s="48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</row>
    <row r="495" spans="1:44" ht="6.9" customHeight="1">
      <c r="A495" s="48"/>
      <c r="B495" s="48"/>
      <c r="C495" s="48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</row>
    <row r="496" spans="1:44" ht="6.9" customHeight="1">
      <c r="A496" s="48"/>
      <c r="B496" s="48"/>
      <c r="C496" s="48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</row>
    <row r="497" spans="1:44" ht="6.9" customHeight="1">
      <c r="A497" s="48"/>
      <c r="B497" s="48"/>
      <c r="C497" s="48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</row>
    <row r="498" spans="1:44" ht="6.9" customHeight="1">
      <c r="A498" s="48"/>
      <c r="B498" s="48"/>
      <c r="C498" s="48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</row>
    <row r="499" spans="1:44" ht="6.9" customHeight="1">
      <c r="A499" s="48"/>
      <c r="B499" s="48"/>
      <c r="C499" s="48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</row>
    <row r="500" spans="1:44" ht="6.9" customHeight="1">
      <c r="A500" s="48"/>
      <c r="B500" s="48"/>
      <c r="C500" s="48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</row>
    <row r="501" spans="1:44" ht="6.9" customHeight="1">
      <c r="A501" s="48"/>
      <c r="B501" s="48"/>
      <c r="C501" s="48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</row>
    <row r="502" spans="1:44" ht="6.9" customHeight="1">
      <c r="A502" s="48"/>
      <c r="B502" s="48"/>
      <c r="C502" s="48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</row>
    <row r="503" spans="1:44" ht="6.9" customHeight="1">
      <c r="A503" s="48"/>
      <c r="B503" s="48"/>
      <c r="C503" s="48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</row>
    <row r="504" spans="1:44" ht="6.9" customHeight="1">
      <c r="A504" s="48"/>
      <c r="B504" s="48"/>
      <c r="C504" s="48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</row>
    <row r="505" spans="1:44" ht="6.9" customHeight="1">
      <c r="A505" s="48"/>
      <c r="B505" s="48"/>
      <c r="C505" s="48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</row>
    <row r="506" spans="1:44" ht="6.9" customHeight="1">
      <c r="A506" s="48"/>
      <c r="B506" s="48"/>
      <c r="C506" s="48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</row>
    <row r="507" spans="1:44" ht="6.9" customHeight="1">
      <c r="A507" s="48"/>
      <c r="B507" s="48"/>
      <c r="C507" s="48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</row>
    <row r="508" spans="1:44" ht="6.9" customHeight="1">
      <c r="A508" s="48"/>
      <c r="B508" s="48"/>
      <c r="C508" s="48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</row>
    <row r="509" spans="1:44" ht="6.9" customHeight="1">
      <c r="A509" s="48"/>
      <c r="B509" s="48"/>
      <c r="C509" s="48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</row>
    <row r="510" spans="1:44" ht="6.9" customHeight="1">
      <c r="A510" s="48"/>
      <c r="B510" s="48"/>
      <c r="C510" s="48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</row>
    <row r="511" spans="1:44" ht="6.9" customHeight="1">
      <c r="A511" s="48"/>
      <c r="B511" s="48"/>
      <c r="C511" s="48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</row>
    <row r="512" spans="1:44" ht="6.9" customHeight="1">
      <c r="A512" s="48"/>
      <c r="B512" s="48"/>
      <c r="C512" s="48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</row>
    <row r="513" spans="1:44" ht="6.9" customHeight="1">
      <c r="A513" s="48"/>
      <c r="B513" s="48"/>
      <c r="C513" s="48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</row>
    <row r="514" spans="1:44" ht="6.9" customHeight="1">
      <c r="A514" s="48"/>
      <c r="B514" s="48"/>
      <c r="C514" s="48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</row>
    <row r="515" spans="1:44" ht="6.9" customHeight="1">
      <c r="A515" s="48"/>
      <c r="B515" s="48"/>
      <c r="C515" s="48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</row>
    <row r="516" spans="1:44" ht="6.9" customHeight="1">
      <c r="A516" s="48"/>
      <c r="B516" s="48"/>
      <c r="C516" s="48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</row>
    <row r="517" spans="1:44" ht="6.9" customHeight="1">
      <c r="A517" s="48"/>
      <c r="B517" s="48"/>
      <c r="C517" s="48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</row>
    <row r="518" spans="1:44" ht="6.9" customHeight="1">
      <c r="A518" s="48"/>
      <c r="B518" s="48"/>
      <c r="C518" s="48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</row>
    <row r="519" spans="1:44" ht="6.9" customHeight="1">
      <c r="A519" s="48"/>
      <c r="B519" s="48"/>
      <c r="C519" s="48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</row>
    <row r="520" spans="1:44" ht="6.9" customHeight="1">
      <c r="A520" s="48"/>
      <c r="B520" s="48"/>
      <c r="C520" s="48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</row>
    <row r="521" spans="1:44" ht="6.9" customHeight="1">
      <c r="A521" s="48"/>
      <c r="B521" s="48"/>
      <c r="C521" s="48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</row>
    <row r="522" spans="1:44" ht="6.9" customHeight="1">
      <c r="A522" s="48"/>
      <c r="B522" s="48"/>
      <c r="C522" s="48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</row>
    <row r="523" spans="1:44" ht="6.9" customHeight="1">
      <c r="A523" s="48"/>
      <c r="B523" s="48"/>
      <c r="C523" s="48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</row>
    <row r="524" spans="1:44" ht="6.9" customHeight="1">
      <c r="A524" s="48"/>
      <c r="B524" s="48"/>
      <c r="C524" s="48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</row>
    <row r="525" spans="1:44" ht="6.9" customHeight="1">
      <c r="A525" s="48"/>
      <c r="B525" s="48"/>
      <c r="C525" s="48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</row>
    <row r="526" spans="1:44" ht="6.9" customHeight="1">
      <c r="A526" s="48"/>
      <c r="B526" s="48"/>
      <c r="C526" s="48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</row>
    <row r="527" spans="1:44" ht="6.9" customHeight="1">
      <c r="A527" s="48"/>
      <c r="B527" s="48"/>
      <c r="C527" s="48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</row>
    <row r="528" spans="1:44" ht="6.9" customHeight="1">
      <c r="A528" s="48"/>
      <c r="B528" s="48"/>
      <c r="C528" s="48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</row>
    <row r="529" spans="1:44" ht="6.9" customHeight="1">
      <c r="A529" s="48"/>
      <c r="B529" s="48"/>
      <c r="C529" s="48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</row>
    <row r="530" spans="1:44" ht="6.9" customHeight="1">
      <c r="A530" s="48"/>
      <c r="B530" s="48"/>
      <c r="C530" s="48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</row>
    <row r="531" spans="1:44" ht="6.9" customHeight="1">
      <c r="A531" s="48"/>
      <c r="B531" s="48"/>
      <c r="C531" s="48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</row>
    <row r="532" spans="1:44" ht="6.9" customHeight="1">
      <c r="A532" s="48"/>
      <c r="B532" s="48"/>
      <c r="C532" s="48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</row>
    <row r="533" spans="1:44" ht="6.9" customHeight="1">
      <c r="A533" s="48"/>
      <c r="B533" s="48"/>
      <c r="C533" s="48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</row>
    <row r="534" spans="1:44" ht="6.9" customHeight="1">
      <c r="A534" s="48"/>
      <c r="B534" s="48"/>
      <c r="C534" s="48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</row>
    <row r="535" spans="1:44" ht="6.9" customHeight="1">
      <c r="A535" s="48"/>
      <c r="B535" s="48"/>
      <c r="C535" s="48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</row>
    <row r="536" spans="1:44" ht="6.9" customHeight="1">
      <c r="A536" s="48"/>
      <c r="B536" s="48"/>
      <c r="C536" s="48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</row>
    <row r="537" spans="1:44" ht="6.9" customHeight="1">
      <c r="A537" s="48"/>
      <c r="B537" s="48"/>
      <c r="C537" s="48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</row>
    <row r="538" spans="1:44" ht="6.9" customHeight="1">
      <c r="A538" s="48"/>
      <c r="B538" s="48"/>
      <c r="C538" s="48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</row>
    <row r="539" spans="1:44" ht="6.9" customHeight="1">
      <c r="A539" s="48"/>
      <c r="B539" s="48"/>
      <c r="C539" s="48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</row>
    <row r="540" spans="1:44" ht="6.9" customHeight="1">
      <c r="A540" s="48"/>
      <c r="B540" s="48"/>
      <c r="C540" s="48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</row>
    <row r="541" spans="1:44" ht="6.9" customHeight="1">
      <c r="A541" s="48"/>
      <c r="B541" s="48"/>
      <c r="C541" s="48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</row>
    <row r="542" spans="1:44" ht="6.9" customHeight="1">
      <c r="A542" s="48"/>
      <c r="B542" s="48"/>
      <c r="C542" s="48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</row>
    <row r="543" spans="1:44" ht="6.9" customHeight="1">
      <c r="A543" s="48"/>
      <c r="B543" s="48"/>
      <c r="C543" s="48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</row>
    <row r="544" spans="1:44" ht="6.9" customHeight="1">
      <c r="A544" s="48"/>
      <c r="B544" s="48"/>
      <c r="C544" s="48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</row>
    <row r="545" spans="1:44" ht="6.9" customHeight="1">
      <c r="A545" s="48"/>
      <c r="B545" s="48"/>
      <c r="C545" s="48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</row>
    <row r="546" spans="1:44" ht="6.9" customHeight="1">
      <c r="A546" s="48"/>
      <c r="B546" s="48"/>
      <c r="C546" s="48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</row>
    <row r="547" spans="1:44" ht="6.9" customHeight="1">
      <c r="A547" s="48"/>
      <c r="B547" s="48"/>
      <c r="C547" s="48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</row>
    <row r="548" spans="1:44" ht="6.9" customHeight="1">
      <c r="A548" s="48"/>
      <c r="B548" s="48"/>
      <c r="C548" s="48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</row>
    <row r="549" spans="1:44" ht="6.9" customHeight="1">
      <c r="A549" s="48"/>
      <c r="B549" s="48"/>
      <c r="C549" s="48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</row>
    <row r="550" spans="1:44" ht="6.9" customHeight="1">
      <c r="A550" s="48"/>
      <c r="B550" s="48"/>
      <c r="C550" s="48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</row>
    <row r="551" spans="1:44" ht="6.9" customHeight="1">
      <c r="A551" s="48"/>
      <c r="B551" s="48"/>
      <c r="C551" s="48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</row>
    <row r="552" spans="1:44" ht="6.9" customHeight="1">
      <c r="A552" s="48"/>
      <c r="B552" s="48"/>
      <c r="C552" s="48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</row>
    <row r="553" spans="1:44" ht="6.9" customHeight="1">
      <c r="A553" s="48"/>
      <c r="B553" s="48"/>
      <c r="C553" s="48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</row>
    <row r="554" spans="1:44" ht="6.9" customHeight="1">
      <c r="A554" s="48"/>
      <c r="B554" s="48"/>
      <c r="C554" s="48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</row>
    <row r="555" spans="1:44" ht="6.9" customHeight="1">
      <c r="A555" s="48"/>
      <c r="B555" s="48"/>
      <c r="C555" s="48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</row>
    <row r="556" spans="1:44" ht="6.9" customHeight="1">
      <c r="A556" s="48"/>
      <c r="B556" s="48"/>
      <c r="C556" s="48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</row>
    <row r="557" spans="1:44" ht="6.9" customHeight="1">
      <c r="A557" s="48"/>
      <c r="B557" s="48"/>
      <c r="C557" s="48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</row>
    <row r="558" spans="1:44" ht="6.9" customHeight="1">
      <c r="A558" s="48"/>
      <c r="B558" s="48"/>
      <c r="C558" s="48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</row>
    <row r="559" spans="1:44" ht="6.9" customHeight="1">
      <c r="A559" s="48"/>
      <c r="B559" s="48"/>
      <c r="C559" s="48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</row>
    <row r="560" spans="1:44" ht="6.9" customHeight="1">
      <c r="A560" s="48"/>
      <c r="B560" s="48"/>
      <c r="C560" s="48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</row>
    <row r="561" spans="1:44" ht="6.9" customHeight="1">
      <c r="A561" s="48"/>
      <c r="B561" s="48"/>
      <c r="C561" s="48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</row>
    <row r="562" spans="1:44" ht="6.9" customHeight="1">
      <c r="A562" s="48"/>
      <c r="B562" s="48"/>
      <c r="C562" s="48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</row>
    <row r="563" spans="1:44" ht="6.9" customHeight="1">
      <c r="A563" s="48"/>
      <c r="B563" s="48"/>
      <c r="C563" s="48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</row>
    <row r="564" spans="1:44" ht="6.9" customHeight="1">
      <c r="A564" s="48"/>
      <c r="B564" s="48"/>
      <c r="C564" s="48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</row>
    <row r="565" spans="1:44" ht="6.9" customHeight="1">
      <c r="A565" s="48"/>
      <c r="B565" s="48"/>
      <c r="C565" s="48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</row>
    <row r="566" spans="1:44" ht="6.9" customHeight="1">
      <c r="A566" s="48"/>
      <c r="B566" s="48"/>
      <c r="C566" s="48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</row>
    <row r="567" spans="1:44" ht="6.9" customHeight="1">
      <c r="A567" s="48"/>
      <c r="B567" s="48"/>
      <c r="C567" s="48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</row>
    <row r="568" spans="1:44" ht="6.9" customHeight="1">
      <c r="A568" s="48"/>
      <c r="B568" s="48"/>
      <c r="C568" s="48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</row>
    <row r="569" spans="1:44" ht="6.9" customHeight="1">
      <c r="A569" s="48"/>
      <c r="B569" s="48"/>
      <c r="C569" s="48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</row>
    <row r="570" spans="1:44" ht="6.9" customHeight="1">
      <c r="A570" s="48"/>
      <c r="B570" s="48"/>
      <c r="C570" s="48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</row>
    <row r="571" spans="1:44" ht="6.9" customHeight="1">
      <c r="A571" s="48"/>
      <c r="B571" s="48"/>
      <c r="C571" s="48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</row>
    <row r="572" spans="1:44" ht="6.9" customHeight="1">
      <c r="A572" s="48"/>
      <c r="B572" s="48"/>
      <c r="C572" s="48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</row>
    <row r="573" spans="1:44" ht="6.9" customHeight="1">
      <c r="A573" s="48"/>
      <c r="B573" s="48"/>
      <c r="C573" s="48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</row>
    <row r="574" spans="1:44" ht="6.9" customHeight="1">
      <c r="A574" s="48"/>
      <c r="B574" s="48"/>
      <c r="C574" s="48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</row>
    <row r="575" spans="1:44" ht="6.9" customHeight="1">
      <c r="A575" s="48"/>
      <c r="B575" s="48"/>
      <c r="C575" s="48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</row>
    <row r="576" spans="1:44" ht="6.9" customHeight="1">
      <c r="A576" s="48"/>
      <c r="B576" s="48"/>
      <c r="C576" s="48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</row>
    <row r="577" spans="1:44" ht="6.9" customHeight="1">
      <c r="A577" s="48"/>
      <c r="B577" s="48"/>
      <c r="C577" s="48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</row>
    <row r="578" spans="1:44" ht="6.9" customHeight="1">
      <c r="A578" s="48"/>
      <c r="B578" s="48"/>
      <c r="C578" s="48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</row>
    <row r="579" spans="1:44" ht="6.9" customHeight="1">
      <c r="A579" s="48"/>
      <c r="B579" s="48"/>
      <c r="C579" s="48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</row>
    <row r="580" spans="1:44" ht="6.9" customHeight="1">
      <c r="A580" s="48"/>
      <c r="B580" s="48"/>
      <c r="C580" s="48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</row>
    <row r="581" spans="1:44" ht="6.9" customHeight="1">
      <c r="A581" s="48"/>
      <c r="B581" s="48"/>
      <c r="C581" s="48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</row>
    <row r="582" spans="1:44" ht="6.9" customHeight="1">
      <c r="A582" s="48"/>
      <c r="B582" s="48"/>
      <c r="C582" s="48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</row>
    <row r="583" spans="1:44" ht="6.9" customHeight="1">
      <c r="A583" s="48"/>
      <c r="B583" s="48"/>
      <c r="C583" s="48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</row>
    <row r="584" spans="1:44" ht="6.9" customHeight="1">
      <c r="A584" s="48"/>
      <c r="B584" s="48"/>
      <c r="C584" s="48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</row>
    <row r="585" spans="1:44" ht="6.9" customHeight="1">
      <c r="A585" s="48"/>
      <c r="B585" s="48"/>
      <c r="C585" s="48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</row>
    <row r="586" spans="1:44" ht="6.9" customHeight="1">
      <c r="A586" s="48"/>
      <c r="B586" s="48"/>
      <c r="C586" s="48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</row>
    <row r="587" spans="1:44" ht="6.9" customHeight="1">
      <c r="A587" s="48"/>
      <c r="B587" s="48"/>
      <c r="C587" s="48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</row>
    <row r="588" spans="1:44" ht="6.9" customHeight="1">
      <c r="A588" s="48"/>
      <c r="B588" s="48"/>
      <c r="C588" s="48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</row>
    <row r="589" spans="1:44" ht="6.9" customHeight="1">
      <c r="A589" s="48"/>
      <c r="B589" s="48"/>
      <c r="C589" s="48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</row>
    <row r="590" spans="1:44" ht="6.9" customHeight="1">
      <c r="A590" s="48"/>
      <c r="B590" s="48"/>
      <c r="C590" s="48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</row>
    <row r="591" spans="1:44" ht="6.9" customHeight="1">
      <c r="A591" s="48"/>
      <c r="B591" s="48"/>
      <c r="C591" s="48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</row>
    <row r="592" spans="1:44" ht="6.9" customHeight="1">
      <c r="A592" s="48"/>
      <c r="B592" s="48"/>
      <c r="C592" s="48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</row>
    <row r="593" spans="1:44" ht="6.9" customHeight="1">
      <c r="A593" s="48"/>
      <c r="B593" s="48"/>
      <c r="C593" s="48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</row>
    <row r="594" spans="1:44" ht="6.9" customHeight="1">
      <c r="A594" s="48"/>
      <c r="B594" s="48"/>
      <c r="C594" s="48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</row>
    <row r="595" spans="1:44" ht="6.9" customHeight="1">
      <c r="A595" s="48"/>
      <c r="B595" s="48"/>
      <c r="C595" s="48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</row>
    <row r="596" spans="1:44" ht="6.9" customHeight="1">
      <c r="A596" s="48"/>
      <c r="B596" s="48"/>
      <c r="C596" s="48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</row>
    <row r="597" spans="1:44" ht="6.9" customHeight="1">
      <c r="A597" s="48"/>
      <c r="B597" s="48"/>
      <c r="C597" s="48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</row>
    <row r="598" spans="1:44" ht="6.9" customHeight="1">
      <c r="A598" s="48"/>
      <c r="B598" s="48"/>
      <c r="C598" s="48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</row>
    <row r="599" spans="1:44" ht="6.9" customHeight="1">
      <c r="A599" s="48"/>
      <c r="B599" s="48"/>
      <c r="C599" s="48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</row>
    <row r="600" spans="1:44" ht="6.9" customHeight="1">
      <c r="A600" s="48"/>
      <c r="B600" s="48"/>
      <c r="C600" s="48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</row>
    <row r="601" spans="1:44" ht="6.9" customHeight="1">
      <c r="A601" s="48"/>
      <c r="B601" s="48"/>
      <c r="C601" s="48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</row>
    <row r="602" spans="1:44" ht="6.9" customHeight="1">
      <c r="A602" s="48"/>
      <c r="B602" s="48"/>
      <c r="C602" s="48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</row>
    <row r="603" spans="1:44" ht="6.9" customHeight="1">
      <c r="A603" s="48"/>
      <c r="B603" s="48"/>
      <c r="C603" s="48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</row>
    <row r="604" spans="1:44" ht="6.9" customHeight="1">
      <c r="A604" s="48"/>
      <c r="B604" s="48"/>
      <c r="C604" s="48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</row>
    <row r="605" spans="1:44" ht="6.9" customHeight="1">
      <c r="A605" s="48"/>
      <c r="B605" s="48"/>
      <c r="C605" s="48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</row>
    <row r="606" spans="1:44" ht="6.9" customHeight="1">
      <c r="A606" s="48"/>
      <c r="B606" s="48"/>
      <c r="C606" s="48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</row>
    <row r="607" spans="1:44" ht="6.9" customHeight="1">
      <c r="A607" s="48"/>
      <c r="B607" s="48"/>
      <c r="C607" s="48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</row>
    <row r="608" spans="1:44" ht="6.9" customHeight="1">
      <c r="A608" s="48"/>
      <c r="B608" s="48"/>
      <c r="C608" s="48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</row>
    <row r="609" spans="1:44" ht="6.9" customHeight="1">
      <c r="A609" s="48"/>
      <c r="B609" s="48"/>
      <c r="C609" s="48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</row>
    <row r="610" spans="1:44" ht="6.9" customHeight="1">
      <c r="A610" s="48"/>
      <c r="B610" s="48"/>
      <c r="C610" s="48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</row>
    <row r="611" spans="1:44" ht="6.9" customHeight="1">
      <c r="A611" s="48"/>
      <c r="B611" s="48"/>
      <c r="C611" s="48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</row>
    <row r="612" spans="1:44" ht="6.9" customHeight="1">
      <c r="A612" s="48"/>
      <c r="B612" s="48"/>
      <c r="C612" s="48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</row>
    <row r="613" spans="1:44" ht="6.9" customHeight="1">
      <c r="A613" s="48"/>
      <c r="B613" s="48"/>
      <c r="C613" s="48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</row>
    <row r="614" spans="1:44" ht="6.9" customHeight="1">
      <c r="A614" s="48"/>
      <c r="B614" s="48"/>
      <c r="C614" s="48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</row>
    <row r="615" spans="1:44" ht="6.9" customHeight="1">
      <c r="A615" s="48"/>
      <c r="B615" s="48"/>
      <c r="C615" s="48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</row>
    <row r="616" spans="1:44" ht="6.9" customHeight="1">
      <c r="A616" s="48"/>
      <c r="B616" s="48"/>
      <c r="C616" s="48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</row>
    <row r="617" spans="1:44" ht="6.9" customHeight="1">
      <c r="A617" s="48"/>
      <c r="B617" s="48"/>
      <c r="C617" s="48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</row>
    <row r="618" spans="1:44" ht="6.9" customHeight="1">
      <c r="A618" s="48"/>
      <c r="B618" s="48"/>
      <c r="C618" s="48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</row>
    <row r="619" spans="1:44" ht="6.9" customHeight="1">
      <c r="A619" s="48"/>
      <c r="B619" s="48"/>
      <c r="C619" s="48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</row>
    <row r="620" spans="1:44" ht="6.9" customHeight="1">
      <c r="A620" s="48"/>
      <c r="B620" s="48"/>
      <c r="C620" s="48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</row>
    <row r="621" spans="1:44" ht="6.9" customHeight="1">
      <c r="A621" s="48"/>
      <c r="B621" s="48"/>
      <c r="C621" s="48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</row>
    <row r="622" spans="1:44" ht="6.9" customHeight="1">
      <c r="A622" s="48"/>
      <c r="B622" s="48"/>
      <c r="C622" s="48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</row>
    <row r="623" spans="1:44" ht="6.9" customHeight="1">
      <c r="A623" s="48"/>
      <c r="B623" s="48"/>
      <c r="C623" s="48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</row>
    <row r="624" spans="1:44" ht="6.9" customHeight="1">
      <c r="A624" s="48"/>
      <c r="B624" s="48"/>
      <c r="C624" s="48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</row>
    <row r="625" spans="1:44" ht="6.9" customHeight="1">
      <c r="A625" s="48"/>
      <c r="B625" s="48"/>
      <c r="C625" s="48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</row>
    <row r="626" spans="1:44" ht="6.9" customHeight="1">
      <c r="A626" s="48"/>
      <c r="B626" s="48"/>
      <c r="C626" s="48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</row>
    <row r="627" spans="1:44" ht="6.9" customHeight="1">
      <c r="A627" s="48"/>
      <c r="B627" s="48"/>
      <c r="C627" s="48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</row>
    <row r="628" spans="1:44" ht="6.9" customHeight="1">
      <c r="A628" s="48"/>
      <c r="B628" s="48"/>
      <c r="C628" s="48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</row>
    <row r="629" spans="1:44" ht="6.9" customHeight="1">
      <c r="A629" s="48"/>
      <c r="B629" s="48"/>
      <c r="C629" s="48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</row>
    <row r="630" spans="1:44" ht="6.9" customHeight="1">
      <c r="A630" s="48"/>
      <c r="B630" s="48"/>
      <c r="C630" s="48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</row>
    <row r="631" spans="1:44" ht="6.9" customHeight="1">
      <c r="A631" s="48"/>
      <c r="B631" s="48"/>
      <c r="C631" s="48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</row>
    <row r="632" spans="1:44" ht="6.9" customHeight="1">
      <c r="A632" s="48"/>
      <c r="B632" s="48"/>
      <c r="C632" s="48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</row>
    <row r="633" spans="1:44" ht="6.9" customHeight="1">
      <c r="A633" s="48"/>
      <c r="B633" s="48"/>
      <c r="C633" s="48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</row>
    <row r="634" spans="1:44" ht="6.9" customHeight="1">
      <c r="A634" s="48"/>
      <c r="B634" s="48"/>
      <c r="C634" s="48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</row>
    <row r="635" spans="1:44" ht="6.9" customHeight="1">
      <c r="A635" s="48"/>
      <c r="B635" s="48"/>
      <c r="C635" s="48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</row>
    <row r="636" spans="1:44" ht="6.9" customHeight="1">
      <c r="A636" s="48"/>
      <c r="B636" s="48"/>
      <c r="C636" s="48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</row>
    <row r="637" spans="1:44" ht="6.9" customHeight="1">
      <c r="A637" s="48"/>
      <c r="B637" s="48"/>
      <c r="C637" s="48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</row>
    <row r="638" spans="1:44" ht="6.9" customHeight="1">
      <c r="A638" s="48"/>
      <c r="B638" s="48"/>
      <c r="C638" s="48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</row>
    <row r="639" spans="1:44" ht="6.9" customHeight="1">
      <c r="A639" s="48"/>
      <c r="B639" s="48"/>
      <c r="C639" s="48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</row>
    <row r="640" spans="1:44" ht="6.9" customHeight="1">
      <c r="A640" s="48"/>
      <c r="B640" s="48"/>
      <c r="C640" s="48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</row>
    <row r="641" spans="1:44" ht="6.9" customHeight="1">
      <c r="A641" s="48"/>
      <c r="B641" s="48"/>
      <c r="C641" s="48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</row>
    <row r="642" spans="1:44" ht="6.9" customHeight="1">
      <c r="A642" s="48"/>
      <c r="B642" s="48"/>
      <c r="C642" s="48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</row>
    <row r="643" spans="1:44" ht="6.9" customHeight="1">
      <c r="A643" s="48"/>
      <c r="B643" s="48"/>
      <c r="C643" s="48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</row>
    <row r="644" spans="1:44" ht="6.9" customHeight="1">
      <c r="A644" s="48"/>
      <c r="B644" s="48"/>
      <c r="C644" s="48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</row>
    <row r="645" spans="1:44" ht="6.9" customHeight="1">
      <c r="A645" s="48"/>
      <c r="B645" s="48"/>
      <c r="C645" s="48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</row>
    <row r="646" spans="1:44" ht="6.9" customHeight="1">
      <c r="A646" s="48"/>
      <c r="B646" s="48"/>
      <c r="C646" s="48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</row>
    <row r="647" spans="1:44" ht="6.9" customHeight="1">
      <c r="A647" s="48"/>
      <c r="B647" s="48"/>
      <c r="C647" s="48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</row>
    <row r="648" spans="1:44" ht="6.9" customHeight="1">
      <c r="A648" s="48"/>
      <c r="B648" s="48"/>
      <c r="C648" s="48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</row>
    <row r="649" spans="1:44" ht="6.9" customHeight="1">
      <c r="A649" s="48"/>
      <c r="B649" s="48"/>
      <c r="C649" s="48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</row>
    <row r="650" spans="1:44" ht="6.9" customHeight="1">
      <c r="A650" s="48"/>
      <c r="B650" s="48"/>
      <c r="C650" s="48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</row>
    <row r="651" spans="1:44" ht="6.9" customHeight="1">
      <c r="A651" s="48"/>
      <c r="B651" s="48"/>
      <c r="C651" s="48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</row>
    <row r="652" spans="1:44" ht="6.9" customHeight="1">
      <c r="A652" s="48"/>
      <c r="B652" s="48"/>
      <c r="C652" s="48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</row>
    <row r="653" spans="1:44" ht="6.9" customHeight="1">
      <c r="A653" s="48"/>
      <c r="B653" s="48"/>
      <c r="C653" s="48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</row>
    <row r="654" spans="1:44" ht="6.9" customHeight="1">
      <c r="A654" s="48"/>
      <c r="B654" s="48"/>
      <c r="C654" s="48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</row>
    <row r="655" spans="1:44" ht="6.9" customHeight="1">
      <c r="A655" s="48"/>
      <c r="B655" s="48"/>
      <c r="C655" s="48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</row>
    <row r="656" spans="1:44" ht="6.9" customHeight="1">
      <c r="A656" s="48"/>
      <c r="B656" s="48"/>
      <c r="C656" s="48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</row>
    <row r="657" spans="1:44" ht="6.9" customHeight="1">
      <c r="A657" s="48"/>
      <c r="B657" s="48"/>
      <c r="C657" s="48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</row>
    <row r="658" spans="1:44" ht="6.9" customHeight="1">
      <c r="A658" s="48"/>
      <c r="B658" s="48"/>
      <c r="C658" s="48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</row>
    <row r="659" spans="1:44" ht="6.9" customHeight="1">
      <c r="A659" s="48"/>
      <c r="B659" s="48"/>
      <c r="C659" s="48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</row>
    <row r="660" spans="1:44" ht="6.9" customHeight="1">
      <c r="A660" s="48"/>
      <c r="B660" s="48"/>
      <c r="C660" s="48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</row>
    <row r="661" spans="1:44" ht="6.9" customHeight="1">
      <c r="A661" s="48"/>
      <c r="B661" s="48"/>
      <c r="C661" s="48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</row>
    <row r="662" spans="1:44" ht="6.9" customHeight="1">
      <c r="A662" s="48"/>
      <c r="B662" s="48"/>
      <c r="C662" s="48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</row>
    <row r="663" spans="1:44" ht="6.9" customHeight="1">
      <c r="A663" s="48"/>
      <c r="B663" s="48"/>
      <c r="C663" s="48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</row>
    <row r="664" spans="1:44" ht="6.9" customHeight="1">
      <c r="A664" s="48"/>
      <c r="B664" s="48"/>
      <c r="C664" s="48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</row>
    <row r="665" spans="1:44" ht="6.9" customHeight="1">
      <c r="A665" s="48"/>
      <c r="B665" s="48"/>
      <c r="C665" s="48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</row>
    <row r="666" spans="1:44" ht="6.9" customHeight="1">
      <c r="A666" s="48"/>
      <c r="B666" s="48"/>
      <c r="C666" s="48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</row>
    <row r="667" spans="1:44" ht="6.9" customHeight="1">
      <c r="A667" s="48"/>
      <c r="B667" s="48"/>
      <c r="C667" s="48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</row>
    <row r="668" spans="1:44" ht="6.9" customHeight="1">
      <c r="A668" s="48"/>
      <c r="B668" s="48"/>
      <c r="C668" s="48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</row>
    <row r="669" spans="1:44" ht="6.9" customHeight="1">
      <c r="A669" s="48"/>
      <c r="B669" s="48"/>
      <c r="C669" s="48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</row>
    <row r="670" spans="1:44" ht="6.9" customHeight="1">
      <c r="A670" s="48"/>
      <c r="B670" s="48"/>
      <c r="C670" s="48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</row>
    <row r="671" spans="1:44" ht="6.9" customHeight="1">
      <c r="A671" s="48"/>
      <c r="B671" s="48"/>
      <c r="C671" s="48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</row>
    <row r="672" spans="1:44" ht="6.9" customHeight="1">
      <c r="A672" s="48"/>
      <c r="B672" s="48"/>
      <c r="C672" s="48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</row>
    <row r="673" spans="1:44" ht="6.9" customHeight="1">
      <c r="A673" s="48"/>
      <c r="B673" s="48"/>
      <c r="C673" s="48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</row>
    <row r="674" spans="1:44" ht="6.9" customHeight="1">
      <c r="A674" s="48"/>
      <c r="B674" s="48"/>
      <c r="C674" s="48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</row>
    <row r="675" spans="1:44" ht="6.9" customHeight="1">
      <c r="A675" s="48"/>
      <c r="B675" s="48"/>
      <c r="C675" s="48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</row>
    <row r="676" spans="1:44" ht="6.9" customHeight="1">
      <c r="A676" s="48"/>
      <c r="B676" s="48"/>
      <c r="C676" s="48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</row>
    <row r="677" spans="1:44" ht="6.9" customHeight="1">
      <c r="A677" s="48"/>
      <c r="B677" s="48"/>
      <c r="C677" s="48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</row>
    <row r="678" spans="1:44" ht="6.9" customHeight="1">
      <c r="A678" s="48"/>
      <c r="B678" s="48"/>
      <c r="C678" s="48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</row>
    <row r="679" spans="1:44" ht="6.9" customHeight="1">
      <c r="A679" s="48"/>
      <c r="B679" s="48"/>
      <c r="C679" s="48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</row>
    <row r="680" spans="1:44" ht="6.9" customHeight="1">
      <c r="A680" s="48"/>
      <c r="B680" s="48"/>
      <c r="C680" s="48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</row>
    <row r="681" spans="1:44" ht="6.9" customHeight="1">
      <c r="A681" s="48"/>
      <c r="B681" s="48"/>
      <c r="C681" s="48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</row>
    <row r="682" spans="1:44" ht="6.9" customHeight="1">
      <c r="A682" s="48"/>
      <c r="B682" s="48"/>
      <c r="C682" s="48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</row>
    <row r="683" spans="1:44" ht="6.9" customHeight="1">
      <c r="A683" s="48"/>
      <c r="B683" s="48"/>
      <c r="C683" s="48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</row>
    <row r="684" spans="1:44" ht="6.9" customHeight="1">
      <c r="A684" s="48"/>
      <c r="B684" s="48"/>
      <c r="C684" s="48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</row>
    <row r="685" spans="1:44" ht="6.9" customHeight="1">
      <c r="A685" s="48"/>
      <c r="B685" s="48"/>
      <c r="C685" s="48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</row>
    <row r="686" spans="1:44" ht="6.9" customHeight="1">
      <c r="A686" s="48"/>
      <c r="B686" s="48"/>
      <c r="C686" s="48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</row>
    <row r="687" spans="1:44" ht="6.9" customHeight="1">
      <c r="A687" s="48"/>
      <c r="B687" s="48"/>
      <c r="C687" s="48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</row>
    <row r="688" spans="1:44" ht="6.9" customHeight="1">
      <c r="A688" s="48"/>
      <c r="B688" s="48"/>
      <c r="C688" s="48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</row>
    <row r="689" spans="1:44" ht="6.9" customHeight="1">
      <c r="A689" s="48"/>
      <c r="B689" s="48"/>
      <c r="C689" s="48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</row>
    <row r="690" spans="1:44" ht="6.9" customHeight="1">
      <c r="A690" s="48"/>
      <c r="B690" s="48"/>
      <c r="C690" s="48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</row>
    <row r="691" spans="1:44" ht="6.9" customHeight="1">
      <c r="A691" s="48"/>
      <c r="B691" s="48"/>
      <c r="C691" s="48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</row>
    <row r="692" spans="1:44" ht="6.9" customHeight="1">
      <c r="A692" s="48"/>
      <c r="B692" s="48"/>
      <c r="C692" s="48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</row>
    <row r="693" spans="1:44" ht="6.9" customHeight="1">
      <c r="A693" s="48"/>
      <c r="B693" s="48"/>
      <c r="C693" s="48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</row>
    <row r="694" spans="1:44" ht="6.9" customHeight="1">
      <c r="A694" s="48"/>
      <c r="B694" s="48"/>
      <c r="C694" s="48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</row>
    <row r="695" spans="1:44" ht="6.9" customHeight="1">
      <c r="A695" s="48"/>
      <c r="B695" s="48"/>
      <c r="C695" s="48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</row>
    <row r="696" spans="1:44" ht="6.9" customHeight="1">
      <c r="A696" s="48"/>
      <c r="B696" s="48"/>
      <c r="C696" s="48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</row>
    <row r="697" spans="1:44" ht="6.9" customHeight="1">
      <c r="A697" s="48"/>
      <c r="B697" s="48"/>
      <c r="C697" s="48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</row>
    <row r="698" spans="1:44" ht="6.9" customHeight="1">
      <c r="A698" s="48"/>
      <c r="B698" s="48"/>
      <c r="C698" s="48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</row>
    <row r="699" spans="1:44" ht="6.9" customHeight="1">
      <c r="A699" s="48"/>
      <c r="B699" s="48"/>
      <c r="C699" s="48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</row>
    <row r="700" spans="1:44" ht="6.9" customHeight="1">
      <c r="A700" s="48"/>
      <c r="B700" s="48"/>
      <c r="C700" s="48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</row>
    <row r="701" spans="1:44" ht="6.9" customHeight="1">
      <c r="A701" s="48"/>
      <c r="B701" s="48"/>
      <c r="C701" s="48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</row>
    <row r="702" spans="1:44" ht="6.9" customHeight="1">
      <c r="A702" s="48"/>
      <c r="B702" s="48"/>
      <c r="C702" s="48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</row>
    <row r="703" spans="1:44" ht="6.9" customHeight="1">
      <c r="A703" s="48"/>
      <c r="B703" s="48"/>
      <c r="C703" s="48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</row>
    <row r="704" spans="1:44" ht="6.9" customHeight="1">
      <c r="A704" s="48"/>
      <c r="B704" s="48"/>
      <c r="C704" s="48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</row>
    <row r="705" spans="1:44" ht="6.9" customHeight="1">
      <c r="A705" s="48"/>
      <c r="B705" s="48"/>
      <c r="C705" s="48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</row>
    <row r="706" spans="1:44" ht="6.9" customHeight="1">
      <c r="A706" s="48"/>
      <c r="B706" s="48"/>
      <c r="C706" s="48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</row>
    <row r="707" spans="1:44" ht="6.9" customHeight="1">
      <c r="A707" s="48"/>
      <c r="B707" s="48"/>
      <c r="C707" s="48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</row>
    <row r="708" spans="1:44" ht="6.9" customHeight="1">
      <c r="A708" s="48"/>
      <c r="B708" s="48"/>
      <c r="C708" s="48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</row>
    <row r="709" spans="1:44" ht="6.9" customHeight="1">
      <c r="A709" s="48"/>
      <c r="B709" s="48"/>
      <c r="C709" s="48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</row>
    <row r="710" spans="1:44" ht="6.9" customHeight="1">
      <c r="A710" s="48"/>
      <c r="B710" s="48"/>
      <c r="C710" s="48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</row>
    <row r="711" spans="1:44" ht="6.9" customHeight="1">
      <c r="A711" s="48"/>
      <c r="B711" s="48"/>
      <c r="C711" s="48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</row>
    <row r="712" spans="1:44" ht="6.9" customHeight="1">
      <c r="A712" s="48"/>
      <c r="B712" s="48"/>
      <c r="C712" s="48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</row>
    <row r="713" spans="1:44" ht="6.9" customHeight="1">
      <c r="A713" s="48"/>
      <c r="B713" s="48"/>
      <c r="C713" s="48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</row>
    <row r="714" spans="1:44" ht="6.9" customHeight="1">
      <c r="A714" s="48"/>
      <c r="B714" s="48"/>
      <c r="C714" s="48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</row>
    <row r="715" spans="1:44" ht="6.9" customHeight="1">
      <c r="A715" s="48"/>
      <c r="B715" s="48"/>
      <c r="C715" s="48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</row>
    <row r="716" spans="1:44" ht="6.9" customHeight="1">
      <c r="A716" s="48"/>
      <c r="B716" s="48"/>
      <c r="C716" s="48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</row>
    <row r="717" spans="1:44" ht="6.9" customHeight="1">
      <c r="A717" s="48"/>
      <c r="B717" s="48"/>
      <c r="C717" s="48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</row>
    <row r="718" spans="1:44" ht="6.9" customHeight="1">
      <c r="A718" s="48"/>
      <c r="B718" s="48"/>
      <c r="C718" s="48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</row>
    <row r="719" spans="1:44" ht="6.9" customHeight="1">
      <c r="A719" s="48"/>
      <c r="B719" s="48"/>
      <c r="C719" s="48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</row>
    <row r="720" spans="1:44" ht="6.9" customHeight="1">
      <c r="A720" s="48"/>
      <c r="B720" s="48"/>
      <c r="C720" s="48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</row>
    <row r="721" spans="1:44" ht="6.9" customHeight="1">
      <c r="A721" s="48"/>
      <c r="B721" s="48"/>
      <c r="C721" s="48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</row>
    <row r="722" spans="1:44" ht="6.9" customHeight="1">
      <c r="A722" s="48"/>
      <c r="B722" s="48"/>
      <c r="C722" s="48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</row>
    <row r="723" spans="1:44" ht="6.9" customHeight="1">
      <c r="A723" s="48"/>
      <c r="B723" s="48"/>
      <c r="C723" s="48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</row>
    <row r="724" spans="1:44" ht="6.9" customHeight="1">
      <c r="A724" s="48"/>
      <c r="B724" s="48"/>
      <c r="C724" s="48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</row>
    <row r="725" spans="1:44" ht="6.9" customHeight="1">
      <c r="A725" s="48"/>
      <c r="B725" s="48"/>
      <c r="C725" s="48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</row>
    <row r="726" spans="1:44" ht="6.9" customHeight="1">
      <c r="A726" s="48"/>
      <c r="B726" s="48"/>
      <c r="C726" s="48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</row>
    <row r="727" spans="1:44" ht="6.9" customHeight="1">
      <c r="A727" s="48"/>
      <c r="B727" s="48"/>
      <c r="C727" s="48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</row>
    <row r="728" spans="1:44" ht="6.9" customHeight="1">
      <c r="A728" s="48"/>
      <c r="B728" s="48"/>
      <c r="C728" s="48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</row>
    <row r="729" spans="1:44" ht="6.9" customHeight="1">
      <c r="A729" s="48"/>
      <c r="B729" s="48"/>
      <c r="C729" s="48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</row>
    <row r="730" spans="1:44" ht="6.9" customHeight="1">
      <c r="A730" s="48"/>
      <c r="B730" s="48"/>
      <c r="C730" s="48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</row>
    <row r="731" spans="1:44" ht="6.9" customHeight="1">
      <c r="A731" s="48"/>
      <c r="B731" s="48"/>
      <c r="C731" s="48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</row>
    <row r="732" spans="1:44" ht="6.9" customHeight="1">
      <c r="A732" s="48"/>
      <c r="B732" s="48"/>
      <c r="C732" s="48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</row>
    <row r="733" spans="1:44" ht="6.9" customHeight="1">
      <c r="A733" s="48"/>
      <c r="B733" s="48"/>
      <c r="C733" s="48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</row>
    <row r="734" spans="1:44" ht="6.9" customHeight="1">
      <c r="A734" s="48"/>
      <c r="B734" s="48"/>
      <c r="C734" s="48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</row>
    <row r="735" spans="1:44" ht="6.9" customHeight="1">
      <c r="A735" s="48"/>
      <c r="B735" s="48"/>
      <c r="C735" s="48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</row>
    <row r="736" spans="1:44" ht="6.9" customHeight="1">
      <c r="A736" s="48"/>
      <c r="B736" s="48"/>
      <c r="C736" s="48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</row>
    <row r="737" spans="1:44" ht="6.9" customHeight="1">
      <c r="A737" s="48"/>
      <c r="B737" s="48"/>
      <c r="C737" s="48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</row>
    <row r="738" spans="1:44" ht="6.9" customHeight="1">
      <c r="A738" s="48"/>
      <c r="B738" s="48"/>
      <c r="C738" s="48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</row>
    <row r="739" spans="1:44" ht="6.9" customHeight="1">
      <c r="A739" s="48"/>
      <c r="B739" s="48"/>
      <c r="C739" s="48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</row>
    <row r="740" spans="1:44" ht="6.9" customHeight="1">
      <c r="A740" s="48"/>
      <c r="B740" s="48"/>
      <c r="C740" s="48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</row>
    <row r="741" spans="1:44" ht="6.9" customHeight="1">
      <c r="A741" s="48"/>
      <c r="B741" s="48"/>
      <c r="C741" s="48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</row>
    <row r="742" spans="1:44" ht="6.9" customHeight="1">
      <c r="A742" s="48"/>
      <c r="B742" s="48"/>
      <c r="C742" s="48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</row>
    <row r="743" spans="1:44" ht="6.9" customHeight="1">
      <c r="A743" s="48"/>
      <c r="B743" s="48"/>
      <c r="C743" s="48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</row>
    <row r="744" spans="1:44" ht="6.9" customHeight="1">
      <c r="A744" s="48"/>
      <c r="B744" s="48"/>
      <c r="C744" s="48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</row>
    <row r="745" spans="1:44" ht="6.9" customHeight="1">
      <c r="A745" s="48"/>
      <c r="B745" s="48"/>
      <c r="C745" s="48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</row>
    <row r="746" spans="1:44" ht="6.9" customHeight="1">
      <c r="A746" s="48"/>
      <c r="B746" s="48"/>
      <c r="C746" s="48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</row>
    <row r="747" spans="1:44" ht="6.9" customHeight="1">
      <c r="A747" s="48"/>
      <c r="B747" s="48"/>
      <c r="C747" s="48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</row>
    <row r="748" spans="1:44" ht="6.9" customHeight="1">
      <c r="A748" s="48"/>
      <c r="B748" s="48"/>
      <c r="C748" s="48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</row>
    <row r="749" spans="1:44" ht="6.9" customHeight="1">
      <c r="A749" s="48"/>
      <c r="B749" s="48"/>
      <c r="C749" s="48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</row>
    <row r="750" spans="1:44" ht="6.9" customHeight="1">
      <c r="A750" s="48"/>
      <c r="B750" s="48"/>
      <c r="C750" s="48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</row>
    <row r="751" spans="1:44" ht="6.9" customHeight="1">
      <c r="A751" s="48"/>
      <c r="B751" s="48"/>
      <c r="C751" s="48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</row>
    <row r="752" spans="1:44" ht="6.9" customHeight="1">
      <c r="A752" s="48"/>
      <c r="B752" s="48"/>
      <c r="C752" s="48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</row>
    <row r="753" spans="1:44" ht="6.9" customHeight="1">
      <c r="A753" s="48"/>
      <c r="B753" s="48"/>
      <c r="C753" s="48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</row>
    <row r="754" spans="1:44" ht="6.9" customHeight="1">
      <c r="A754" s="48"/>
      <c r="B754" s="48"/>
      <c r="C754" s="48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</row>
    <row r="755" spans="1:44" ht="6.9" customHeight="1">
      <c r="A755" s="48"/>
      <c r="B755" s="48"/>
      <c r="C755" s="48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</row>
    <row r="756" spans="1:44" ht="6.9" customHeight="1">
      <c r="A756" s="48"/>
      <c r="B756" s="48"/>
      <c r="C756" s="48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</row>
    <row r="757" spans="1:44" ht="6.9" customHeight="1">
      <c r="A757" s="48"/>
      <c r="B757" s="48"/>
      <c r="C757" s="48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</row>
    <row r="758" spans="1:44" ht="6.9" customHeight="1">
      <c r="A758" s="48"/>
      <c r="B758" s="48"/>
      <c r="C758" s="48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</row>
    <row r="759" spans="1:44" ht="6.9" customHeight="1">
      <c r="A759" s="48"/>
      <c r="B759" s="48"/>
      <c r="C759" s="48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</row>
    <row r="760" spans="1:44" ht="6.9" customHeight="1">
      <c r="A760" s="48"/>
      <c r="B760" s="48"/>
      <c r="C760" s="48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</row>
    <row r="761" spans="1:44" ht="6.9" customHeight="1">
      <c r="A761" s="48"/>
      <c r="B761" s="48"/>
      <c r="C761" s="48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</row>
    <row r="762" spans="1:44" ht="6.9" customHeight="1">
      <c r="A762" s="48"/>
      <c r="B762" s="48"/>
      <c r="C762" s="48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</row>
    <row r="763" spans="1:44" ht="6.9" customHeight="1">
      <c r="A763" s="48"/>
      <c r="B763" s="48"/>
      <c r="C763" s="48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</row>
    <row r="764" spans="1:44" ht="6.9" customHeight="1">
      <c r="A764" s="48"/>
      <c r="B764" s="48"/>
      <c r="C764" s="48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</row>
    <row r="765" spans="1:44" ht="6.9" customHeight="1">
      <c r="A765" s="48"/>
      <c r="B765" s="48"/>
      <c r="C765" s="48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</row>
    <row r="766" spans="1:44" ht="6.9" customHeight="1">
      <c r="A766" s="48"/>
      <c r="B766" s="48"/>
      <c r="C766" s="48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</row>
    <row r="767" spans="1:44" ht="6.9" customHeight="1">
      <c r="A767" s="48"/>
      <c r="B767" s="48"/>
      <c r="C767" s="48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</row>
    <row r="768" spans="1:44" ht="6.9" customHeight="1">
      <c r="A768" s="48"/>
      <c r="B768" s="48"/>
      <c r="C768" s="48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</row>
    <row r="769" spans="1:44" ht="6.9" customHeight="1">
      <c r="A769" s="48"/>
      <c r="B769" s="48"/>
      <c r="C769" s="48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</row>
    <row r="770" spans="1:44" ht="6.9" customHeight="1">
      <c r="A770" s="48"/>
      <c r="B770" s="48"/>
      <c r="C770" s="48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</row>
    <row r="771" spans="1:44" ht="6.9" customHeight="1">
      <c r="A771" s="48"/>
      <c r="B771" s="48"/>
      <c r="C771" s="48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</row>
    <row r="772" spans="1:44" ht="6.9" customHeight="1">
      <c r="A772" s="48"/>
      <c r="B772" s="48"/>
      <c r="C772" s="48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</row>
    <row r="773" spans="1:44" ht="6.9" customHeight="1">
      <c r="A773" s="48"/>
      <c r="B773" s="48"/>
      <c r="C773" s="48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</row>
    <row r="774" spans="1:44" ht="6.9" customHeight="1">
      <c r="A774" s="48"/>
      <c r="B774" s="48"/>
      <c r="C774" s="48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</row>
    <row r="775" spans="1:44" ht="6.9" customHeight="1">
      <c r="A775" s="48"/>
      <c r="B775" s="48"/>
      <c r="C775" s="48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</row>
    <row r="776" spans="1:44" ht="6.9" customHeight="1">
      <c r="A776" s="48"/>
      <c r="B776" s="48"/>
      <c r="C776" s="48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</row>
    <row r="777" spans="1:44" ht="6.9" customHeight="1">
      <c r="A777" s="48"/>
      <c r="B777" s="48"/>
      <c r="C777" s="48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</row>
    <row r="778" spans="1:44" ht="6.9" customHeight="1">
      <c r="A778" s="48"/>
      <c r="B778" s="48"/>
      <c r="C778" s="48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</row>
    <row r="779" spans="1:44" ht="6.9" customHeight="1">
      <c r="A779" s="48"/>
      <c r="B779" s="48"/>
      <c r="C779" s="48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</row>
    <row r="780" spans="1:44" ht="6.9" customHeight="1">
      <c r="A780" s="48"/>
      <c r="B780" s="48"/>
      <c r="C780" s="48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</row>
    <row r="781" spans="1:44" ht="6.9" customHeight="1">
      <c r="A781" s="48"/>
      <c r="B781" s="48"/>
      <c r="C781" s="48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</row>
    <row r="782" spans="1:44" ht="6.9" customHeight="1">
      <c r="A782" s="48"/>
      <c r="B782" s="48"/>
      <c r="C782" s="48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</row>
    <row r="783" spans="1:44" ht="6.9" customHeight="1">
      <c r="A783" s="48"/>
      <c r="B783" s="48"/>
      <c r="C783" s="48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</row>
    <row r="784" spans="1:44" ht="6.9" customHeight="1">
      <c r="A784" s="48"/>
      <c r="B784" s="48"/>
      <c r="C784" s="48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</row>
    <row r="785" spans="1:44" ht="6.9" customHeight="1">
      <c r="A785" s="48"/>
      <c r="B785" s="48"/>
      <c r="C785" s="48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</row>
    <row r="786" spans="1:44" ht="6.9" customHeight="1">
      <c r="A786" s="48"/>
      <c r="B786" s="48"/>
      <c r="C786" s="48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</row>
    <row r="787" spans="1:44" ht="6.9" customHeight="1">
      <c r="A787" s="48"/>
      <c r="B787" s="48"/>
      <c r="C787" s="48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</row>
    <row r="788" spans="1:44" ht="6.9" customHeight="1">
      <c r="A788" s="48"/>
      <c r="B788" s="48"/>
      <c r="C788" s="48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</row>
    <row r="789" spans="1:44" ht="6.9" customHeight="1">
      <c r="A789" s="48"/>
      <c r="B789" s="48"/>
      <c r="C789" s="48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</row>
    <row r="790" spans="1:44" ht="6.9" customHeight="1">
      <c r="A790" s="48"/>
      <c r="B790" s="48"/>
      <c r="C790" s="48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</row>
    <row r="791" spans="1:44" ht="6.9" customHeight="1">
      <c r="A791" s="48"/>
      <c r="B791" s="48"/>
      <c r="C791" s="48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</row>
    <row r="792" spans="1:44" ht="6.9" customHeight="1">
      <c r="A792" s="48"/>
      <c r="B792" s="48"/>
      <c r="C792" s="48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</row>
    <row r="793" spans="1:44" ht="6.9" customHeight="1">
      <c r="A793" s="48"/>
      <c r="B793" s="48"/>
      <c r="C793" s="48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</row>
    <row r="794" spans="1:44" ht="6.9" customHeight="1">
      <c r="A794" s="48"/>
      <c r="B794" s="48"/>
      <c r="C794" s="48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</row>
    <row r="795" spans="1:44" ht="6.9" customHeight="1">
      <c r="A795" s="48"/>
      <c r="B795" s="48"/>
      <c r="C795" s="48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</row>
    <row r="796" spans="1:44" ht="6.9" customHeight="1">
      <c r="A796" s="48"/>
      <c r="B796" s="48"/>
      <c r="C796" s="48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</row>
    <row r="797" spans="1:44" ht="6.9" customHeight="1">
      <c r="A797" s="48"/>
      <c r="B797" s="48"/>
      <c r="C797" s="48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</row>
    <row r="798" spans="1:44" ht="6.9" customHeight="1">
      <c r="A798" s="48"/>
      <c r="B798" s="48"/>
      <c r="C798" s="48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</row>
    <row r="799" spans="1:44" ht="6.9" customHeight="1">
      <c r="A799" s="48"/>
      <c r="B799" s="48"/>
      <c r="C799" s="48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</row>
    <row r="800" spans="1:44" ht="6.9" customHeight="1">
      <c r="A800" s="48"/>
      <c r="B800" s="48"/>
      <c r="C800" s="48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</row>
    <row r="801" spans="1:44" ht="6.9" customHeight="1">
      <c r="A801" s="48"/>
      <c r="B801" s="48"/>
      <c r="C801" s="48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</row>
    <row r="802" spans="1:44" ht="6.9" customHeight="1">
      <c r="A802" s="48"/>
      <c r="B802" s="48"/>
      <c r="C802" s="48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</row>
    <row r="803" spans="1:44" ht="6.9" customHeight="1">
      <c r="A803" s="48"/>
      <c r="B803" s="48"/>
      <c r="C803" s="48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</row>
    <row r="804" spans="1:44" ht="6.9" customHeight="1">
      <c r="A804" s="48"/>
      <c r="B804" s="48"/>
      <c r="C804" s="48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</row>
    <row r="805" spans="1:44" ht="6.9" customHeight="1">
      <c r="A805" s="48"/>
      <c r="B805" s="48"/>
      <c r="C805" s="48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</row>
    <row r="806" spans="1:44" ht="6.9" customHeight="1">
      <c r="A806" s="48"/>
      <c r="B806" s="48"/>
      <c r="C806" s="48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</row>
    <row r="807" spans="1:44" ht="6.9" customHeight="1">
      <c r="A807" s="48"/>
      <c r="B807" s="48"/>
      <c r="C807" s="48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</row>
    <row r="808" spans="1:44" ht="6.9" customHeight="1">
      <c r="A808" s="48"/>
      <c r="B808" s="48"/>
      <c r="C808" s="48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</row>
    <row r="809" spans="1:44" ht="6.9" customHeight="1">
      <c r="A809" s="48"/>
      <c r="B809" s="48"/>
      <c r="C809" s="48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</row>
    <row r="810" spans="1:44" ht="6.9" customHeight="1">
      <c r="A810" s="48"/>
      <c r="B810" s="48"/>
      <c r="C810" s="48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</row>
    <row r="811" spans="1:44" ht="6.9" customHeight="1">
      <c r="A811" s="48"/>
      <c r="B811" s="48"/>
      <c r="C811" s="48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</row>
    <row r="812" spans="1:44" ht="6.9" customHeight="1">
      <c r="A812" s="48"/>
      <c r="B812" s="48"/>
      <c r="C812" s="48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</row>
    <row r="813" spans="1:44" ht="6.9" customHeight="1">
      <c r="A813" s="48"/>
      <c r="B813" s="48"/>
      <c r="C813" s="48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</row>
    <row r="814" spans="1:44" ht="6.9" customHeight="1">
      <c r="A814" s="48"/>
      <c r="B814" s="48"/>
      <c r="C814" s="48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</row>
    <row r="815" spans="1:44" ht="6.9" customHeight="1">
      <c r="A815" s="48"/>
      <c r="B815" s="48"/>
      <c r="C815" s="48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</row>
    <row r="816" spans="1:44" ht="6.9" customHeight="1">
      <c r="A816" s="48"/>
      <c r="B816" s="48"/>
      <c r="C816" s="48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</row>
    <row r="817" spans="1:44" ht="6.9" customHeight="1">
      <c r="A817" s="48"/>
      <c r="B817" s="48"/>
      <c r="C817" s="48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</row>
    <row r="818" spans="1:44" ht="6.9" customHeight="1">
      <c r="A818" s="48"/>
      <c r="B818" s="48"/>
      <c r="C818" s="48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</row>
    <row r="819" spans="1:44" ht="6.9" customHeight="1">
      <c r="A819" s="48"/>
      <c r="B819" s="48"/>
      <c r="C819" s="48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</row>
    <row r="820" spans="1:44" ht="6.9" customHeight="1">
      <c r="A820" s="48"/>
      <c r="B820" s="48"/>
      <c r="C820" s="48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</row>
    <row r="821" spans="1:44" ht="6.9" customHeight="1">
      <c r="A821" s="48"/>
      <c r="B821" s="48"/>
      <c r="C821" s="48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</row>
    <row r="822" spans="1:44" ht="6.9" customHeight="1">
      <c r="A822" s="48"/>
      <c r="B822" s="48"/>
      <c r="C822" s="48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</row>
    <row r="823" spans="1:44" ht="6.9" customHeight="1">
      <c r="A823" s="48"/>
      <c r="B823" s="48"/>
      <c r="C823" s="48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</row>
    <row r="824" spans="1:44" ht="6.9" customHeight="1">
      <c r="A824" s="48"/>
      <c r="B824" s="48"/>
      <c r="C824" s="48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</row>
    <row r="825" spans="1:44" ht="6.9" customHeight="1">
      <c r="A825" s="48"/>
      <c r="B825" s="48"/>
      <c r="C825" s="48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</row>
    <row r="826" spans="1:44" ht="6.9" customHeight="1">
      <c r="A826" s="48"/>
      <c r="B826" s="48"/>
      <c r="C826" s="48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</row>
    <row r="827" spans="1:44" ht="6.9" customHeight="1">
      <c r="A827" s="48"/>
      <c r="B827" s="48"/>
      <c r="C827" s="48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</row>
    <row r="828" spans="1:44" ht="6.9" customHeight="1">
      <c r="A828" s="48"/>
      <c r="B828" s="48"/>
      <c r="C828" s="48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</row>
    <row r="829" spans="1:44" ht="6.9" customHeight="1">
      <c r="A829" s="48"/>
      <c r="B829" s="48"/>
      <c r="C829" s="48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</row>
    <row r="830" spans="1:44" ht="6.9" customHeight="1">
      <c r="A830" s="48"/>
      <c r="B830" s="48"/>
      <c r="C830" s="48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</row>
    <row r="831" spans="1:44" ht="6.9" customHeight="1">
      <c r="A831" s="48"/>
      <c r="B831" s="48"/>
      <c r="C831" s="48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</row>
    <row r="832" spans="1:44" ht="6.9" customHeight="1">
      <c r="A832" s="48"/>
      <c r="B832" s="48"/>
      <c r="C832" s="48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</row>
    <row r="833" spans="1:44" ht="6.9" customHeight="1">
      <c r="A833" s="48"/>
      <c r="B833" s="48"/>
      <c r="C833" s="48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</row>
    <row r="834" spans="1:44" ht="6.9" customHeight="1">
      <c r="A834" s="48"/>
      <c r="B834" s="48"/>
      <c r="C834" s="48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</row>
    <row r="835" spans="1:44" ht="6.9" customHeight="1">
      <c r="A835" s="48"/>
      <c r="B835" s="48"/>
      <c r="C835" s="48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</row>
    <row r="836" spans="1:44" ht="6.9" customHeight="1">
      <c r="A836" s="48"/>
      <c r="B836" s="48"/>
      <c r="C836" s="48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</row>
    <row r="837" spans="1:44" ht="6.9" customHeight="1">
      <c r="A837" s="48"/>
      <c r="B837" s="48"/>
      <c r="C837" s="48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</row>
    <row r="838" spans="1:44" ht="6.9" customHeight="1">
      <c r="A838" s="48"/>
      <c r="B838" s="48"/>
      <c r="C838" s="48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</row>
    <row r="839" spans="1:44" ht="6.9" customHeight="1">
      <c r="A839" s="48"/>
      <c r="B839" s="48"/>
      <c r="C839" s="48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</row>
    <row r="840" spans="1:44" ht="6.9" customHeight="1">
      <c r="A840" s="48"/>
      <c r="B840" s="48"/>
      <c r="C840" s="48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</row>
    <row r="841" spans="1:44" ht="6.9" customHeight="1">
      <c r="A841" s="48"/>
      <c r="B841" s="48"/>
      <c r="C841" s="48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</row>
    <row r="842" spans="1:44" ht="6.9" customHeight="1">
      <c r="A842" s="48"/>
      <c r="B842" s="48"/>
      <c r="C842" s="48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</row>
    <row r="843" spans="1:44" ht="6.9" customHeight="1">
      <c r="A843" s="48"/>
      <c r="B843" s="48"/>
      <c r="C843" s="48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</row>
    <row r="844" spans="1:44" ht="6.9" customHeight="1">
      <c r="A844" s="48"/>
      <c r="B844" s="48"/>
      <c r="C844" s="48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</row>
    <row r="845" spans="1:44" ht="6.9" customHeight="1">
      <c r="A845" s="48"/>
      <c r="B845" s="48"/>
      <c r="C845" s="48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</row>
    <row r="846" spans="1:44" ht="6.9" customHeight="1">
      <c r="A846" s="48"/>
      <c r="B846" s="48"/>
      <c r="C846" s="48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</row>
    <row r="847" spans="1:44" ht="6.9" customHeight="1">
      <c r="A847" s="48"/>
      <c r="B847" s="48"/>
      <c r="C847" s="48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</row>
    <row r="848" spans="1:44" ht="6.9" customHeight="1">
      <c r="A848" s="48"/>
      <c r="B848" s="48"/>
      <c r="C848" s="48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</row>
    <row r="849" spans="1:44" ht="6.9" customHeight="1">
      <c r="A849" s="48"/>
      <c r="B849" s="48"/>
      <c r="C849" s="48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</row>
    <row r="850" spans="1:44" ht="6.9" customHeight="1">
      <c r="A850" s="48"/>
      <c r="B850" s="48"/>
      <c r="C850" s="48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</row>
    <row r="851" spans="1:44" ht="6.9" customHeight="1">
      <c r="A851" s="48"/>
      <c r="B851" s="48"/>
      <c r="C851" s="48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</row>
    <row r="852" spans="1:44" ht="6.9" customHeight="1">
      <c r="A852" s="48"/>
      <c r="B852" s="48"/>
      <c r="C852" s="48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</row>
    <row r="853" spans="1:44" ht="6.9" customHeight="1">
      <c r="A853" s="48"/>
      <c r="B853" s="48"/>
      <c r="C853" s="48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</row>
    <row r="854" spans="1:44" ht="6.9" customHeight="1">
      <c r="A854" s="48"/>
      <c r="B854" s="48"/>
      <c r="C854" s="48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</row>
    <row r="855" spans="1:44" ht="6.9" customHeight="1">
      <c r="A855" s="48"/>
      <c r="B855" s="48"/>
      <c r="C855" s="48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</row>
    <row r="856" spans="1:44" ht="6.9" customHeight="1">
      <c r="A856" s="48"/>
      <c r="B856" s="48"/>
      <c r="C856" s="48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</row>
    <row r="857" spans="1:44" ht="6.9" customHeight="1">
      <c r="A857" s="48"/>
      <c r="B857" s="48"/>
      <c r="C857" s="48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</row>
    <row r="858" spans="1:44" ht="6.9" customHeight="1">
      <c r="A858" s="48"/>
      <c r="B858" s="48"/>
      <c r="C858" s="48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</row>
    <row r="859" spans="1:44" ht="6.9" customHeight="1">
      <c r="A859" s="48"/>
      <c r="B859" s="48"/>
      <c r="C859" s="48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</row>
    <row r="860" spans="1:44" ht="6.9" customHeight="1">
      <c r="A860" s="48"/>
      <c r="B860" s="48"/>
      <c r="C860" s="48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</row>
    <row r="861" spans="1:44" ht="6.9" customHeight="1">
      <c r="A861" s="48"/>
      <c r="B861" s="48"/>
      <c r="C861" s="48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</row>
    <row r="862" spans="1:44" ht="6.9" customHeight="1">
      <c r="A862" s="48"/>
      <c r="B862" s="48"/>
      <c r="C862" s="48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</row>
    <row r="863" spans="1:44" ht="6.9" customHeight="1">
      <c r="A863" s="48"/>
      <c r="B863" s="48"/>
      <c r="C863" s="48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</row>
    <row r="864" spans="1:44" ht="6.9" customHeight="1">
      <c r="A864" s="48"/>
      <c r="B864" s="48"/>
      <c r="C864" s="48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</row>
    <row r="865" spans="1:44" ht="6.9" customHeight="1">
      <c r="A865" s="48"/>
      <c r="B865" s="48"/>
      <c r="C865" s="48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</row>
    <row r="866" spans="1:44" ht="6.9" customHeight="1">
      <c r="A866" s="48"/>
      <c r="B866" s="48"/>
      <c r="C866" s="48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</row>
    <row r="867" spans="1:44" ht="6.9" customHeight="1">
      <c r="A867" s="48"/>
      <c r="B867" s="48"/>
      <c r="C867" s="48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</row>
    <row r="868" spans="1:44" ht="6.9" customHeight="1">
      <c r="A868" s="48"/>
      <c r="B868" s="48"/>
      <c r="C868" s="48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</row>
    <row r="869" spans="1:44" ht="6.9" customHeight="1">
      <c r="A869" s="48"/>
      <c r="B869" s="48"/>
      <c r="C869" s="48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</row>
    <row r="870" spans="1:44" ht="6.9" customHeight="1">
      <c r="A870" s="48"/>
      <c r="B870" s="48"/>
      <c r="C870" s="48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</row>
    <row r="871" spans="1:44" ht="6.9" customHeight="1">
      <c r="A871" s="48"/>
      <c r="B871" s="48"/>
      <c r="C871" s="48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</row>
    <row r="872" spans="1:44" ht="6.9" customHeight="1">
      <c r="A872" s="48"/>
      <c r="B872" s="48"/>
      <c r="C872" s="48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</row>
    <row r="873" spans="1:44" ht="6.9" customHeight="1">
      <c r="A873" s="48"/>
      <c r="B873" s="48"/>
      <c r="C873" s="48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</row>
    <row r="874" spans="1:44" ht="6.9" customHeight="1">
      <c r="A874" s="48"/>
      <c r="B874" s="48"/>
      <c r="C874" s="48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</row>
    <row r="875" spans="1:44" ht="6.9" customHeight="1">
      <c r="A875" s="48"/>
      <c r="B875" s="48"/>
      <c r="C875" s="48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</row>
    <row r="876" spans="1:44" ht="6.9" customHeight="1">
      <c r="A876" s="48"/>
      <c r="B876" s="48"/>
      <c r="C876" s="48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</row>
    <row r="877" spans="1:44" ht="6.9" customHeight="1">
      <c r="A877" s="48"/>
      <c r="B877" s="48"/>
      <c r="C877" s="48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</row>
    <row r="878" spans="1:44" ht="6.9" customHeight="1">
      <c r="A878" s="48"/>
      <c r="B878" s="48"/>
      <c r="C878" s="48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</row>
    <row r="879" spans="1:44" ht="6.9" customHeight="1">
      <c r="A879" s="48"/>
      <c r="B879" s="48"/>
      <c r="C879" s="48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</row>
    <row r="880" spans="1:44" ht="6.9" customHeight="1">
      <c r="A880" s="48"/>
      <c r="B880" s="48"/>
      <c r="C880" s="48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</row>
    <row r="881" spans="1:44" ht="6.9" customHeight="1">
      <c r="A881" s="48"/>
      <c r="B881" s="48"/>
      <c r="C881" s="48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</row>
    <row r="882" spans="1:44" ht="6.9" customHeight="1">
      <c r="A882" s="48"/>
      <c r="B882" s="48"/>
      <c r="C882" s="48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</row>
    <row r="883" spans="1:44" ht="6.9" customHeight="1">
      <c r="A883" s="48"/>
      <c r="B883" s="48"/>
      <c r="C883" s="48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</row>
    <row r="884" spans="1:44" ht="6.9" customHeight="1">
      <c r="A884" s="48"/>
      <c r="B884" s="48"/>
      <c r="C884" s="48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</row>
    <row r="885" spans="1:44" ht="6.9" customHeight="1">
      <c r="A885" s="48"/>
      <c r="B885" s="48"/>
      <c r="C885" s="48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</row>
    <row r="886" spans="1:44" ht="6.9" customHeight="1">
      <c r="A886" s="48"/>
      <c r="B886" s="48"/>
      <c r="C886" s="48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</row>
    <row r="887" spans="1:44" ht="6.9" customHeight="1">
      <c r="A887" s="48"/>
      <c r="B887" s="48"/>
      <c r="C887" s="48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</row>
    <row r="888" spans="1:44" ht="6.9" customHeight="1">
      <c r="A888" s="48"/>
      <c r="B888" s="48"/>
      <c r="C888" s="48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</row>
    <row r="889" spans="1:44" ht="6.9" customHeight="1">
      <c r="A889" s="48"/>
      <c r="B889" s="48"/>
      <c r="C889" s="48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</row>
    <row r="890" spans="1:44" ht="6.9" customHeight="1">
      <c r="A890" s="48"/>
      <c r="B890" s="48"/>
      <c r="C890" s="48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</row>
    <row r="891" spans="1:44" ht="6.9" customHeight="1">
      <c r="A891" s="48"/>
      <c r="B891" s="48"/>
      <c r="C891" s="48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</row>
    <row r="892" spans="1:44" ht="6.9" customHeight="1">
      <c r="A892" s="48"/>
      <c r="B892" s="48"/>
      <c r="C892" s="48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</row>
    <row r="893" spans="1:44" ht="6.9" customHeight="1">
      <c r="A893" s="48"/>
      <c r="B893" s="48"/>
      <c r="C893" s="48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</row>
    <row r="894" spans="1:44" ht="6.9" customHeight="1">
      <c r="A894" s="48"/>
      <c r="B894" s="48"/>
      <c r="C894" s="48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</row>
    <row r="895" spans="1:44" ht="6.9" customHeight="1">
      <c r="A895" s="48"/>
      <c r="B895" s="48"/>
      <c r="C895" s="48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</row>
    <row r="896" spans="1:44" ht="6.9" customHeight="1">
      <c r="A896" s="48"/>
      <c r="B896" s="48"/>
      <c r="C896" s="48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</row>
    <row r="897" spans="1:44" ht="6.9" customHeight="1">
      <c r="A897" s="48"/>
      <c r="B897" s="48"/>
      <c r="C897" s="48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</row>
    <row r="898" spans="1:44" ht="6.9" customHeight="1">
      <c r="A898" s="48"/>
      <c r="B898" s="48"/>
      <c r="C898" s="48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</row>
    <row r="899" spans="1:44" ht="6.9" customHeight="1">
      <c r="A899" s="48"/>
      <c r="B899" s="48"/>
      <c r="C899" s="48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</row>
    <row r="900" spans="1:44" ht="6.9" customHeight="1">
      <c r="A900" s="48"/>
      <c r="B900" s="48"/>
      <c r="C900" s="48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</row>
    <row r="901" spans="1:44" ht="6.9" customHeight="1">
      <c r="A901" s="48"/>
      <c r="B901" s="48"/>
      <c r="C901" s="48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</row>
    <row r="902" spans="1:44" ht="6.9" customHeight="1">
      <c r="A902" s="48"/>
      <c r="B902" s="48"/>
      <c r="C902" s="48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</row>
    <row r="903" spans="1:44" ht="6.9" customHeight="1">
      <c r="A903" s="48"/>
      <c r="B903" s="48"/>
      <c r="C903" s="48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</row>
    <row r="904" spans="1:44" ht="6.9" customHeight="1">
      <c r="A904" s="48"/>
      <c r="B904" s="48"/>
      <c r="C904" s="48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</row>
    <row r="905" spans="1:44" ht="6.9" customHeight="1">
      <c r="A905" s="48"/>
      <c r="B905" s="48"/>
      <c r="C905" s="48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</row>
    <row r="906" spans="1:44" ht="6.9" customHeight="1">
      <c r="A906" s="48"/>
      <c r="B906" s="48"/>
      <c r="C906" s="48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</row>
    <row r="907" spans="1:44" ht="6.9" customHeight="1">
      <c r="A907" s="48"/>
      <c r="B907" s="48"/>
      <c r="C907" s="48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</row>
    <row r="908" spans="1:44" ht="6.9" customHeight="1">
      <c r="A908" s="48"/>
      <c r="B908" s="48"/>
      <c r="C908" s="48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</row>
    <row r="909" spans="1:44" ht="6.9" customHeight="1">
      <c r="A909" s="48"/>
      <c r="B909" s="48"/>
      <c r="C909" s="48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</row>
    <row r="910" spans="1:44" ht="6.9" customHeight="1">
      <c r="A910" s="48"/>
      <c r="B910" s="48"/>
      <c r="C910" s="48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</row>
    <row r="911" spans="1:44" ht="6.9" customHeight="1">
      <c r="A911" s="48"/>
      <c r="B911" s="48"/>
      <c r="C911" s="48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</row>
    <row r="912" spans="1:44" ht="6.9" customHeight="1">
      <c r="A912" s="48"/>
      <c r="B912" s="48"/>
      <c r="C912" s="48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</row>
    <row r="913" spans="1:44" ht="6.9" customHeight="1">
      <c r="A913" s="48"/>
      <c r="B913" s="48"/>
      <c r="C913" s="48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</row>
    <row r="914" spans="1:44" ht="6.9" customHeight="1">
      <c r="A914" s="48"/>
      <c r="B914" s="48"/>
      <c r="C914" s="48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</row>
    <row r="915" spans="1:44" ht="6.9" customHeight="1">
      <c r="A915" s="48"/>
      <c r="B915" s="48"/>
      <c r="C915" s="48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</row>
    <row r="916" spans="1:44" ht="6.9" customHeight="1">
      <c r="A916" s="48"/>
      <c r="B916" s="48"/>
      <c r="C916" s="48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</row>
    <row r="917" spans="1:44" ht="6.9" customHeight="1">
      <c r="A917" s="48"/>
      <c r="B917" s="48"/>
      <c r="C917" s="48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</row>
    <row r="918" spans="1:44" ht="6.9" customHeight="1">
      <c r="A918" s="48"/>
      <c r="B918" s="48"/>
      <c r="C918" s="48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</row>
    <row r="919" spans="1:44" ht="6.9" customHeight="1">
      <c r="A919" s="48"/>
      <c r="B919" s="48"/>
      <c r="C919" s="48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</row>
    <row r="920" spans="1:44" ht="6.9" customHeight="1">
      <c r="A920" s="48"/>
      <c r="B920" s="48"/>
      <c r="C920" s="48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</row>
    <row r="921" spans="1:44" ht="6.9" customHeight="1">
      <c r="A921" s="48"/>
      <c r="B921" s="48"/>
      <c r="C921" s="48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</row>
    <row r="922" spans="1:44" ht="6.9" customHeight="1">
      <c r="A922" s="48"/>
      <c r="B922" s="48"/>
      <c r="C922" s="48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</row>
    <row r="923" spans="1:44" ht="6.9" customHeight="1">
      <c r="A923" s="48"/>
      <c r="B923" s="48"/>
      <c r="C923" s="48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</row>
    <row r="924" spans="1:44" ht="6.9" customHeight="1">
      <c r="A924" s="48"/>
      <c r="B924" s="48"/>
      <c r="C924" s="48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</row>
    <row r="925" spans="1:44" ht="6.9" customHeight="1">
      <c r="A925" s="48"/>
      <c r="B925" s="48"/>
      <c r="C925" s="48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</row>
    <row r="926" spans="1:44" ht="6.9" customHeight="1">
      <c r="A926" s="48"/>
      <c r="B926" s="48"/>
      <c r="C926" s="48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</row>
    <row r="927" spans="1:44" ht="6.9" customHeight="1">
      <c r="A927" s="48"/>
      <c r="B927" s="48"/>
      <c r="C927" s="48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</row>
    <row r="928" spans="1:44" ht="6.9" customHeight="1">
      <c r="A928" s="48"/>
      <c r="B928" s="48"/>
      <c r="C928" s="48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</row>
    <row r="929" spans="1:44" ht="6.9" customHeight="1">
      <c r="A929" s="48"/>
      <c r="B929" s="48"/>
      <c r="C929" s="48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</row>
    <row r="930" spans="1:44" ht="6.9" customHeight="1">
      <c r="A930" s="48"/>
      <c r="B930" s="48"/>
      <c r="C930" s="48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  <c r="AR930" s="48"/>
    </row>
    <row r="931" spans="1:44" ht="6.9" customHeight="1">
      <c r="A931" s="48"/>
      <c r="B931" s="48"/>
      <c r="C931" s="48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</row>
    <row r="932" spans="1:44" ht="6.9" customHeight="1">
      <c r="A932" s="48"/>
      <c r="B932" s="48"/>
      <c r="C932" s="48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  <c r="AR932" s="48"/>
    </row>
    <row r="933" spans="1:44" ht="6.9" customHeight="1">
      <c r="A933" s="48"/>
      <c r="B933" s="48"/>
      <c r="C933" s="48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  <c r="AR933" s="48"/>
    </row>
    <row r="934" spans="1:44" ht="6.9" customHeight="1">
      <c r="A934" s="48"/>
      <c r="B934" s="48"/>
      <c r="C934" s="48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</row>
    <row r="935" spans="1:44" ht="6.9" customHeight="1">
      <c r="A935" s="48"/>
      <c r="B935" s="48"/>
      <c r="C935" s="48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  <c r="AR935" s="48"/>
    </row>
    <row r="936" spans="1:44" ht="6.9" customHeight="1">
      <c r="A936" s="48"/>
      <c r="B936" s="48"/>
      <c r="C936" s="48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  <c r="AR936" s="48"/>
    </row>
    <row r="937" spans="1:44" ht="6.9" customHeight="1">
      <c r="A937" s="48"/>
      <c r="B937" s="48"/>
      <c r="C937" s="48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</row>
    <row r="938" spans="1:44" ht="6.9" customHeight="1">
      <c r="A938" s="48"/>
      <c r="B938" s="48"/>
      <c r="C938" s="48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  <c r="AR938" s="48"/>
    </row>
    <row r="939" spans="1:44" ht="6.9" customHeight="1">
      <c r="A939" s="48"/>
      <c r="B939" s="48"/>
      <c r="C939" s="48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  <c r="AR939" s="48"/>
    </row>
    <row r="940" spans="1:44" ht="6.9" customHeight="1">
      <c r="A940" s="48"/>
      <c r="B940" s="48"/>
      <c r="C940" s="48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</row>
    <row r="941" spans="1:44" ht="6.9" customHeight="1">
      <c r="A941" s="48"/>
      <c r="B941" s="48"/>
      <c r="C941" s="48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  <c r="AR941" s="48"/>
    </row>
    <row r="942" spans="1:44" ht="6.9" customHeight="1">
      <c r="A942" s="48"/>
      <c r="B942" s="48"/>
      <c r="C942" s="48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  <c r="AR942" s="48"/>
    </row>
    <row r="943" spans="1:44" ht="6.9" customHeight="1">
      <c r="A943" s="48"/>
      <c r="B943" s="48"/>
      <c r="C943" s="48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</row>
    <row r="944" spans="1:44" ht="6.9" customHeight="1">
      <c r="A944" s="48"/>
      <c r="B944" s="48"/>
      <c r="C944" s="48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  <c r="AR944" s="48"/>
    </row>
    <row r="945" spans="1:44" ht="6.9" customHeight="1">
      <c r="A945" s="48"/>
      <c r="B945" s="48"/>
      <c r="C945" s="48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  <c r="AR945" s="48"/>
    </row>
    <row r="946" spans="1:44" ht="6.9" customHeight="1">
      <c r="A946" s="48"/>
      <c r="B946" s="48"/>
      <c r="C946" s="48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</row>
    <row r="947" spans="1:44" ht="6.9" customHeight="1">
      <c r="A947" s="48"/>
      <c r="B947" s="48"/>
      <c r="C947" s="48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  <c r="AR947" s="48"/>
    </row>
    <row r="948" spans="1:44" ht="6.9" customHeight="1">
      <c r="A948" s="48"/>
      <c r="B948" s="48"/>
      <c r="C948" s="48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  <c r="AR948" s="48"/>
    </row>
    <row r="949" spans="1:44" ht="6.9" customHeight="1">
      <c r="A949" s="48"/>
      <c r="B949" s="48"/>
      <c r="C949" s="48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</row>
    <row r="950" spans="1:44" ht="6.9" customHeight="1">
      <c r="A950" s="48"/>
      <c r="B950" s="48"/>
      <c r="C950" s="48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  <c r="AR950" s="48"/>
    </row>
    <row r="951" spans="1:44" ht="6.9" customHeight="1">
      <c r="A951" s="48"/>
      <c r="B951" s="48"/>
      <c r="C951" s="48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  <c r="AR951" s="48"/>
    </row>
    <row r="952" spans="1:44" ht="6.9" customHeight="1">
      <c r="A952" s="48"/>
      <c r="B952" s="48"/>
      <c r="C952" s="48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</row>
    <row r="953" spans="1:44" ht="6.9" customHeight="1">
      <c r="A953" s="48"/>
      <c r="B953" s="48"/>
      <c r="C953" s="48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  <c r="AR953" s="48"/>
    </row>
    <row r="954" spans="1:44" ht="6.9" customHeight="1">
      <c r="A954" s="48"/>
      <c r="B954" s="48"/>
      <c r="C954" s="48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  <c r="AR954" s="48"/>
    </row>
    <row r="955" spans="1:44" ht="6.9" customHeight="1">
      <c r="A955" s="48"/>
      <c r="B955" s="48"/>
      <c r="C955" s="48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</row>
    <row r="956" spans="1:44" ht="6.9" customHeight="1">
      <c r="A956" s="48"/>
      <c r="B956" s="48"/>
      <c r="C956" s="48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  <c r="AR956" s="48"/>
    </row>
    <row r="957" spans="1:44" ht="6.9" customHeight="1">
      <c r="A957" s="48"/>
      <c r="B957" s="48"/>
      <c r="C957" s="48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  <c r="AR957" s="48"/>
    </row>
    <row r="958" spans="1:44" ht="6.9" customHeight="1">
      <c r="A958" s="48"/>
      <c r="B958" s="48"/>
      <c r="C958" s="48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</row>
    <row r="959" spans="1:44" ht="6.9" customHeight="1">
      <c r="A959" s="48"/>
      <c r="B959" s="48"/>
      <c r="C959" s="48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  <c r="AR959" s="48"/>
    </row>
    <row r="960" spans="1:44" ht="6.9" customHeight="1">
      <c r="A960" s="48"/>
      <c r="B960" s="48"/>
      <c r="C960" s="48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  <c r="AR960" s="48"/>
    </row>
    <row r="961" spans="1:44" ht="6.9" customHeight="1">
      <c r="A961" s="48"/>
      <c r="B961" s="48"/>
      <c r="C961" s="48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</row>
    <row r="962" spans="1:44" ht="6.9" customHeight="1">
      <c r="A962" s="48"/>
      <c r="B962" s="48"/>
      <c r="C962" s="48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  <c r="AR962" s="48"/>
    </row>
    <row r="963" spans="1:44" ht="6.9" customHeight="1">
      <c r="A963" s="48"/>
      <c r="B963" s="48"/>
      <c r="C963" s="48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  <c r="AR963" s="48"/>
    </row>
    <row r="964" spans="1:44" ht="6.9" customHeight="1">
      <c r="A964" s="48"/>
      <c r="B964" s="48"/>
      <c r="C964" s="48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</row>
    <row r="965" spans="1:44" ht="6.9" customHeight="1">
      <c r="A965" s="48"/>
      <c r="B965" s="48"/>
      <c r="C965" s="48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  <c r="AR965" s="48"/>
    </row>
    <row r="966" spans="1:44" ht="6.9" customHeight="1">
      <c r="A966" s="48"/>
      <c r="B966" s="48"/>
      <c r="C966" s="48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  <c r="AR966" s="48"/>
    </row>
    <row r="967" spans="1:44" ht="6.9" customHeight="1">
      <c r="A967" s="48"/>
      <c r="B967" s="48"/>
      <c r="C967" s="48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</row>
    <row r="968" spans="1:44" ht="6.9" customHeight="1">
      <c r="A968" s="48"/>
      <c r="B968" s="48"/>
      <c r="C968" s="48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  <c r="AR968" s="48"/>
    </row>
    <row r="969" spans="1:44" ht="6.9" customHeight="1">
      <c r="A969" s="48"/>
      <c r="B969" s="48"/>
      <c r="C969" s="48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  <c r="AR969" s="48"/>
    </row>
    <row r="970" spans="1:44" ht="6.9" customHeight="1">
      <c r="A970" s="48"/>
      <c r="B970" s="48"/>
      <c r="C970" s="48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</row>
    <row r="971" spans="1:44" ht="6.9" customHeight="1">
      <c r="A971" s="48"/>
      <c r="B971" s="48"/>
      <c r="C971" s="48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</row>
    <row r="972" spans="1:44" ht="6.9" customHeight="1">
      <c r="A972" s="48"/>
      <c r="B972" s="48"/>
      <c r="C972" s="48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  <c r="AR972" s="48"/>
    </row>
    <row r="973" spans="1:44" ht="6.9" customHeight="1">
      <c r="A973" s="48"/>
      <c r="B973" s="48"/>
      <c r="C973" s="48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</row>
    <row r="974" spans="1:44" ht="6.9" customHeight="1">
      <c r="A974" s="48"/>
      <c r="B974" s="48"/>
      <c r="C974" s="48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  <c r="AR974" s="48"/>
    </row>
    <row r="975" spans="1:44" ht="6.9" customHeight="1">
      <c r="A975" s="48"/>
      <c r="B975" s="48"/>
      <c r="C975" s="48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  <c r="AR975" s="48"/>
    </row>
    <row r="976" spans="1:44" ht="6.9" customHeight="1">
      <c r="A976" s="48"/>
      <c r="B976" s="48"/>
      <c r="C976" s="48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</row>
    <row r="977" spans="1:44" ht="6.9" customHeight="1">
      <c r="A977" s="48"/>
      <c r="B977" s="48"/>
      <c r="C977" s="48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  <c r="AR977" s="48"/>
    </row>
    <row r="978" spans="1:44" ht="6.9" customHeight="1">
      <c r="A978" s="48"/>
      <c r="B978" s="48"/>
      <c r="C978" s="48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  <c r="AR978" s="48"/>
    </row>
    <row r="979" spans="1:44" ht="6.9" customHeight="1">
      <c r="A979" s="48"/>
      <c r="B979" s="48"/>
      <c r="C979" s="48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</row>
    <row r="980" spans="1:44" ht="6.9" customHeight="1">
      <c r="A980" s="48"/>
      <c r="B980" s="48"/>
      <c r="C980" s="48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  <c r="AR980" s="48"/>
    </row>
    <row r="981" spans="1:44" ht="6.9" customHeight="1">
      <c r="A981" s="48"/>
      <c r="B981" s="48"/>
      <c r="C981" s="48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  <c r="AR981" s="48"/>
    </row>
    <row r="982" spans="1:44" ht="6.9" customHeight="1">
      <c r="A982" s="48"/>
      <c r="B982" s="48"/>
      <c r="C982" s="48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  <c r="AR982" s="48"/>
    </row>
    <row r="983" spans="1:44" ht="6.9" customHeight="1">
      <c r="A983" s="48"/>
      <c r="B983" s="48"/>
      <c r="C983" s="48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  <c r="AR983" s="48"/>
    </row>
    <row r="984" spans="1:44" ht="6.9" customHeight="1">
      <c r="A984" s="48"/>
      <c r="B984" s="48"/>
      <c r="C984" s="48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  <c r="AR984" s="48"/>
    </row>
    <row r="985" spans="1:44" ht="6.9" customHeight="1">
      <c r="A985" s="48"/>
      <c r="B985" s="48"/>
      <c r="C985" s="48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  <c r="AR985" s="48"/>
    </row>
    <row r="986" spans="1:44" ht="6.9" customHeight="1">
      <c r="A986" s="48"/>
      <c r="B986" s="48"/>
      <c r="C986" s="48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</row>
    <row r="987" spans="1:44" ht="6.9" customHeight="1">
      <c r="A987" s="48"/>
      <c r="B987" s="48"/>
      <c r="C987" s="48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  <c r="AR987" s="48"/>
    </row>
    <row r="988" spans="1:44" ht="6.9" customHeight="1">
      <c r="A988" s="48"/>
      <c r="B988" s="48"/>
      <c r="C988" s="48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  <c r="AR988" s="48"/>
    </row>
    <row r="989" spans="1:44" ht="6.9" customHeight="1">
      <c r="A989" s="48"/>
      <c r="B989" s="48"/>
      <c r="C989" s="48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  <c r="AR989" s="48"/>
    </row>
    <row r="990" spans="1:44" ht="6.9" customHeight="1">
      <c r="A990" s="48"/>
      <c r="B990" s="48"/>
      <c r="C990" s="48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  <c r="AR990" s="48"/>
    </row>
    <row r="991" spans="1:44" ht="6.9" customHeight="1">
      <c r="A991" s="48"/>
      <c r="B991" s="48"/>
      <c r="C991" s="48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  <c r="AR991" s="48"/>
    </row>
    <row r="992" spans="1:44" ht="6.9" customHeight="1">
      <c r="A992" s="48"/>
      <c r="B992" s="48"/>
      <c r="C992" s="48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  <c r="AR992" s="48"/>
    </row>
    <row r="993" spans="1:44" ht="6.9" customHeight="1">
      <c r="A993" s="48"/>
      <c r="B993" s="48"/>
      <c r="C993" s="48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  <c r="AR993" s="48"/>
    </row>
    <row r="994" spans="1:44" ht="6.9" customHeight="1">
      <c r="A994" s="48"/>
      <c r="B994" s="48"/>
      <c r="C994" s="48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  <c r="AR994" s="48"/>
    </row>
    <row r="995" spans="1:44" ht="6.9" customHeight="1">
      <c r="A995" s="48"/>
      <c r="B995" s="48"/>
      <c r="C995" s="48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  <c r="AR995" s="48"/>
    </row>
    <row r="996" spans="1:44" ht="6.9" customHeight="1">
      <c r="A996" s="48"/>
      <c r="B996" s="48"/>
      <c r="C996" s="48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  <c r="AR996" s="48"/>
    </row>
    <row r="997" spans="1:44" ht="6.9" customHeight="1">
      <c r="A997" s="48"/>
      <c r="B997" s="48"/>
      <c r="C997" s="48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  <c r="AR997" s="48"/>
    </row>
    <row r="998" spans="1:44" ht="6.9" customHeight="1">
      <c r="A998" s="48"/>
      <c r="B998" s="48"/>
      <c r="C998" s="48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  <c r="AR998" s="48"/>
    </row>
    <row r="999" spans="1:44" ht="6.9" customHeight="1">
      <c r="A999" s="48"/>
      <c r="B999" s="48"/>
      <c r="C999" s="48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  <c r="AR999" s="48"/>
    </row>
    <row r="1000" spans="1:44" ht="6.9" customHeight="1">
      <c r="A1000" s="48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48"/>
      <c r="Z1000" s="48"/>
      <c r="AA1000" s="48"/>
      <c r="AB1000" s="48"/>
      <c r="AC1000" s="48"/>
      <c r="AD1000" s="48"/>
      <c r="AE1000" s="48"/>
      <c r="AF1000" s="48"/>
      <c r="AG1000" s="48"/>
      <c r="AH1000" s="48"/>
      <c r="AI1000" s="48"/>
      <c r="AJ1000" s="48"/>
      <c r="AK1000" s="48"/>
      <c r="AL1000" s="48"/>
      <c r="AM1000" s="48"/>
      <c r="AN1000" s="48"/>
      <c r="AO1000" s="48"/>
      <c r="AP1000" s="48"/>
      <c r="AQ1000" s="48"/>
      <c r="AR1000" s="48"/>
    </row>
  </sheetData>
  <mergeCells count="6">
    <mergeCell ref="AK35:AM35"/>
    <mergeCell ref="C1:D1"/>
    <mergeCell ref="B2:D2"/>
    <mergeCell ref="B17:C17"/>
    <mergeCell ref="AJ33:AL33"/>
    <mergeCell ref="V34:X34"/>
  </mergeCells>
  <phoneticPr fontId="62" type="noConversion"/>
  <conditionalFormatting sqref="A2:O2 B4:D6">
    <cfRule type="cellIs" dxfId="112" priority="1" operator="equal">
      <formula>"N/A"</formula>
    </cfRule>
  </conditionalFormatting>
  <conditionalFormatting sqref="Y12:AD12">
    <cfRule type="cellIs" dxfId="111" priority="5" operator="equal">
      <formula>"""N/A"""</formula>
    </cfRule>
    <cfRule type="cellIs" dxfId="110" priority="6" operator="equal">
      <formula>"N/A"</formula>
    </cfRule>
    <cfRule type="cellIs" dxfId="109" priority="7" operator="equal">
      <formula>"N/A"</formula>
    </cfRule>
  </conditionalFormatting>
  <conditionalFormatting sqref="AL17:AL31 AM37:AM50 AK51:AK54">
    <cfRule type="cellIs" dxfId="108" priority="2" operator="equal">
      <formula>"""N/A"""</formula>
    </cfRule>
    <cfRule type="cellIs" dxfId="107" priority="3" operator="equal">
      <formula>"N/A"</formula>
    </cfRule>
    <cfRule type="cellIs" dxfId="106" priority="4" operator="equal">
      <formula>"N/A"</formula>
    </cfRule>
  </conditionalFormatting>
  <pageMargins left="0.7" right="0.7" top="0.75" bottom="0.75" header="0.3" footer="0.3"/>
  <pageSetup paperSize="9" orientation="landscape" scale="78"/>
  <headerFooter>
    <oddFooter>&amp;C&amp;P / &amp;N</oddFooter>
  </headerFooter>
  <rowBreaks count="1" manualBreakCount="1">
    <brk id="70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79"/>
  <sheetViews>
    <sheetView workbookViewId="0">
      <selection activeCell="A1" sqref="A1"/>
    </sheetView>
  </sheetViews>
  <sheetFormatPr defaultColWidth="8.8984375" defaultRowHeight="13.8"/>
  <cols>
    <col min="1" max="1" width="1.796875" style="1" customWidth="1"/>
    <col min="2" max="2" width="12.8984375" style="1" customWidth="1"/>
    <col min="3" max="3" width="10" style="1" customWidth="1"/>
    <col min="4" max="4" width="40.796875" style="1" customWidth="1"/>
    <col min="5" max="5" width="3.796875" style="20" customWidth="1"/>
    <col min="6" max="7" width="13.796875" style="20" customWidth="1"/>
    <col min="8" max="8" width="8.8984375" style="13" customWidth="1"/>
    <col min="9" max="9" width="11" style="27" customWidth="1"/>
    <col min="10" max="13" width="8.8984375" style="27" customWidth="1"/>
    <col min="14" max="14" width="8.8984375" style="13" customWidth="1"/>
    <col min="15" max="16384" width="8.8984375" style="13"/>
  </cols>
  <sheetData>
    <row r="1" spans="1:13" ht="6.9" customHeight="1"/>
    <row r="2" spans="1:13" ht="21.45" customHeight="1" thickBot="1">
      <c r="A2" s="8"/>
      <c r="B2" s="203" t="s">
        <v>26</v>
      </c>
      <c r="C2" s="204"/>
      <c r="D2" s="204"/>
      <c r="E2" s="205"/>
      <c r="F2" s="205"/>
      <c r="G2" s="42"/>
    </row>
    <row r="3" spans="1:13" ht="15" customHeight="1">
      <c r="A3" s="9"/>
      <c r="B3" s="206" t="s">
        <v>27</v>
      </c>
      <c r="C3" s="209" t="s">
        <v>28</v>
      </c>
      <c r="D3" s="209" t="s">
        <v>29</v>
      </c>
      <c r="E3" s="209" t="s">
        <v>30</v>
      </c>
      <c r="F3" s="142">
        <v>1</v>
      </c>
      <c r="G3" s="143">
        <v>2</v>
      </c>
    </row>
    <row r="4" spans="1:13" ht="15" customHeight="1" thickBot="1">
      <c r="A4" s="9"/>
      <c r="B4" s="207"/>
      <c r="C4" s="210"/>
      <c r="D4" s="210"/>
      <c r="E4" s="210"/>
      <c r="F4" s="12">
        <f>IFERROR(VLOOKUP(F$3,'1. 진단 대상'!$B$5:$F$6,2,FALSE),"")</f>
      </c>
      <c r="G4" s="144">
        <f>IFERROR(VLOOKUP(G$3,'1. 진단 대상'!$B$5:$F$6,2,FALSE),"")</f>
      </c>
    </row>
    <row r="5" spans="1:13" ht="15" customHeight="1" thickBot="1">
      <c r="A5" s="9"/>
      <c r="B5" s="208"/>
      <c r="C5" s="211"/>
      <c r="D5" s="211"/>
      <c r="E5" s="211"/>
      <c r="F5" s="21">
        <f>IFERROR(VLOOKUP(F$3,'1. 진단 대상'!$B$5:$F$6,3,FALSE),"")</f>
      </c>
      <c r="G5" s="145">
        <f>IFERROR(VLOOKUP(G$3,'1. 진단 대상'!$B$5:$F$6,3,FALSE),"")</f>
      </c>
      <c r="H5" s="13" t="s">
        <v>31</v>
      </c>
      <c r="I5" s="28" t="s">
        <v>32</v>
      </c>
      <c r="J5" s="29" t="s">
        <v>23</v>
      </c>
      <c r="K5" s="29" t="s">
        <v>33</v>
      </c>
      <c r="L5" s="29" t="s">
        <v>34</v>
      </c>
      <c r="M5" s="30" t="s">
        <v>35</v>
      </c>
    </row>
    <row r="6" spans="1:13" ht="15.3" customHeight="1">
      <c r="A6" s="10"/>
      <c r="B6" s="194" t="s">
        <v>36</v>
      </c>
      <c r="C6" s="90" t="s">
        <v>37</v>
      </c>
      <c r="D6" s="17" t="s">
        <v>38</v>
      </c>
      <c r="E6" s="19" t="s">
        <v>39</v>
      </c>
      <c r="F6" s="270">
        <f>IFERROR(T(HLOOKUP(F$3,'3-1. 진단 결과(window)'!$F$3:$I$69,ROW(A4),FALSE)),"")</f>
      </c>
      <c r="G6" s="271">
        <f>IFERROR(T(HLOOKUP(G$3,'3-1. 진단 결과(window)'!$F$3:$I$69,ROW(A4),FALSE)),"")</f>
      </c>
      <c r="I6" s="212">
        <f>IF(COUNTIF(J6:J19,"N/A")=COUNTA(J6:J19),"N/A",AVERAGE(J6:J19))</f>
      </c>
      <c r="J6" s="96">
        <f>IF($K6+$L6=0,"N/A",$K6/($K6+$L6))</f>
      </c>
      <c r="K6" s="31">
        <f>COUNTIF($F6:$G6,"양호")</f>
      </c>
      <c r="L6" s="32">
        <f>COUNTIF($F6:$G6,"취약")</f>
      </c>
      <c r="M6" s="33">
        <f>COUNTIF($F6:$G6,"N/A")</f>
      </c>
    </row>
    <row r="7" spans="1:13" ht="15.3" customHeight="1">
      <c r="A7" s="7"/>
      <c r="B7" s="195"/>
      <c r="C7" s="91" t="s">
        <v>40</v>
      </c>
      <c r="D7" s="5" t="s">
        <v>41</v>
      </c>
      <c r="E7" s="6" t="s">
        <v>39</v>
      </c>
      <c r="F7" s="272">
        <f>IFERROR(T(HLOOKUP(F$3,'3-1. 진단 결과(window)'!$F$3:$I$69,ROW(A5),FALSE)),"")</f>
      </c>
      <c r="G7" s="273">
        <f>IFERROR(T(HLOOKUP(G$3,'3-1. 진단 결과(window)'!$F$3:$I$69,ROW(A5),FALSE)),"")</f>
      </c>
      <c r="I7" s="213"/>
      <c r="J7" s="97">
        <f>IF($K7+$L7=0,"N/A",$K7/($K7+$L7))</f>
      </c>
      <c r="K7" s="98">
        <f>COUNTIF($F7:$G7,"양호")</f>
      </c>
      <c r="L7" s="99">
        <f>COUNTIF($F7:$G7,"취약")</f>
      </c>
      <c r="M7" s="100">
        <f>COUNTIF($F7:$G7,"N/A")</f>
      </c>
    </row>
    <row r="8" spans="1:13" ht="15.3" customHeight="1">
      <c r="A8" s="7"/>
      <c r="B8" s="195"/>
      <c r="C8" s="91" t="s">
        <v>42</v>
      </c>
      <c r="D8" s="5" t="s">
        <v>43</v>
      </c>
      <c r="E8" s="6" t="s">
        <v>39</v>
      </c>
      <c r="F8" s="272">
        <f>IFERROR(T(HLOOKUP(F$3,'3-1. 진단 결과(window)'!$F$3:$I$69,ROW(A6),FALSE)),"")</f>
      </c>
      <c r="G8" s="273">
        <f>IFERROR(T(HLOOKUP(G$3,'3-1. 진단 결과(window)'!$F$3:$I$69,ROW(A6),FALSE)),"")</f>
      </c>
      <c r="I8" s="213"/>
      <c r="J8" s="97">
        <f>IF($K8+$L8=0,"N/A",$K8/($K8+$L8))</f>
      </c>
      <c r="K8" s="98">
        <f>COUNTIF($F8:$G8,"양호")</f>
      </c>
      <c r="L8" s="99">
        <f>COUNTIF($F8:$G8,"취약")</f>
      </c>
      <c r="M8" s="100">
        <f>COUNTIF($F8:$G8,"N/A")</f>
      </c>
    </row>
    <row r="9" spans="1:13" ht="15.3" customHeight="1">
      <c r="A9" s="7"/>
      <c r="B9" s="195"/>
      <c r="C9" s="91" t="s">
        <v>44</v>
      </c>
      <c r="D9" s="5" t="s">
        <v>45</v>
      </c>
      <c r="E9" s="6" t="s">
        <v>39</v>
      </c>
      <c r="F9" s="272">
        <f>IFERROR(T(HLOOKUP(F$3,'3-1. 진단 결과(window)'!$F$3:$I$69,ROW(A7),FALSE)),"")</f>
      </c>
      <c r="G9" s="273">
        <f>IFERROR(T(HLOOKUP(G$3,'3-1. 진단 결과(window)'!$F$3:$I$69,ROW(A7),FALSE)),"")</f>
      </c>
      <c r="I9" s="213"/>
      <c r="J9" s="97">
        <f>IF($K9+$L9=0,"N/A",$K9/($K9+$L9))</f>
      </c>
      <c r="K9" s="98">
        <f>COUNTIF($F9:$G9,"양호")</f>
      </c>
      <c r="L9" s="99">
        <f>COUNTIF($F9:$G9,"취약")</f>
      </c>
      <c r="M9" s="100">
        <f>COUNTIF($F9:$G9,"N/A")</f>
      </c>
    </row>
    <row r="10" spans="1:13" ht="15.3" customHeight="1">
      <c r="A10" s="7"/>
      <c r="B10" s="195"/>
      <c r="C10" s="91" t="s">
        <v>46</v>
      </c>
      <c r="D10" s="5" t="s">
        <v>47</v>
      </c>
      <c r="E10" s="6" t="s">
        <v>39</v>
      </c>
      <c r="F10" s="272">
        <f>IFERROR(T(HLOOKUP(F$3,'3-1. 진단 결과(window)'!$F$3:$I$69,ROW(A8),FALSE)),"")</f>
      </c>
      <c r="G10" s="273">
        <f>IFERROR(T(HLOOKUP(G$3,'3-1. 진단 결과(window)'!$F$3:$I$69,ROW(A8),FALSE)),"")</f>
      </c>
      <c r="I10" s="213"/>
      <c r="J10" s="97">
        <f>IF($K10+$L10=0,"N/A",$K10/($K10+$L10))</f>
      </c>
      <c r="K10" s="98">
        <f>COUNTIF($F10:$G10,"양호")</f>
      </c>
      <c r="L10" s="99">
        <f>COUNTIF($F10:$G10,"취약")</f>
      </c>
      <c r="M10" s="100">
        <f>COUNTIF($F10:$G10,"N/A")</f>
      </c>
    </row>
    <row r="11" spans="1:13" ht="15.3" customHeight="1">
      <c r="A11" s="7"/>
      <c r="B11" s="195"/>
      <c r="C11" s="91" t="s">
        <v>48</v>
      </c>
      <c r="D11" s="5" t="s">
        <v>49</v>
      </c>
      <c r="E11" s="6" t="s">
        <v>39</v>
      </c>
      <c r="F11" s="272">
        <f>IFERROR(T(HLOOKUP(F$3,'3-1. 진단 결과(window)'!$F$3:$I$69,ROW(A9),FALSE)),"")</f>
      </c>
      <c r="G11" s="273">
        <f>IFERROR(T(HLOOKUP(G$3,'3-1. 진단 결과(window)'!$F$3:$I$69,ROW(A9),FALSE)),"")</f>
      </c>
      <c r="I11" s="213"/>
      <c r="J11" s="97">
        <f>IF($K11+$L11=0,"N/A",$K11/($K11+$L11))</f>
      </c>
      <c r="K11" s="98">
        <f>COUNTIF($F11:$G11,"양호")</f>
      </c>
      <c r="L11" s="99">
        <f>COUNTIF($F11:$G11,"취약")</f>
      </c>
      <c r="M11" s="100">
        <f>COUNTIF($F11:$G11,"N/A")</f>
      </c>
    </row>
    <row r="12" spans="1:13" ht="15.3" customHeight="1">
      <c r="A12" s="7"/>
      <c r="B12" s="195"/>
      <c r="C12" s="91" t="s">
        <v>50</v>
      </c>
      <c r="D12" s="5" t="s">
        <v>51</v>
      </c>
      <c r="E12" s="6" t="s">
        <v>52</v>
      </c>
      <c r="F12" s="272">
        <f>IFERROR(T(HLOOKUP(F$3,'3-1. 진단 결과(window)'!$F$3:$I$69,ROW(A10),FALSE)),"")</f>
      </c>
      <c r="G12" s="273">
        <f>IFERROR(T(HLOOKUP(G$3,'3-1. 진단 결과(window)'!$F$3:$I$69,ROW(A10),FALSE)),"")</f>
      </c>
      <c r="I12" s="213"/>
      <c r="J12" s="97">
        <f>IF($K12+$L12=0,"N/A",$K12/($K12+$L12))</f>
      </c>
      <c r="K12" s="98">
        <f>COUNTIF($F12:$G12,"양호")</f>
      </c>
      <c r="L12" s="99">
        <f>COUNTIF($F12:$G12,"취약")</f>
      </c>
      <c r="M12" s="100">
        <f>COUNTIF($F12:$G12,"N/A")</f>
      </c>
    </row>
    <row r="13" spans="1:13" ht="15.3" customHeight="1">
      <c r="A13" s="7"/>
      <c r="B13" s="195"/>
      <c r="C13" s="91" t="s">
        <v>53</v>
      </c>
      <c r="D13" s="5" t="s">
        <v>54</v>
      </c>
      <c r="E13" s="6" t="s">
        <v>52</v>
      </c>
      <c r="F13" s="272">
        <f>IFERROR(T(HLOOKUP(F$3,'3-1. 진단 결과(window)'!$F$3:$I$69,ROW(A11),FALSE)),"")</f>
      </c>
      <c r="G13" s="273">
        <f>IFERROR(T(HLOOKUP(G$3,'3-1. 진단 결과(window)'!$F$3:$I$69,ROW(A11),FALSE)),"")</f>
      </c>
      <c r="I13" s="213"/>
      <c r="J13" s="97">
        <f>IF($K13+$L13=0,"N/A",$K13/($K13+$L13))</f>
      </c>
      <c r="K13" s="98">
        <f>COUNTIF($F13:$G13,"양호")</f>
      </c>
      <c r="L13" s="99">
        <f>COUNTIF($F13:$G13,"취약")</f>
      </c>
      <c r="M13" s="100">
        <f>COUNTIF($F13:$G13,"N/A")</f>
      </c>
    </row>
    <row r="14" spans="1:13" ht="15.3" customHeight="1">
      <c r="A14" s="7"/>
      <c r="B14" s="195"/>
      <c r="C14" s="91" t="s">
        <v>55</v>
      </c>
      <c r="D14" s="5" t="s">
        <v>56</v>
      </c>
      <c r="E14" s="6" t="s">
        <v>39</v>
      </c>
      <c r="F14" s="272">
        <f>IFERROR(T(HLOOKUP(F$3,'3-1. 진단 결과(window)'!$F$3:$I$69,ROW(A12),FALSE)),"")</f>
      </c>
      <c r="G14" s="273">
        <f>IFERROR(T(HLOOKUP(G$3,'3-1. 진단 결과(window)'!$F$3:$I$69,ROW(A12),FALSE)),"")</f>
      </c>
      <c r="I14" s="213"/>
      <c r="J14" s="97">
        <f>IF($K14+$L14=0,"N/A",$K14/($K14+$L14))</f>
      </c>
      <c r="K14" s="98">
        <f>COUNTIF($F14:$G14,"양호")</f>
      </c>
      <c r="L14" s="99">
        <f>COUNTIF($F14:$G14,"취약")</f>
      </c>
      <c r="M14" s="100">
        <f>COUNTIF($F14:$G14,"N/A")</f>
      </c>
    </row>
    <row r="15" spans="1:13" ht="15.3" customHeight="1">
      <c r="A15" s="7"/>
      <c r="B15" s="195"/>
      <c r="C15" s="91" t="s">
        <v>57</v>
      </c>
      <c r="D15" s="5" t="s">
        <v>58</v>
      </c>
      <c r="E15" s="6" t="s">
        <v>52</v>
      </c>
      <c r="F15" s="272">
        <f>IFERROR(T(HLOOKUP(F$3,'3-1. 진단 결과(window)'!$F$3:$I$69,ROW(A13),FALSE)),"")</f>
      </c>
      <c r="G15" s="273">
        <f>IFERROR(T(HLOOKUP(G$3,'3-1. 진단 결과(window)'!$F$3:$I$69,ROW(A13),FALSE)),"")</f>
      </c>
      <c r="I15" s="213"/>
      <c r="J15" s="97">
        <f>IF($K15+$L15=0,"N/A",$K15/($K15+$L15))</f>
      </c>
      <c r="K15" s="98">
        <f>COUNTIF($F15:$G15,"양호")</f>
      </c>
      <c r="L15" s="99">
        <f>COUNTIF($F15:$G15,"취약")</f>
      </c>
      <c r="M15" s="100">
        <f>COUNTIF($F15:$G15,"N/A")</f>
      </c>
    </row>
    <row r="16" spans="1:13" ht="15.3" customHeight="1">
      <c r="A16" s="7"/>
      <c r="B16" s="195"/>
      <c r="C16" s="91" t="s">
        <v>59</v>
      </c>
      <c r="D16" s="5" t="s">
        <v>60</v>
      </c>
      <c r="E16" s="6" t="s">
        <v>52</v>
      </c>
      <c r="F16" s="272">
        <f>IFERROR(T(HLOOKUP(F$3,'3-1. 진단 결과(window)'!$F$3:$I$69,ROW(A14),FALSE)),"")</f>
      </c>
      <c r="G16" s="273">
        <f>IFERROR(T(HLOOKUP(G$3,'3-1. 진단 결과(window)'!$F$3:$I$69,ROW(A14),FALSE)),"")</f>
      </c>
      <c r="I16" s="213"/>
      <c r="J16" s="97">
        <f>IF($K16+$L16=0,"N/A",$K16/($K16+$L16))</f>
      </c>
      <c r="K16" s="98">
        <f>COUNTIF($F16:$G16,"양호")</f>
      </c>
      <c r="L16" s="99">
        <f>COUNTIF($F16:$G16,"취약")</f>
      </c>
      <c r="M16" s="100">
        <f>COUNTIF($F16:$G16,"N/A")</f>
      </c>
    </row>
    <row r="17" spans="1:13" ht="15.3" customHeight="1">
      <c r="A17" s="7"/>
      <c r="B17" s="195"/>
      <c r="C17" s="91" t="s">
        <v>61</v>
      </c>
      <c r="D17" s="5" t="s">
        <v>62</v>
      </c>
      <c r="E17" s="6" t="s">
        <v>52</v>
      </c>
      <c r="F17" s="272">
        <f>IFERROR(T(HLOOKUP(F$3,'3-1. 진단 결과(window)'!$F$3:$I$69,ROW(A15),FALSE)),"")</f>
      </c>
      <c r="G17" s="273">
        <f>IFERROR(T(HLOOKUP(G$3,'3-1. 진단 결과(window)'!$F$3:$I$69,ROW(A15),FALSE)),"")</f>
      </c>
      <c r="I17" s="213"/>
      <c r="J17" s="97">
        <f>IF($K17+$L17=0,"N/A",$K17/($K17+$L17))</f>
      </c>
      <c r="K17" s="98">
        <f>COUNTIF($F17:$G17,"양호")</f>
      </c>
      <c r="L17" s="99">
        <f>COUNTIF($F17:$G17,"취약")</f>
      </c>
      <c r="M17" s="100">
        <f>COUNTIF($F17:$G17,"N/A")</f>
      </c>
    </row>
    <row r="18" spans="1:13" ht="15.3" customHeight="1" thickBot="1">
      <c r="A18" s="7"/>
      <c r="B18" s="195"/>
      <c r="C18" s="91" t="s">
        <v>63</v>
      </c>
      <c r="D18" s="5" t="s">
        <v>64</v>
      </c>
      <c r="E18" s="6" t="s">
        <v>52</v>
      </c>
      <c r="F18" s="272">
        <f>IFERROR(T(HLOOKUP(F$3,'3-1. 진단 결과(window)'!$F$3:$I$69,ROW(A16),FALSE)),"")</f>
      </c>
      <c r="G18" s="273">
        <f>IFERROR(T(HLOOKUP(G$3,'3-1. 진단 결과(window)'!$F$3:$I$69,ROW(A16),FALSE)),"")</f>
      </c>
      <c r="I18" s="213"/>
      <c r="J18" s="97">
        <f>IF($K18+$L18=0,"N/A",$K18/($K18+$L18))</f>
      </c>
      <c r="K18" s="98">
        <f>COUNTIF($F18:$G18,"양호")</f>
      </c>
      <c r="L18" s="99">
        <f>COUNTIF($F18:$G18,"취약")</f>
      </c>
      <c r="M18" s="100">
        <f>COUNTIF($F18:$G18,"N/A")</f>
      </c>
    </row>
    <row r="19" spans="1:13" ht="15.3" customHeight="1" thickBot="1">
      <c r="A19" s="7"/>
      <c r="B19" s="196"/>
      <c r="C19" s="92" t="s">
        <v>65</v>
      </c>
      <c r="D19" s="22" t="s">
        <v>66</v>
      </c>
      <c r="E19" s="18" t="s">
        <v>52</v>
      </c>
      <c r="F19" s="274">
        <f>IFERROR(T(HLOOKUP(F$3,'3-1. 진단 결과(window)'!$F$3:$I$69,ROW(A17),FALSE)),"")</f>
      </c>
      <c r="G19" s="275">
        <f>IFERROR(T(HLOOKUP(G$3,'3-1. 진단 결과(window)'!$F$3:$I$69,ROW(A17),FALSE)),"")</f>
      </c>
      <c r="I19" s="214"/>
      <c r="J19" s="101">
        <f>IF($K19+$L19=0,"N/A",$K19/($K19+$L19))</f>
      </c>
      <c r="K19" s="102">
        <f>COUNTIF($F19:$G19,"양호")</f>
      </c>
      <c r="L19" s="103">
        <f>COUNTIF($F19:$G19,"취약")</f>
      </c>
      <c r="M19" s="104">
        <f>COUNTIF($F19:$G19,"N/A")</f>
      </c>
    </row>
    <row r="20" spans="1:13" ht="15.3" customHeight="1">
      <c r="A20" s="7"/>
      <c r="B20" s="197" t="s">
        <v>67</v>
      </c>
      <c r="C20" s="90" t="s">
        <v>68</v>
      </c>
      <c r="D20" s="17" t="s">
        <v>69</v>
      </c>
      <c r="E20" s="19" t="s">
        <v>39</v>
      </c>
      <c r="F20" s="270">
        <f>IFERROR(T(HLOOKUP(F$3,'3-1. 진단 결과(window)'!$F$3:$I$69,ROW(A18),FALSE)),"")</f>
      </c>
      <c r="G20" s="271">
        <f>IFERROR(T(HLOOKUP(G$3,'3-1. 진단 결과(window)'!$F$3:$I$69,ROW(A18),FALSE)),"")</f>
      </c>
      <c r="I20" s="215">
        <f>IF(COUNTIF(J20:J42,"N/A")=COUNTA(J20:J42),"N/A",AVERAGE(J20:J42))</f>
      </c>
      <c r="J20" s="96">
        <f>IF($K20+$L20=0,"N/A",$K20/($K20+$L20))</f>
      </c>
      <c r="K20" s="31">
        <f>COUNTIF($F20:$G20,"양호")</f>
      </c>
      <c r="L20" s="32">
        <f>COUNTIF($F20:$G20,"취약")</f>
      </c>
      <c r="M20" s="33">
        <f>COUNTIF($F20:$G20,"N/A")</f>
      </c>
    </row>
    <row r="21" spans="1:13" ht="15.3" customHeight="1">
      <c r="A21" s="7"/>
      <c r="B21" s="198"/>
      <c r="C21" s="91" t="s">
        <v>70</v>
      </c>
      <c r="D21" s="5" t="s">
        <v>71</v>
      </c>
      <c r="E21" s="6" t="s">
        <v>39</v>
      </c>
      <c r="F21" s="272">
        <f>IFERROR(T(HLOOKUP(F$3,'3-1. 진단 결과(window)'!$F$3:$I$69,ROW(A19),FALSE)),"")</f>
      </c>
      <c r="G21" s="273">
        <f>IFERROR(T(HLOOKUP(G$3,'3-1. 진단 결과(window)'!$F$3:$I$69,ROW(A19),FALSE)),"")</f>
      </c>
      <c r="I21" s="216"/>
      <c r="J21" s="97">
        <f>IF($K21+$L21=0,"N/A",$K21/($K21+$L21))</f>
      </c>
      <c r="K21" s="98">
        <f>COUNTIF($F21:$G21,"양호")</f>
      </c>
      <c r="L21" s="99">
        <f>COUNTIF($F21:$G21,"취약")</f>
      </c>
      <c r="M21" s="100">
        <f>COUNTIF($F21:$G21,"N/A")</f>
      </c>
    </row>
    <row r="22" spans="1:13" ht="15.3" customHeight="1">
      <c r="A22" s="7"/>
      <c r="B22" s="198"/>
      <c r="C22" s="91" t="s">
        <v>72</v>
      </c>
      <c r="D22" s="5" t="s">
        <v>73</v>
      </c>
      <c r="E22" s="6" t="s">
        <v>39</v>
      </c>
      <c r="F22" s="272">
        <f>IFERROR(T(HLOOKUP(F$3,'3-1. 진단 결과(window)'!$F$3:$I$69,ROW(A20),FALSE)),"")</f>
      </c>
      <c r="G22" s="273">
        <f>IFERROR(T(HLOOKUP(G$3,'3-1. 진단 결과(window)'!$F$3:$I$69,ROW(A20),FALSE)),"")</f>
      </c>
      <c r="I22" s="216"/>
      <c r="J22" s="97">
        <f>IF($K22+$L22=0,"N/A",$K22/($K22+$L22))</f>
      </c>
      <c r="K22" s="98">
        <f>COUNTIF($F22:$G22,"양호")</f>
      </c>
      <c r="L22" s="99">
        <f>COUNTIF($F22:$G22,"취약")</f>
      </c>
      <c r="M22" s="100">
        <f>COUNTIF($F22:$G22,"N/A")</f>
      </c>
    </row>
    <row r="23" spans="1:13" ht="15.3" customHeight="1">
      <c r="A23" s="7"/>
      <c r="B23" s="198"/>
      <c r="C23" s="91" t="s">
        <v>74</v>
      </c>
      <c r="D23" s="5" t="s">
        <v>75</v>
      </c>
      <c r="E23" s="6" t="s">
        <v>39</v>
      </c>
      <c r="F23" s="272">
        <f>IFERROR(T(HLOOKUP(F$3,'3-1. 진단 결과(window)'!$F$3:$I$69,ROW(A21),FALSE)),"")</f>
      </c>
      <c r="G23" s="273">
        <f>IFERROR(T(HLOOKUP(G$3,'3-1. 진단 결과(window)'!$F$3:$I$69,ROW(A21),FALSE)),"")</f>
      </c>
      <c r="I23" s="216"/>
      <c r="J23" s="97">
        <f>IF($K23+$L23=0,"N/A",$K23/($K23+$L23))</f>
      </c>
      <c r="K23" s="98">
        <f>COUNTIF($F23:$G23,"양호")</f>
      </c>
      <c r="L23" s="99">
        <f>COUNTIF($F23:$G23,"취약")</f>
      </c>
      <c r="M23" s="100">
        <f>COUNTIF($F23:$G23,"N/A")</f>
      </c>
    </row>
    <row r="24" spans="1:13" ht="15.3" customHeight="1">
      <c r="A24" s="7"/>
      <c r="B24" s="198"/>
      <c r="C24" s="91" t="s">
        <v>76</v>
      </c>
      <c r="D24" s="5" t="s">
        <v>77</v>
      </c>
      <c r="E24" s="6" t="s">
        <v>39</v>
      </c>
      <c r="F24" s="272">
        <f>IFERROR(T(HLOOKUP(F$3,'3-1. 진단 결과(window)'!$F$3:$I$69,ROW(A22),FALSE)),"")</f>
      </c>
      <c r="G24" s="273">
        <f>IFERROR(T(HLOOKUP(G$3,'3-1. 진단 결과(window)'!$F$3:$I$69,ROW(A22),FALSE)),"")</f>
      </c>
      <c r="I24" s="216"/>
      <c r="J24" s="97">
        <f>IF($K24+$L24=0,"N/A",$K24/($K24+$L24))</f>
      </c>
      <c r="K24" s="98">
        <f>COUNTIF($F24:$G24,"양호")</f>
      </c>
      <c r="L24" s="99">
        <f>COUNTIF($F24:$G24,"취약")</f>
      </c>
      <c r="M24" s="100">
        <f>COUNTIF($F24:$G24,"N/A")</f>
      </c>
    </row>
    <row r="25" spans="1:13" ht="15.3" customHeight="1">
      <c r="A25" s="7"/>
      <c r="B25" s="198"/>
      <c r="C25" s="91" t="s">
        <v>78</v>
      </c>
      <c r="D25" s="5" t="s">
        <v>79</v>
      </c>
      <c r="E25" s="6" t="s">
        <v>39</v>
      </c>
      <c r="F25" s="272">
        <f>IFERROR(T(HLOOKUP(F$3,'3-1. 진단 결과(window)'!$F$3:$I$69,ROW(A23),FALSE)),"")</f>
      </c>
      <c r="G25" s="273">
        <f>IFERROR(T(HLOOKUP(G$3,'3-1. 진단 결과(window)'!$F$3:$I$69,ROW(A23),FALSE)),"")</f>
      </c>
      <c r="I25" s="216"/>
      <c r="J25" s="97">
        <f>IF($K25+$L25=0,"N/A",$K25/($K25+$L25))</f>
      </c>
      <c r="K25" s="98">
        <f>COUNTIF($F25:$G25,"양호")</f>
      </c>
      <c r="L25" s="99">
        <f>COUNTIF($F25:$G25,"취약")</f>
      </c>
      <c r="M25" s="100">
        <f>COUNTIF($F25:$G25,"N/A")</f>
      </c>
    </row>
    <row r="26" spans="1:13" ht="15.3" customHeight="1">
      <c r="A26" s="7"/>
      <c r="B26" s="198"/>
      <c r="C26" s="91" t="s">
        <v>80</v>
      </c>
      <c r="D26" s="5" t="s">
        <v>81</v>
      </c>
      <c r="E26" s="6" t="s">
        <v>39</v>
      </c>
      <c r="F26" s="272">
        <f>IFERROR(T(HLOOKUP(F$3,'3-1. 진단 결과(window)'!$F$3:$I$69,ROW(A24),FALSE)),"")</f>
      </c>
      <c r="G26" s="273">
        <f>IFERROR(T(HLOOKUP(G$3,'3-1. 진단 결과(window)'!$F$3:$I$69,ROW(A24),FALSE)),"")</f>
      </c>
      <c r="I26" s="216"/>
      <c r="J26" s="97">
        <f>IF($K26+$L26=0,"N/A",$K26/($K26+$L26))</f>
      </c>
      <c r="K26" s="98">
        <f>COUNTIF($F26:$G26,"양호")</f>
      </c>
      <c r="L26" s="99">
        <f>COUNTIF($F26:$G26,"취약")</f>
      </c>
      <c r="M26" s="100">
        <f>COUNTIF($F26:$G26,"N/A")</f>
      </c>
    </row>
    <row r="27" spans="1:13" ht="15.3" customHeight="1">
      <c r="A27" s="7"/>
      <c r="B27" s="198"/>
      <c r="C27" s="91" t="s">
        <v>82</v>
      </c>
      <c r="D27" s="5" t="s">
        <v>83</v>
      </c>
      <c r="E27" s="6" t="s">
        <v>39</v>
      </c>
      <c r="F27" s="272">
        <f>IFERROR(T(HLOOKUP(F$3,'3-1. 진단 결과(window)'!$F$3:$I$69,ROW(A25),FALSE)),"")</f>
      </c>
      <c r="G27" s="273">
        <f>IFERROR(T(HLOOKUP(G$3,'3-1. 진단 결과(window)'!$F$3:$I$69,ROW(A25),FALSE)),"")</f>
      </c>
      <c r="I27" s="216"/>
      <c r="J27" s="97">
        <f>IF($K27+$L27=0,"N/A",$K27/($K27+$L27))</f>
      </c>
      <c r="K27" s="98">
        <f>COUNTIF($F27:$G27,"양호")</f>
      </c>
      <c r="L27" s="99">
        <f>COUNTIF($F27:$G27,"취약")</f>
      </c>
      <c r="M27" s="100">
        <f>COUNTIF($F27:$G27,"N/A")</f>
      </c>
    </row>
    <row r="28" spans="1:13" ht="15.3" customHeight="1">
      <c r="A28" s="7"/>
      <c r="B28" s="198"/>
      <c r="C28" s="91" t="s">
        <v>84</v>
      </c>
      <c r="D28" s="5" t="s">
        <v>85</v>
      </c>
      <c r="E28" s="6" t="s">
        <v>39</v>
      </c>
      <c r="F28" s="272">
        <f>IFERROR(T(HLOOKUP(F$3,'3-1. 진단 결과(window)'!$F$3:$I$69,ROW(A26),FALSE)),"")</f>
      </c>
      <c r="G28" s="273">
        <f>IFERROR(T(HLOOKUP(G$3,'3-1. 진단 결과(window)'!$F$3:$I$69,ROW(A26),FALSE)),"")</f>
      </c>
      <c r="I28" s="216"/>
      <c r="J28" s="97">
        <f>IF($K28+$L28=0,"N/A",$K28/($K28+$L28))</f>
      </c>
      <c r="K28" s="98">
        <f>COUNTIF($F28:$G28,"양호")</f>
      </c>
      <c r="L28" s="99">
        <f>COUNTIF($F28:$G28,"취약")</f>
      </c>
      <c r="M28" s="100">
        <f>COUNTIF($F28:$G28,"N/A")</f>
      </c>
    </row>
    <row r="29" spans="1:13" ht="15.3" customHeight="1">
      <c r="A29" s="7"/>
      <c r="B29" s="198"/>
      <c r="C29" s="91" t="s">
        <v>86</v>
      </c>
      <c r="D29" s="5" t="s">
        <v>87</v>
      </c>
      <c r="E29" s="6" t="s">
        <v>39</v>
      </c>
      <c r="F29" s="272">
        <f>IFERROR(T(HLOOKUP(F$3,'3-1. 진단 결과(window)'!$F$3:$I$69,ROW(A27),FALSE)),"")</f>
      </c>
      <c r="G29" s="273">
        <f>IFERROR(T(HLOOKUP(G$3,'3-1. 진단 결과(window)'!$F$3:$I$69,ROW(A27),FALSE)),"")</f>
      </c>
      <c r="I29" s="216"/>
      <c r="J29" s="97">
        <f>IF($K29+$L29=0,"N/A",$K29/($K29+$L29))</f>
      </c>
      <c r="K29" s="98">
        <f>COUNTIF($F29:$G29,"양호")</f>
      </c>
      <c r="L29" s="99">
        <f>COUNTIF($F29:$G29,"취약")</f>
      </c>
      <c r="M29" s="100">
        <f>COUNTIF($F29:$G29,"N/A")</f>
      </c>
    </row>
    <row r="30" spans="1:13" ht="15.3" customHeight="1">
      <c r="A30" s="7"/>
      <c r="B30" s="198"/>
      <c r="C30" s="91" t="s">
        <v>88</v>
      </c>
      <c r="D30" s="5" t="s">
        <v>89</v>
      </c>
      <c r="E30" s="6" t="s">
        <v>39</v>
      </c>
      <c r="F30" s="272">
        <f>IFERROR(T(HLOOKUP(F$3,'3-1. 진단 결과(window)'!$F$3:$I$69,ROW(A28),FALSE)),"")</f>
      </c>
      <c r="G30" s="273">
        <f>IFERROR(T(HLOOKUP(G$3,'3-1. 진단 결과(window)'!$F$3:$I$69,ROW(A28),FALSE)),"")</f>
      </c>
      <c r="I30" s="216"/>
      <c r="J30" s="97">
        <f>IF($K30+$L30=0,"N/A",$K30/($K30+$L30))</f>
      </c>
      <c r="K30" s="98">
        <f>COUNTIF($F30:$G30,"양호")</f>
      </c>
      <c r="L30" s="99">
        <f>COUNTIF($F30:$G30,"취약")</f>
      </c>
      <c r="M30" s="100">
        <f>COUNTIF($F30:$G30,"N/A")</f>
      </c>
    </row>
    <row r="31" spans="1:13" ht="15.3" customHeight="1">
      <c r="A31" s="7"/>
      <c r="B31" s="198"/>
      <c r="C31" s="91" t="s">
        <v>90</v>
      </c>
      <c r="D31" s="5" t="s">
        <v>91</v>
      </c>
      <c r="E31" s="6" t="s">
        <v>39</v>
      </c>
      <c r="F31" s="272">
        <f>IFERROR(T(HLOOKUP(F$3,'3-1. 진단 결과(window)'!$F$3:$I$69,ROW(A29),FALSE)),"")</f>
      </c>
      <c r="G31" s="273">
        <f>IFERROR(T(HLOOKUP(G$3,'3-1. 진단 결과(window)'!$F$3:$I$69,ROW(A29),FALSE)),"")</f>
      </c>
      <c r="I31" s="216"/>
      <c r="J31" s="97">
        <f>IF($K31+$L31=0,"N/A",$K31/($K31+$L31))</f>
      </c>
      <c r="K31" s="98">
        <f>COUNTIF($F31:$G31,"양호")</f>
      </c>
      <c r="L31" s="99">
        <f>COUNTIF($F31:$G31,"취약")</f>
      </c>
      <c r="M31" s="100">
        <f>COUNTIF($F31:$G31,"N/A")</f>
      </c>
    </row>
    <row r="32" spans="1:13" ht="15.3" customHeight="1">
      <c r="A32" s="7"/>
      <c r="B32" s="198"/>
      <c r="C32" s="91" t="s">
        <v>92</v>
      </c>
      <c r="D32" s="5" t="s">
        <v>93</v>
      </c>
      <c r="E32" s="6" t="s">
        <v>39</v>
      </c>
      <c r="F32" s="272">
        <f>IFERROR(T(HLOOKUP(F$3,'3-1. 진단 결과(window)'!$F$3:$I$69,ROW(A30),FALSE)),"")</f>
      </c>
      <c r="G32" s="273">
        <f>IFERROR(T(HLOOKUP(G$3,'3-1. 진단 결과(window)'!$F$3:$I$69,ROW(A30),FALSE)),"")</f>
      </c>
      <c r="I32" s="216"/>
      <c r="J32" s="97">
        <f>IF($K32+$L32=0,"N/A",$K32/($K32+$L32))</f>
      </c>
      <c r="K32" s="98">
        <f>COUNTIF($F32:$G32,"양호")</f>
      </c>
      <c r="L32" s="99">
        <f>COUNTIF($F32:$G32,"취약")</f>
      </c>
      <c r="M32" s="100">
        <f>COUNTIF($F32:$G32,"N/A")</f>
      </c>
    </row>
    <row r="33" spans="1:13" ht="15.3" customHeight="1">
      <c r="A33" s="7"/>
      <c r="B33" s="198"/>
      <c r="C33" s="91" t="s">
        <v>94</v>
      </c>
      <c r="D33" s="5" t="s">
        <v>95</v>
      </c>
      <c r="E33" s="6" t="s">
        <v>52</v>
      </c>
      <c r="F33" s="272">
        <f>IFERROR(T(HLOOKUP(F$3,'3-1. 진단 결과(window)'!$F$3:$I$69,ROW(A31),FALSE)),"")</f>
      </c>
      <c r="G33" s="273">
        <f>IFERROR(T(HLOOKUP(G$3,'3-1. 진단 결과(window)'!$F$3:$I$69,ROW(A31),FALSE)),"")</f>
      </c>
      <c r="I33" s="216"/>
      <c r="J33" s="97">
        <f>IF($K33+$L33=0,"N/A",$K33/($K33+$L33))</f>
      </c>
      <c r="K33" s="98">
        <f>COUNTIF($F33:$G33,"양호")</f>
      </c>
      <c r="L33" s="99">
        <f>COUNTIF($F33:$G33,"취약")</f>
      </c>
      <c r="M33" s="100">
        <f>COUNTIF($F33:$G33,"N/A")</f>
      </c>
    </row>
    <row r="34" spans="1:13" ht="15.3" customHeight="1">
      <c r="A34" s="10"/>
      <c r="B34" s="198"/>
      <c r="C34" s="91" t="s">
        <v>96</v>
      </c>
      <c r="D34" s="5" t="s">
        <v>97</v>
      </c>
      <c r="E34" s="6" t="s">
        <v>52</v>
      </c>
      <c r="F34" s="272">
        <f>IFERROR(T(HLOOKUP(F$3,'3-1. 진단 결과(window)'!$F$3:$I$69,ROW(A32),FALSE)),"")</f>
      </c>
      <c r="G34" s="273">
        <f>IFERROR(T(HLOOKUP(G$3,'3-1. 진단 결과(window)'!$F$3:$I$69,ROW(A32),FALSE)),"")</f>
      </c>
      <c r="I34" s="216"/>
      <c r="J34" s="97">
        <f>IF($K34+$L34=0,"N/A",$K34/($K34+$L34))</f>
      </c>
      <c r="K34" s="98">
        <f>COUNTIF($F34:$G34,"양호")</f>
      </c>
      <c r="L34" s="99">
        <f>COUNTIF($F34:$G34,"취약")</f>
      </c>
      <c r="M34" s="100">
        <f>COUNTIF($F34:$G34,"N/A")</f>
      </c>
    </row>
    <row r="35" spans="1:13" ht="15.3" customHeight="1">
      <c r="A35" s="10"/>
      <c r="B35" s="198"/>
      <c r="C35" s="91" t="s">
        <v>98</v>
      </c>
      <c r="D35" s="5" t="s">
        <v>99</v>
      </c>
      <c r="E35" s="6" t="s">
        <v>52</v>
      </c>
      <c r="F35" s="272">
        <f>IFERROR(T(HLOOKUP(F$3,'3-1. 진단 결과(window)'!$F$3:$I$69,ROW(A33),FALSE)),"")</f>
      </c>
      <c r="G35" s="273">
        <f>IFERROR(T(HLOOKUP(G$3,'3-1. 진단 결과(window)'!$F$3:$I$69,ROW(A33),FALSE)),"")</f>
      </c>
      <c r="I35" s="216"/>
      <c r="J35" s="97">
        <f>IF($K35+$L35=0,"N/A",$K35/($K35+$L35))</f>
      </c>
      <c r="K35" s="98">
        <f>COUNTIF($F35:$G35,"양호")</f>
      </c>
      <c r="L35" s="99">
        <f>COUNTIF($F35:$G35,"취약")</f>
      </c>
      <c r="M35" s="100">
        <f>COUNTIF($F35:$G35,"N/A")</f>
      </c>
    </row>
    <row r="36" spans="1:13" ht="15.3" customHeight="1">
      <c r="A36" s="10"/>
      <c r="B36" s="198"/>
      <c r="C36" s="91" t="s">
        <v>100</v>
      </c>
      <c r="D36" s="5" t="s">
        <v>101</v>
      </c>
      <c r="E36" s="6" t="s">
        <v>52</v>
      </c>
      <c r="F36" s="272">
        <f>IFERROR(T(HLOOKUP(F$3,'3-1. 진단 결과(window)'!$F$3:$I$69,ROW(A34),FALSE)),"")</f>
      </c>
      <c r="G36" s="273">
        <f>IFERROR(T(HLOOKUP(G$3,'3-1. 진단 결과(window)'!$F$3:$I$69,ROW(A34),FALSE)),"")</f>
      </c>
      <c r="I36" s="216"/>
      <c r="J36" s="97">
        <f>IF($K36+$L36=0,"N/A",$K36/($K36+$L36))</f>
      </c>
      <c r="K36" s="98">
        <f>COUNTIF($F36:$G36,"양호")</f>
      </c>
      <c r="L36" s="99">
        <f>COUNTIF($F36:$G36,"취약")</f>
      </c>
      <c r="M36" s="100">
        <f>COUNTIF($F36:$G36,"N/A")</f>
      </c>
    </row>
    <row r="37" spans="1:13" ht="15.3" customHeight="1">
      <c r="A37" s="10"/>
      <c r="B37" s="198"/>
      <c r="C37" s="91" t="s">
        <v>102</v>
      </c>
      <c r="D37" s="5" t="s">
        <v>103</v>
      </c>
      <c r="E37" s="6" t="s">
        <v>52</v>
      </c>
      <c r="F37" s="272">
        <f>IFERROR(T(HLOOKUP(F$3,'3-1. 진단 결과(window)'!$F$3:$I$69,ROW(A35),FALSE)),"")</f>
      </c>
      <c r="G37" s="273">
        <f>IFERROR(T(HLOOKUP(G$3,'3-1. 진단 결과(window)'!$F$3:$I$69,ROW(A35),FALSE)),"")</f>
      </c>
      <c r="I37" s="216"/>
      <c r="J37" s="97">
        <f>IF($K37+$L37=0,"N/A",$K37/($K37+$L37))</f>
      </c>
      <c r="K37" s="98">
        <f>COUNTIF($F37:$G37,"양호")</f>
      </c>
      <c r="L37" s="99">
        <f>COUNTIF($F37:$G37,"취약")</f>
      </c>
      <c r="M37" s="100">
        <f>COUNTIF($F37:$G37,"N/A")</f>
      </c>
    </row>
    <row r="38" spans="1:13" ht="15.3" customHeight="1" thickBot="1">
      <c r="A38" s="10"/>
      <c r="B38" s="198"/>
      <c r="C38" s="91" t="s">
        <v>104</v>
      </c>
      <c r="D38" s="5" t="s">
        <v>105</v>
      </c>
      <c r="E38" s="6" t="s">
        <v>106</v>
      </c>
      <c r="F38" s="272">
        <f>IFERROR(T(HLOOKUP(F$3,'3-1. 진단 결과(window)'!$F$3:$I$69,ROW(A36),FALSE)),"")</f>
      </c>
      <c r="G38" s="273">
        <f>IFERROR(T(HLOOKUP(G$3,'3-1. 진단 결과(window)'!$F$3:$I$69,ROW(A36),FALSE)),"")</f>
      </c>
      <c r="I38" s="217"/>
      <c r="J38" s="97">
        <f>IF($K38+$L38=0,"N/A",$K38/($K38+$L38))</f>
      </c>
      <c r="K38" s="98">
        <f>COUNTIF($F38:$G38,"양호")</f>
      </c>
      <c r="L38" s="99">
        <f>COUNTIF($F38:$G38,"취약")</f>
      </c>
      <c r="M38" s="100">
        <f>COUNTIF($F38:$G38,"N/A")</f>
      </c>
    </row>
    <row r="39" spans="1:13" ht="15.3" customHeight="1" thickBot="1">
      <c r="A39" s="10"/>
      <c r="B39" s="198"/>
      <c r="C39" s="91" t="s">
        <v>107</v>
      </c>
      <c r="D39" s="5" t="s">
        <v>108</v>
      </c>
      <c r="E39" s="6" t="s">
        <v>52</v>
      </c>
      <c r="F39" s="272">
        <f>IFERROR(T(HLOOKUP(F$3,'3-1. 진단 결과(window)'!$F$3:$I$69,ROW(A37),FALSE)),"")</f>
      </c>
      <c r="G39" s="273">
        <f>IFERROR(T(HLOOKUP(G$3,'3-1. 진단 결과(window)'!$F$3:$I$69,ROW(A37),FALSE)),"")</f>
      </c>
      <c r="I39" s="218"/>
      <c r="J39" s="97">
        <f>IF($K39+$L39=0,"N/A",$K39/($K39+$L39))</f>
      </c>
      <c r="K39" s="98">
        <f>COUNTIF($F39:$G39,"양호")</f>
      </c>
      <c r="L39" s="99">
        <f>COUNTIF($F39:$G39,"취약")</f>
      </c>
      <c r="M39" s="100">
        <f>COUNTIF($F39:$G39,"N/A")</f>
      </c>
    </row>
    <row r="40" spans="1:13" ht="15.3" customHeight="1">
      <c r="A40" s="10"/>
      <c r="B40" s="198"/>
      <c r="C40" s="91" t="s">
        <v>109</v>
      </c>
      <c r="D40" s="5" t="s">
        <v>110</v>
      </c>
      <c r="E40" s="6" t="s">
        <v>52</v>
      </c>
      <c r="F40" s="272">
        <f>IFERROR(T(HLOOKUP(F$3,'3-1. 진단 결과(window)'!$F$3:$I$69,ROW(A38),FALSE)),"")</f>
      </c>
      <c r="G40" s="273">
        <f>IFERROR(T(HLOOKUP(G$3,'3-1. 진단 결과(window)'!$F$3:$I$69,ROW(A38),FALSE)),"")</f>
      </c>
      <c r="I40" s="216"/>
      <c r="J40" s="97">
        <f>IF($K40+$L40=0,"N/A",$K40/($K40+$L40))</f>
      </c>
      <c r="K40" s="98">
        <f>COUNTIF($F40:$G40,"양호")</f>
      </c>
      <c r="L40" s="99">
        <f>COUNTIF($F40:$G40,"취약")</f>
      </c>
      <c r="M40" s="100">
        <f>COUNTIF($F40:$G40,"N/A")</f>
      </c>
    </row>
    <row r="41" spans="1:13" ht="15.3" customHeight="1">
      <c r="A41" s="10"/>
      <c r="B41" s="198"/>
      <c r="C41" s="91" t="s">
        <v>111</v>
      </c>
      <c r="D41" s="5" t="s">
        <v>112</v>
      </c>
      <c r="E41" s="6" t="s">
        <v>52</v>
      </c>
      <c r="F41" s="272">
        <f>IFERROR(T(HLOOKUP(F$3,'3-1. 진단 결과(window)'!$F$3:$I$69,ROW(A39),FALSE)),"")</f>
      </c>
      <c r="G41" s="273">
        <f>IFERROR(T(HLOOKUP(G$3,'3-1. 진단 결과(window)'!$F$3:$I$69,ROW(A39),FALSE)),"")</f>
      </c>
      <c r="I41" s="216"/>
      <c r="J41" s="97">
        <f>IF($K41+$L41=0,"N/A",$K41/($K41+$L41))</f>
      </c>
      <c r="K41" s="98">
        <f>COUNTIF($F41:$G41,"양호")</f>
      </c>
      <c r="L41" s="99">
        <f>COUNTIF($F41:$G41,"취약")</f>
      </c>
      <c r="M41" s="100">
        <f>COUNTIF($F41:$G41,"N/A")</f>
      </c>
    </row>
    <row r="42" spans="1:13" ht="15.3" customHeight="1" thickBot="1">
      <c r="A42" s="10"/>
      <c r="B42" s="199"/>
      <c r="C42" s="92" t="s">
        <v>113</v>
      </c>
      <c r="D42" s="22" t="s">
        <v>114</v>
      </c>
      <c r="E42" s="18" t="s">
        <v>52</v>
      </c>
      <c r="F42" s="274">
        <f>IFERROR(T(HLOOKUP(F$3,'3-1. 진단 결과(window)'!$F$3:$I$69,ROW(A40),FALSE)),"")</f>
      </c>
      <c r="G42" s="275">
        <f>IFERROR(T(HLOOKUP(G$3,'3-1. 진단 결과(window)'!$F$3:$I$69,ROW(A40),FALSE)),"")</f>
      </c>
      <c r="I42" s="219"/>
      <c r="J42" s="101">
        <f>IF($K42+$L42=0,"N/A",$K42/($K42+$L42))</f>
      </c>
      <c r="K42" s="102">
        <f>COUNTIF($F42:$G42,"양호")</f>
      </c>
      <c r="L42" s="103">
        <f>COUNTIF($F42:$G42,"취약")</f>
      </c>
      <c r="M42" s="104">
        <f>COUNTIF($F42:$G42,"N/A")</f>
      </c>
    </row>
    <row r="43" spans="1:13" ht="15.3" customHeight="1">
      <c r="A43" s="10"/>
      <c r="B43" s="200" t="s">
        <v>115</v>
      </c>
      <c r="C43" s="90" t="s">
        <v>116</v>
      </c>
      <c r="D43" s="17" t="s">
        <v>117</v>
      </c>
      <c r="E43" s="19" t="s">
        <v>39</v>
      </c>
      <c r="F43" s="270">
        <f>IFERROR(T(HLOOKUP(F$3,'3-1. 진단 결과(window)'!$F$3:$I$69,ROW(A41),FALSE)),"")</f>
      </c>
      <c r="G43" s="271">
        <f>IFERROR(T(HLOOKUP(G$3,'3-1. 진단 결과(window)'!$F$3:$I$69,ROW(A41),FALSE)),"")</f>
      </c>
      <c r="I43" s="220">
        <f>IF(COUNTIF(J43:J44,"N/A")=COUNTA(J43:J44),"N/A",AVERAGE(J43:J44))</f>
      </c>
      <c r="J43" s="109">
        <f>IF($K43+$L43=0,"N/A",$K43/($K43+$L43))</f>
      </c>
      <c r="K43" s="31">
        <f>COUNTIF($F43:$G43,"양호")</f>
      </c>
      <c r="L43" s="32">
        <f>COUNTIF($F43:$G43,"취약")</f>
      </c>
      <c r="M43" s="33">
        <f>COUNTIF($F43:$G43,"N/A")</f>
      </c>
    </row>
    <row r="44" spans="1:13" ht="15.3" customHeight="1" thickBot="1">
      <c r="A44" s="10"/>
      <c r="B44" s="201"/>
      <c r="C44" s="92" t="s">
        <v>118</v>
      </c>
      <c r="D44" s="22" t="s">
        <v>119</v>
      </c>
      <c r="E44" s="18" t="s">
        <v>39</v>
      </c>
      <c r="F44" s="274">
        <f>IFERROR(T(HLOOKUP(F$3,'3-1. 진단 결과(window)'!$F$3:$I$69,ROW(A42),FALSE)),"")</f>
      </c>
      <c r="G44" s="275">
        <f>IFERROR(T(HLOOKUP(G$3,'3-1. 진단 결과(window)'!$F$3:$I$69,ROW(A42),FALSE)),"")</f>
      </c>
      <c r="I44" s="221"/>
      <c r="J44" s="110">
        <f>IF($K44+$L44=0,"N/A",$K44/($K44+$L44))</f>
      </c>
      <c r="K44" s="38">
        <f>COUNTIF($F44:$G44,"양호")</f>
      </c>
      <c r="L44" s="39">
        <f>COUNTIF($F44:$G44,"취약")</f>
      </c>
      <c r="M44" s="40">
        <f>COUNTIF($F44:$G44,"N/A")</f>
      </c>
    </row>
    <row r="45" spans="1:13" ht="15.3" customHeight="1">
      <c r="A45" s="10"/>
      <c r="B45" s="200" t="s">
        <v>120</v>
      </c>
      <c r="C45" s="90" t="s">
        <v>121</v>
      </c>
      <c r="D45" s="17" t="s">
        <v>122</v>
      </c>
      <c r="E45" s="19" t="s">
        <v>52</v>
      </c>
      <c r="F45" s="270">
        <f>IFERROR(T(HLOOKUP(F$3,'3-1. 진단 결과(window)'!$F$3:$I$69,ROW(A43),FALSE)),"")</f>
      </c>
      <c r="G45" s="271">
        <f>IFERROR(T(HLOOKUP(G$3,'3-1. 진단 결과(window)'!$F$3:$I$69,ROW(A43),FALSE)),"")</f>
      </c>
      <c r="I45" s="222">
        <f>IF(COUNTIF(J45:J48,"N/A")=COUNTA(J45:J48),"N/A",AVERAGE(J45:J48))</f>
      </c>
      <c r="J45" s="96">
        <f>IF($K45+$L45=0,"N/A",$K45/($K45+$L45))</f>
      </c>
      <c r="K45" s="31">
        <f>COUNTIF($F45:$G45,"양호")</f>
      </c>
      <c r="L45" s="32">
        <f>COUNTIF($F45:$G45,"취약")</f>
      </c>
      <c r="M45" s="33">
        <f>COUNTIF($F45:$G45,"N/A")</f>
      </c>
    </row>
    <row r="46" spans="1:13" ht="15.3" customHeight="1">
      <c r="A46" s="10"/>
      <c r="B46" s="202"/>
      <c r="C46" s="94" t="s">
        <v>123</v>
      </c>
      <c r="D46" s="5" t="s">
        <v>124</v>
      </c>
      <c r="E46" s="6" t="s">
        <v>52</v>
      </c>
      <c r="F46" s="276">
        <f>IFERROR(T(HLOOKUP(F$3,'3-1. 진단 결과(window)'!$F$3:$I$69,ROW(A44),FALSE)),"")</f>
      </c>
      <c r="G46" s="277">
        <f>IFERROR(T(HLOOKUP(G$3,'3-1. 진단 결과(window)'!$F$3:$I$69,ROW(A44),FALSE)),"")</f>
      </c>
      <c r="I46" s="216"/>
      <c r="J46" s="97">
        <f>IF($K46+$L46=0,"N/A",$K46/($K46+$L46))</f>
      </c>
      <c r="K46" s="98">
        <f>COUNTIF($F46:$G46,"양호")</f>
      </c>
      <c r="L46" s="99">
        <f>COUNTIF($F46:$G46,"취약")</f>
      </c>
      <c r="M46" s="100">
        <f>COUNTIF($F46:$G46,"N/A")</f>
      </c>
    </row>
    <row r="47" spans="1:13" ht="15.3" customHeight="1">
      <c r="A47" s="10"/>
      <c r="B47" s="202"/>
      <c r="C47" s="94" t="s">
        <v>125</v>
      </c>
      <c r="D47" s="5" t="s">
        <v>126</v>
      </c>
      <c r="E47" s="6" t="s">
        <v>106</v>
      </c>
      <c r="F47" s="276">
        <f>IFERROR(T(HLOOKUP(F$3,'3-1. 진단 결과(window)'!$F$3:$I$69,ROW(A45),FALSE)),"")</f>
      </c>
      <c r="G47" s="277">
        <f>IFERROR(T(HLOOKUP(G$3,'3-1. 진단 결과(window)'!$F$3:$I$69,ROW(A45),FALSE)),"")</f>
      </c>
      <c r="I47" s="216"/>
      <c r="J47" s="97">
        <f>IF($K47+$L47=0,"N/A",$K47/($K47+$L47))</f>
      </c>
      <c r="K47" s="98">
        <f>COUNTIF($F47:$G47,"양호")</f>
      </c>
      <c r="L47" s="99">
        <f>COUNTIF($F47:$G47,"취약")</f>
      </c>
      <c r="M47" s="100">
        <f>COUNTIF($F47:$G47,"N/A")</f>
      </c>
    </row>
    <row r="48" spans="1:13" ht="15.3" customHeight="1" thickBot="1">
      <c r="A48" s="10"/>
      <c r="B48" s="201"/>
      <c r="C48" s="95" t="s">
        <v>127</v>
      </c>
      <c r="D48" s="22" t="s">
        <v>128</v>
      </c>
      <c r="E48" s="18" t="s">
        <v>52</v>
      </c>
      <c r="F48" s="278">
        <f>IFERROR(T(HLOOKUP(F$3,'3-1. 진단 결과(window)'!$F$3:$I$69,ROW(A46),FALSE)),"")</f>
      </c>
      <c r="G48" s="279">
        <f>IFERROR(T(HLOOKUP(G$3,'3-1. 진단 결과(window)'!$F$3:$I$69,ROW(A46),FALSE)),"")</f>
      </c>
      <c r="I48" s="219"/>
      <c r="J48" s="101">
        <f>IF($K48+$L48=0,"N/A",$K48/($K48+$L48))</f>
      </c>
      <c r="K48" s="102">
        <f>COUNTIF($F48:$G48,"양호")</f>
      </c>
      <c r="L48" s="103">
        <f>COUNTIF($F48:$G48,"취약")</f>
      </c>
      <c r="M48" s="104">
        <f>COUNTIF($F48:$G48,"N/A")</f>
      </c>
    </row>
    <row r="49" spans="1:13" ht="15.3" customHeight="1">
      <c r="A49" s="10"/>
      <c r="B49" s="200" t="s">
        <v>129</v>
      </c>
      <c r="C49" s="90" t="s">
        <v>130</v>
      </c>
      <c r="D49" s="17" t="s">
        <v>131</v>
      </c>
      <c r="E49" s="19" t="s">
        <v>39</v>
      </c>
      <c r="F49" s="270">
        <f>IFERROR(T(HLOOKUP(F$3,'3-1. 진단 결과(window)'!$F$3:$I$69,ROW(A47),FALSE)),"")</f>
      </c>
      <c r="G49" s="271">
        <f>IFERROR(T(HLOOKUP(G$3,'3-1. 진단 결과(window)'!$F$3:$I$69,ROW(A47),FALSE)),"")</f>
      </c>
      <c r="I49" s="222">
        <f>IF(COUNTIF(J49:J69,"N/A")=COUNTA(J49:J69),"N/A",AVERAGE(J49:J69))</f>
      </c>
      <c r="J49" s="96">
        <f>IF($K49+$L49=0,"N/A",$K49/($K49+$L49))</f>
      </c>
      <c r="K49" s="31">
        <f>COUNTIF($F49:$G49,"양호")</f>
      </c>
      <c r="L49" s="32">
        <f>COUNTIF($F49:$G49,"취약")</f>
      </c>
      <c r="M49" s="33">
        <f>COUNTIF($F49:$G49,"N/A")</f>
      </c>
    </row>
    <row r="50" spans="1:13" ht="15.3" customHeight="1">
      <c r="A50" s="7"/>
      <c r="B50" s="202"/>
      <c r="C50" s="91" t="s">
        <v>132</v>
      </c>
      <c r="D50" s="5" t="s">
        <v>133</v>
      </c>
      <c r="E50" s="6" t="s">
        <v>39</v>
      </c>
      <c r="F50" s="272">
        <f>IFERROR(T(HLOOKUP(F$3,'3-1. 진단 결과(window)'!$F$3:$I$69,ROW(A48),FALSE)),"")</f>
      </c>
      <c r="G50" s="273">
        <f>IFERROR(T(HLOOKUP(G$3,'3-1. 진단 결과(window)'!$F$3:$I$69,ROW(A48),FALSE)),"")</f>
      </c>
      <c r="I50" s="216"/>
      <c r="J50" s="97">
        <f>IF($K50+$L50=0,"N/A",$K50/($K50+$L50))</f>
      </c>
      <c r="K50" s="98">
        <f>COUNTIF($F50:$G50,"양호")</f>
      </c>
      <c r="L50" s="99">
        <f>COUNTIF($F50:$G50,"취약")</f>
      </c>
      <c r="M50" s="100">
        <f>COUNTIF($F50:$G50,"N/A")</f>
      </c>
    </row>
    <row r="51" spans="1:13" ht="15.3" customHeight="1">
      <c r="A51" s="7"/>
      <c r="B51" s="202"/>
      <c r="C51" s="91" t="s">
        <v>134</v>
      </c>
      <c r="D51" s="5" t="s">
        <v>135</v>
      </c>
      <c r="E51" s="6" t="s">
        <v>39</v>
      </c>
      <c r="F51" s="272">
        <f>IFERROR(T(HLOOKUP(F$3,'3-1. 진단 결과(window)'!$F$3:$I$69,ROW(A49),FALSE)),"")</f>
      </c>
      <c r="G51" s="273">
        <f>IFERROR(T(HLOOKUP(G$3,'3-1. 진단 결과(window)'!$F$3:$I$69,ROW(A49),FALSE)),"")</f>
      </c>
      <c r="I51" s="216"/>
      <c r="J51" s="97">
        <f>IF($K51+$L51=0,"N/A",$K51/($K51+$L51))</f>
      </c>
      <c r="K51" s="98">
        <f>COUNTIF($F51:$G51,"양호")</f>
      </c>
      <c r="L51" s="99">
        <f>COUNTIF($F51:$G51,"취약")</f>
      </c>
      <c r="M51" s="100">
        <f>COUNTIF($F51:$G51,"N/A")</f>
      </c>
    </row>
    <row r="52" spans="1:13" ht="15.3" customHeight="1">
      <c r="A52" s="7"/>
      <c r="B52" s="202"/>
      <c r="C52" s="91" t="s">
        <v>136</v>
      </c>
      <c r="D52" s="5" t="s">
        <v>137</v>
      </c>
      <c r="E52" s="6" t="s">
        <v>39</v>
      </c>
      <c r="F52" s="272">
        <f>IFERROR(T(HLOOKUP(F$3,'3-1. 진단 결과(window)'!$F$3:$I$69,ROW(A50),FALSE)),"")</f>
      </c>
      <c r="G52" s="273">
        <f>IFERROR(T(HLOOKUP(G$3,'3-1. 진단 결과(window)'!$F$3:$I$69,ROW(A50),FALSE)),"")</f>
      </c>
      <c r="I52" s="216"/>
      <c r="J52" s="97">
        <f>IF($K52+$L52=0,"N/A",$K52/($K52+$L52))</f>
      </c>
      <c r="K52" s="98">
        <f>COUNTIF($F52:$G52,"양호")</f>
      </c>
      <c r="L52" s="99">
        <f>COUNTIF($F52:$G52,"취약")</f>
      </c>
      <c r="M52" s="100">
        <f>COUNTIF($F52:$G52,"N/A")</f>
      </c>
    </row>
    <row r="53" spans="1:13" ht="15.3" customHeight="1">
      <c r="A53" s="7"/>
      <c r="B53" s="202"/>
      <c r="C53" s="91" t="s">
        <v>138</v>
      </c>
      <c r="D53" s="5" t="s">
        <v>139</v>
      </c>
      <c r="E53" s="6" t="s">
        <v>39</v>
      </c>
      <c r="F53" s="272">
        <f>IFERROR(T(HLOOKUP(F$3,'3-1. 진단 결과(window)'!$F$3:$I$69,ROW(A51),FALSE)),"")</f>
      </c>
      <c r="G53" s="273">
        <f>IFERROR(T(HLOOKUP(G$3,'3-1. 진단 결과(window)'!$F$3:$I$69,ROW(A51),FALSE)),"")</f>
      </c>
      <c r="I53" s="216"/>
      <c r="J53" s="97">
        <f>IF($K53+$L53=0,"N/A",$K53/($K53+$L53))</f>
      </c>
      <c r="K53" s="98">
        <f>COUNTIF($F53:$G53,"양호")</f>
      </c>
      <c r="L53" s="99">
        <f>COUNTIF($F53:$G53,"취약")</f>
      </c>
      <c r="M53" s="100">
        <f>COUNTIF($F53:$G53,"N/A")</f>
      </c>
    </row>
    <row r="54" spans="1:13" ht="15.3" customHeight="1">
      <c r="A54" s="7"/>
      <c r="B54" s="202"/>
      <c r="C54" s="91" t="s">
        <v>140</v>
      </c>
      <c r="D54" s="5" t="s">
        <v>141</v>
      </c>
      <c r="E54" s="6" t="s">
        <v>39</v>
      </c>
      <c r="F54" s="272">
        <f>IFERROR(T(HLOOKUP(F$3,'3-1. 진단 결과(window)'!$F$3:$I$69,ROW(A52),FALSE)),"")</f>
      </c>
      <c r="G54" s="273">
        <f>IFERROR(T(HLOOKUP(G$3,'3-1. 진단 결과(window)'!$F$3:$I$69,ROW(A52),FALSE)),"")</f>
      </c>
      <c r="I54" s="216"/>
      <c r="J54" s="97">
        <f>IF($K54+$L54=0,"N/A",$K54/($K54+$L54))</f>
      </c>
      <c r="K54" s="98">
        <f>COUNTIF($F54:$G54,"양호")</f>
      </c>
      <c r="L54" s="99">
        <f>COUNTIF($F54:$G54,"취약")</f>
      </c>
      <c r="M54" s="100">
        <f>COUNTIF($F54:$G54,"N/A")</f>
      </c>
    </row>
    <row r="55" spans="1:13" ht="15.3" customHeight="1">
      <c r="A55" s="7"/>
      <c r="B55" s="202"/>
      <c r="C55" s="91" t="s">
        <v>142</v>
      </c>
      <c r="D55" s="5" t="s">
        <v>143</v>
      </c>
      <c r="E55" s="6" t="s">
        <v>39</v>
      </c>
      <c r="F55" s="272">
        <f>IFERROR(T(HLOOKUP(F$3,'3-1. 진단 결과(window)'!$F$3:$I$69,ROW(A53),FALSE)),"")</f>
      </c>
      <c r="G55" s="273">
        <f>IFERROR(T(HLOOKUP(G$3,'3-1. 진단 결과(window)'!$F$3:$I$69,ROW(A53),FALSE)),"")</f>
      </c>
      <c r="I55" s="216"/>
      <c r="J55" s="97">
        <f>IF($K55+$L55=0,"N/A",$K55/($K55+$L55))</f>
      </c>
      <c r="K55" s="98">
        <f>COUNTIF($F55:$G55,"양호")</f>
      </c>
      <c r="L55" s="99">
        <f>COUNTIF($F55:$G55,"취약")</f>
      </c>
      <c r="M55" s="100">
        <f>COUNTIF($F55:$G55,"N/A")</f>
      </c>
    </row>
    <row r="56" spans="1:13" ht="15.3" customHeight="1">
      <c r="A56" s="7"/>
      <c r="B56" s="202"/>
      <c r="C56" s="91" t="s">
        <v>144</v>
      </c>
      <c r="D56" s="5" t="s">
        <v>145</v>
      </c>
      <c r="E56" s="6" t="s">
        <v>39</v>
      </c>
      <c r="F56" s="272">
        <f>IFERROR(T(HLOOKUP(F$3,'3-1. 진단 결과(window)'!$F$3:$I$69,ROW(A54),FALSE)),"")</f>
      </c>
      <c r="G56" s="273">
        <f>IFERROR(T(HLOOKUP(G$3,'3-1. 진단 결과(window)'!$F$3:$I$69,ROW(A54),FALSE)),"")</f>
      </c>
      <c r="I56" s="216"/>
      <c r="J56" s="97">
        <f>IF($K56+$L56=0,"N/A",$K56/($K56+$L56))</f>
      </c>
      <c r="K56" s="98">
        <f>COUNTIF($F56:$G56,"양호")</f>
      </c>
      <c r="L56" s="99">
        <f>COUNTIF($F56:$G56,"취약")</f>
      </c>
      <c r="M56" s="100">
        <f>COUNTIF($F56:$G56,"N/A")</f>
      </c>
    </row>
    <row r="57" spans="1:13" ht="15.3" customHeight="1">
      <c r="A57" s="7"/>
      <c r="B57" s="202"/>
      <c r="C57" s="91" t="s">
        <v>146</v>
      </c>
      <c r="D57" s="5" t="s">
        <v>147</v>
      </c>
      <c r="E57" s="6" t="s">
        <v>39</v>
      </c>
      <c r="F57" s="272">
        <f>IFERROR(T(HLOOKUP(F$3,'3-1. 진단 결과(window)'!$F$3:$I$69,ROW(A55),FALSE)),"")</f>
      </c>
      <c r="G57" s="273">
        <f>IFERROR(T(HLOOKUP(G$3,'3-1. 진단 결과(window)'!$F$3:$I$69,ROW(A55),FALSE)),"")</f>
      </c>
      <c r="I57" s="216"/>
      <c r="J57" s="97">
        <f>IF($K57+$L57=0,"N/A",$K57/($K57+$L57))</f>
      </c>
      <c r="K57" s="98">
        <f>COUNTIF($F57:$G57,"양호")</f>
      </c>
      <c r="L57" s="99">
        <f>COUNTIF($F57:$G57,"취약")</f>
      </c>
      <c r="M57" s="100">
        <f>COUNTIF($F57:$G57,"N/A")</f>
      </c>
    </row>
    <row r="58" spans="1:13" ht="15.3" customHeight="1">
      <c r="A58" s="7"/>
      <c r="B58" s="202"/>
      <c r="C58" s="91" t="s">
        <v>148</v>
      </c>
      <c r="D58" s="5" t="s">
        <v>149</v>
      </c>
      <c r="E58" s="6" t="s">
        <v>39</v>
      </c>
      <c r="F58" s="272">
        <f>IFERROR(T(HLOOKUP(F$3,'3-1. 진단 결과(window)'!$F$3:$I$69,ROW(A56),FALSE)),"")</f>
      </c>
      <c r="G58" s="273">
        <f>IFERROR(T(HLOOKUP(G$3,'3-1. 진단 결과(window)'!$F$3:$I$69,ROW(A56),FALSE)),"")</f>
      </c>
      <c r="I58" s="216"/>
      <c r="J58" s="97">
        <f>IF($K58+$L58=0,"N/A",$K58/($K58+$L58))</f>
      </c>
      <c r="K58" s="98">
        <f>COUNTIF($F58:$G58,"양호")</f>
      </c>
      <c r="L58" s="99">
        <f>COUNTIF($F58:$G58,"취약")</f>
      </c>
      <c r="M58" s="100">
        <f>COUNTIF($F58:$G58,"N/A")</f>
      </c>
    </row>
    <row r="59" spans="1:13" ht="15.3" customHeight="1">
      <c r="A59" s="7"/>
      <c r="B59" s="202"/>
      <c r="C59" s="91" t="s">
        <v>150</v>
      </c>
      <c r="D59" s="5" t="s">
        <v>151</v>
      </c>
      <c r="E59" s="6" t="s">
        <v>52</v>
      </c>
      <c r="F59" s="272">
        <f>IFERROR(T(HLOOKUP(F$3,'3-1. 진단 결과(window)'!$F$3:$I$69,ROW(A57),FALSE)),"")</f>
      </c>
      <c r="G59" s="273">
        <f>IFERROR(T(HLOOKUP(G$3,'3-1. 진단 결과(window)'!$F$3:$I$69,ROW(A57),FALSE)),"")</f>
      </c>
      <c r="I59" s="216"/>
      <c r="J59" s="97">
        <f>IF($K59+$L59=0,"N/A",$K59/($K59+$L59))</f>
      </c>
      <c r="K59" s="98">
        <f>COUNTIF($F59:$G59,"양호")</f>
      </c>
      <c r="L59" s="99">
        <f>COUNTIF($F59:$G59,"취약")</f>
      </c>
      <c r="M59" s="100">
        <f>COUNTIF($F59:$G59,"N/A")</f>
      </c>
    </row>
    <row r="60" spans="1:13" ht="15.3" customHeight="1">
      <c r="A60" s="7"/>
      <c r="B60" s="202"/>
      <c r="C60" s="91" t="s">
        <v>152</v>
      </c>
      <c r="D60" s="5" t="s">
        <v>153</v>
      </c>
      <c r="E60" s="6" t="s">
        <v>52</v>
      </c>
      <c r="F60" s="272">
        <f>IFERROR(T(HLOOKUP(F$3,'3-1. 진단 결과(window)'!$F$3:$I$69,ROW(A58),FALSE)),"")</f>
      </c>
      <c r="G60" s="273">
        <f>IFERROR(T(HLOOKUP(G$3,'3-1. 진단 결과(window)'!$F$3:$I$69,ROW(A58),FALSE)),"")</f>
      </c>
      <c r="I60" s="216"/>
      <c r="J60" s="97">
        <f>IF($K60+$L60=0,"N/A",$K60/($K60+$L60))</f>
      </c>
      <c r="K60" s="98">
        <f>COUNTIF($F60:$G60,"양호")</f>
      </c>
      <c r="L60" s="99">
        <f>COUNTIF($F60:$G60,"취약")</f>
      </c>
      <c r="M60" s="100">
        <f>COUNTIF($F60:$G60,"N/A")</f>
      </c>
    </row>
    <row r="61" spans="1:13" ht="15.3" customHeight="1">
      <c r="A61" s="7"/>
      <c r="B61" s="202"/>
      <c r="C61" s="91" t="s">
        <v>154</v>
      </c>
      <c r="D61" s="5" t="s">
        <v>155</v>
      </c>
      <c r="E61" s="6" t="s">
        <v>52</v>
      </c>
      <c r="F61" s="272">
        <f>IFERROR(T(HLOOKUP(F$3,'3-1. 진단 결과(window)'!$F$3:$I$69,ROW(A59),FALSE)),"")</f>
      </c>
      <c r="G61" s="273">
        <f>IFERROR(T(HLOOKUP(G$3,'3-1. 진단 결과(window)'!$F$3:$I$69,ROW(A59),FALSE)),"")</f>
      </c>
      <c r="I61" s="216"/>
      <c r="J61" s="97">
        <f>IF($K61+$L61=0,"N/A",$K61/($K61+$L61))</f>
      </c>
      <c r="K61" s="98">
        <f>COUNTIF($F61:$G61,"양호")</f>
      </c>
      <c r="L61" s="99">
        <f>COUNTIF($F61:$G61,"취약")</f>
      </c>
      <c r="M61" s="100">
        <f>COUNTIF($F61:$G61,"N/A")</f>
      </c>
    </row>
    <row r="62" spans="1:13" ht="15.3" customHeight="1">
      <c r="A62" s="7"/>
      <c r="B62" s="202"/>
      <c r="C62" s="91" t="s">
        <v>156</v>
      </c>
      <c r="D62" s="5" t="s">
        <v>157</v>
      </c>
      <c r="E62" s="6" t="s">
        <v>106</v>
      </c>
      <c r="F62" s="272">
        <f>IFERROR(T(HLOOKUP(F$3,'3-1. 진단 결과(window)'!$F$3:$I$69,ROW(A60),FALSE)),"")</f>
      </c>
      <c r="G62" s="273">
        <f>IFERROR(T(HLOOKUP(G$3,'3-1. 진단 결과(window)'!$F$3:$I$69,ROW(A60),FALSE)),"")</f>
      </c>
      <c r="I62" s="216"/>
      <c r="J62" s="97">
        <f>IF($K62+$L62=0,"N/A",$K62/($K62+$L62))</f>
      </c>
      <c r="K62" s="98">
        <f>COUNTIF($F62:$G62,"양호")</f>
      </c>
      <c r="L62" s="99">
        <f>COUNTIF($F62:$G62,"취약")</f>
      </c>
      <c r="M62" s="100">
        <f>COUNTIF($F62:$G62,"N/A")</f>
      </c>
    </row>
    <row r="63" spans="1:13" ht="15.3" customHeight="1">
      <c r="A63" s="7"/>
      <c r="B63" s="202"/>
      <c r="C63" s="91" t="s">
        <v>158</v>
      </c>
      <c r="D63" s="5" t="s">
        <v>159</v>
      </c>
      <c r="E63" s="6" t="s">
        <v>52</v>
      </c>
      <c r="F63" s="272">
        <f>IFERROR(T(HLOOKUP(F$3,'3-1. 진단 결과(window)'!$F$3:$I$69,ROW(A61),FALSE)),"")</f>
      </c>
      <c r="G63" s="273">
        <f>IFERROR(T(HLOOKUP(G$3,'3-1. 진단 결과(window)'!$F$3:$I$69,ROW(A61),FALSE)),"")</f>
      </c>
      <c r="I63" s="216"/>
      <c r="J63" s="97">
        <f>IF($K63+$L63=0,"N/A",$K63/($K63+$L63))</f>
      </c>
      <c r="K63" s="98">
        <f>COUNTIF($F63:$G63,"양호")</f>
      </c>
      <c r="L63" s="99">
        <f>COUNTIF($F63:$G63,"취약")</f>
      </c>
      <c r="M63" s="100">
        <f>COUNTIF($F63:$G63,"N/A")</f>
      </c>
    </row>
    <row r="64" spans="1:13" ht="15.3" customHeight="1">
      <c r="A64" s="7"/>
      <c r="B64" s="202"/>
      <c r="C64" s="91" t="s">
        <v>160</v>
      </c>
      <c r="D64" s="5" t="s">
        <v>161</v>
      </c>
      <c r="E64" s="6" t="s">
        <v>52</v>
      </c>
      <c r="F64" s="272">
        <f>IFERROR(T(HLOOKUP(F$3,'3-1. 진단 결과(window)'!$F$3:$I$69,ROW(A62),FALSE)),"")</f>
      </c>
      <c r="G64" s="273">
        <f>IFERROR(T(HLOOKUP(G$3,'3-1. 진단 결과(window)'!$F$3:$I$69,ROW(A62),FALSE)),"")</f>
      </c>
      <c r="I64" s="216"/>
      <c r="J64" s="97">
        <f>IF($K64+$L64=0,"N/A",$K64/($K64+$L64))</f>
      </c>
      <c r="K64" s="98">
        <f>COUNTIF($F64:$G64,"양호")</f>
      </c>
      <c r="L64" s="99">
        <f>COUNTIF($F64:$G64,"취약")</f>
      </c>
      <c r="M64" s="100">
        <f>COUNTIF($F64:$G64,"N/A")</f>
      </c>
    </row>
    <row r="65" spans="1:13" ht="15.3" customHeight="1">
      <c r="A65" s="7"/>
      <c r="B65" s="202"/>
      <c r="C65" s="91" t="s">
        <v>162</v>
      </c>
      <c r="D65" s="5" t="s">
        <v>163</v>
      </c>
      <c r="E65" s="6" t="s">
        <v>52</v>
      </c>
      <c r="F65" s="272">
        <f>IFERROR(T(HLOOKUP(F$3,'3-1. 진단 결과(window)'!$F$3:$I$69,ROW(A63),FALSE)),"")</f>
      </c>
      <c r="G65" s="273">
        <f>IFERROR(T(HLOOKUP(G$3,'3-1. 진단 결과(window)'!$F$3:$I$69,ROW(A63),FALSE)),"")</f>
      </c>
      <c r="I65" s="216"/>
      <c r="J65" s="97">
        <f>IF($K65+$L65=0,"N/A",$K65/($K65+$L65))</f>
      </c>
      <c r="K65" s="98">
        <f>COUNTIF($F65:$G65,"양호")</f>
      </c>
      <c r="L65" s="99">
        <f>COUNTIF($F65:$G65,"취약")</f>
      </c>
      <c r="M65" s="100">
        <f>COUNTIF($F65:$G65,"N/A")</f>
      </c>
    </row>
    <row r="66" spans="1:13" ht="15.3" customHeight="1">
      <c r="A66" s="7"/>
      <c r="B66" s="202"/>
      <c r="C66" s="91" t="s">
        <v>164</v>
      </c>
      <c r="D66" s="5" t="s">
        <v>165</v>
      </c>
      <c r="E66" s="6" t="s">
        <v>52</v>
      </c>
      <c r="F66" s="272">
        <f>IFERROR(T(HLOOKUP(F$3,'3-1. 진단 결과(window)'!$F$3:$I$69,ROW(A64),FALSE)),"")</f>
      </c>
      <c r="G66" s="273">
        <f>IFERROR(T(HLOOKUP(G$3,'3-1. 진단 결과(window)'!$F$3:$I$69,ROW(A64),FALSE)),"")</f>
      </c>
      <c r="I66" s="216"/>
      <c r="J66" s="97">
        <f>IF($K66+$L66=0,"N/A",$K66/($K66+$L66))</f>
      </c>
      <c r="K66" s="98">
        <f>COUNTIF($F66:$G66,"양호")</f>
      </c>
      <c r="L66" s="99">
        <f>COUNTIF($F66:$G66,"취약")</f>
      </c>
      <c r="M66" s="100">
        <f>COUNTIF($F66:$G66,"N/A")</f>
      </c>
    </row>
    <row r="67" spans="1:13" ht="15.3" customHeight="1">
      <c r="A67" s="7"/>
      <c r="B67" s="202"/>
      <c r="C67" s="91" t="s">
        <v>166</v>
      </c>
      <c r="D67" s="5" t="s">
        <v>167</v>
      </c>
      <c r="E67" s="6" t="s">
        <v>52</v>
      </c>
      <c r="F67" s="272">
        <f>IFERROR(T(HLOOKUP(F$3,'3-1. 진단 결과(window)'!$F$3:$I$69,ROW(A65),FALSE)),"")</f>
      </c>
      <c r="G67" s="273">
        <f>IFERROR(T(HLOOKUP(G$3,'3-1. 진단 결과(window)'!$F$3:$I$69,ROW(A65),FALSE)),"")</f>
      </c>
      <c r="I67" s="216"/>
      <c r="J67" s="97">
        <f>IF($K67+$L67=0,"N/A",$K67/($K67+$L67))</f>
      </c>
      <c r="K67" s="98">
        <f>COUNTIF($F67:$G67,"양호")</f>
      </c>
      <c r="L67" s="99">
        <f>COUNTIF($F67:$G67,"취약")</f>
      </c>
      <c r="M67" s="100">
        <f>COUNTIF($F67:$G67,"N/A")</f>
      </c>
    </row>
    <row r="68" spans="1:13" ht="15.3" customHeight="1" thickBot="1">
      <c r="A68" s="7"/>
      <c r="B68" s="201"/>
      <c r="C68" s="91" t="s">
        <v>168</v>
      </c>
      <c r="D68" s="5" t="s">
        <v>169</v>
      </c>
      <c r="E68" s="6" t="s">
        <v>52</v>
      </c>
      <c r="F68" s="272">
        <f>IFERROR(T(HLOOKUP(F$3,'3-1. 진단 결과(window)'!$F$3:$I$69,ROW(A66),FALSE)),"")</f>
      </c>
      <c r="G68" s="273">
        <f>IFERROR(T(HLOOKUP(G$3,'3-1. 진단 결과(window)'!$F$3:$I$69,ROW(A66),FALSE)),"")</f>
      </c>
      <c r="I68" s="217"/>
      <c r="J68" s="97">
        <f>IF($K68+$L68=0,"N/A",$K68/($K68+$L68))</f>
      </c>
      <c r="K68" s="98">
        <f>COUNTIF($F68:$G68,"양호")</f>
      </c>
      <c r="L68" s="99">
        <f>COUNTIF($F68:$G68,"취약")</f>
      </c>
      <c r="M68" s="100">
        <f>COUNTIF($F68:$G68,"N/A")</f>
      </c>
    </row>
    <row r="69" spans="1:13" ht="15.3" customHeight="1" thickBot="1">
      <c r="A69" s="7"/>
      <c r="B69" s="196"/>
      <c r="C69" s="92" t="s">
        <v>170</v>
      </c>
      <c r="D69" s="22" t="s">
        <v>171</v>
      </c>
      <c r="E69" s="18" t="s">
        <v>52</v>
      </c>
      <c r="F69" s="274">
        <f>IFERROR(T(HLOOKUP(F$3,'3-1. 진단 결과(window)'!$F$3:$I$69,ROW(A67),FALSE)),"")</f>
      </c>
      <c r="G69" s="275">
        <f>IFERROR(T(HLOOKUP(G$3,'3-1. 진단 결과(window)'!$F$3:$I$69,ROW(A67),FALSE)),"")</f>
      </c>
      <c r="I69" s="223"/>
      <c r="J69" s="101">
        <f>IF($K69+$L69=0,"N/A",$K69/($K69+$L69))</f>
      </c>
      <c r="K69" s="102">
        <f>COUNTIF($F69:$G69,"양호")</f>
      </c>
      <c r="L69" s="103">
        <f>COUNTIF($F69:$G69,"취약")</f>
      </c>
      <c r="M69" s="104">
        <f>COUNTIF($F69:$G69,"N/A")</f>
      </c>
    </row>
    <row r="70" spans="1:13" ht="15" customHeight="1" thickBot="1">
      <c r="A70" s="7"/>
      <c r="B70" s="188" t="s">
        <v>172</v>
      </c>
      <c r="C70" s="190" t="s">
        <v>173</v>
      </c>
      <c r="D70" s="191"/>
      <c r="E70" s="190"/>
      <c r="F70" s="281">
        <f>IF(COUNTIF(F$6:F$69,"?*")=0,"",COUNTIF(F$6:F$69,"취약"))</f>
      </c>
      <c r="G70" s="282">
        <f>IF(COUNTIF(G$6:G$69,"?*")=0,"",COUNTIF(G$6:G$69,"취약"))</f>
      </c>
      <c r="H70"/>
    </row>
    <row r="71" spans="1:13" ht="15" customHeight="1" thickBot="1">
      <c r="A71" s="7"/>
      <c r="B71" s="189"/>
      <c r="C71" s="192" t="s">
        <v>174</v>
      </c>
      <c r="D71" s="193"/>
      <c r="E71" s="192"/>
      <c r="F71" s="106">
        <f>IF(COUNTIF(F$6:F$69,"?*")=0,"",IFERROR(COUNTIF(F$6:F$69,"양호")/(COUNTIF(F$6:F$69,"양호")+COUNTIF(F$6:F$69,"취약")),"N/A"))</f>
      </c>
      <c r="G71" s="152">
        <f>IF(COUNTIF(G$6:G$69,"?*")=0,"",IFERROR(COUNTIF(G$6:G$69,"양호")/(COUNTIF(G$6:G$69,"양호")+COUNTIF(G$6:G$69,"취약")),"N/A"))</f>
      </c>
      <c r="H71"/>
    </row>
    <row r="72" spans="1:13" ht="8.4" customHeight="1">
      <c r="A72" s="7"/>
    </row>
    <row r="73" spans="1:13" ht="15.6">
      <c r="A73" s="7"/>
      <c r="B73" s="13"/>
      <c r="C73" s="13"/>
      <c r="D73" s="13"/>
      <c r="E73" s="13"/>
      <c r="F73" s="13"/>
      <c r="G73" s="13"/>
    </row>
    <row r="74" spans="1:13" ht="15.6">
      <c r="A74" s="7"/>
      <c r="B74" s="13"/>
      <c r="C74" s="13"/>
      <c r="D74" s="13"/>
      <c r="E74" s="13"/>
      <c r="F74" s="13"/>
      <c r="G74" s="13"/>
    </row>
    <row r="75" spans="1:13">
      <c r="B75" s="13"/>
      <c r="C75" s="13"/>
      <c r="D75" s="13"/>
      <c r="E75" s="13"/>
      <c r="F75" s="13"/>
      <c r="G75" s="13"/>
    </row>
    <row r="76" spans="1:13">
      <c r="A76" s="13"/>
      <c r="B76" s="13"/>
      <c r="C76" s="13"/>
      <c r="D76" s="13"/>
      <c r="E76" s="13"/>
      <c r="F76" s="13"/>
      <c r="G76" s="13"/>
    </row>
    <row r="77" spans="1:13">
      <c r="A77" s="13"/>
    </row>
    <row r="78" spans="1:13">
      <c r="A78" s="13"/>
    </row>
    <row r="79" spans="1:13">
      <c r="A79" s="13"/>
    </row>
  </sheetData>
  <mergeCells count="18">
    <mergeCell ref="I6:I19"/>
    <mergeCell ref="I20:I42"/>
    <mergeCell ref="I43:I44"/>
    <mergeCell ref="I45:I48"/>
    <mergeCell ref="I49:I69"/>
    <mergeCell ref="B2:F2"/>
    <mergeCell ref="B3:B5"/>
    <mergeCell ref="C3:C5"/>
    <mergeCell ref="D3:D5"/>
    <mergeCell ref="E3:E5"/>
    <mergeCell ref="B70:B71"/>
    <mergeCell ref="C70:E70"/>
    <mergeCell ref="C71:E71"/>
    <mergeCell ref="B6:B19"/>
    <mergeCell ref="B20:B42"/>
    <mergeCell ref="B43:B44"/>
    <mergeCell ref="B45:B48"/>
    <mergeCell ref="B49:B69"/>
  </mergeCells>
  <phoneticPr fontId="62" type="noConversion"/>
  <conditionalFormatting sqref="F6:G69">
    <cfRule type="cellIs" dxfId="113" priority="1" operator="equal">
      <formula>"취약"</formula>
    </cfRule>
    <cfRule type="cellIs" dxfId="114" priority="2" operator="equal">
      <formula>"N/A"</formula>
    </cfRule>
    <cfRule type="containsText" dxfId="115" priority="3" operator="containsText" text="인터뷰">
      <formula>NOT(ISERROR(SEARCH("인터뷰",F6)))</formula>
    </cfRule>
  </conditionalFormatting>
  <conditionalFormatting sqref="A7:A42">
    <cfRule type="cellIs" dxfId="105" priority="16" operator="equal">
      <formula>"미흡"</formula>
    </cfRule>
  </conditionalFormatting>
  <conditionalFormatting sqref="A2:B2">
    <cfRule type="cellIs" dxfId="104" priority="31" operator="equal">
      <formula>"미흡"</formula>
    </cfRule>
  </conditionalFormatting>
  <conditionalFormatting sqref="A4:E6 A43:E43 A45:E45 A46:A50 C46:E50 A51:E51">
    <cfRule type="cellIs" dxfId="103" priority="39" operator="equal">
      <formula>"미흡"</formula>
    </cfRule>
  </conditionalFormatting>
  <conditionalFormatting sqref="A3:G3 A44 C44:E44 A52:A53">
    <cfRule type="cellIs" dxfId="102" priority="25" operator="equal">
      <formula>"미흡"</formula>
    </cfRule>
  </conditionalFormatting>
  <conditionalFormatting sqref="A54:G1048576">
    <cfRule type="cellIs" dxfId="101" priority="6" operator="equal">
      <formula>"미흡"</formula>
    </cfRule>
  </conditionalFormatting>
  <conditionalFormatting sqref="B52:C52 C53">
    <cfRule type="cellIs" dxfId="100" priority="30" operator="equal">
      <formula>"미흡"</formula>
    </cfRule>
  </conditionalFormatting>
  <conditionalFormatting sqref="C7:E42">
    <cfRule type="cellIs" dxfId="99" priority="13" operator="equal">
      <formula>"미흡"</formula>
    </cfRule>
  </conditionalFormatting>
  <conditionalFormatting sqref="F6:F69">
    <cfRule type="cellIs" dxfId="98" priority="89" operator="equal">
      <formula>"N/A"</formula>
    </cfRule>
  </conditionalFormatting>
  <conditionalFormatting sqref="F53">
    <cfRule type="cellIs" dxfId="97" priority="32" operator="equal">
      <formula>"N/A"</formula>
    </cfRule>
    <cfRule type="cellIs" dxfId="96" priority="33" operator="equal">
      <formula>"N/A"</formula>
    </cfRule>
    <cfRule type="cellIs" dxfId="95" priority="34" operator="equal">
      <formula>"""N/A"""</formula>
    </cfRule>
  </conditionalFormatting>
  <conditionalFormatting sqref="F1:G1048576">
    <cfRule type="cellIs" dxfId="94" priority="4" operator="equal">
      <formula>"인터뷰"</formula>
    </cfRule>
    <cfRule type="cellIs" dxfId="93" priority="5" operator="equal">
      <formula>"확인"</formula>
    </cfRule>
  </conditionalFormatting>
  <conditionalFormatting sqref="F4:G5">
    <cfRule type="cellIs" dxfId="92" priority="37" operator="equal">
      <formula>"미흡"</formula>
    </cfRule>
  </conditionalFormatting>
  <conditionalFormatting sqref="F4:G69">
    <cfRule type="cellIs" dxfId="91" priority="8" operator="equal">
      <formula>"취약"</formula>
    </cfRule>
  </conditionalFormatting>
  <conditionalFormatting sqref="F52:G52">
    <cfRule type="cellIs" dxfId="90" priority="7" operator="equal">
      <formula>"미흡"</formula>
    </cfRule>
  </conditionalFormatting>
  <conditionalFormatting sqref="G6:G69">
    <cfRule type="cellIs" dxfId="89" priority="12" operator="equal">
      <formula>"N/A"</formula>
    </cfRule>
  </conditionalFormatting>
  <conditionalFormatting sqref="G53">
    <cfRule type="cellIs" dxfId="88" priority="9" operator="equal">
      <formula>"N/A"</formula>
    </cfRule>
    <cfRule type="cellIs" dxfId="87" priority="10" operator="equal">
      <formula>"N/A"</formula>
    </cfRule>
    <cfRule type="cellIs" dxfId="86" priority="11" operator="equal">
      <formula>"""N/A"""</formula>
    </cfRule>
  </conditionalFormatting>
  <pageMargins left="0.7" right="0.7" top="0.75" bottom="0.75" header="0.3" footer="0.3"/>
  <pageSetup paperSize="9" orientation="landscape" fitToWidth="1" fitToHeight="0"/>
  <headerFoot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0"/>
  </sheetPr>
  <dimension ref="A1:I76"/>
  <sheetViews>
    <sheetView zoomScale="55" zoomScaleNormal="55" workbookViewId="0">
      <selection activeCell="A1" sqref="A1"/>
    </sheetView>
  </sheetViews>
  <sheetFormatPr defaultColWidth="8.8984375" defaultRowHeight="13.8"/>
  <cols>
    <col min="1" max="1" width="1.796875" style="1" customWidth="1"/>
    <col min="2" max="2" width="12.8984375" style="1" customWidth="1"/>
    <col min="3" max="3" width="10" style="1" customWidth="1"/>
    <col min="4" max="4" width="40.796875" style="1" customWidth="1"/>
    <col min="5" max="5" width="35.796875" style="20" customWidth="1"/>
    <col min="6" max="6" width="9" style="20" customWidth="1"/>
    <col min="7" max="7" width="66.9" style="13" customWidth="1"/>
    <col min="8" max="8" width="9" style="13" customWidth="1"/>
    <col min="9" max="9" width="66.9" style="13" customWidth="1"/>
    <col min="10" max="10" width="8.8984375" style="13" customWidth="1"/>
    <col min="11" max="16384" width="8.8984375" style="13"/>
  </cols>
  <sheetData>
    <row r="1" spans="1:9" ht="6.15" customHeight="1"/>
    <row r="2" spans="1:9" ht="18.75" customHeight="1" thickBot="1">
      <c r="A2" s="2"/>
      <c r="B2" s="203" t="s">
        <v>175</v>
      </c>
      <c r="C2" s="225"/>
      <c r="D2" s="225"/>
      <c r="E2" s="226"/>
      <c r="F2" s="16"/>
      <c r="G2" s="23"/>
      <c r="H2" s="23"/>
      <c r="I2" s="23"/>
    </row>
    <row r="3" spans="1:9" ht="15" customHeight="1" thickBot="1">
      <c r="A3" s="3"/>
      <c r="B3" s="227" t="s">
        <v>27</v>
      </c>
      <c r="C3" s="230" t="s">
        <v>28</v>
      </c>
      <c r="D3" s="230" t="s">
        <v>176</v>
      </c>
      <c r="E3" s="230" t="s">
        <v>177</v>
      </c>
      <c r="F3" s="209">
        <v>1</v>
      </c>
      <c r="G3" s="142">
        <f>IFERROR(VLOOKUP(F$3,'1. 진단 대상'!$B$5:$F$6,2,FALSE),"")</f>
      </c>
      <c r="H3" s="209">
        <v>2</v>
      </c>
      <c r="I3" s="143">
        <f>IFERROR(VLOOKUP(H$3,'1. 진단 대상'!$B$5:$F$6,2,FALSE),"")</f>
      </c>
    </row>
    <row r="4" spans="1:9" ht="15" customHeight="1">
      <c r="A4" s="3"/>
      <c r="B4" s="228"/>
      <c r="C4" s="224"/>
      <c r="D4" s="224"/>
      <c r="E4" s="224"/>
      <c r="F4" s="224"/>
      <c r="G4" s="12">
        <f>IFERROR(VLOOKUP(F$3,'1. 진단 대상'!$B$5:$F$6,3,FALSE),"")</f>
      </c>
      <c r="H4" s="224"/>
      <c r="I4" s="144">
        <f>IFERROR(VLOOKUP(H$3,'1. 진단 대상'!$B$5:$F$6,3,FALSE),"")</f>
      </c>
    </row>
    <row r="5" spans="1:9" ht="15" customHeight="1" thickBot="1">
      <c r="A5" s="3"/>
      <c r="B5" s="229"/>
      <c r="C5" s="224"/>
      <c r="D5" s="224"/>
      <c r="E5" s="231"/>
      <c r="F5" s="224"/>
      <c r="G5" s="107">
        <f>IFERROR(VLOOKUP(F$3,'1. 진단 대상'!$B$5:$F$6,5,FALSE),"")</f>
      </c>
      <c r="H5" s="224"/>
      <c r="I5" s="153">
        <f>IFERROR(VLOOKUP(H$3,'1. 진단 대상'!$B$5:$F$6,5,FALSE),"")</f>
      </c>
    </row>
    <row r="6" spans="1:9" ht="95.10" customHeight="1">
      <c r="A6" s="4"/>
      <c r="B6" s="239" t="s">
        <v>36</v>
      </c>
      <c r="C6" s="90" t="s">
        <v>37</v>
      </c>
      <c r="D6" s="115" t="s">
        <v>38</v>
      </c>
      <c r="E6" s="131" t="s">
        <v>178</v>
      </c>
      <c r="F6" s="249"/>
      <c r="G6" s="255"/>
      <c r="H6" s="250"/>
      <c r="I6" s="256"/>
    </row>
    <row r="7" spans="1:9" ht="63.90" customHeight="1">
      <c r="B7" s="240"/>
      <c r="C7" s="91" t="s">
        <v>40</v>
      </c>
      <c r="D7" s="111" t="s">
        <v>41</v>
      </c>
      <c r="E7" s="132" t="s">
        <v>179</v>
      </c>
      <c r="F7" s="251"/>
      <c r="G7" s="257"/>
      <c r="H7" s="252"/>
      <c r="I7" s="258"/>
    </row>
    <row r="8" spans="1:9" ht="48.30" customHeight="1">
      <c r="A8" s="4"/>
      <c r="B8" s="240"/>
      <c r="C8" s="91" t="s">
        <v>42</v>
      </c>
      <c r="D8" s="111" t="s">
        <v>43</v>
      </c>
      <c r="E8" s="132" t="s">
        <v>180</v>
      </c>
      <c r="F8" s="251"/>
      <c r="G8" s="257"/>
      <c r="H8" s="252"/>
      <c r="I8" s="259"/>
    </row>
    <row r="9" spans="1:9" ht="63.90" customHeight="1">
      <c r="B9" s="240"/>
      <c r="C9" s="91" t="s">
        <v>44</v>
      </c>
      <c r="D9" s="111" t="s">
        <v>45</v>
      </c>
      <c r="E9" s="132" t="s">
        <v>181</v>
      </c>
      <c r="F9" s="251"/>
      <c r="G9" s="260"/>
      <c r="H9" s="252"/>
      <c r="I9" s="261"/>
    </row>
    <row r="10" spans="1:9" ht="95.10" customHeight="1">
      <c r="A10" s="4"/>
      <c r="B10" s="240"/>
      <c r="C10" s="91" t="s">
        <v>46</v>
      </c>
      <c r="D10" s="111" t="s">
        <v>47</v>
      </c>
      <c r="E10" s="132" t="s">
        <v>182</v>
      </c>
      <c r="F10" s="251"/>
      <c r="G10" s="257"/>
      <c r="H10" s="252"/>
      <c r="I10" s="258"/>
    </row>
    <row r="11" spans="1:9" ht="79.50" customHeight="1">
      <c r="B11" s="240"/>
      <c r="C11" s="91" t="s">
        <v>48</v>
      </c>
      <c r="D11" s="111" t="s">
        <v>49</v>
      </c>
      <c r="E11" s="132" t="s">
        <v>183</v>
      </c>
      <c r="F11" s="251"/>
      <c r="G11" s="257"/>
      <c r="H11" s="252"/>
      <c r="I11" s="258"/>
    </row>
    <row r="12" spans="1:9" ht="95.10" customHeight="1">
      <c r="A12" s="4"/>
      <c r="B12" s="240"/>
      <c r="C12" s="91" t="s">
        <v>50</v>
      </c>
      <c r="D12" s="111" t="s">
        <v>51</v>
      </c>
      <c r="E12" s="132" t="s">
        <v>184</v>
      </c>
      <c r="F12" s="251"/>
      <c r="G12" s="257"/>
      <c r="H12" s="252"/>
      <c r="I12" s="258"/>
    </row>
    <row r="13" spans="1:9" ht="110.70" customHeight="1">
      <c r="B13" s="240"/>
      <c r="C13" s="91" t="s">
        <v>53</v>
      </c>
      <c r="D13" s="111" t="s">
        <v>54</v>
      </c>
      <c r="E13" s="132" t="s">
        <v>185</v>
      </c>
      <c r="F13" s="251"/>
      <c r="G13" s="260"/>
      <c r="H13" s="252"/>
      <c r="I13" s="261"/>
    </row>
    <row r="14" spans="1:9" ht="63.90" customHeight="1">
      <c r="A14" s="4"/>
      <c r="B14" s="240"/>
      <c r="C14" s="91" t="s">
        <v>55</v>
      </c>
      <c r="D14" s="111" t="s">
        <v>56</v>
      </c>
      <c r="E14" s="132" t="s">
        <v>186</v>
      </c>
      <c r="F14" s="251"/>
      <c r="G14" s="260"/>
      <c r="H14" s="252"/>
      <c r="I14" s="261"/>
    </row>
    <row r="15" spans="1:9" ht="63.90" customHeight="1">
      <c r="B15" s="240"/>
      <c r="C15" s="91" t="s">
        <v>57</v>
      </c>
      <c r="D15" s="111" t="s">
        <v>58</v>
      </c>
      <c r="E15" s="132" t="s">
        <v>187</v>
      </c>
      <c r="F15" s="251"/>
      <c r="G15" s="260"/>
      <c r="H15" s="252"/>
      <c r="I15" s="262"/>
    </row>
    <row r="16" spans="1:9" ht="79.50" customHeight="1">
      <c r="A16" s="4"/>
      <c r="B16" s="240"/>
      <c r="C16" s="91" t="s">
        <v>59</v>
      </c>
      <c r="D16" s="111" t="s">
        <v>60</v>
      </c>
      <c r="E16" s="132" t="s">
        <v>188</v>
      </c>
      <c r="F16" s="251"/>
      <c r="G16" s="260"/>
      <c r="H16" s="252"/>
      <c r="I16" s="261"/>
    </row>
    <row r="17" spans="1:9" ht="63.90" customHeight="1">
      <c r="B17" s="240"/>
      <c r="C17" s="91" t="s">
        <v>61</v>
      </c>
      <c r="D17" s="111" t="s">
        <v>62</v>
      </c>
      <c r="E17" s="132" t="s">
        <v>189</v>
      </c>
      <c r="F17" s="251"/>
      <c r="G17" s="257"/>
      <c r="H17" s="252"/>
      <c r="I17" s="258"/>
    </row>
    <row r="18" spans="1:9" ht="95.10" thickBot="1" customHeight="1">
      <c r="A18" s="4"/>
      <c r="B18" s="240"/>
      <c r="C18" s="91" t="s">
        <v>63</v>
      </c>
      <c r="D18" s="111" t="s">
        <v>64</v>
      </c>
      <c r="E18" s="132" t="s">
        <v>190</v>
      </c>
      <c r="F18" s="251"/>
      <c r="G18" s="257"/>
      <c r="H18" s="252"/>
      <c r="I18" s="258"/>
    </row>
    <row r="19" spans="1:9" ht="126.30" customHeight="1" thickBot="1">
      <c r="A19" s="45"/>
      <c r="B19" s="241"/>
      <c r="C19" s="92" t="s">
        <v>191</v>
      </c>
      <c r="D19" s="113" t="s">
        <v>66</v>
      </c>
      <c r="E19" s="133" t="s">
        <v>192</v>
      </c>
      <c r="F19" s="251"/>
      <c r="G19" s="263"/>
      <c r="H19" s="253"/>
      <c r="I19" s="264"/>
    </row>
    <row r="20" spans="1:9" ht="63.90" customHeight="1">
      <c r="A20" s="46"/>
      <c r="B20" s="242" t="s">
        <v>193</v>
      </c>
      <c r="C20" s="90" t="s">
        <v>68</v>
      </c>
      <c r="D20" s="115" t="s">
        <v>69</v>
      </c>
      <c r="E20" s="134" t="s">
        <v>194</v>
      </c>
      <c r="F20" s="249"/>
      <c r="G20" s="255"/>
      <c r="H20" s="250"/>
      <c r="I20" s="256"/>
    </row>
    <row r="21" spans="1:9" ht="79.50" customHeight="1">
      <c r="A21" s="45"/>
      <c r="B21" s="243"/>
      <c r="C21" s="91" t="s">
        <v>70</v>
      </c>
      <c r="D21" s="111" t="s">
        <v>71</v>
      </c>
      <c r="E21" s="132" t="s">
        <v>195</v>
      </c>
      <c r="F21" s="251"/>
      <c r="G21" s="257"/>
      <c r="H21" s="252"/>
      <c r="I21" s="258"/>
    </row>
    <row r="22" spans="1:9" ht="110.70" customHeight="1">
      <c r="A22" s="46"/>
      <c r="B22" s="243"/>
      <c r="C22" s="91" t="s">
        <v>72</v>
      </c>
      <c r="D22" s="111" t="s">
        <v>73</v>
      </c>
      <c r="E22" s="132" t="s">
        <v>196</v>
      </c>
      <c r="F22" s="251"/>
      <c r="G22" s="260"/>
      <c r="H22" s="252"/>
      <c r="I22" s="261"/>
    </row>
    <row r="23" spans="1:9" ht="63.90" customHeight="1">
      <c r="A23" s="45"/>
      <c r="B23" s="243"/>
      <c r="C23" s="91" t="s">
        <v>74</v>
      </c>
      <c r="D23" s="111" t="s">
        <v>75</v>
      </c>
      <c r="E23" s="132" t="s">
        <v>197</v>
      </c>
      <c r="F23" s="251"/>
      <c r="G23" s="260"/>
      <c r="H23" s="252"/>
      <c r="I23" s="261"/>
    </row>
    <row r="24" spans="1:9" ht="79.50" customHeight="1">
      <c r="A24" s="46"/>
      <c r="B24" s="243"/>
      <c r="C24" s="91" t="s">
        <v>76</v>
      </c>
      <c r="D24" s="111" t="s">
        <v>77</v>
      </c>
      <c r="E24" s="132" t="s">
        <v>198</v>
      </c>
      <c r="F24" s="251"/>
      <c r="G24" s="257"/>
      <c r="H24" s="252"/>
      <c r="I24" s="258"/>
    </row>
    <row r="25" spans="1:9" ht="63.90" customHeight="1">
      <c r="A25" s="45"/>
      <c r="B25" s="243"/>
      <c r="C25" s="91" t="s">
        <v>78</v>
      </c>
      <c r="D25" s="111" t="s">
        <v>79</v>
      </c>
      <c r="E25" s="132" t="s">
        <v>199</v>
      </c>
      <c r="F25" s="251"/>
      <c r="G25" s="260"/>
      <c r="H25" s="252"/>
      <c r="I25" s="261"/>
    </row>
    <row r="26" spans="1:9" ht="79.50" customHeight="1">
      <c r="A26" s="46"/>
      <c r="B26" s="243"/>
      <c r="C26" s="91" t="s">
        <v>80</v>
      </c>
      <c r="D26" s="111" t="s">
        <v>81</v>
      </c>
      <c r="E26" s="132" t="s">
        <v>200</v>
      </c>
      <c r="F26" s="251"/>
      <c r="G26" s="257"/>
      <c r="H26" s="252"/>
      <c r="I26" s="258"/>
    </row>
    <row r="27" spans="1:9" ht="63.90" customHeight="1">
      <c r="A27" s="45"/>
      <c r="B27" s="243"/>
      <c r="C27" s="91" t="s">
        <v>82</v>
      </c>
      <c r="D27" s="111" t="s">
        <v>83</v>
      </c>
      <c r="E27" s="132" t="s">
        <v>201</v>
      </c>
      <c r="F27" s="251"/>
      <c r="G27" s="257"/>
      <c r="H27" s="252"/>
      <c r="I27" s="258"/>
    </row>
    <row r="28" spans="1:9" ht="63.90" customHeight="1">
      <c r="A28" s="46"/>
      <c r="B28" s="243"/>
      <c r="C28" s="91" t="s">
        <v>84</v>
      </c>
      <c r="D28" s="111" t="s">
        <v>85</v>
      </c>
      <c r="E28" s="132" t="s">
        <v>202</v>
      </c>
      <c r="F28" s="251"/>
      <c r="G28" s="257"/>
      <c r="H28" s="252"/>
      <c r="I28" s="258"/>
    </row>
    <row r="29" spans="1:9" ht="126.30" customHeight="1">
      <c r="A29" s="45"/>
      <c r="B29" s="243"/>
      <c r="C29" s="91" t="s">
        <v>86</v>
      </c>
      <c r="D29" s="111" t="s">
        <v>87</v>
      </c>
      <c r="E29" s="132" t="s">
        <v>203</v>
      </c>
      <c r="F29" s="251"/>
      <c r="G29" s="257"/>
      <c r="H29" s="252"/>
      <c r="I29" s="258"/>
    </row>
    <row r="30" spans="1:9" ht="95.10" customHeight="1">
      <c r="A30" s="46"/>
      <c r="B30" s="243"/>
      <c r="C30" s="91" t="s">
        <v>88</v>
      </c>
      <c r="D30" s="111" t="s">
        <v>89</v>
      </c>
      <c r="E30" s="132" t="s">
        <v>204</v>
      </c>
      <c r="F30" s="251"/>
      <c r="G30" s="257"/>
      <c r="H30" s="252"/>
      <c r="I30" s="258"/>
    </row>
    <row r="31" spans="1:9" ht="204.30" customHeight="1">
      <c r="A31" s="45"/>
      <c r="B31" s="243"/>
      <c r="C31" s="91" t="s">
        <v>90</v>
      </c>
      <c r="D31" s="111" t="s">
        <v>91</v>
      </c>
      <c r="E31" s="132" t="s">
        <v>205</v>
      </c>
      <c r="F31" s="251"/>
      <c r="G31" s="257"/>
      <c r="H31" s="252"/>
      <c r="I31" s="258"/>
    </row>
    <row r="32" spans="1:9" ht="63.90" customHeight="1">
      <c r="A32" s="46"/>
      <c r="B32" s="243"/>
      <c r="C32" s="91" t="s">
        <v>92</v>
      </c>
      <c r="D32" s="117" t="s">
        <v>93</v>
      </c>
      <c r="E32" s="132" t="s">
        <v>206</v>
      </c>
      <c r="F32" s="251"/>
      <c r="G32" s="260"/>
      <c r="H32" s="252"/>
      <c r="I32" s="261"/>
    </row>
    <row r="33" spans="1:9" ht="110.70" customHeight="1">
      <c r="A33" s="45"/>
      <c r="B33" s="243"/>
      <c r="C33" s="91" t="s">
        <v>94</v>
      </c>
      <c r="D33" s="117" t="s">
        <v>95</v>
      </c>
      <c r="E33" s="132" t="s">
        <v>207</v>
      </c>
      <c r="F33" s="251"/>
      <c r="G33" s="260"/>
      <c r="H33" s="252"/>
      <c r="I33" s="258"/>
    </row>
    <row r="34" spans="1:9" ht="79.50" customHeight="1">
      <c r="A34" s="46"/>
      <c r="B34" s="243"/>
      <c r="C34" s="91" t="s">
        <v>96</v>
      </c>
      <c r="D34" s="111" t="s">
        <v>97</v>
      </c>
      <c r="E34" s="132" t="s">
        <v>208</v>
      </c>
      <c r="F34" s="251"/>
      <c r="G34" s="257"/>
      <c r="H34" s="252"/>
      <c r="I34" s="258"/>
    </row>
    <row r="35" spans="1:9" ht="79.50" customHeight="1">
      <c r="A35" s="45"/>
      <c r="B35" s="243"/>
      <c r="C35" s="91" t="s">
        <v>98</v>
      </c>
      <c r="D35" s="111" t="s">
        <v>99</v>
      </c>
      <c r="E35" s="132" t="s">
        <v>209</v>
      </c>
      <c r="F35" s="251"/>
      <c r="G35" s="257"/>
      <c r="H35" s="252"/>
      <c r="I35" s="258"/>
    </row>
    <row r="36" spans="1:9" ht="79.50" customHeight="1">
      <c r="A36" s="46"/>
      <c r="B36" s="243"/>
      <c r="C36" s="91" t="s">
        <v>100</v>
      </c>
      <c r="D36" s="111" t="s">
        <v>101</v>
      </c>
      <c r="E36" s="132" t="s">
        <v>210</v>
      </c>
      <c r="F36" s="251"/>
      <c r="G36" s="257"/>
      <c r="H36" s="252"/>
      <c r="I36" s="258"/>
    </row>
    <row r="37" spans="1:9" ht="79.50" customHeight="1">
      <c r="A37" s="45"/>
      <c r="B37" s="243"/>
      <c r="C37" s="91" t="s">
        <v>102</v>
      </c>
      <c r="D37" s="111" t="s">
        <v>103</v>
      </c>
      <c r="E37" s="132" t="s">
        <v>211</v>
      </c>
      <c r="F37" s="251"/>
      <c r="G37" s="257"/>
      <c r="H37" s="252"/>
      <c r="I37" s="258"/>
    </row>
    <row r="38" spans="1:9" ht="63.90" customHeight="1" thickBot="1">
      <c r="A38" s="46"/>
      <c r="B38" s="244"/>
      <c r="C38" s="91" t="s">
        <v>104</v>
      </c>
      <c r="D38" s="111" t="s">
        <v>105</v>
      </c>
      <c r="E38" s="132" t="s">
        <v>212</v>
      </c>
      <c r="F38" s="251"/>
      <c r="G38" s="260"/>
      <c r="H38" s="252"/>
      <c r="I38" s="258"/>
    </row>
    <row r="39" spans="1:9" ht="63.90" thickBot="1" customHeight="1">
      <c r="B39" s="245"/>
      <c r="C39" s="91" t="s">
        <v>213</v>
      </c>
      <c r="D39" s="111" t="s">
        <v>108</v>
      </c>
      <c r="E39" s="132" t="s">
        <v>214</v>
      </c>
      <c r="F39" s="251"/>
      <c r="G39" s="257"/>
      <c r="H39" s="252"/>
      <c r="I39" s="258"/>
    </row>
    <row r="40" spans="1:9" ht="63.90" customHeight="1">
      <c r="A40" s="4"/>
      <c r="B40" s="198"/>
      <c r="C40" s="91" t="s">
        <v>109</v>
      </c>
      <c r="D40" s="111" t="s">
        <v>110</v>
      </c>
      <c r="E40" s="132" t="s">
        <v>215</v>
      </c>
      <c r="F40" s="251"/>
      <c r="G40" s="257"/>
      <c r="H40" s="252"/>
      <c r="I40" s="258"/>
    </row>
    <row r="41" spans="1:9" ht="79.50" customHeight="1">
      <c r="B41" s="198"/>
      <c r="C41" s="91" t="s">
        <v>111</v>
      </c>
      <c r="D41" s="111" t="s">
        <v>112</v>
      </c>
      <c r="E41" s="132" t="s">
        <v>216</v>
      </c>
      <c r="F41" s="251"/>
      <c r="G41" s="260"/>
      <c r="H41" s="252"/>
      <c r="I41" s="261"/>
    </row>
    <row r="42" spans="1:9" ht="110.70" customHeight="1" thickBot="1">
      <c r="A42" s="4"/>
      <c r="B42" s="246"/>
      <c r="C42" s="92" t="s">
        <v>113</v>
      </c>
      <c r="D42" s="113" t="s">
        <v>114</v>
      </c>
      <c r="E42" s="133" t="s">
        <v>217</v>
      </c>
      <c r="F42" s="254"/>
      <c r="G42" s="263"/>
      <c r="H42" s="253"/>
      <c r="I42" s="264"/>
    </row>
    <row r="43" spans="1:9" ht="79.50" customHeight="1">
      <c r="B43" s="247" t="s">
        <v>115</v>
      </c>
      <c r="C43" s="90" t="s">
        <v>116</v>
      </c>
      <c r="D43" s="115" t="s">
        <v>117</v>
      </c>
      <c r="E43" s="134" t="s">
        <v>218</v>
      </c>
      <c r="F43" s="249"/>
      <c r="G43" s="255"/>
      <c r="H43" s="250"/>
      <c r="I43" s="256"/>
    </row>
    <row r="44" spans="1:9" ht="141.90" customHeight="1" thickBot="1">
      <c r="A44" s="4"/>
      <c r="B44" s="246"/>
      <c r="C44" s="92" t="s">
        <v>118</v>
      </c>
      <c r="D44" s="113" t="s">
        <v>119</v>
      </c>
      <c r="E44" s="133" t="s">
        <v>219</v>
      </c>
      <c r="F44" s="254"/>
      <c r="G44" s="265"/>
      <c r="H44" s="253"/>
      <c r="I44" s="266"/>
    </row>
    <row r="45" spans="1:9" ht="63.90" customHeight="1">
      <c r="B45" s="247" t="s">
        <v>120</v>
      </c>
      <c r="C45" s="90" t="s">
        <v>121</v>
      </c>
      <c r="D45" s="115" t="s">
        <v>122</v>
      </c>
      <c r="E45" s="134" t="s">
        <v>220</v>
      </c>
      <c r="F45" s="249"/>
      <c r="G45" s="255"/>
      <c r="H45" s="250"/>
      <c r="I45" s="256"/>
    </row>
    <row r="46" spans="1:9" ht="63.90" customHeight="1" thickBot="1">
      <c r="A46" s="4"/>
      <c r="B46" s="198"/>
      <c r="C46" s="91" t="s">
        <v>123</v>
      </c>
      <c r="D46" s="111" t="s">
        <v>124</v>
      </c>
      <c r="E46" s="132" t="s">
        <v>221</v>
      </c>
      <c r="F46" s="251"/>
      <c r="G46" s="257"/>
      <c r="H46" s="252"/>
      <c r="I46" s="258"/>
    </row>
    <row r="47" spans="1:9" ht="95.10" customHeight="1">
      <c r="B47" s="198"/>
      <c r="C47" s="91" t="s">
        <v>125</v>
      </c>
      <c r="D47" s="111" t="s">
        <v>126</v>
      </c>
      <c r="E47" s="132" t="s">
        <v>222</v>
      </c>
      <c r="F47" s="249"/>
      <c r="G47" s="267"/>
      <c r="H47" s="252"/>
      <c r="I47" s="261"/>
    </row>
    <row r="48" spans="1:9" ht="63.90" customHeight="1" thickBot="1">
      <c r="A48" s="4"/>
      <c r="B48" s="246"/>
      <c r="C48" s="92" t="s">
        <v>127</v>
      </c>
      <c r="D48" s="113" t="s">
        <v>128</v>
      </c>
      <c r="E48" s="133" t="s">
        <v>223</v>
      </c>
      <c r="F48" s="254"/>
      <c r="G48" s="265"/>
      <c r="H48" s="253"/>
      <c r="I48" s="266"/>
    </row>
    <row r="49" spans="1:9" ht="63.90" customHeight="1" thickBot="1">
      <c r="B49" s="247" t="s">
        <v>129</v>
      </c>
      <c r="C49" s="90" t="s">
        <v>130</v>
      </c>
      <c r="D49" s="115" t="s">
        <v>131</v>
      </c>
      <c r="E49" s="134" t="s">
        <v>224</v>
      </c>
      <c r="F49" s="254"/>
      <c r="G49" s="268"/>
      <c r="H49" s="250"/>
      <c r="I49" s="256"/>
    </row>
    <row r="50" spans="1:9" ht="63.90" customHeight="1">
      <c r="A50" s="4"/>
      <c r="B50" s="198"/>
      <c r="C50" s="91" t="s">
        <v>132</v>
      </c>
      <c r="D50" s="111" t="s">
        <v>133</v>
      </c>
      <c r="E50" s="132" t="s">
        <v>225</v>
      </c>
      <c r="F50" s="251"/>
      <c r="G50" s="257"/>
      <c r="H50" s="252"/>
      <c r="I50" s="258"/>
    </row>
    <row r="51" spans="1:9" ht="95.10" customHeight="1">
      <c r="B51" s="198"/>
      <c r="C51" s="91" t="s">
        <v>134</v>
      </c>
      <c r="D51" s="111" t="s">
        <v>135</v>
      </c>
      <c r="E51" s="132" t="s">
        <v>226</v>
      </c>
      <c r="F51" s="251"/>
      <c r="G51" s="257"/>
      <c r="H51" s="252"/>
      <c r="I51" s="258"/>
    </row>
    <row r="52" spans="1:9" ht="126.30" customHeight="1">
      <c r="B52" s="198"/>
      <c r="C52" s="91" t="s">
        <v>136</v>
      </c>
      <c r="D52" s="111" t="s">
        <v>137</v>
      </c>
      <c r="E52" s="132" t="s">
        <v>227</v>
      </c>
      <c r="F52" s="251"/>
      <c r="G52" s="260"/>
      <c r="H52" s="252"/>
      <c r="I52" s="261"/>
    </row>
    <row r="53" spans="1:9" ht="63.90" customHeight="1">
      <c r="B53" s="198"/>
      <c r="C53" s="91" t="s">
        <v>138</v>
      </c>
      <c r="D53" s="111" t="s">
        <v>139</v>
      </c>
      <c r="E53" s="132" t="s">
        <v>228</v>
      </c>
      <c r="F53" s="251"/>
      <c r="G53" s="260"/>
      <c r="H53" s="252"/>
      <c r="I53" s="262"/>
    </row>
    <row r="54" spans="1:9" ht="95.10" customHeight="1">
      <c r="B54" s="198"/>
      <c r="C54" s="91" t="s">
        <v>140</v>
      </c>
      <c r="D54" s="111" t="s">
        <v>141</v>
      </c>
      <c r="E54" s="132" t="s">
        <v>229</v>
      </c>
      <c r="F54" s="251"/>
      <c r="G54" s="257"/>
      <c r="H54" s="252"/>
      <c r="I54" s="258"/>
    </row>
    <row r="55" spans="1:9" ht="95.10" customHeight="1">
      <c r="B55" s="198"/>
      <c r="C55" s="91" t="s">
        <v>142</v>
      </c>
      <c r="D55" s="111" t="s">
        <v>143</v>
      </c>
      <c r="E55" s="132" t="s">
        <v>230</v>
      </c>
      <c r="F55" s="251"/>
      <c r="G55" s="257"/>
      <c r="H55" s="252"/>
      <c r="I55" s="258"/>
    </row>
    <row r="56" spans="1:9" ht="79.50" customHeight="1">
      <c r="B56" s="198"/>
      <c r="C56" s="91" t="s">
        <v>144</v>
      </c>
      <c r="D56" s="111" t="s">
        <v>145</v>
      </c>
      <c r="E56" s="135" t="s">
        <v>231</v>
      </c>
      <c r="F56" s="251"/>
      <c r="G56" s="260"/>
      <c r="H56" s="252"/>
      <c r="I56" s="261"/>
    </row>
    <row r="57" spans="1:9" ht="63.90" customHeight="1">
      <c r="B57" s="198"/>
      <c r="C57" s="91" t="s">
        <v>146</v>
      </c>
      <c r="D57" s="111" t="s">
        <v>147</v>
      </c>
      <c r="E57" s="132" t="s">
        <v>232</v>
      </c>
      <c r="F57" s="251"/>
      <c r="G57" s="257"/>
      <c r="H57" s="252"/>
      <c r="I57" s="258"/>
    </row>
    <row r="58" spans="1:9" ht="95.10" customHeight="1">
      <c r="B58" s="198"/>
      <c r="C58" s="91" t="s">
        <v>148</v>
      </c>
      <c r="D58" s="111" t="s">
        <v>149</v>
      </c>
      <c r="E58" s="132" t="s">
        <v>233</v>
      </c>
      <c r="F58" s="251"/>
      <c r="G58" s="269"/>
      <c r="H58" s="252"/>
      <c r="I58" s="261"/>
    </row>
    <row r="59" spans="1:9" ht="126.30" customHeight="1">
      <c r="B59" s="198"/>
      <c r="C59" s="91" t="s">
        <v>150</v>
      </c>
      <c r="D59" s="111" t="s">
        <v>151</v>
      </c>
      <c r="E59" s="132" t="s">
        <v>234</v>
      </c>
      <c r="F59" s="251"/>
      <c r="G59" s="260"/>
      <c r="H59" s="252"/>
      <c r="I59" s="261"/>
    </row>
    <row r="60" spans="1:9" ht="79.50" customHeight="1">
      <c r="B60" s="198"/>
      <c r="C60" s="91" t="s">
        <v>152</v>
      </c>
      <c r="D60" s="111" t="s">
        <v>153</v>
      </c>
      <c r="E60" s="132" t="s">
        <v>235</v>
      </c>
      <c r="F60" s="251"/>
      <c r="G60" s="257"/>
      <c r="H60" s="252"/>
      <c r="I60" s="258"/>
    </row>
    <row r="61" spans="1:9" ht="141.90" customHeight="1">
      <c r="B61" s="198"/>
      <c r="C61" s="91" t="s">
        <v>154</v>
      </c>
      <c r="D61" s="111" t="s">
        <v>155</v>
      </c>
      <c r="E61" s="132" t="s">
        <v>236</v>
      </c>
      <c r="F61" s="251"/>
      <c r="G61" s="257"/>
      <c r="H61" s="252"/>
      <c r="I61" s="258"/>
    </row>
    <row r="62" spans="1:9" ht="63.90" customHeight="1">
      <c r="B62" s="198"/>
      <c r="C62" s="91" t="s">
        <v>156</v>
      </c>
      <c r="D62" s="111" t="s">
        <v>157</v>
      </c>
      <c r="E62" s="132" t="s">
        <v>237</v>
      </c>
      <c r="F62" s="251"/>
      <c r="G62" s="260"/>
      <c r="H62" s="252"/>
      <c r="I62" s="261"/>
    </row>
    <row r="63" spans="1:9" ht="79.50" customHeight="1">
      <c r="B63" s="198"/>
      <c r="C63" s="91" t="s">
        <v>158</v>
      </c>
      <c r="D63" s="111" t="s">
        <v>159</v>
      </c>
      <c r="E63" s="132" t="s">
        <v>238</v>
      </c>
      <c r="F63" s="251"/>
      <c r="G63" s="257"/>
      <c r="H63" s="252"/>
      <c r="I63" s="258"/>
    </row>
    <row r="64" spans="1:9" ht="95.10" customHeight="1">
      <c r="B64" s="198"/>
      <c r="C64" s="91" t="s">
        <v>160</v>
      </c>
      <c r="D64" s="111" t="s">
        <v>161</v>
      </c>
      <c r="E64" s="132" t="s">
        <v>239</v>
      </c>
      <c r="F64" s="251"/>
      <c r="G64" s="260"/>
      <c r="H64" s="252"/>
      <c r="I64" s="261"/>
    </row>
    <row r="65" spans="1:9" ht="251.10" customHeight="1">
      <c r="B65" s="198"/>
      <c r="C65" s="91" t="s">
        <v>162</v>
      </c>
      <c r="D65" s="111" t="s">
        <v>163</v>
      </c>
      <c r="E65" s="132" t="s">
        <v>240</v>
      </c>
      <c r="F65" s="251"/>
      <c r="G65" s="257"/>
      <c r="H65" s="252"/>
      <c r="I65" s="258"/>
    </row>
    <row r="66" spans="1:9" ht="63.90" customHeight="1">
      <c r="B66" s="198"/>
      <c r="C66" s="91" t="s">
        <v>164</v>
      </c>
      <c r="D66" s="111" t="s">
        <v>165</v>
      </c>
      <c r="E66" s="132" t="s">
        <v>241</v>
      </c>
      <c r="F66" s="251"/>
      <c r="G66" s="257"/>
      <c r="H66" s="252"/>
      <c r="I66" s="258"/>
    </row>
    <row r="67" spans="1:9" ht="95.10" customHeight="1">
      <c r="B67" s="198"/>
      <c r="C67" s="91" t="s">
        <v>166</v>
      </c>
      <c r="D67" s="111" t="s">
        <v>167</v>
      </c>
      <c r="E67" s="132" t="s">
        <v>242</v>
      </c>
      <c r="F67" s="251"/>
      <c r="G67" s="260"/>
      <c r="H67" s="252"/>
      <c r="I67" s="261"/>
    </row>
    <row r="68" spans="1:9" ht="63.90" thickBot="1" customHeight="1">
      <c r="B68" s="199"/>
      <c r="C68" s="91" t="s">
        <v>168</v>
      </c>
      <c r="D68" s="111" t="s">
        <v>169</v>
      </c>
      <c r="E68" s="132" t="s">
        <v>243</v>
      </c>
      <c r="F68" s="251"/>
      <c r="G68" s="257"/>
      <c r="H68" s="252"/>
      <c r="I68" s="258"/>
    </row>
    <row r="69" spans="1:9" ht="63.90" customHeight="1" thickBot="1">
      <c r="B69" s="248"/>
      <c r="C69" s="92" t="s">
        <v>170</v>
      </c>
      <c r="D69" s="113" t="s">
        <v>171</v>
      </c>
      <c r="E69" s="133" t="s">
        <v>244</v>
      </c>
      <c r="F69" s="254"/>
      <c r="G69" s="263"/>
      <c r="H69" s="253"/>
      <c r="I69" s="264"/>
    </row>
    <row r="70" spans="1:9" ht="20.25" customHeight="1" thickBot="1">
      <c r="A70" s="45"/>
      <c r="B70" s="232" t="s">
        <v>172</v>
      </c>
      <c r="C70" s="283" t="s">
        <v>173</v>
      </c>
      <c r="D70" s="235"/>
      <c r="E70" s="236"/>
      <c r="F70" s="280">
        <f>IF(COUNTIF(F$6:F$69,"?*")=0,"",COUNTIF(F$6:F$69,"취약"))</f>
      </c>
      <c r="G70" s="125"/>
      <c r="H70" s="280">
        <f>IF(COUNTIF(H$6:H$69,"?*")=0,"",COUNTIF(H$6:H$69,"취약"))</f>
      </c>
      <c r="I70" s="159"/>
    </row>
    <row r="71" spans="1:9" ht="20.25" customHeight="1" thickBot="1">
      <c r="A71" s="45"/>
      <c r="B71" s="233"/>
      <c r="C71" s="284" t="s">
        <v>174</v>
      </c>
      <c r="D71" s="238"/>
      <c r="E71" s="238"/>
      <c r="F71" s="127">
        <f>IF(COUNTIF(F$6:F$69,"?*")=0,"",IFERROR(COUNTIF(F$6:F$69,"양호")/(COUNTIF(F$6:F$69,"양호")+COUNTIF(F$6:F$69,"취약")),"N/A"))</f>
      </c>
      <c r="G71" s="126"/>
      <c r="H71" s="127">
        <f>IF(COUNTIF(H$6:H$69,"?*")=0,"",IFERROR(COUNTIF(H$6:H$69,"양호")/(COUNTIF(H$6:H$69,"양호")+COUNTIF(H$6:H$69,"취약")),"N/A"))</f>
      </c>
      <c r="I71" s="160"/>
    </row>
    <row r="72" spans="1:9" ht="41.85" customHeight="1">
      <c r="A72" s="45"/>
      <c r="B72" s="13"/>
      <c r="C72" s="13"/>
      <c r="D72" s="13"/>
      <c r="E72" s="13"/>
      <c r="F72" s="128"/>
      <c r="H72" s="129"/>
    </row>
    <row r="73" spans="1:9">
      <c r="B73" s="13"/>
      <c r="C73" s="13"/>
      <c r="D73" s="13"/>
      <c r="E73" s="13"/>
      <c r="F73" s="13"/>
    </row>
    <row r="75" spans="1:9">
      <c r="A75" s="13"/>
    </row>
    <row r="76" spans="1:9">
      <c r="A76" s="13"/>
    </row>
  </sheetData>
  <mergeCells count="15">
    <mergeCell ref="B70:B71"/>
    <mergeCell ref="C70:D70"/>
    <mergeCell ref="C71:D71"/>
    <mergeCell ref="B6:B19"/>
    <mergeCell ref="B20:B42"/>
    <mergeCell ref="B43:B44"/>
    <mergeCell ref="B45:B48"/>
    <mergeCell ref="B49:B69"/>
    <mergeCell ref="F3:F5"/>
    <mergeCell ref="H3:H5"/>
    <mergeCell ref="B2:D2"/>
    <mergeCell ref="B3:B5"/>
    <mergeCell ref="C3:C5"/>
    <mergeCell ref="D3:D5"/>
    <mergeCell ref="E3:E5"/>
  </mergeCells>
  <phoneticPr fontId="62" type="noConversion"/>
  <conditionalFormatting sqref="F6:F69 H6:H69">
    <cfRule type="cellIs" dxfId="113" priority="1" operator="equal">
      <formula>"취약"</formula>
    </cfRule>
    <cfRule type="cellIs" dxfId="114" priority="2" operator="equal">
      <formula>"N/A"</formula>
    </cfRule>
    <cfRule type="containsText" dxfId="115" priority="3" operator="containsText" text="인터뷰">
      <formula>NOT(ISERROR(SEARCH("인터뷰",F6)))</formula>
    </cfRule>
  </conditionalFormatting>
  <conditionalFormatting sqref="A2:B2 F52:G57 A54:D69 F59:G69">
    <cfRule type="cellIs" dxfId="85" priority="4467" operator="equal">
      <formula>"미흡"</formula>
    </cfRule>
  </conditionalFormatting>
  <conditionalFormatting sqref="A3:E3 A70:I1048576">
    <cfRule type="cellIs" dxfId="84" priority="3762" operator="equal">
      <formula>"미흡"</formula>
    </cfRule>
  </conditionalFormatting>
  <conditionalFormatting sqref="B3:E3 F3:I5">
    <cfRule type="cellIs" dxfId="83" priority="3763" operator="equal">
      <formula>"N/A"</formula>
    </cfRule>
  </conditionalFormatting>
  <conditionalFormatting sqref="C50 A52:C52 A53 C53">
    <cfRule type="cellIs" dxfId="82" priority="4791" operator="equal">
      <formula>"미흡"</formula>
    </cfRule>
  </conditionalFormatting>
  <conditionalFormatting sqref="D32:D33">
    <cfRule type="cellIs" dxfId="81" priority="4776" operator="equal">
      <formula>"미흡"</formula>
    </cfRule>
    <cfRule type="containsText" dxfId="80" priority="4775" operator="containsText" text="취약">
      <formula>NOT(ISERROR(SEARCH("취약",D32)))</formula>
    </cfRule>
    <cfRule type="containsText" dxfId="79" priority="4774" operator="containsText" text="확인">
      <formula>NOT(ISERROR(SEARCH("확인",D32)))</formula>
    </cfRule>
    <cfRule type="containsText" dxfId="78" priority="4773" operator="containsText" text="취약">
      <formula>NOT(ISERROR(SEARCH("취약",D32)))</formula>
    </cfRule>
    <cfRule type="containsText" dxfId="77" priority="4772" operator="containsText" text="확인">
      <formula>NOT(ISERROR(SEARCH("확인",D32)))</formula>
    </cfRule>
  </conditionalFormatting>
  <conditionalFormatting sqref="F1:F1048576">
    <cfRule type="cellIs" dxfId="76" priority="3765" operator="equal">
      <formula>"인터뷰"</formula>
    </cfRule>
    <cfRule type="cellIs" dxfId="75" priority="3764" operator="equal">
      <formula>"N/A"</formula>
    </cfRule>
  </conditionalFormatting>
  <conditionalFormatting sqref="F6:F69">
    <cfRule type="containsText" dxfId="74" priority="4769" operator="containsText" text="취약">
      <formula>NOT(ISERROR(SEARCH("취약",F6)))</formula>
    </cfRule>
    <cfRule type="containsText" dxfId="73" priority="4768" operator="containsText" text="확인">
      <formula>NOT(ISERROR(SEARCH("확인",F6)))</formula>
    </cfRule>
  </conditionalFormatting>
  <conditionalFormatting sqref="F7:F13">
    <cfRule type="cellIs" dxfId="72" priority="4120" operator="equal">
      <formula>"미흡"</formula>
    </cfRule>
    <cfRule type="containsText" dxfId="71" priority="4119" operator="containsText" text="취약">
      <formula>NOT(ISERROR(SEARCH("취약",F7)))</formula>
    </cfRule>
    <cfRule type="containsText" dxfId="70" priority="4118" operator="containsText" text="확인">
      <formula>NOT(ISERROR(SEARCH("확인",F7)))</formula>
    </cfRule>
  </conditionalFormatting>
  <conditionalFormatting sqref="F7:F69">
    <cfRule type="cellIs" dxfId="69" priority="220" operator="equal">
      <formula>"미흡"</formula>
    </cfRule>
  </conditionalFormatting>
  <conditionalFormatting sqref="F14:F20">
    <cfRule type="cellIs" dxfId="68" priority="4481" operator="equal">
      <formula>"미흡"</formula>
    </cfRule>
    <cfRule type="containsText" dxfId="67" priority="4480" operator="containsText" text="취약">
      <formula>NOT(ISERROR(SEARCH("취약",F14)))</formula>
    </cfRule>
    <cfRule type="containsText" dxfId="66" priority="4479" operator="containsText" text="확인">
      <formula>NOT(ISERROR(SEARCH("확인",F14)))</formula>
    </cfRule>
  </conditionalFormatting>
  <conditionalFormatting sqref="F21:F31">
    <cfRule type="cellIs" dxfId="65" priority="3938" operator="equal">
      <formula>"미흡"</formula>
    </cfRule>
    <cfRule type="containsText" dxfId="64" priority="3937" operator="containsText" text="취약">
      <formula>NOT(ISERROR(SEARCH("취약",F21)))</formula>
    </cfRule>
    <cfRule type="containsText" dxfId="63" priority="3936" operator="containsText" text="확인">
      <formula>NOT(ISERROR(SEARCH("확인",F21)))</formula>
    </cfRule>
  </conditionalFormatting>
  <conditionalFormatting sqref="F32:F37">
    <cfRule type="cellIs" dxfId="62" priority="4478" operator="equal">
      <formula>"미흡"</formula>
    </cfRule>
    <cfRule type="containsText" dxfId="61" priority="4477" operator="containsText" text="취약">
      <formula>NOT(ISERROR(SEARCH("취약",F32)))</formula>
    </cfRule>
    <cfRule type="containsText" dxfId="60" priority="4476" operator="containsText" text="확인">
      <formula>NOT(ISERROR(SEARCH("확인",F32)))</formula>
    </cfRule>
  </conditionalFormatting>
  <conditionalFormatting sqref="F38:F41">
    <cfRule type="cellIs" dxfId="59" priority="3816" operator="equal">
      <formula>"미흡"</formula>
    </cfRule>
    <cfRule type="containsText" dxfId="58" priority="3815" operator="containsText" text="취약">
      <formula>NOT(ISERROR(SEARCH("취약",F38)))</formula>
    </cfRule>
    <cfRule type="containsText" dxfId="57" priority="3814" operator="containsText" text="확인">
      <formula>NOT(ISERROR(SEARCH("확인",F38)))</formula>
    </cfRule>
  </conditionalFormatting>
  <conditionalFormatting sqref="F42">
    <cfRule type="containsText" dxfId="56" priority="4674" operator="containsText" text="확인">
      <formula>NOT(ISERROR(SEARCH("확인",F42)))</formula>
    </cfRule>
    <cfRule type="cellIs" dxfId="55" priority="4676" operator="equal">
      <formula>"미흡"</formula>
    </cfRule>
    <cfRule type="containsText" dxfId="54" priority="4675" operator="containsText" text="취약">
      <formula>NOT(ISERROR(SEARCH("취약",F42)))</formula>
    </cfRule>
  </conditionalFormatting>
  <conditionalFormatting sqref="F42:F51">
    <cfRule type="containsText" dxfId="53" priority="4618" operator="containsText" text="취약">
      <formula>NOT(ISERROR(SEARCH("취약",F42)))</formula>
    </cfRule>
    <cfRule type="containsText" dxfId="52" priority="4617" operator="containsText" text="확인">
      <formula>NOT(ISERROR(SEARCH("확인",F42)))</formula>
    </cfRule>
  </conditionalFormatting>
  <conditionalFormatting sqref="F43:F51">
    <cfRule type="cellIs" dxfId="51" priority="4619" operator="equal">
      <formula>"미흡"</formula>
    </cfRule>
  </conditionalFormatting>
  <conditionalFormatting sqref="F46">
    <cfRule type="containsText" dxfId="50" priority="4501" operator="containsText" text="확인">
      <formula>NOT(ISERROR(SEARCH("확인",F46)))</formula>
    </cfRule>
    <cfRule type="containsText" dxfId="49" priority="4500" operator="containsText" text="취약">
      <formula>NOT(ISERROR(SEARCH("취약",F46)))</formula>
    </cfRule>
    <cfRule type="containsText" dxfId="48" priority="4499" operator="containsText" text="확인">
      <formula>NOT(ISERROR(SEARCH("확인",F46)))</formula>
    </cfRule>
    <cfRule type="containsText" dxfId="47" priority="4502" operator="containsText" text="취약">
      <formula>NOT(ISERROR(SEARCH("취약",F46)))</formula>
    </cfRule>
  </conditionalFormatting>
  <conditionalFormatting sqref="F51">
    <cfRule type="containsText" dxfId="46" priority="4577" operator="containsText" text="취약">
      <formula>NOT(ISERROR(SEARCH("취약",F51)))</formula>
    </cfRule>
    <cfRule type="containsText" dxfId="45" priority="4576" operator="containsText" text="확인">
      <formula>NOT(ISERROR(SEARCH("확인",F51)))</formula>
    </cfRule>
  </conditionalFormatting>
  <conditionalFormatting sqref="F6:G6 G7:G46 G48:G51">
    <cfRule type="cellIs" dxfId="44" priority="4770" operator="equal">
      <formula>"미흡"</formula>
    </cfRule>
  </conditionalFormatting>
  <conditionalFormatting sqref="F6:G46 F7:F69 C6:D51">
    <cfRule type="cellIs" dxfId="43" priority="4466" operator="equal">
      <formula>"N/A"</formula>
    </cfRule>
  </conditionalFormatting>
  <conditionalFormatting sqref="F48:G53 B52:D53">
    <cfRule type="cellIs" dxfId="42" priority="542" operator="equal">
      <formula>"N/A"</formula>
    </cfRule>
  </conditionalFormatting>
  <conditionalFormatting sqref="G3:G5">
    <cfRule type="cellIs" dxfId="41" priority="4520" operator="equal">
      <formula>"취약"</formula>
    </cfRule>
  </conditionalFormatting>
  <conditionalFormatting sqref="H1:H5 H70:H1048576">
    <cfRule type="cellIs" dxfId="40" priority="199" operator="equal">
      <formula>"N/A"</formula>
    </cfRule>
  </conditionalFormatting>
  <conditionalFormatting sqref="H1:H1048576">
    <cfRule type="cellIs" dxfId="39" priority="9" operator="equal">
      <formula>"인터뷰"</formula>
    </cfRule>
  </conditionalFormatting>
  <conditionalFormatting sqref="H6">
    <cfRule type="cellIs" dxfId="38" priority="41" operator="equal">
      <formula>"미흡"</formula>
    </cfRule>
  </conditionalFormatting>
  <conditionalFormatting sqref="H6:H69">
    <cfRule type="cellIs" dxfId="37" priority="7" operator="equal">
      <formula>"N/A"</formula>
    </cfRule>
    <cfRule type="cellIs" dxfId="36" priority="19" operator="equal">
      <formula>"N/A"</formula>
    </cfRule>
    <cfRule type="containsText" dxfId="35" priority="40" operator="containsText" text="취약">
      <formula>NOT(ISERROR(SEARCH("취약",H6)))</formula>
    </cfRule>
    <cfRule type="containsText" dxfId="34" priority="39" operator="containsText" text="확인">
      <formula>NOT(ISERROR(SEARCH("확인",H6)))</formula>
    </cfRule>
  </conditionalFormatting>
  <conditionalFormatting sqref="H7:H13">
    <cfRule type="cellIs" dxfId="33" priority="18" operator="equal">
      <formula>"미흡"</formula>
    </cfRule>
    <cfRule type="containsText" dxfId="32" priority="16" operator="containsText" text="확인">
      <formula>NOT(ISERROR(SEARCH("확인",H7)))</formula>
    </cfRule>
    <cfRule type="containsText" dxfId="31" priority="17" operator="containsText" text="취약">
      <formula>NOT(ISERROR(SEARCH("취약",H7)))</formula>
    </cfRule>
  </conditionalFormatting>
  <conditionalFormatting sqref="H7:H69">
    <cfRule type="cellIs" dxfId="30" priority="6" operator="equal">
      <formula>"미흡"</formula>
    </cfRule>
  </conditionalFormatting>
  <conditionalFormatting sqref="H14:H20">
    <cfRule type="cellIs" dxfId="29" priority="26" operator="equal">
      <formula>"미흡"</formula>
    </cfRule>
    <cfRule type="containsText" dxfId="28" priority="25" operator="containsText" text="취약">
      <formula>NOT(ISERROR(SEARCH("취약",H14)))</formula>
    </cfRule>
    <cfRule type="containsText" dxfId="27" priority="24" operator="containsText" text="확인">
      <formula>NOT(ISERROR(SEARCH("확인",H14)))</formula>
    </cfRule>
  </conditionalFormatting>
  <conditionalFormatting sqref="H21:H31">
    <cfRule type="containsText" dxfId="26" priority="14" operator="containsText" text="취약">
      <formula>NOT(ISERROR(SEARCH("취약",H21)))</formula>
    </cfRule>
    <cfRule type="cellIs" dxfId="25" priority="15" operator="equal">
      <formula>"미흡"</formula>
    </cfRule>
    <cfRule type="containsText" dxfId="24" priority="13" operator="containsText" text="확인">
      <formula>NOT(ISERROR(SEARCH("확인",H21)))</formula>
    </cfRule>
  </conditionalFormatting>
  <conditionalFormatting sqref="H32:H37">
    <cfRule type="cellIs" dxfId="23" priority="23" operator="equal">
      <formula>"미흡"</formula>
    </cfRule>
    <cfRule type="containsText" dxfId="22" priority="22" operator="containsText" text="취약">
      <formula>NOT(ISERROR(SEARCH("취약",H32)))</formula>
    </cfRule>
    <cfRule type="containsText" dxfId="21" priority="21" operator="containsText" text="확인">
      <formula>NOT(ISERROR(SEARCH("확인",H32)))</formula>
    </cfRule>
  </conditionalFormatting>
  <conditionalFormatting sqref="H38:H41">
    <cfRule type="containsText" dxfId="20" priority="10" operator="containsText" text="확인">
      <formula>NOT(ISERROR(SEARCH("확인",H38)))</formula>
    </cfRule>
    <cfRule type="cellIs" dxfId="19" priority="12" operator="equal">
      <formula>"미흡"</formula>
    </cfRule>
    <cfRule type="containsText" dxfId="18" priority="11" operator="containsText" text="취약">
      <formula>NOT(ISERROR(SEARCH("취약",H38)))</formula>
    </cfRule>
  </conditionalFormatting>
  <conditionalFormatting sqref="H42">
    <cfRule type="containsText" dxfId="17" priority="36" operator="containsText" text="확인">
      <formula>NOT(ISERROR(SEARCH("확인",H42)))</formula>
    </cfRule>
    <cfRule type="containsText" dxfId="16" priority="37" operator="containsText" text="취약">
      <formula>NOT(ISERROR(SEARCH("취약",H42)))</formula>
    </cfRule>
    <cfRule type="cellIs" dxfId="15" priority="38" operator="equal">
      <formula>"미흡"</formula>
    </cfRule>
  </conditionalFormatting>
  <conditionalFormatting sqref="H42:H51">
    <cfRule type="containsText" dxfId="14" priority="34" operator="containsText" text="취약">
      <formula>NOT(ISERROR(SEARCH("취약",H42)))</formula>
    </cfRule>
    <cfRule type="containsText" dxfId="13" priority="33" operator="containsText" text="확인">
      <formula>NOT(ISERROR(SEARCH("확인",H42)))</formula>
    </cfRule>
  </conditionalFormatting>
  <conditionalFormatting sqref="H43:H51">
    <cfRule type="cellIs" dxfId="12" priority="35" operator="equal">
      <formula>"미흡"</formula>
    </cfRule>
  </conditionalFormatting>
  <conditionalFormatting sqref="H46">
    <cfRule type="containsText" dxfId="11" priority="30" operator="containsText" text="취약">
      <formula>NOT(ISERROR(SEARCH("취약",H46)))</formula>
    </cfRule>
    <cfRule type="containsText" dxfId="10" priority="29" operator="containsText" text="확인">
      <formula>NOT(ISERROR(SEARCH("확인",H46)))</formula>
    </cfRule>
    <cfRule type="containsText" dxfId="9" priority="28" operator="containsText" text="취약">
      <formula>NOT(ISERROR(SEARCH("취약",H46)))</formula>
    </cfRule>
    <cfRule type="containsText" dxfId="8" priority="27" operator="containsText" text="확인">
      <formula>NOT(ISERROR(SEARCH("확인",H46)))</formula>
    </cfRule>
  </conditionalFormatting>
  <conditionalFormatting sqref="H51">
    <cfRule type="containsText" dxfId="7" priority="32" operator="containsText" text="취약">
      <formula>NOT(ISERROR(SEARCH("취약",H51)))</formula>
    </cfRule>
    <cfRule type="containsText" dxfId="6" priority="31" operator="containsText" text="확인">
      <formula>NOT(ISERROR(SEARCH("확인",H51)))</formula>
    </cfRule>
  </conditionalFormatting>
  <conditionalFormatting sqref="H1:I5">
    <cfRule type="cellIs" dxfId="5" priority="1685" operator="equal">
      <formula>"미흡"</formula>
    </cfRule>
  </conditionalFormatting>
  <conditionalFormatting sqref="I3:I5">
    <cfRule type="cellIs" dxfId="4" priority="1832" operator="equal">
      <formula>"취약"</formula>
    </cfRule>
  </conditionalFormatting>
  <conditionalFormatting sqref="I6:I7 I9:I53">
    <cfRule type="cellIs" dxfId="3" priority="42" operator="equal">
      <formula>"N/A"</formula>
    </cfRule>
  </conditionalFormatting>
  <conditionalFormatting sqref="I6:I69">
    <cfRule type="cellIs" dxfId="2" priority="5" operator="equal">
      <formula>"미흡"</formula>
    </cfRule>
  </conditionalFormatting>
  <conditionalFormatting sqref="I8">
    <cfRule type="cellIs" dxfId="1" priority="4" operator="equal">
      <formula>"N/A"</formula>
    </cfRule>
  </conditionalFormatting>
  <conditionalFormatting sqref="J1:XFD1048576 F2:G5 A4:A51 B6 C6:D51 B15 B34 B43 B45 B51">
    <cfRule type="cellIs" dxfId="0" priority="3767" operator="equal">
      <formula>"미흡"</formula>
    </cfRule>
  </conditionalFormatting>
  <pageMargins left="0.7" right="0.7" top="0.75" bottom="0.75" header="0.3" footer="0.3"/>
  <pageSetup paperSize="9" orientation="landscape" scale="47"/>
  <headerFooter>
    <oddFooter>&amp;C&amp;P / &amp;N</oddFooter>
  </headerFooter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0. 표지</vt:lpstr>
      <vt:lpstr>1. 진단 대상</vt:lpstr>
      <vt:lpstr>2-1. 요약결과(그래프)</vt:lpstr>
      <vt:lpstr>2-2. 요약 진단결과(Window)</vt:lpstr>
      <vt:lpstr>3-1. 진단 결과(window)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취약점진단팀</dc:creator>
  <cp:lastModifiedBy>취약점진단팀</cp:lastModifiedBy>
  <dcterms:created xsi:type="dcterms:W3CDTF">2026-08-31T05:31:31Z</dcterms:created>
  <dcterms:modified xsi:type="dcterms:W3CDTF">2026-09-17T02:38:42Z</dcterms:modified>
</cp:coreProperties>
</file>